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f68b6d7c7ba0d41/RASA/RASA Financials/Financials for Dashboard/"/>
    </mc:Choice>
  </mc:AlternateContent>
  <xr:revisionPtr revIDLastSave="0" documentId="8_{A53EB2B3-F20D-4CBF-B520-2092566C3A9E}" xr6:coauthVersionLast="47" xr6:coauthVersionMax="47" xr10:uidLastSave="{00000000-0000-0000-0000-000000000000}"/>
  <bookViews>
    <workbookView xWindow="-28920" yWindow="7080" windowWidth="29040" windowHeight="15720" xr2:uid="{00000000-000D-0000-FFFF-FFFF00000000}"/>
  </bookViews>
  <sheets>
    <sheet name="Consolidated" sheetId="1" r:id="rId1"/>
    <sheet name="1 - RASA Worldwide" sheetId="2" r:id="rId2"/>
    <sheet name="2 - RASA - Ballpark" sheetId="3" r:id="rId3"/>
    <sheet name="4 - RASA - MVT" sheetId="4" r:id="rId4"/>
    <sheet name="5 - RASA - National Landin" sheetId="5" r:id="rId5"/>
    <sheet name="6 - RASA - Mosaic" sheetId="6" r:id="rId6"/>
    <sheet name="7 - RASA - Rockville" sheetId="7" r:id="rId7"/>
  </sheets>
  <definedNames>
    <definedName name="_xlnm.Print_Titles" localSheetId="1">'1 - RASA Worldwide'!$1:$5</definedName>
    <definedName name="_xlnm.Print_Titles" localSheetId="2">'2 - RASA - Ballpark'!$1:$5</definedName>
    <definedName name="_xlnm.Print_Titles" localSheetId="3">'4 - RASA - MVT'!$1:$5</definedName>
    <definedName name="_xlnm.Print_Titles" localSheetId="4">'5 - RASA - National Landin'!$1:$5</definedName>
    <definedName name="_xlnm.Print_Titles" localSheetId="5">'6 - RASA - Mosaic'!$1:$5</definedName>
    <definedName name="_xlnm.Print_Titles" localSheetId="6">'7 - RASA - Rockville'!$1:$5</definedName>
    <definedName name="_xlnm.Print_Titles" localSheetId="0">Consolidated!$1:$5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44" i="7" l="1"/>
  <c r="W444" i="7"/>
  <c r="N444" i="7"/>
  <c r="O440" i="7" s="1"/>
  <c r="H444" i="7"/>
  <c r="AA442" i="7"/>
  <c r="Z442" i="7"/>
  <c r="W442" i="7"/>
  <c r="X442" i="7" s="1"/>
  <c r="T442" i="7"/>
  <c r="U442" i="7" s="1"/>
  <c r="Q442" i="7"/>
  <c r="R442" i="7" s="1"/>
  <c r="K442" i="7"/>
  <c r="L442" i="7" s="1"/>
  <c r="E442" i="7"/>
  <c r="F442" i="7" s="1"/>
  <c r="C442" i="7"/>
  <c r="B442" i="7"/>
  <c r="AC441" i="7"/>
  <c r="AD441" i="7" s="1"/>
  <c r="Z441" i="7"/>
  <c r="AA441" i="7" s="1"/>
  <c r="U441" i="7"/>
  <c r="T441" i="7"/>
  <c r="Q441" i="7"/>
  <c r="K441" i="7"/>
  <c r="L441" i="7" s="1"/>
  <c r="E441" i="7"/>
  <c r="B441" i="7"/>
  <c r="C441" i="7" s="1"/>
  <c r="AC440" i="7"/>
  <c r="AD440" i="7" s="1"/>
  <c r="AA440" i="7"/>
  <c r="X440" i="7"/>
  <c r="W440" i="7"/>
  <c r="U440" i="7"/>
  <c r="R440" i="7"/>
  <c r="N440" i="7"/>
  <c r="L440" i="7"/>
  <c r="I440" i="7"/>
  <c r="H440" i="7"/>
  <c r="F440" i="7"/>
  <c r="C440" i="7"/>
  <c r="AC439" i="7"/>
  <c r="AD439" i="7" s="1"/>
  <c r="AA439" i="7"/>
  <c r="W439" i="7"/>
  <c r="X439" i="7" s="1"/>
  <c r="U439" i="7"/>
  <c r="R439" i="7"/>
  <c r="O439" i="7"/>
  <c r="N439" i="7"/>
  <c r="L439" i="7"/>
  <c r="H439" i="7"/>
  <c r="I439" i="7" s="1"/>
  <c r="F439" i="7"/>
  <c r="C439" i="7"/>
  <c r="AC438" i="7"/>
  <c r="AD438" i="7" s="1"/>
  <c r="AA438" i="7"/>
  <c r="X438" i="7"/>
  <c r="W438" i="7"/>
  <c r="U438" i="7"/>
  <c r="R438" i="7"/>
  <c r="O438" i="7"/>
  <c r="N438" i="7"/>
  <c r="L438" i="7"/>
  <c r="H438" i="7"/>
  <c r="I438" i="7" s="1"/>
  <c r="F438" i="7"/>
  <c r="C438" i="7"/>
  <c r="AD437" i="7"/>
  <c r="AC437" i="7"/>
  <c r="AA437" i="7"/>
  <c r="X437" i="7"/>
  <c r="W437" i="7"/>
  <c r="U437" i="7"/>
  <c r="R437" i="7"/>
  <c r="N437" i="7"/>
  <c r="O437" i="7" s="1"/>
  <c r="L437" i="7"/>
  <c r="H437" i="7"/>
  <c r="I437" i="7" s="1"/>
  <c r="F437" i="7"/>
  <c r="C437" i="7"/>
  <c r="AD436" i="7"/>
  <c r="AC436" i="7"/>
  <c r="AA436" i="7"/>
  <c r="W436" i="7"/>
  <c r="X436" i="7" s="1"/>
  <c r="U436" i="7"/>
  <c r="R436" i="7"/>
  <c r="O436" i="7"/>
  <c r="N436" i="7"/>
  <c r="L436" i="7"/>
  <c r="I436" i="7"/>
  <c r="H436" i="7"/>
  <c r="F436" i="7"/>
  <c r="C436" i="7"/>
  <c r="AC435" i="7"/>
  <c r="AD435" i="7" s="1"/>
  <c r="AA435" i="7"/>
  <c r="W435" i="7"/>
  <c r="X435" i="7" s="1"/>
  <c r="U435" i="7"/>
  <c r="R435" i="7"/>
  <c r="O435" i="7"/>
  <c r="N435" i="7"/>
  <c r="L435" i="7"/>
  <c r="I435" i="7"/>
  <c r="H435" i="7"/>
  <c r="F435" i="7"/>
  <c r="C435" i="7"/>
  <c r="AC434" i="7"/>
  <c r="AD434" i="7" s="1"/>
  <c r="AA434" i="7"/>
  <c r="X434" i="7"/>
  <c r="W434" i="7"/>
  <c r="U434" i="7"/>
  <c r="R434" i="7"/>
  <c r="O434" i="7"/>
  <c r="N434" i="7"/>
  <c r="L434" i="7"/>
  <c r="H434" i="7"/>
  <c r="I434" i="7" s="1"/>
  <c r="F434" i="7"/>
  <c r="C434" i="7"/>
  <c r="AD433" i="7"/>
  <c r="AC433" i="7"/>
  <c r="AA433" i="7"/>
  <c r="X433" i="7"/>
  <c r="W433" i="7"/>
  <c r="U433" i="7"/>
  <c r="R433" i="7"/>
  <c r="N433" i="7"/>
  <c r="O433" i="7" s="1"/>
  <c r="L433" i="7"/>
  <c r="H433" i="7"/>
  <c r="I433" i="7" s="1"/>
  <c r="F433" i="7"/>
  <c r="C433" i="7"/>
  <c r="AD432" i="7"/>
  <c r="AC432" i="7"/>
  <c r="AA432" i="7"/>
  <c r="X432" i="7"/>
  <c r="W432" i="7"/>
  <c r="U432" i="7"/>
  <c r="R432" i="7"/>
  <c r="N432" i="7"/>
  <c r="O432" i="7" s="1"/>
  <c r="L432" i="7"/>
  <c r="I432" i="7"/>
  <c r="H432" i="7"/>
  <c r="F432" i="7"/>
  <c r="C432" i="7"/>
  <c r="AA429" i="7"/>
  <c r="Z429" i="7"/>
  <c r="T429" i="7"/>
  <c r="Q429" i="7"/>
  <c r="R429" i="7" s="1"/>
  <c r="L429" i="7"/>
  <c r="K429" i="7"/>
  <c r="H429" i="7"/>
  <c r="I429" i="7" s="1"/>
  <c r="E429" i="7"/>
  <c r="F429" i="7" s="1"/>
  <c r="C429" i="7"/>
  <c r="B429" i="7"/>
  <c r="N429" i="7" s="1"/>
  <c r="O429" i="7" s="1"/>
  <c r="Z428" i="7"/>
  <c r="AA428" i="7" s="1"/>
  <c r="U428" i="7"/>
  <c r="T428" i="7"/>
  <c r="R428" i="7"/>
  <c r="Q428" i="7"/>
  <c r="K428" i="7"/>
  <c r="L428" i="7" s="1"/>
  <c r="F428" i="7"/>
  <c r="E428" i="7"/>
  <c r="B428" i="7"/>
  <c r="AC427" i="7"/>
  <c r="AD427" i="7" s="1"/>
  <c r="AA427" i="7"/>
  <c r="W427" i="7"/>
  <c r="X427" i="7" s="1"/>
  <c r="U427" i="7"/>
  <c r="R427" i="7"/>
  <c r="O427" i="7"/>
  <c r="N427" i="7"/>
  <c r="L427" i="7"/>
  <c r="I427" i="7"/>
  <c r="H427" i="7"/>
  <c r="F427" i="7"/>
  <c r="C427" i="7"/>
  <c r="AC426" i="7"/>
  <c r="AD426" i="7" s="1"/>
  <c r="AA426" i="7"/>
  <c r="X426" i="7"/>
  <c r="W426" i="7"/>
  <c r="U426" i="7"/>
  <c r="R426" i="7"/>
  <c r="O426" i="7"/>
  <c r="N426" i="7"/>
  <c r="L426" i="7"/>
  <c r="H426" i="7"/>
  <c r="I426" i="7" s="1"/>
  <c r="F426" i="7"/>
  <c r="C426" i="7"/>
  <c r="AD425" i="7"/>
  <c r="AC425" i="7"/>
  <c r="AA425" i="7"/>
  <c r="X425" i="7"/>
  <c r="W425" i="7"/>
  <c r="U425" i="7"/>
  <c r="R425" i="7"/>
  <c r="N425" i="7"/>
  <c r="O425" i="7" s="1"/>
  <c r="L425" i="7"/>
  <c r="H425" i="7"/>
  <c r="I425" i="7" s="1"/>
  <c r="F425" i="7"/>
  <c r="C425" i="7"/>
  <c r="AD424" i="7"/>
  <c r="AC424" i="7"/>
  <c r="AA424" i="7"/>
  <c r="X424" i="7"/>
  <c r="W424" i="7"/>
  <c r="U424" i="7"/>
  <c r="R424" i="7"/>
  <c r="N424" i="7"/>
  <c r="O424" i="7" s="1"/>
  <c r="L424" i="7"/>
  <c r="I424" i="7"/>
  <c r="H424" i="7"/>
  <c r="F424" i="7"/>
  <c r="C424" i="7"/>
  <c r="AC423" i="7"/>
  <c r="AD423" i="7" s="1"/>
  <c r="AA423" i="7"/>
  <c r="W423" i="7"/>
  <c r="X423" i="7" s="1"/>
  <c r="U423" i="7"/>
  <c r="R423" i="7"/>
  <c r="O423" i="7"/>
  <c r="N423" i="7"/>
  <c r="L423" i="7"/>
  <c r="I423" i="7"/>
  <c r="H423" i="7"/>
  <c r="F423" i="7"/>
  <c r="C423" i="7"/>
  <c r="AC422" i="7"/>
  <c r="AD422" i="7" s="1"/>
  <c r="AA422" i="7"/>
  <c r="W422" i="7"/>
  <c r="X422" i="7" s="1"/>
  <c r="U422" i="7"/>
  <c r="R422" i="7"/>
  <c r="O422" i="7"/>
  <c r="N422" i="7"/>
  <c r="L422" i="7"/>
  <c r="H422" i="7"/>
  <c r="I422" i="7" s="1"/>
  <c r="F422" i="7"/>
  <c r="C422" i="7"/>
  <c r="AC421" i="7"/>
  <c r="AD421" i="7" s="1"/>
  <c r="AA421" i="7"/>
  <c r="X421" i="7"/>
  <c r="W421" i="7"/>
  <c r="U421" i="7"/>
  <c r="R421" i="7"/>
  <c r="N421" i="7"/>
  <c r="O421" i="7" s="1"/>
  <c r="L421" i="7"/>
  <c r="H421" i="7"/>
  <c r="I421" i="7" s="1"/>
  <c r="F421" i="7"/>
  <c r="C421" i="7"/>
  <c r="AD420" i="7"/>
  <c r="AC420" i="7"/>
  <c r="AA420" i="7"/>
  <c r="X420" i="7"/>
  <c r="W420" i="7"/>
  <c r="U420" i="7"/>
  <c r="R420" i="7"/>
  <c r="N420" i="7"/>
  <c r="O420" i="7" s="1"/>
  <c r="L420" i="7"/>
  <c r="H420" i="7"/>
  <c r="I420" i="7" s="1"/>
  <c r="F420" i="7"/>
  <c r="C420" i="7"/>
  <c r="AC419" i="7"/>
  <c r="AD419" i="7" s="1"/>
  <c r="AA419" i="7"/>
  <c r="W419" i="7"/>
  <c r="X419" i="7" s="1"/>
  <c r="U419" i="7"/>
  <c r="R419" i="7"/>
  <c r="O419" i="7"/>
  <c r="N419" i="7"/>
  <c r="L419" i="7"/>
  <c r="I419" i="7"/>
  <c r="H419" i="7"/>
  <c r="F419" i="7"/>
  <c r="C419" i="7"/>
  <c r="AC418" i="7"/>
  <c r="AD418" i="7" s="1"/>
  <c r="AA418" i="7"/>
  <c r="W418" i="7"/>
  <c r="X418" i="7" s="1"/>
  <c r="U418" i="7"/>
  <c r="R418" i="7"/>
  <c r="O418" i="7"/>
  <c r="N418" i="7"/>
  <c r="L418" i="7"/>
  <c r="H418" i="7"/>
  <c r="I418" i="7" s="1"/>
  <c r="F418" i="7"/>
  <c r="C418" i="7"/>
  <c r="AC417" i="7"/>
  <c r="AD417" i="7" s="1"/>
  <c r="AA417" i="7"/>
  <c r="X417" i="7"/>
  <c r="W417" i="7"/>
  <c r="U417" i="7"/>
  <c r="R417" i="7"/>
  <c r="N417" i="7"/>
  <c r="O417" i="7" s="1"/>
  <c r="L417" i="7"/>
  <c r="H417" i="7"/>
  <c r="I417" i="7" s="1"/>
  <c r="F417" i="7"/>
  <c r="C417" i="7"/>
  <c r="AD416" i="7"/>
  <c r="AC416" i="7"/>
  <c r="AA416" i="7"/>
  <c r="X416" i="7"/>
  <c r="W416" i="7"/>
  <c r="U416" i="7"/>
  <c r="R416" i="7"/>
  <c r="N416" i="7"/>
  <c r="O416" i="7" s="1"/>
  <c r="L416" i="7"/>
  <c r="H416" i="7"/>
  <c r="I416" i="7" s="1"/>
  <c r="F416" i="7"/>
  <c r="C416" i="7"/>
  <c r="AC415" i="7"/>
  <c r="AD415" i="7" s="1"/>
  <c r="AA415" i="7"/>
  <c r="W415" i="7"/>
  <c r="X415" i="7" s="1"/>
  <c r="U415" i="7"/>
  <c r="R415" i="7"/>
  <c r="O415" i="7"/>
  <c r="N415" i="7"/>
  <c r="L415" i="7"/>
  <c r="I415" i="7"/>
  <c r="H415" i="7"/>
  <c r="F415" i="7"/>
  <c r="C415" i="7"/>
  <c r="AC414" i="7"/>
  <c r="AD414" i="7" s="1"/>
  <c r="AA414" i="7"/>
  <c r="W414" i="7"/>
  <c r="X414" i="7" s="1"/>
  <c r="U414" i="7"/>
  <c r="R414" i="7"/>
  <c r="O414" i="7"/>
  <c r="N414" i="7"/>
  <c r="L414" i="7"/>
  <c r="H414" i="7"/>
  <c r="I414" i="7" s="1"/>
  <c r="F414" i="7"/>
  <c r="C414" i="7"/>
  <c r="AC413" i="7"/>
  <c r="AD413" i="7" s="1"/>
  <c r="AA413" i="7"/>
  <c r="X413" i="7"/>
  <c r="W413" i="7"/>
  <c r="U413" i="7"/>
  <c r="R413" i="7"/>
  <c r="N413" i="7"/>
  <c r="O413" i="7" s="1"/>
  <c r="L413" i="7"/>
  <c r="H413" i="7"/>
  <c r="I413" i="7" s="1"/>
  <c r="F413" i="7"/>
  <c r="C413" i="7"/>
  <c r="AD412" i="7"/>
  <c r="AC412" i="7"/>
  <c r="AA412" i="7"/>
  <c r="X412" i="7"/>
  <c r="W412" i="7"/>
  <c r="U412" i="7"/>
  <c r="R412" i="7"/>
  <c r="N412" i="7"/>
  <c r="O412" i="7" s="1"/>
  <c r="L412" i="7"/>
  <c r="H412" i="7"/>
  <c r="I412" i="7" s="1"/>
  <c r="F412" i="7"/>
  <c r="C412" i="7"/>
  <c r="AC411" i="7"/>
  <c r="AD411" i="7" s="1"/>
  <c r="AA411" i="7"/>
  <c r="W411" i="7"/>
  <c r="X411" i="7" s="1"/>
  <c r="U411" i="7"/>
  <c r="R411" i="7"/>
  <c r="O411" i="7"/>
  <c r="N411" i="7"/>
  <c r="L411" i="7"/>
  <c r="I411" i="7"/>
  <c r="H411" i="7"/>
  <c r="F411" i="7"/>
  <c r="C411" i="7"/>
  <c r="AC410" i="7"/>
  <c r="AD410" i="7" s="1"/>
  <c r="AA410" i="7"/>
  <c r="W410" i="7"/>
  <c r="X410" i="7" s="1"/>
  <c r="U410" i="7"/>
  <c r="R410" i="7"/>
  <c r="O410" i="7"/>
  <c r="N410" i="7"/>
  <c r="L410" i="7"/>
  <c r="H410" i="7"/>
  <c r="I410" i="7" s="1"/>
  <c r="F410" i="7"/>
  <c r="C410" i="7"/>
  <c r="AC409" i="7"/>
  <c r="AD409" i="7" s="1"/>
  <c r="AA409" i="7"/>
  <c r="X409" i="7"/>
  <c r="W409" i="7"/>
  <c r="U409" i="7"/>
  <c r="R409" i="7"/>
  <c r="N409" i="7"/>
  <c r="O409" i="7" s="1"/>
  <c r="L409" i="7"/>
  <c r="H409" i="7"/>
  <c r="I409" i="7" s="1"/>
  <c r="F409" i="7"/>
  <c r="C409" i="7"/>
  <c r="AD408" i="7"/>
  <c r="AC408" i="7"/>
  <c r="AA408" i="7"/>
  <c r="X408" i="7"/>
  <c r="W408" i="7"/>
  <c r="U408" i="7"/>
  <c r="R408" i="7"/>
  <c r="N408" i="7"/>
  <c r="O408" i="7" s="1"/>
  <c r="L408" i="7"/>
  <c r="H408" i="7"/>
  <c r="I408" i="7" s="1"/>
  <c r="F408" i="7"/>
  <c r="C408" i="7"/>
  <c r="AC407" i="7"/>
  <c r="AD407" i="7" s="1"/>
  <c r="AA407" i="7"/>
  <c r="W407" i="7"/>
  <c r="X407" i="7" s="1"/>
  <c r="U407" i="7"/>
  <c r="R407" i="7"/>
  <c r="O407" i="7"/>
  <c r="N407" i="7"/>
  <c r="L407" i="7"/>
  <c r="I407" i="7"/>
  <c r="H407" i="7"/>
  <c r="F407" i="7"/>
  <c r="C407" i="7"/>
  <c r="Z403" i="7"/>
  <c r="AA403" i="7" s="1"/>
  <c r="W403" i="7"/>
  <c r="X403" i="7" s="1"/>
  <c r="T403" i="7"/>
  <c r="U403" i="7" s="1"/>
  <c r="R403" i="7"/>
  <c r="Q403" i="7"/>
  <c r="AC403" i="7" s="1"/>
  <c r="AD403" i="7" s="1"/>
  <c r="K403" i="7"/>
  <c r="L403" i="7" s="1"/>
  <c r="F403" i="7"/>
  <c r="E403" i="7"/>
  <c r="B403" i="7"/>
  <c r="C403" i="7" s="1"/>
  <c r="AC402" i="7"/>
  <c r="AD402" i="7" s="1"/>
  <c r="AA402" i="7"/>
  <c r="W402" i="7"/>
  <c r="X402" i="7" s="1"/>
  <c r="U402" i="7"/>
  <c r="R402" i="7"/>
  <c r="O402" i="7"/>
  <c r="N402" i="7"/>
  <c r="L402" i="7"/>
  <c r="H402" i="7"/>
  <c r="I402" i="7" s="1"/>
  <c r="F402" i="7"/>
  <c r="C402" i="7"/>
  <c r="AC401" i="7"/>
  <c r="AD401" i="7" s="1"/>
  <c r="AA401" i="7"/>
  <c r="X401" i="7"/>
  <c r="W401" i="7"/>
  <c r="U401" i="7"/>
  <c r="R401" i="7"/>
  <c r="N401" i="7"/>
  <c r="O401" i="7" s="1"/>
  <c r="L401" i="7"/>
  <c r="H401" i="7"/>
  <c r="I401" i="7" s="1"/>
  <c r="F401" i="7"/>
  <c r="C401" i="7"/>
  <c r="AD400" i="7"/>
  <c r="AC400" i="7"/>
  <c r="AA400" i="7"/>
  <c r="X400" i="7"/>
  <c r="W400" i="7"/>
  <c r="U400" i="7"/>
  <c r="R400" i="7"/>
  <c r="N400" i="7"/>
  <c r="O400" i="7" s="1"/>
  <c r="L400" i="7"/>
  <c r="H400" i="7"/>
  <c r="I400" i="7" s="1"/>
  <c r="F400" i="7"/>
  <c r="C400" i="7"/>
  <c r="AC399" i="7"/>
  <c r="AD399" i="7" s="1"/>
  <c r="AA399" i="7"/>
  <c r="W399" i="7"/>
  <c r="X399" i="7" s="1"/>
  <c r="U399" i="7"/>
  <c r="R399" i="7"/>
  <c r="O399" i="7"/>
  <c r="N399" i="7"/>
  <c r="L399" i="7"/>
  <c r="I399" i="7"/>
  <c r="H399" i="7"/>
  <c r="F399" i="7"/>
  <c r="C399" i="7"/>
  <c r="AC398" i="7"/>
  <c r="AD398" i="7" s="1"/>
  <c r="AA398" i="7"/>
  <c r="W398" i="7"/>
  <c r="X398" i="7" s="1"/>
  <c r="U398" i="7"/>
  <c r="R398" i="7"/>
  <c r="O398" i="7"/>
  <c r="N398" i="7"/>
  <c r="L398" i="7"/>
  <c r="H398" i="7"/>
  <c r="I398" i="7" s="1"/>
  <c r="F398" i="7"/>
  <c r="C398" i="7"/>
  <c r="AC397" i="7"/>
  <c r="AD397" i="7" s="1"/>
  <c r="AA397" i="7"/>
  <c r="X397" i="7"/>
  <c r="W397" i="7"/>
  <c r="U397" i="7"/>
  <c r="R397" i="7"/>
  <c r="N397" i="7"/>
  <c r="O397" i="7" s="1"/>
  <c r="L397" i="7"/>
  <c r="H397" i="7"/>
  <c r="I397" i="7" s="1"/>
  <c r="F397" i="7"/>
  <c r="C397" i="7"/>
  <c r="Z396" i="7"/>
  <c r="AA396" i="7" s="1"/>
  <c r="W396" i="7"/>
  <c r="X396" i="7" s="1"/>
  <c r="T396" i="7"/>
  <c r="U396" i="7" s="1"/>
  <c r="R396" i="7"/>
  <c r="Q396" i="7"/>
  <c r="K396" i="7"/>
  <c r="L396" i="7" s="1"/>
  <c r="F396" i="7"/>
  <c r="E396" i="7"/>
  <c r="B396" i="7"/>
  <c r="AC395" i="7"/>
  <c r="AD395" i="7" s="1"/>
  <c r="AA395" i="7"/>
  <c r="W395" i="7"/>
  <c r="X395" i="7" s="1"/>
  <c r="U395" i="7"/>
  <c r="R395" i="7"/>
  <c r="O395" i="7"/>
  <c r="N395" i="7"/>
  <c r="L395" i="7"/>
  <c r="H395" i="7"/>
  <c r="I395" i="7" s="1"/>
  <c r="F395" i="7"/>
  <c r="C395" i="7"/>
  <c r="AC394" i="7"/>
  <c r="AD394" i="7" s="1"/>
  <c r="AA394" i="7"/>
  <c r="X394" i="7"/>
  <c r="W394" i="7"/>
  <c r="U394" i="7"/>
  <c r="R394" i="7"/>
  <c r="N394" i="7"/>
  <c r="O394" i="7" s="1"/>
  <c r="L394" i="7"/>
  <c r="H394" i="7"/>
  <c r="I394" i="7" s="1"/>
  <c r="F394" i="7"/>
  <c r="C394" i="7"/>
  <c r="Z393" i="7"/>
  <c r="AA393" i="7" s="1"/>
  <c r="W393" i="7"/>
  <c r="X393" i="7" s="1"/>
  <c r="T393" i="7"/>
  <c r="U393" i="7" s="1"/>
  <c r="R393" i="7"/>
  <c r="Q393" i="7"/>
  <c r="K393" i="7"/>
  <c r="L393" i="7" s="1"/>
  <c r="F393" i="7"/>
  <c r="E393" i="7"/>
  <c r="B393" i="7"/>
  <c r="AC392" i="7"/>
  <c r="AD392" i="7" s="1"/>
  <c r="AA392" i="7"/>
  <c r="W392" i="7"/>
  <c r="X392" i="7" s="1"/>
  <c r="U392" i="7"/>
  <c r="R392" i="7"/>
  <c r="O392" i="7"/>
  <c r="N392" i="7"/>
  <c r="L392" i="7"/>
  <c r="H392" i="7"/>
  <c r="I392" i="7" s="1"/>
  <c r="F392" i="7"/>
  <c r="C392" i="7"/>
  <c r="AD391" i="7"/>
  <c r="AC391" i="7"/>
  <c r="AA391" i="7"/>
  <c r="X391" i="7"/>
  <c r="W391" i="7"/>
  <c r="U391" i="7"/>
  <c r="R391" i="7"/>
  <c r="N391" i="7"/>
  <c r="O391" i="7" s="1"/>
  <c r="L391" i="7"/>
  <c r="H391" i="7"/>
  <c r="I391" i="7" s="1"/>
  <c r="F391" i="7"/>
  <c r="C391" i="7"/>
  <c r="AD390" i="7"/>
  <c r="AC390" i="7"/>
  <c r="AA390" i="7"/>
  <c r="X390" i="7"/>
  <c r="W390" i="7"/>
  <c r="U390" i="7"/>
  <c r="R390" i="7"/>
  <c r="N390" i="7"/>
  <c r="O390" i="7" s="1"/>
  <c r="L390" i="7"/>
  <c r="I390" i="7"/>
  <c r="H390" i="7"/>
  <c r="F390" i="7"/>
  <c r="C390" i="7"/>
  <c r="AC389" i="7"/>
  <c r="AD389" i="7" s="1"/>
  <c r="AA389" i="7"/>
  <c r="W389" i="7"/>
  <c r="X389" i="7" s="1"/>
  <c r="U389" i="7"/>
  <c r="R389" i="7"/>
  <c r="O389" i="7"/>
  <c r="N389" i="7"/>
  <c r="L389" i="7"/>
  <c r="I389" i="7"/>
  <c r="H389" i="7"/>
  <c r="F389" i="7"/>
  <c r="C389" i="7"/>
  <c r="AC388" i="7"/>
  <c r="AD388" i="7" s="1"/>
  <c r="AA388" i="7"/>
  <c r="W388" i="7"/>
  <c r="X388" i="7" s="1"/>
  <c r="U388" i="7"/>
  <c r="R388" i="7"/>
  <c r="O388" i="7"/>
  <c r="N388" i="7"/>
  <c r="L388" i="7"/>
  <c r="H388" i="7"/>
  <c r="I388" i="7" s="1"/>
  <c r="F388" i="7"/>
  <c r="C388" i="7"/>
  <c r="AC386" i="7"/>
  <c r="AD386" i="7" s="1"/>
  <c r="AA386" i="7"/>
  <c r="X386" i="7"/>
  <c r="W386" i="7"/>
  <c r="U386" i="7"/>
  <c r="R386" i="7"/>
  <c r="N386" i="7"/>
  <c r="O386" i="7" s="1"/>
  <c r="L386" i="7"/>
  <c r="H386" i="7"/>
  <c r="I386" i="7" s="1"/>
  <c r="F386" i="7"/>
  <c r="C386" i="7"/>
  <c r="AD385" i="7"/>
  <c r="AC385" i="7"/>
  <c r="AA385" i="7"/>
  <c r="W385" i="7"/>
  <c r="X385" i="7" s="1"/>
  <c r="U385" i="7"/>
  <c r="R385" i="7"/>
  <c r="N385" i="7"/>
  <c r="O385" i="7" s="1"/>
  <c r="L385" i="7"/>
  <c r="I385" i="7"/>
  <c r="H385" i="7"/>
  <c r="F385" i="7"/>
  <c r="C385" i="7"/>
  <c r="AC383" i="7"/>
  <c r="AD383" i="7" s="1"/>
  <c r="AA383" i="7"/>
  <c r="W383" i="7"/>
  <c r="X383" i="7" s="1"/>
  <c r="U383" i="7"/>
  <c r="R383" i="7"/>
  <c r="O383" i="7"/>
  <c r="N383" i="7"/>
  <c r="L383" i="7"/>
  <c r="I383" i="7"/>
  <c r="H383" i="7"/>
  <c r="F383" i="7"/>
  <c r="C383" i="7"/>
  <c r="AD382" i="7"/>
  <c r="AC382" i="7"/>
  <c r="AA382" i="7"/>
  <c r="W382" i="7"/>
  <c r="X382" i="7" s="1"/>
  <c r="U382" i="7"/>
  <c r="R382" i="7"/>
  <c r="N382" i="7"/>
  <c r="O382" i="7" s="1"/>
  <c r="L382" i="7"/>
  <c r="H382" i="7"/>
  <c r="I382" i="7" s="1"/>
  <c r="F382" i="7"/>
  <c r="C382" i="7"/>
  <c r="AD381" i="7"/>
  <c r="AC381" i="7"/>
  <c r="AA381" i="7"/>
  <c r="X381" i="7"/>
  <c r="W381" i="7"/>
  <c r="U381" i="7"/>
  <c r="R381" i="7"/>
  <c r="N381" i="7"/>
  <c r="O381" i="7" s="1"/>
  <c r="L381" i="7"/>
  <c r="I381" i="7"/>
  <c r="H381" i="7"/>
  <c r="F381" i="7"/>
  <c r="C381" i="7"/>
  <c r="AD380" i="7"/>
  <c r="AC380" i="7"/>
  <c r="AA380" i="7"/>
  <c r="X380" i="7"/>
  <c r="W380" i="7"/>
  <c r="U380" i="7"/>
  <c r="R380" i="7"/>
  <c r="N380" i="7"/>
  <c r="O380" i="7" s="1"/>
  <c r="L380" i="7"/>
  <c r="H380" i="7"/>
  <c r="I380" i="7" s="1"/>
  <c r="F380" i="7"/>
  <c r="C380" i="7"/>
  <c r="AC379" i="7"/>
  <c r="AD379" i="7" s="1"/>
  <c r="AA379" i="7"/>
  <c r="W379" i="7"/>
  <c r="X379" i="7" s="1"/>
  <c r="U379" i="7"/>
  <c r="R379" i="7"/>
  <c r="O379" i="7"/>
  <c r="N379" i="7"/>
  <c r="L379" i="7"/>
  <c r="I379" i="7"/>
  <c r="H379" i="7"/>
  <c r="F379" i="7"/>
  <c r="C379" i="7"/>
  <c r="AC378" i="7"/>
  <c r="AD378" i="7" s="1"/>
  <c r="AA378" i="7"/>
  <c r="W378" i="7"/>
  <c r="X378" i="7" s="1"/>
  <c r="U378" i="7"/>
  <c r="R378" i="7"/>
  <c r="O378" i="7"/>
  <c r="N378" i="7"/>
  <c r="L378" i="7"/>
  <c r="H378" i="7"/>
  <c r="I378" i="7" s="1"/>
  <c r="F378" i="7"/>
  <c r="C378" i="7"/>
  <c r="AC377" i="7"/>
  <c r="AD377" i="7" s="1"/>
  <c r="AA377" i="7"/>
  <c r="X377" i="7"/>
  <c r="W377" i="7"/>
  <c r="U377" i="7"/>
  <c r="R377" i="7"/>
  <c r="N377" i="7"/>
  <c r="O377" i="7" s="1"/>
  <c r="L377" i="7"/>
  <c r="H377" i="7"/>
  <c r="I377" i="7" s="1"/>
  <c r="F377" i="7"/>
  <c r="C377" i="7"/>
  <c r="AD376" i="7"/>
  <c r="AC376" i="7"/>
  <c r="AA376" i="7"/>
  <c r="W376" i="7"/>
  <c r="X376" i="7" s="1"/>
  <c r="U376" i="7"/>
  <c r="R376" i="7"/>
  <c r="N376" i="7"/>
  <c r="O376" i="7" s="1"/>
  <c r="L376" i="7"/>
  <c r="H376" i="7"/>
  <c r="I376" i="7" s="1"/>
  <c r="F376" i="7"/>
  <c r="C376" i="7"/>
  <c r="AC375" i="7"/>
  <c r="AD375" i="7" s="1"/>
  <c r="AA375" i="7"/>
  <c r="W375" i="7"/>
  <c r="X375" i="7" s="1"/>
  <c r="U375" i="7"/>
  <c r="R375" i="7"/>
  <c r="O375" i="7"/>
  <c r="N375" i="7"/>
  <c r="L375" i="7"/>
  <c r="I375" i="7"/>
  <c r="H375" i="7"/>
  <c r="F375" i="7"/>
  <c r="C375" i="7"/>
  <c r="AC374" i="7"/>
  <c r="AD374" i="7" s="1"/>
  <c r="AA374" i="7"/>
  <c r="W374" i="7"/>
  <c r="X374" i="7" s="1"/>
  <c r="U374" i="7"/>
  <c r="R374" i="7"/>
  <c r="N374" i="7"/>
  <c r="O374" i="7" s="1"/>
  <c r="L374" i="7"/>
  <c r="H374" i="7"/>
  <c r="I374" i="7" s="1"/>
  <c r="F374" i="7"/>
  <c r="C374" i="7"/>
  <c r="AD373" i="7"/>
  <c r="AC373" i="7"/>
  <c r="AA373" i="7"/>
  <c r="X373" i="7"/>
  <c r="W373" i="7"/>
  <c r="U373" i="7"/>
  <c r="R373" i="7"/>
  <c r="N373" i="7"/>
  <c r="O373" i="7" s="1"/>
  <c r="L373" i="7"/>
  <c r="H373" i="7"/>
  <c r="I373" i="7" s="1"/>
  <c r="F373" i="7"/>
  <c r="C373" i="7"/>
  <c r="AD372" i="7"/>
  <c r="AC372" i="7"/>
  <c r="AA372" i="7"/>
  <c r="X372" i="7"/>
  <c r="W372" i="7"/>
  <c r="U372" i="7"/>
  <c r="R372" i="7"/>
  <c r="N372" i="7"/>
  <c r="O372" i="7" s="1"/>
  <c r="L372" i="7"/>
  <c r="H372" i="7"/>
  <c r="I372" i="7" s="1"/>
  <c r="F372" i="7"/>
  <c r="C372" i="7"/>
  <c r="AC371" i="7"/>
  <c r="AD371" i="7" s="1"/>
  <c r="AA371" i="7"/>
  <c r="W371" i="7"/>
  <c r="X371" i="7" s="1"/>
  <c r="U371" i="7"/>
  <c r="R371" i="7"/>
  <c r="O371" i="7"/>
  <c r="N371" i="7"/>
  <c r="L371" i="7"/>
  <c r="I371" i="7"/>
  <c r="H371" i="7"/>
  <c r="F371" i="7"/>
  <c r="C371" i="7"/>
  <c r="AC370" i="7"/>
  <c r="AD370" i="7" s="1"/>
  <c r="AA370" i="7"/>
  <c r="W370" i="7"/>
  <c r="X370" i="7" s="1"/>
  <c r="U370" i="7"/>
  <c r="R370" i="7"/>
  <c r="N370" i="7"/>
  <c r="O370" i="7" s="1"/>
  <c r="L370" i="7"/>
  <c r="H370" i="7"/>
  <c r="I370" i="7" s="1"/>
  <c r="F370" i="7"/>
  <c r="C370" i="7"/>
  <c r="AC369" i="7"/>
  <c r="AD369" i="7" s="1"/>
  <c r="AA369" i="7"/>
  <c r="X369" i="7"/>
  <c r="W369" i="7"/>
  <c r="U369" i="7"/>
  <c r="R369" i="7"/>
  <c r="N369" i="7"/>
  <c r="O369" i="7" s="1"/>
  <c r="L369" i="7"/>
  <c r="H369" i="7"/>
  <c r="I369" i="7" s="1"/>
  <c r="F369" i="7"/>
  <c r="C369" i="7"/>
  <c r="AD368" i="7"/>
  <c r="AA368" i="7"/>
  <c r="Z368" i="7"/>
  <c r="W368" i="7"/>
  <c r="X368" i="7" s="1"/>
  <c r="T368" i="7"/>
  <c r="U368" i="7" s="1"/>
  <c r="R368" i="7"/>
  <c r="Q368" i="7"/>
  <c r="AC368" i="7" s="1"/>
  <c r="N368" i="7"/>
  <c r="O368" i="7" s="1"/>
  <c r="L368" i="7"/>
  <c r="K368" i="7"/>
  <c r="F368" i="7"/>
  <c r="E368" i="7"/>
  <c r="C368" i="7"/>
  <c r="B368" i="7"/>
  <c r="H368" i="7" s="1"/>
  <c r="I368" i="7" s="1"/>
  <c r="AC367" i="7"/>
  <c r="AD367" i="7" s="1"/>
  <c r="AA367" i="7"/>
  <c r="W367" i="7"/>
  <c r="X367" i="7" s="1"/>
  <c r="U367" i="7"/>
  <c r="R367" i="7"/>
  <c r="O367" i="7"/>
  <c r="N367" i="7"/>
  <c r="L367" i="7"/>
  <c r="H367" i="7"/>
  <c r="I367" i="7" s="1"/>
  <c r="F367" i="7"/>
  <c r="C367" i="7"/>
  <c r="AC366" i="7"/>
  <c r="AD366" i="7" s="1"/>
  <c r="AA366" i="7"/>
  <c r="X366" i="7"/>
  <c r="W366" i="7"/>
  <c r="U366" i="7"/>
  <c r="R366" i="7"/>
  <c r="N366" i="7"/>
  <c r="O366" i="7" s="1"/>
  <c r="L366" i="7"/>
  <c r="H366" i="7"/>
  <c r="I366" i="7" s="1"/>
  <c r="F366" i="7"/>
  <c r="C366" i="7"/>
  <c r="AD365" i="7"/>
  <c r="AC365" i="7"/>
  <c r="AA365" i="7"/>
  <c r="W365" i="7"/>
  <c r="X365" i="7" s="1"/>
  <c r="U365" i="7"/>
  <c r="R365" i="7"/>
  <c r="N365" i="7"/>
  <c r="O365" i="7" s="1"/>
  <c r="L365" i="7"/>
  <c r="H365" i="7"/>
  <c r="I365" i="7" s="1"/>
  <c r="F365" i="7"/>
  <c r="C365" i="7"/>
  <c r="AC364" i="7"/>
  <c r="AD364" i="7" s="1"/>
  <c r="AA364" i="7"/>
  <c r="W364" i="7"/>
  <c r="X364" i="7" s="1"/>
  <c r="U364" i="7"/>
  <c r="R364" i="7"/>
  <c r="O364" i="7"/>
  <c r="N364" i="7"/>
  <c r="L364" i="7"/>
  <c r="I364" i="7"/>
  <c r="H364" i="7"/>
  <c r="F364" i="7"/>
  <c r="C364" i="7"/>
  <c r="AC363" i="7"/>
  <c r="AD363" i="7" s="1"/>
  <c r="AA363" i="7"/>
  <c r="W363" i="7"/>
  <c r="X363" i="7" s="1"/>
  <c r="U363" i="7"/>
  <c r="R363" i="7"/>
  <c r="N363" i="7"/>
  <c r="O363" i="7" s="1"/>
  <c r="L363" i="7"/>
  <c r="H363" i="7"/>
  <c r="I363" i="7" s="1"/>
  <c r="F363" i="7"/>
  <c r="C363" i="7"/>
  <c r="AD362" i="7"/>
  <c r="AC362" i="7"/>
  <c r="AA362" i="7"/>
  <c r="X362" i="7"/>
  <c r="W362" i="7"/>
  <c r="U362" i="7"/>
  <c r="R362" i="7"/>
  <c r="N362" i="7"/>
  <c r="O362" i="7" s="1"/>
  <c r="L362" i="7"/>
  <c r="H362" i="7"/>
  <c r="I362" i="7" s="1"/>
  <c r="F362" i="7"/>
  <c r="C362" i="7"/>
  <c r="AD361" i="7"/>
  <c r="AC361" i="7"/>
  <c r="AA361" i="7"/>
  <c r="X361" i="7"/>
  <c r="W361" i="7"/>
  <c r="U361" i="7"/>
  <c r="R361" i="7"/>
  <c r="N361" i="7"/>
  <c r="O361" i="7" s="1"/>
  <c r="L361" i="7"/>
  <c r="H361" i="7"/>
  <c r="I361" i="7" s="1"/>
  <c r="F361" i="7"/>
  <c r="C361" i="7"/>
  <c r="AC360" i="7"/>
  <c r="AD360" i="7" s="1"/>
  <c r="AA360" i="7"/>
  <c r="W360" i="7"/>
  <c r="X360" i="7" s="1"/>
  <c r="U360" i="7"/>
  <c r="R360" i="7"/>
  <c r="O360" i="7"/>
  <c r="N360" i="7"/>
  <c r="L360" i="7"/>
  <c r="I360" i="7"/>
  <c r="H360" i="7"/>
  <c r="F360" i="7"/>
  <c r="C360" i="7"/>
  <c r="AC358" i="7"/>
  <c r="AD358" i="7" s="1"/>
  <c r="Z358" i="7"/>
  <c r="AA358" i="7" s="1"/>
  <c r="T358" i="7"/>
  <c r="U358" i="7" s="1"/>
  <c r="Q358" i="7"/>
  <c r="L358" i="7"/>
  <c r="K358" i="7"/>
  <c r="E358" i="7"/>
  <c r="B358" i="7"/>
  <c r="C358" i="7" s="1"/>
  <c r="AD357" i="7"/>
  <c r="AC357" i="7"/>
  <c r="AA357" i="7"/>
  <c r="X357" i="7"/>
  <c r="W357" i="7"/>
  <c r="U357" i="7"/>
  <c r="R357" i="7"/>
  <c r="N357" i="7"/>
  <c r="O357" i="7" s="1"/>
  <c r="L357" i="7"/>
  <c r="H357" i="7"/>
  <c r="I357" i="7" s="1"/>
  <c r="F357" i="7"/>
  <c r="C357" i="7"/>
  <c r="AC356" i="7"/>
  <c r="AD356" i="7" s="1"/>
  <c r="AA356" i="7"/>
  <c r="W356" i="7"/>
  <c r="X356" i="7" s="1"/>
  <c r="U356" i="7"/>
  <c r="R356" i="7"/>
  <c r="O356" i="7"/>
  <c r="N356" i="7"/>
  <c r="L356" i="7"/>
  <c r="I356" i="7"/>
  <c r="H356" i="7"/>
  <c r="F356" i="7"/>
  <c r="C356" i="7"/>
  <c r="AC355" i="7"/>
  <c r="AD355" i="7" s="1"/>
  <c r="AA355" i="7"/>
  <c r="W355" i="7"/>
  <c r="X355" i="7" s="1"/>
  <c r="U355" i="7"/>
  <c r="R355" i="7"/>
  <c r="N355" i="7"/>
  <c r="O355" i="7" s="1"/>
  <c r="L355" i="7"/>
  <c r="H355" i="7"/>
  <c r="I355" i="7" s="1"/>
  <c r="F355" i="7"/>
  <c r="C355" i="7"/>
  <c r="AD354" i="7"/>
  <c r="AC354" i="7"/>
  <c r="AA354" i="7"/>
  <c r="X354" i="7"/>
  <c r="W354" i="7"/>
  <c r="U354" i="7"/>
  <c r="R354" i="7"/>
  <c r="N354" i="7"/>
  <c r="O354" i="7" s="1"/>
  <c r="L354" i="7"/>
  <c r="H354" i="7"/>
  <c r="I354" i="7" s="1"/>
  <c r="F354" i="7"/>
  <c r="C354" i="7"/>
  <c r="AD353" i="7"/>
  <c r="AC353" i="7"/>
  <c r="AA353" i="7"/>
  <c r="X353" i="7"/>
  <c r="W353" i="7"/>
  <c r="U353" i="7"/>
  <c r="R353" i="7"/>
  <c r="O353" i="7"/>
  <c r="N353" i="7"/>
  <c r="L353" i="7"/>
  <c r="I353" i="7"/>
  <c r="H353" i="7"/>
  <c r="F353" i="7"/>
  <c r="C353" i="7"/>
  <c r="AC352" i="7"/>
  <c r="AD352" i="7" s="1"/>
  <c r="AA352" i="7"/>
  <c r="W352" i="7"/>
  <c r="X352" i="7" s="1"/>
  <c r="U352" i="7"/>
  <c r="R352" i="7"/>
  <c r="O352" i="7"/>
  <c r="N352" i="7"/>
  <c r="L352" i="7"/>
  <c r="I352" i="7"/>
  <c r="H352" i="7"/>
  <c r="F352" i="7"/>
  <c r="C352" i="7"/>
  <c r="AD351" i="7"/>
  <c r="AC351" i="7"/>
  <c r="AA351" i="7"/>
  <c r="W351" i="7"/>
  <c r="X351" i="7" s="1"/>
  <c r="U351" i="7"/>
  <c r="R351" i="7"/>
  <c r="N351" i="7"/>
  <c r="O351" i="7" s="1"/>
  <c r="L351" i="7"/>
  <c r="H351" i="7"/>
  <c r="I351" i="7" s="1"/>
  <c r="F351" i="7"/>
  <c r="C351" i="7"/>
  <c r="AC350" i="7"/>
  <c r="AD350" i="7" s="1"/>
  <c r="AA350" i="7"/>
  <c r="X350" i="7"/>
  <c r="W350" i="7"/>
  <c r="U350" i="7"/>
  <c r="R350" i="7"/>
  <c r="N350" i="7"/>
  <c r="O350" i="7" s="1"/>
  <c r="L350" i="7"/>
  <c r="I350" i="7"/>
  <c r="H350" i="7"/>
  <c r="F350" i="7"/>
  <c r="C350" i="7"/>
  <c r="AD349" i="7"/>
  <c r="AC349" i="7"/>
  <c r="AA349" i="7"/>
  <c r="W349" i="7"/>
  <c r="X349" i="7" s="1"/>
  <c r="U349" i="7"/>
  <c r="R349" i="7"/>
  <c r="O349" i="7"/>
  <c r="N349" i="7"/>
  <c r="L349" i="7"/>
  <c r="H349" i="7"/>
  <c r="I349" i="7" s="1"/>
  <c r="F349" i="7"/>
  <c r="C349" i="7"/>
  <c r="AC347" i="7"/>
  <c r="AD347" i="7" s="1"/>
  <c r="AA347" i="7"/>
  <c r="W347" i="7"/>
  <c r="X347" i="7" s="1"/>
  <c r="U347" i="7"/>
  <c r="R347" i="7"/>
  <c r="O347" i="7"/>
  <c r="N347" i="7"/>
  <c r="L347" i="7"/>
  <c r="I347" i="7"/>
  <c r="H347" i="7"/>
  <c r="F347" i="7"/>
  <c r="C347" i="7"/>
  <c r="Z344" i="7"/>
  <c r="AA344" i="7" s="1"/>
  <c r="T344" i="7"/>
  <c r="R344" i="7"/>
  <c r="Q344" i="7"/>
  <c r="K344" i="7"/>
  <c r="N344" i="7" s="1"/>
  <c r="O344" i="7" s="1"/>
  <c r="H344" i="7"/>
  <c r="I344" i="7" s="1"/>
  <c r="F344" i="7"/>
  <c r="E344" i="7"/>
  <c r="B344" i="7"/>
  <c r="C344" i="7" s="1"/>
  <c r="Z343" i="7"/>
  <c r="AA343" i="7" s="1"/>
  <c r="T343" i="7"/>
  <c r="U343" i="7" s="1"/>
  <c r="Q343" i="7"/>
  <c r="N343" i="7"/>
  <c r="O343" i="7" s="1"/>
  <c r="L343" i="7"/>
  <c r="K343" i="7"/>
  <c r="H343" i="7"/>
  <c r="I343" i="7" s="1"/>
  <c r="F343" i="7"/>
  <c r="E343" i="7"/>
  <c r="B343" i="7"/>
  <c r="C343" i="7" s="1"/>
  <c r="Z342" i="7"/>
  <c r="AA342" i="7" s="1"/>
  <c r="T342" i="7"/>
  <c r="U342" i="7" s="1"/>
  <c r="R342" i="7"/>
  <c r="Q342" i="7"/>
  <c r="N342" i="7"/>
  <c r="O342" i="7" s="1"/>
  <c r="L342" i="7"/>
  <c r="K342" i="7"/>
  <c r="F342" i="7"/>
  <c r="E342" i="7"/>
  <c r="B342" i="7"/>
  <c r="C342" i="7" s="1"/>
  <c r="AC341" i="7"/>
  <c r="AD341" i="7" s="1"/>
  <c r="AA341" i="7"/>
  <c r="X341" i="7"/>
  <c r="W341" i="7"/>
  <c r="U341" i="7"/>
  <c r="R341" i="7"/>
  <c r="N341" i="7"/>
  <c r="O341" i="7" s="1"/>
  <c r="L341" i="7"/>
  <c r="H341" i="7"/>
  <c r="I341" i="7" s="1"/>
  <c r="F341" i="7"/>
  <c r="C341" i="7"/>
  <c r="AC340" i="7"/>
  <c r="AD340" i="7" s="1"/>
  <c r="AA340" i="7"/>
  <c r="X340" i="7"/>
  <c r="W340" i="7"/>
  <c r="U340" i="7"/>
  <c r="R340" i="7"/>
  <c r="N340" i="7"/>
  <c r="O340" i="7" s="1"/>
  <c r="L340" i="7"/>
  <c r="H340" i="7"/>
  <c r="I340" i="7" s="1"/>
  <c r="F340" i="7"/>
  <c r="C340" i="7"/>
  <c r="AD339" i="7"/>
  <c r="AC339" i="7"/>
  <c r="AA339" i="7"/>
  <c r="W339" i="7"/>
  <c r="X339" i="7" s="1"/>
  <c r="U339" i="7"/>
  <c r="R339" i="7"/>
  <c r="O339" i="7"/>
  <c r="N339" i="7"/>
  <c r="L339" i="7"/>
  <c r="I339" i="7"/>
  <c r="H339" i="7"/>
  <c r="F339" i="7"/>
  <c r="C339" i="7"/>
  <c r="AC338" i="7"/>
  <c r="AD338" i="7" s="1"/>
  <c r="AA338" i="7"/>
  <c r="W338" i="7"/>
  <c r="X338" i="7" s="1"/>
  <c r="U338" i="7"/>
  <c r="R338" i="7"/>
  <c r="O338" i="7"/>
  <c r="N338" i="7"/>
  <c r="L338" i="7"/>
  <c r="I338" i="7"/>
  <c r="H338" i="7"/>
  <c r="F338" i="7"/>
  <c r="C338" i="7"/>
  <c r="AD337" i="7"/>
  <c r="AC337" i="7"/>
  <c r="AA337" i="7"/>
  <c r="W337" i="7"/>
  <c r="X337" i="7" s="1"/>
  <c r="U337" i="7"/>
  <c r="R337" i="7"/>
  <c r="N337" i="7"/>
  <c r="O337" i="7" s="1"/>
  <c r="L337" i="7"/>
  <c r="H337" i="7"/>
  <c r="I337" i="7" s="1"/>
  <c r="F337" i="7"/>
  <c r="C337" i="7"/>
  <c r="AD335" i="7"/>
  <c r="AC335" i="7"/>
  <c r="AA335" i="7"/>
  <c r="X335" i="7"/>
  <c r="W335" i="7"/>
  <c r="U335" i="7"/>
  <c r="R335" i="7"/>
  <c r="N335" i="7"/>
  <c r="O335" i="7" s="1"/>
  <c r="L335" i="7"/>
  <c r="H335" i="7"/>
  <c r="I335" i="7" s="1"/>
  <c r="F335" i="7"/>
  <c r="C335" i="7"/>
  <c r="AD334" i="7"/>
  <c r="AC334" i="7"/>
  <c r="AA334" i="7"/>
  <c r="X334" i="7"/>
  <c r="W334" i="7"/>
  <c r="U334" i="7"/>
  <c r="R334" i="7"/>
  <c r="N334" i="7"/>
  <c r="O334" i="7" s="1"/>
  <c r="L334" i="7"/>
  <c r="I334" i="7"/>
  <c r="H334" i="7"/>
  <c r="F334" i="7"/>
  <c r="C334" i="7"/>
  <c r="AC333" i="7"/>
  <c r="AD333" i="7" s="1"/>
  <c r="AA333" i="7"/>
  <c r="W333" i="7"/>
  <c r="X333" i="7" s="1"/>
  <c r="U333" i="7"/>
  <c r="R333" i="7"/>
  <c r="O333" i="7"/>
  <c r="N333" i="7"/>
  <c r="L333" i="7"/>
  <c r="I333" i="7"/>
  <c r="H333" i="7"/>
  <c r="F333" i="7"/>
  <c r="C333" i="7"/>
  <c r="AD332" i="7"/>
  <c r="AC332" i="7"/>
  <c r="AA332" i="7"/>
  <c r="W332" i="7"/>
  <c r="X332" i="7" s="1"/>
  <c r="U332" i="7"/>
  <c r="R332" i="7"/>
  <c r="N332" i="7"/>
  <c r="O332" i="7" s="1"/>
  <c r="L332" i="7"/>
  <c r="H332" i="7"/>
  <c r="I332" i="7" s="1"/>
  <c r="F332" i="7"/>
  <c r="C332" i="7"/>
  <c r="AC331" i="7"/>
  <c r="AD331" i="7" s="1"/>
  <c r="AA331" i="7"/>
  <c r="X331" i="7"/>
  <c r="W331" i="7"/>
  <c r="U331" i="7"/>
  <c r="R331" i="7"/>
  <c r="N331" i="7"/>
  <c r="O331" i="7" s="1"/>
  <c r="L331" i="7"/>
  <c r="H331" i="7"/>
  <c r="I331" i="7" s="1"/>
  <c r="F331" i="7"/>
  <c r="C331" i="7"/>
  <c r="AD330" i="7"/>
  <c r="AC330" i="7"/>
  <c r="AA330" i="7"/>
  <c r="W330" i="7"/>
  <c r="X330" i="7" s="1"/>
  <c r="U330" i="7"/>
  <c r="R330" i="7"/>
  <c r="O330" i="7"/>
  <c r="N330" i="7"/>
  <c r="L330" i="7"/>
  <c r="I330" i="7"/>
  <c r="H330" i="7"/>
  <c r="F330" i="7"/>
  <c r="C330" i="7"/>
  <c r="AC329" i="7"/>
  <c r="AD329" i="7" s="1"/>
  <c r="AA329" i="7"/>
  <c r="W329" i="7"/>
  <c r="X329" i="7" s="1"/>
  <c r="U329" i="7"/>
  <c r="R329" i="7"/>
  <c r="O329" i="7"/>
  <c r="N329" i="7"/>
  <c r="L329" i="7"/>
  <c r="I329" i="7"/>
  <c r="H329" i="7"/>
  <c r="F329" i="7"/>
  <c r="C329" i="7"/>
  <c r="AD328" i="7"/>
  <c r="AC328" i="7"/>
  <c r="AA328" i="7"/>
  <c r="X328" i="7"/>
  <c r="W328" i="7"/>
  <c r="U328" i="7"/>
  <c r="R328" i="7"/>
  <c r="O328" i="7"/>
  <c r="N328" i="7"/>
  <c r="L328" i="7"/>
  <c r="H328" i="7"/>
  <c r="I328" i="7" s="1"/>
  <c r="F328" i="7"/>
  <c r="C328" i="7"/>
  <c r="Z325" i="7"/>
  <c r="AA325" i="7" s="1"/>
  <c r="U325" i="7"/>
  <c r="T325" i="7"/>
  <c r="Q325" i="7"/>
  <c r="K325" i="7"/>
  <c r="L325" i="7" s="1"/>
  <c r="E325" i="7"/>
  <c r="F325" i="7" s="1"/>
  <c r="C325" i="7"/>
  <c r="B325" i="7"/>
  <c r="AC324" i="7"/>
  <c r="AD324" i="7" s="1"/>
  <c r="Z324" i="7"/>
  <c r="AA324" i="7" s="1"/>
  <c r="U324" i="7"/>
  <c r="T324" i="7"/>
  <c r="Q324" i="7"/>
  <c r="R324" i="7" s="1"/>
  <c r="L324" i="7"/>
  <c r="K324" i="7"/>
  <c r="E324" i="7"/>
  <c r="B324" i="7"/>
  <c r="C324" i="7" s="1"/>
  <c r="AC323" i="7"/>
  <c r="AD323" i="7" s="1"/>
  <c r="AA323" i="7"/>
  <c r="W323" i="7"/>
  <c r="X323" i="7" s="1"/>
  <c r="U323" i="7"/>
  <c r="R323" i="7"/>
  <c r="N323" i="7"/>
  <c r="O323" i="7" s="1"/>
  <c r="L323" i="7"/>
  <c r="I323" i="7"/>
  <c r="H323" i="7"/>
  <c r="F323" i="7"/>
  <c r="C323" i="7"/>
  <c r="AC322" i="7"/>
  <c r="AD322" i="7" s="1"/>
  <c r="AA322" i="7"/>
  <c r="X322" i="7"/>
  <c r="W322" i="7"/>
  <c r="U322" i="7"/>
  <c r="R322" i="7"/>
  <c r="O322" i="7"/>
  <c r="N322" i="7"/>
  <c r="L322" i="7"/>
  <c r="H322" i="7"/>
  <c r="I322" i="7" s="1"/>
  <c r="F322" i="7"/>
  <c r="C322" i="7"/>
  <c r="AC321" i="7"/>
  <c r="AD321" i="7" s="1"/>
  <c r="AA321" i="7"/>
  <c r="W321" i="7"/>
  <c r="X321" i="7" s="1"/>
  <c r="U321" i="7"/>
  <c r="R321" i="7"/>
  <c r="N321" i="7"/>
  <c r="O321" i="7" s="1"/>
  <c r="L321" i="7"/>
  <c r="H321" i="7"/>
  <c r="I321" i="7" s="1"/>
  <c r="F321" i="7"/>
  <c r="C321" i="7"/>
  <c r="AD320" i="7"/>
  <c r="AC320" i="7"/>
  <c r="AA320" i="7"/>
  <c r="X320" i="7"/>
  <c r="W320" i="7"/>
  <c r="U320" i="7"/>
  <c r="R320" i="7"/>
  <c r="N320" i="7"/>
  <c r="O320" i="7" s="1"/>
  <c r="L320" i="7"/>
  <c r="I320" i="7"/>
  <c r="H320" i="7"/>
  <c r="F320" i="7"/>
  <c r="C320" i="7"/>
  <c r="AC319" i="7"/>
  <c r="AD319" i="7" s="1"/>
  <c r="AA319" i="7"/>
  <c r="W319" i="7"/>
  <c r="X319" i="7" s="1"/>
  <c r="U319" i="7"/>
  <c r="R319" i="7"/>
  <c r="N319" i="7"/>
  <c r="O319" i="7" s="1"/>
  <c r="L319" i="7"/>
  <c r="I319" i="7"/>
  <c r="H319" i="7"/>
  <c r="F319" i="7"/>
  <c r="C319" i="7"/>
  <c r="AC318" i="7"/>
  <c r="AD318" i="7" s="1"/>
  <c r="AA318" i="7"/>
  <c r="W318" i="7"/>
  <c r="X318" i="7" s="1"/>
  <c r="U318" i="7"/>
  <c r="R318" i="7"/>
  <c r="O318" i="7"/>
  <c r="N318" i="7"/>
  <c r="L318" i="7"/>
  <c r="I318" i="7"/>
  <c r="H318" i="7"/>
  <c r="F318" i="7"/>
  <c r="C318" i="7"/>
  <c r="AC317" i="7"/>
  <c r="AD317" i="7" s="1"/>
  <c r="AA317" i="7"/>
  <c r="W317" i="7"/>
  <c r="X317" i="7" s="1"/>
  <c r="U317" i="7"/>
  <c r="R317" i="7"/>
  <c r="N317" i="7"/>
  <c r="O317" i="7" s="1"/>
  <c r="L317" i="7"/>
  <c r="H317" i="7"/>
  <c r="I317" i="7" s="1"/>
  <c r="F317" i="7"/>
  <c r="C317" i="7"/>
  <c r="AD316" i="7"/>
  <c r="AC316" i="7"/>
  <c r="AA316" i="7"/>
  <c r="X316" i="7"/>
  <c r="W316" i="7"/>
  <c r="U316" i="7"/>
  <c r="R316" i="7"/>
  <c r="N316" i="7"/>
  <c r="O316" i="7" s="1"/>
  <c r="L316" i="7"/>
  <c r="H316" i="7"/>
  <c r="I316" i="7" s="1"/>
  <c r="F316" i="7"/>
  <c r="C316" i="7"/>
  <c r="AD315" i="7"/>
  <c r="AC315" i="7"/>
  <c r="AA315" i="7"/>
  <c r="W315" i="7"/>
  <c r="X315" i="7" s="1"/>
  <c r="U315" i="7"/>
  <c r="R315" i="7"/>
  <c r="N315" i="7"/>
  <c r="O315" i="7" s="1"/>
  <c r="L315" i="7"/>
  <c r="I315" i="7"/>
  <c r="H315" i="7"/>
  <c r="F315" i="7"/>
  <c r="C315" i="7"/>
  <c r="AC314" i="7"/>
  <c r="AD314" i="7" s="1"/>
  <c r="AA314" i="7"/>
  <c r="W314" i="7"/>
  <c r="X314" i="7" s="1"/>
  <c r="U314" i="7"/>
  <c r="R314" i="7"/>
  <c r="O314" i="7"/>
  <c r="N314" i="7"/>
  <c r="L314" i="7"/>
  <c r="H314" i="7"/>
  <c r="I314" i="7" s="1"/>
  <c r="F314" i="7"/>
  <c r="C314" i="7"/>
  <c r="AC313" i="7"/>
  <c r="AD313" i="7" s="1"/>
  <c r="AA313" i="7"/>
  <c r="W313" i="7"/>
  <c r="X313" i="7" s="1"/>
  <c r="U313" i="7"/>
  <c r="R313" i="7"/>
  <c r="N313" i="7"/>
  <c r="O313" i="7" s="1"/>
  <c r="L313" i="7"/>
  <c r="H313" i="7"/>
  <c r="I313" i="7" s="1"/>
  <c r="F313" i="7"/>
  <c r="C313" i="7"/>
  <c r="AD312" i="7"/>
  <c r="AC312" i="7"/>
  <c r="AA312" i="7"/>
  <c r="X312" i="7"/>
  <c r="W312" i="7"/>
  <c r="U312" i="7"/>
  <c r="R312" i="7"/>
  <c r="O312" i="7"/>
  <c r="N312" i="7"/>
  <c r="L312" i="7"/>
  <c r="H312" i="7"/>
  <c r="I312" i="7" s="1"/>
  <c r="F312" i="7"/>
  <c r="C312" i="7"/>
  <c r="AD311" i="7"/>
  <c r="AC311" i="7"/>
  <c r="AA311" i="7"/>
  <c r="W311" i="7"/>
  <c r="X311" i="7" s="1"/>
  <c r="U311" i="7"/>
  <c r="R311" i="7"/>
  <c r="N311" i="7"/>
  <c r="O311" i="7" s="1"/>
  <c r="L311" i="7"/>
  <c r="I311" i="7"/>
  <c r="H311" i="7"/>
  <c r="F311" i="7"/>
  <c r="C311" i="7"/>
  <c r="AC310" i="7"/>
  <c r="AD310" i="7" s="1"/>
  <c r="AA310" i="7"/>
  <c r="X310" i="7"/>
  <c r="W310" i="7"/>
  <c r="U310" i="7"/>
  <c r="R310" i="7"/>
  <c r="O310" i="7"/>
  <c r="N310" i="7"/>
  <c r="L310" i="7"/>
  <c r="H310" i="7"/>
  <c r="I310" i="7" s="1"/>
  <c r="F310" i="7"/>
  <c r="C310" i="7"/>
  <c r="AD309" i="7"/>
  <c r="AC309" i="7"/>
  <c r="AA309" i="7"/>
  <c r="W309" i="7"/>
  <c r="X309" i="7" s="1"/>
  <c r="U309" i="7"/>
  <c r="R309" i="7"/>
  <c r="N309" i="7"/>
  <c r="O309" i="7" s="1"/>
  <c r="L309" i="7"/>
  <c r="H309" i="7"/>
  <c r="I309" i="7" s="1"/>
  <c r="F309" i="7"/>
  <c r="C309" i="7"/>
  <c r="AD308" i="7"/>
  <c r="AC308" i="7"/>
  <c r="AA308" i="7"/>
  <c r="X308" i="7"/>
  <c r="W308" i="7"/>
  <c r="U308" i="7"/>
  <c r="R308" i="7"/>
  <c r="N308" i="7"/>
  <c r="O308" i="7" s="1"/>
  <c r="L308" i="7"/>
  <c r="I308" i="7"/>
  <c r="H308" i="7"/>
  <c r="F308" i="7"/>
  <c r="C308" i="7"/>
  <c r="AC307" i="7"/>
  <c r="AD307" i="7" s="1"/>
  <c r="AA307" i="7"/>
  <c r="W307" i="7"/>
  <c r="X307" i="7" s="1"/>
  <c r="U307" i="7"/>
  <c r="R307" i="7"/>
  <c r="N307" i="7"/>
  <c r="O307" i="7" s="1"/>
  <c r="L307" i="7"/>
  <c r="I307" i="7"/>
  <c r="H307" i="7"/>
  <c r="F307" i="7"/>
  <c r="C307" i="7"/>
  <c r="AC306" i="7"/>
  <c r="AD306" i="7" s="1"/>
  <c r="AA306" i="7"/>
  <c r="X306" i="7"/>
  <c r="W306" i="7"/>
  <c r="U306" i="7"/>
  <c r="R306" i="7"/>
  <c r="O306" i="7"/>
  <c r="N306" i="7"/>
  <c r="L306" i="7"/>
  <c r="H306" i="7"/>
  <c r="I306" i="7" s="1"/>
  <c r="F306" i="7"/>
  <c r="C306" i="7"/>
  <c r="AC305" i="7"/>
  <c r="AD305" i="7" s="1"/>
  <c r="AA305" i="7"/>
  <c r="W305" i="7"/>
  <c r="X305" i="7" s="1"/>
  <c r="U305" i="7"/>
  <c r="R305" i="7"/>
  <c r="N305" i="7"/>
  <c r="O305" i="7" s="1"/>
  <c r="L305" i="7"/>
  <c r="H305" i="7"/>
  <c r="I305" i="7" s="1"/>
  <c r="F305" i="7"/>
  <c r="C305" i="7"/>
  <c r="AD304" i="7"/>
  <c r="AC304" i="7"/>
  <c r="AA304" i="7"/>
  <c r="X304" i="7"/>
  <c r="W304" i="7"/>
  <c r="U304" i="7"/>
  <c r="R304" i="7"/>
  <c r="N304" i="7"/>
  <c r="O304" i="7" s="1"/>
  <c r="L304" i="7"/>
  <c r="I304" i="7"/>
  <c r="H304" i="7"/>
  <c r="F304" i="7"/>
  <c r="C304" i="7"/>
  <c r="AC303" i="7"/>
  <c r="AD303" i="7" s="1"/>
  <c r="AA303" i="7"/>
  <c r="W303" i="7"/>
  <c r="X303" i="7" s="1"/>
  <c r="U303" i="7"/>
  <c r="R303" i="7"/>
  <c r="N303" i="7"/>
  <c r="O303" i="7" s="1"/>
  <c r="L303" i="7"/>
  <c r="I303" i="7"/>
  <c r="H303" i="7"/>
  <c r="F303" i="7"/>
  <c r="C303" i="7"/>
  <c r="AC302" i="7"/>
  <c r="AD302" i="7" s="1"/>
  <c r="AA302" i="7"/>
  <c r="W302" i="7"/>
  <c r="X302" i="7" s="1"/>
  <c r="U302" i="7"/>
  <c r="R302" i="7"/>
  <c r="O302" i="7"/>
  <c r="N302" i="7"/>
  <c r="L302" i="7"/>
  <c r="I302" i="7"/>
  <c r="H302" i="7"/>
  <c r="F302" i="7"/>
  <c r="C302" i="7"/>
  <c r="AC301" i="7"/>
  <c r="AD301" i="7" s="1"/>
  <c r="AA301" i="7"/>
  <c r="W301" i="7"/>
  <c r="X301" i="7" s="1"/>
  <c r="U301" i="7"/>
  <c r="R301" i="7"/>
  <c r="N301" i="7"/>
  <c r="O301" i="7" s="1"/>
  <c r="L301" i="7"/>
  <c r="H301" i="7"/>
  <c r="I301" i="7" s="1"/>
  <c r="F301" i="7"/>
  <c r="C301" i="7"/>
  <c r="AD300" i="7"/>
  <c r="AC300" i="7"/>
  <c r="AA300" i="7"/>
  <c r="X300" i="7"/>
  <c r="W300" i="7"/>
  <c r="U300" i="7"/>
  <c r="R300" i="7"/>
  <c r="N300" i="7"/>
  <c r="O300" i="7" s="1"/>
  <c r="L300" i="7"/>
  <c r="H300" i="7"/>
  <c r="I300" i="7" s="1"/>
  <c r="F300" i="7"/>
  <c r="C300" i="7"/>
  <c r="AD299" i="7"/>
  <c r="AC299" i="7"/>
  <c r="AA299" i="7"/>
  <c r="W299" i="7"/>
  <c r="X299" i="7" s="1"/>
  <c r="U299" i="7"/>
  <c r="R299" i="7"/>
  <c r="N299" i="7"/>
  <c r="O299" i="7" s="1"/>
  <c r="L299" i="7"/>
  <c r="I299" i="7"/>
  <c r="H299" i="7"/>
  <c r="F299" i="7"/>
  <c r="C299" i="7"/>
  <c r="AC298" i="7"/>
  <c r="AD298" i="7" s="1"/>
  <c r="AA298" i="7"/>
  <c r="X298" i="7"/>
  <c r="W298" i="7"/>
  <c r="U298" i="7"/>
  <c r="R298" i="7"/>
  <c r="O298" i="7"/>
  <c r="N298" i="7"/>
  <c r="L298" i="7"/>
  <c r="H298" i="7"/>
  <c r="I298" i="7" s="1"/>
  <c r="F298" i="7"/>
  <c r="C298" i="7"/>
  <c r="AC297" i="7"/>
  <c r="AD297" i="7" s="1"/>
  <c r="AA297" i="7"/>
  <c r="W297" i="7"/>
  <c r="X297" i="7" s="1"/>
  <c r="U297" i="7"/>
  <c r="R297" i="7"/>
  <c r="N297" i="7"/>
  <c r="O297" i="7" s="1"/>
  <c r="L297" i="7"/>
  <c r="H297" i="7"/>
  <c r="I297" i="7" s="1"/>
  <c r="F297" i="7"/>
  <c r="C297" i="7"/>
  <c r="Z295" i="7"/>
  <c r="AA295" i="7" s="1"/>
  <c r="T295" i="7"/>
  <c r="U295" i="7" s="1"/>
  <c r="R295" i="7"/>
  <c r="Q295" i="7"/>
  <c r="W295" i="7" s="1"/>
  <c r="X295" i="7" s="1"/>
  <c r="K295" i="7"/>
  <c r="L295" i="7" s="1"/>
  <c r="I295" i="7"/>
  <c r="H295" i="7"/>
  <c r="F295" i="7"/>
  <c r="E295" i="7"/>
  <c r="C295" i="7"/>
  <c r="B295" i="7"/>
  <c r="N295" i="7" s="1"/>
  <c r="O295" i="7" s="1"/>
  <c r="AC294" i="7"/>
  <c r="AD294" i="7" s="1"/>
  <c r="AA294" i="7"/>
  <c r="X294" i="7"/>
  <c r="W294" i="7"/>
  <c r="U294" i="7"/>
  <c r="R294" i="7"/>
  <c r="O294" i="7"/>
  <c r="N294" i="7"/>
  <c r="L294" i="7"/>
  <c r="H294" i="7"/>
  <c r="I294" i="7" s="1"/>
  <c r="F294" i="7"/>
  <c r="C294" i="7"/>
  <c r="AC293" i="7"/>
  <c r="AD293" i="7" s="1"/>
  <c r="AA293" i="7"/>
  <c r="W293" i="7"/>
  <c r="X293" i="7" s="1"/>
  <c r="U293" i="7"/>
  <c r="R293" i="7"/>
  <c r="N293" i="7"/>
  <c r="O293" i="7" s="1"/>
  <c r="L293" i="7"/>
  <c r="H293" i="7"/>
  <c r="I293" i="7" s="1"/>
  <c r="F293" i="7"/>
  <c r="C293" i="7"/>
  <c r="AD292" i="7"/>
  <c r="AC292" i="7"/>
  <c r="AA292" i="7"/>
  <c r="X292" i="7"/>
  <c r="W292" i="7"/>
  <c r="U292" i="7"/>
  <c r="R292" i="7"/>
  <c r="O292" i="7"/>
  <c r="N292" i="7"/>
  <c r="L292" i="7"/>
  <c r="I292" i="7"/>
  <c r="H292" i="7"/>
  <c r="F292" i="7"/>
  <c r="C292" i="7"/>
  <c r="AD291" i="7"/>
  <c r="AC291" i="7"/>
  <c r="AA291" i="7"/>
  <c r="W291" i="7"/>
  <c r="X291" i="7" s="1"/>
  <c r="U291" i="7"/>
  <c r="R291" i="7"/>
  <c r="N291" i="7"/>
  <c r="O291" i="7" s="1"/>
  <c r="L291" i="7"/>
  <c r="I291" i="7"/>
  <c r="H291" i="7"/>
  <c r="F291" i="7"/>
  <c r="C291" i="7"/>
  <c r="AC290" i="7"/>
  <c r="AD290" i="7" s="1"/>
  <c r="AA290" i="7"/>
  <c r="X290" i="7"/>
  <c r="W290" i="7"/>
  <c r="U290" i="7"/>
  <c r="R290" i="7"/>
  <c r="O290" i="7"/>
  <c r="N290" i="7"/>
  <c r="L290" i="7"/>
  <c r="H290" i="7"/>
  <c r="I290" i="7" s="1"/>
  <c r="F290" i="7"/>
  <c r="C290" i="7"/>
  <c r="AD289" i="7"/>
  <c r="AC289" i="7"/>
  <c r="AA289" i="7"/>
  <c r="W289" i="7"/>
  <c r="X289" i="7" s="1"/>
  <c r="U289" i="7"/>
  <c r="R289" i="7"/>
  <c r="N289" i="7"/>
  <c r="O289" i="7" s="1"/>
  <c r="L289" i="7"/>
  <c r="H289" i="7"/>
  <c r="I289" i="7" s="1"/>
  <c r="F289" i="7"/>
  <c r="C289" i="7"/>
  <c r="AD288" i="7"/>
  <c r="AC288" i="7"/>
  <c r="AA288" i="7"/>
  <c r="X288" i="7"/>
  <c r="W288" i="7"/>
  <c r="U288" i="7"/>
  <c r="R288" i="7"/>
  <c r="N288" i="7"/>
  <c r="O288" i="7" s="1"/>
  <c r="L288" i="7"/>
  <c r="I288" i="7"/>
  <c r="H288" i="7"/>
  <c r="F288" i="7"/>
  <c r="C288" i="7"/>
  <c r="AC287" i="7"/>
  <c r="AD287" i="7" s="1"/>
  <c r="AA287" i="7"/>
  <c r="W287" i="7"/>
  <c r="X287" i="7" s="1"/>
  <c r="U287" i="7"/>
  <c r="R287" i="7"/>
  <c r="N287" i="7"/>
  <c r="O287" i="7" s="1"/>
  <c r="L287" i="7"/>
  <c r="I287" i="7"/>
  <c r="H287" i="7"/>
  <c r="F287" i="7"/>
  <c r="C287" i="7"/>
  <c r="AC286" i="7"/>
  <c r="AD286" i="7" s="1"/>
  <c r="AA286" i="7"/>
  <c r="X286" i="7"/>
  <c r="W286" i="7"/>
  <c r="U286" i="7"/>
  <c r="R286" i="7"/>
  <c r="O286" i="7"/>
  <c r="N286" i="7"/>
  <c r="L286" i="7"/>
  <c r="H286" i="7"/>
  <c r="I286" i="7" s="1"/>
  <c r="F286" i="7"/>
  <c r="C286" i="7"/>
  <c r="AC284" i="7"/>
  <c r="AD284" i="7" s="1"/>
  <c r="Z284" i="7"/>
  <c r="AA284" i="7" s="1"/>
  <c r="U284" i="7"/>
  <c r="T284" i="7"/>
  <c r="Q284" i="7"/>
  <c r="K284" i="7"/>
  <c r="L284" i="7" s="1"/>
  <c r="E284" i="7"/>
  <c r="B284" i="7"/>
  <c r="C284" i="7" s="1"/>
  <c r="AC283" i="7"/>
  <c r="AD283" i="7" s="1"/>
  <c r="AA283" i="7"/>
  <c r="W283" i="7"/>
  <c r="X283" i="7" s="1"/>
  <c r="U283" i="7"/>
  <c r="R283" i="7"/>
  <c r="N283" i="7"/>
  <c r="O283" i="7" s="1"/>
  <c r="L283" i="7"/>
  <c r="I283" i="7"/>
  <c r="H283" i="7"/>
  <c r="F283" i="7"/>
  <c r="C283" i="7"/>
  <c r="AC282" i="7"/>
  <c r="AD282" i="7" s="1"/>
  <c r="AA282" i="7"/>
  <c r="X282" i="7"/>
  <c r="W282" i="7"/>
  <c r="U282" i="7"/>
  <c r="R282" i="7"/>
  <c r="O282" i="7"/>
  <c r="N282" i="7"/>
  <c r="L282" i="7"/>
  <c r="H282" i="7"/>
  <c r="I282" i="7" s="1"/>
  <c r="F282" i="7"/>
  <c r="C282" i="7"/>
  <c r="AC281" i="7"/>
  <c r="AD281" i="7" s="1"/>
  <c r="AA281" i="7"/>
  <c r="W281" i="7"/>
  <c r="X281" i="7" s="1"/>
  <c r="U281" i="7"/>
  <c r="R281" i="7"/>
  <c r="N281" i="7"/>
  <c r="O281" i="7" s="1"/>
  <c r="L281" i="7"/>
  <c r="H281" i="7"/>
  <c r="I281" i="7" s="1"/>
  <c r="F281" i="7"/>
  <c r="C281" i="7"/>
  <c r="AD280" i="7"/>
  <c r="AC280" i="7"/>
  <c r="AA280" i="7"/>
  <c r="X280" i="7"/>
  <c r="W280" i="7"/>
  <c r="U280" i="7"/>
  <c r="R280" i="7"/>
  <c r="N280" i="7"/>
  <c r="O280" i="7" s="1"/>
  <c r="L280" i="7"/>
  <c r="I280" i="7"/>
  <c r="H280" i="7"/>
  <c r="F280" i="7"/>
  <c r="C280" i="7"/>
  <c r="AD279" i="7"/>
  <c r="AC279" i="7"/>
  <c r="AA279" i="7"/>
  <c r="W279" i="7"/>
  <c r="X279" i="7" s="1"/>
  <c r="U279" i="7"/>
  <c r="R279" i="7"/>
  <c r="N279" i="7"/>
  <c r="O279" i="7" s="1"/>
  <c r="L279" i="7"/>
  <c r="I279" i="7"/>
  <c r="H279" i="7"/>
  <c r="F279" i="7"/>
  <c r="C279" i="7"/>
  <c r="AC278" i="7"/>
  <c r="AD278" i="7" s="1"/>
  <c r="AA278" i="7"/>
  <c r="W278" i="7"/>
  <c r="X278" i="7" s="1"/>
  <c r="U278" i="7"/>
  <c r="R278" i="7"/>
  <c r="O278" i="7"/>
  <c r="N278" i="7"/>
  <c r="L278" i="7"/>
  <c r="I278" i="7"/>
  <c r="H278" i="7"/>
  <c r="F278" i="7"/>
  <c r="C278" i="7"/>
  <c r="AD277" i="7"/>
  <c r="AC277" i="7"/>
  <c r="AA277" i="7"/>
  <c r="W277" i="7"/>
  <c r="X277" i="7" s="1"/>
  <c r="U277" i="7"/>
  <c r="R277" i="7"/>
  <c r="N277" i="7"/>
  <c r="O277" i="7" s="1"/>
  <c r="L277" i="7"/>
  <c r="H277" i="7"/>
  <c r="I277" i="7" s="1"/>
  <c r="F277" i="7"/>
  <c r="C277" i="7"/>
  <c r="AD276" i="7"/>
  <c r="AC276" i="7"/>
  <c r="AA276" i="7"/>
  <c r="X276" i="7"/>
  <c r="W276" i="7"/>
  <c r="U276" i="7"/>
  <c r="R276" i="7"/>
  <c r="N276" i="7"/>
  <c r="O276" i="7" s="1"/>
  <c r="L276" i="7"/>
  <c r="H276" i="7"/>
  <c r="I276" i="7" s="1"/>
  <c r="F276" i="7"/>
  <c r="C276" i="7"/>
  <c r="AD275" i="7"/>
  <c r="AC275" i="7"/>
  <c r="AA275" i="7"/>
  <c r="W275" i="7"/>
  <c r="X275" i="7" s="1"/>
  <c r="U275" i="7"/>
  <c r="R275" i="7"/>
  <c r="N275" i="7"/>
  <c r="O275" i="7" s="1"/>
  <c r="L275" i="7"/>
  <c r="I275" i="7"/>
  <c r="H275" i="7"/>
  <c r="F275" i="7"/>
  <c r="C275" i="7"/>
  <c r="Z273" i="7"/>
  <c r="AA273" i="7" s="1"/>
  <c r="T273" i="7"/>
  <c r="W273" i="7" s="1"/>
  <c r="X273" i="7" s="1"/>
  <c r="Q273" i="7"/>
  <c r="R273" i="7" s="1"/>
  <c r="L273" i="7"/>
  <c r="K273" i="7"/>
  <c r="E273" i="7"/>
  <c r="F273" i="7" s="1"/>
  <c r="B273" i="7"/>
  <c r="AD272" i="7"/>
  <c r="AC272" i="7"/>
  <c r="AA272" i="7"/>
  <c r="X272" i="7"/>
  <c r="W272" i="7"/>
  <c r="U272" i="7"/>
  <c r="R272" i="7"/>
  <c r="O272" i="7"/>
  <c r="N272" i="7"/>
  <c r="L272" i="7"/>
  <c r="H272" i="7"/>
  <c r="I272" i="7" s="1"/>
  <c r="F272" i="7"/>
  <c r="C272" i="7"/>
  <c r="AC271" i="7"/>
  <c r="AD271" i="7" s="1"/>
  <c r="AA271" i="7"/>
  <c r="W271" i="7"/>
  <c r="X271" i="7" s="1"/>
  <c r="U271" i="7"/>
  <c r="R271" i="7"/>
  <c r="N271" i="7"/>
  <c r="O271" i="7" s="1"/>
  <c r="L271" i="7"/>
  <c r="I271" i="7"/>
  <c r="H271" i="7"/>
  <c r="F271" i="7"/>
  <c r="C271" i="7"/>
  <c r="AC270" i="7"/>
  <c r="AD270" i="7" s="1"/>
  <c r="AA270" i="7"/>
  <c r="W270" i="7"/>
  <c r="X270" i="7" s="1"/>
  <c r="U270" i="7"/>
  <c r="R270" i="7"/>
  <c r="O270" i="7"/>
  <c r="N270" i="7"/>
  <c r="L270" i="7"/>
  <c r="H270" i="7"/>
  <c r="I270" i="7" s="1"/>
  <c r="F270" i="7"/>
  <c r="C270" i="7"/>
  <c r="AD269" i="7"/>
  <c r="AC269" i="7"/>
  <c r="AA269" i="7"/>
  <c r="W269" i="7"/>
  <c r="X269" i="7" s="1"/>
  <c r="U269" i="7"/>
  <c r="R269" i="7"/>
  <c r="N269" i="7"/>
  <c r="O269" i="7" s="1"/>
  <c r="L269" i="7"/>
  <c r="H269" i="7"/>
  <c r="I269" i="7" s="1"/>
  <c r="F269" i="7"/>
  <c r="C269" i="7"/>
  <c r="Z267" i="7"/>
  <c r="AA267" i="7" s="1"/>
  <c r="U267" i="7"/>
  <c r="T267" i="7"/>
  <c r="R267" i="7"/>
  <c r="Q267" i="7"/>
  <c r="W267" i="7" s="1"/>
  <c r="X267" i="7" s="1"/>
  <c r="N267" i="7"/>
  <c r="O267" i="7" s="1"/>
  <c r="K267" i="7"/>
  <c r="L267" i="7" s="1"/>
  <c r="H267" i="7"/>
  <c r="I267" i="7" s="1"/>
  <c r="F267" i="7"/>
  <c r="E267" i="7"/>
  <c r="C267" i="7"/>
  <c r="B267" i="7"/>
  <c r="AC266" i="7"/>
  <c r="AD266" i="7" s="1"/>
  <c r="AA266" i="7"/>
  <c r="W266" i="7"/>
  <c r="X266" i="7" s="1"/>
  <c r="U266" i="7"/>
  <c r="R266" i="7"/>
  <c r="O266" i="7"/>
  <c r="N266" i="7"/>
  <c r="L266" i="7"/>
  <c r="I266" i="7"/>
  <c r="H266" i="7"/>
  <c r="F266" i="7"/>
  <c r="C266" i="7"/>
  <c r="AD265" i="7"/>
  <c r="AC265" i="7"/>
  <c r="AA265" i="7"/>
  <c r="W265" i="7"/>
  <c r="X265" i="7" s="1"/>
  <c r="U265" i="7"/>
  <c r="R265" i="7"/>
  <c r="N265" i="7"/>
  <c r="O265" i="7" s="1"/>
  <c r="L265" i="7"/>
  <c r="H265" i="7"/>
  <c r="I265" i="7" s="1"/>
  <c r="F265" i="7"/>
  <c r="C265" i="7"/>
  <c r="AA263" i="7"/>
  <c r="Z263" i="7"/>
  <c r="U263" i="7"/>
  <c r="T263" i="7"/>
  <c r="R263" i="7"/>
  <c r="Q263" i="7"/>
  <c r="W263" i="7" s="1"/>
  <c r="X263" i="7" s="1"/>
  <c r="N263" i="7"/>
  <c r="O263" i="7" s="1"/>
  <c r="K263" i="7"/>
  <c r="L263" i="7" s="1"/>
  <c r="I263" i="7"/>
  <c r="H263" i="7"/>
  <c r="F263" i="7"/>
  <c r="E263" i="7"/>
  <c r="C263" i="7"/>
  <c r="B263" i="7"/>
  <c r="AA262" i="7"/>
  <c r="Z262" i="7"/>
  <c r="X262" i="7"/>
  <c r="U262" i="7"/>
  <c r="T262" i="7"/>
  <c r="W262" i="7" s="1"/>
  <c r="Q262" i="7"/>
  <c r="R262" i="7" s="1"/>
  <c r="L262" i="7"/>
  <c r="K262" i="7"/>
  <c r="I262" i="7"/>
  <c r="H262" i="7"/>
  <c r="E262" i="7"/>
  <c r="F262" i="7" s="1"/>
  <c r="C262" i="7"/>
  <c r="B262" i="7"/>
  <c r="N262" i="7" s="1"/>
  <c r="O262" i="7" s="1"/>
  <c r="AD261" i="7"/>
  <c r="AC261" i="7"/>
  <c r="AA261" i="7"/>
  <c r="X261" i="7"/>
  <c r="W261" i="7"/>
  <c r="U261" i="7"/>
  <c r="R261" i="7"/>
  <c r="O261" i="7"/>
  <c r="N261" i="7"/>
  <c r="L261" i="7"/>
  <c r="H261" i="7"/>
  <c r="I261" i="7" s="1"/>
  <c r="F261" i="7"/>
  <c r="C261" i="7"/>
  <c r="AD260" i="7"/>
  <c r="AC260" i="7"/>
  <c r="AA260" i="7"/>
  <c r="W260" i="7"/>
  <c r="X260" i="7" s="1"/>
  <c r="U260" i="7"/>
  <c r="R260" i="7"/>
  <c r="N260" i="7"/>
  <c r="O260" i="7" s="1"/>
  <c r="L260" i="7"/>
  <c r="I260" i="7"/>
  <c r="H260" i="7"/>
  <c r="F260" i="7"/>
  <c r="C260" i="7"/>
  <c r="AC259" i="7"/>
  <c r="AD259" i="7" s="1"/>
  <c r="AA259" i="7"/>
  <c r="X259" i="7"/>
  <c r="W259" i="7"/>
  <c r="U259" i="7"/>
  <c r="R259" i="7"/>
  <c r="O259" i="7"/>
  <c r="N259" i="7"/>
  <c r="L259" i="7"/>
  <c r="I259" i="7"/>
  <c r="H259" i="7"/>
  <c r="F259" i="7"/>
  <c r="C259" i="7"/>
  <c r="AD258" i="7"/>
  <c r="AC258" i="7"/>
  <c r="AA258" i="7"/>
  <c r="W258" i="7"/>
  <c r="X258" i="7" s="1"/>
  <c r="U258" i="7"/>
  <c r="R258" i="7"/>
  <c r="N258" i="7"/>
  <c r="O258" i="7" s="1"/>
  <c r="L258" i="7"/>
  <c r="H258" i="7"/>
  <c r="I258" i="7" s="1"/>
  <c r="F258" i="7"/>
  <c r="C258" i="7"/>
  <c r="AD257" i="7"/>
  <c r="AC257" i="7"/>
  <c r="AA257" i="7"/>
  <c r="X257" i="7"/>
  <c r="W257" i="7"/>
  <c r="U257" i="7"/>
  <c r="R257" i="7"/>
  <c r="N257" i="7"/>
  <c r="O257" i="7" s="1"/>
  <c r="L257" i="7"/>
  <c r="I257" i="7"/>
  <c r="H257" i="7"/>
  <c r="F257" i="7"/>
  <c r="C257" i="7"/>
  <c r="AC256" i="7"/>
  <c r="AD256" i="7" s="1"/>
  <c r="AA256" i="7"/>
  <c r="W256" i="7"/>
  <c r="X256" i="7" s="1"/>
  <c r="U256" i="7"/>
  <c r="R256" i="7"/>
  <c r="N256" i="7"/>
  <c r="O256" i="7" s="1"/>
  <c r="L256" i="7"/>
  <c r="I256" i="7"/>
  <c r="H256" i="7"/>
  <c r="F256" i="7"/>
  <c r="C256" i="7"/>
  <c r="AC255" i="7"/>
  <c r="AD255" i="7" s="1"/>
  <c r="AA255" i="7"/>
  <c r="X255" i="7"/>
  <c r="W255" i="7"/>
  <c r="U255" i="7"/>
  <c r="R255" i="7"/>
  <c r="O255" i="7"/>
  <c r="N255" i="7"/>
  <c r="L255" i="7"/>
  <c r="H255" i="7"/>
  <c r="I255" i="7" s="1"/>
  <c r="F255" i="7"/>
  <c r="C255" i="7"/>
  <c r="AC254" i="7"/>
  <c r="AD254" i="7" s="1"/>
  <c r="AA254" i="7"/>
  <c r="W254" i="7"/>
  <c r="X254" i="7" s="1"/>
  <c r="U254" i="7"/>
  <c r="R254" i="7"/>
  <c r="N254" i="7"/>
  <c r="O254" i="7" s="1"/>
  <c r="L254" i="7"/>
  <c r="H254" i="7"/>
  <c r="I254" i="7" s="1"/>
  <c r="F254" i="7"/>
  <c r="C254" i="7"/>
  <c r="AD253" i="7"/>
  <c r="AC253" i="7"/>
  <c r="AA253" i="7"/>
  <c r="X253" i="7"/>
  <c r="W253" i="7"/>
  <c r="U253" i="7"/>
  <c r="R253" i="7"/>
  <c r="N253" i="7"/>
  <c r="O253" i="7" s="1"/>
  <c r="L253" i="7"/>
  <c r="I253" i="7"/>
  <c r="H253" i="7"/>
  <c r="F253" i="7"/>
  <c r="C253" i="7"/>
  <c r="AC252" i="7"/>
  <c r="AD252" i="7" s="1"/>
  <c r="AA252" i="7"/>
  <c r="W252" i="7"/>
  <c r="X252" i="7" s="1"/>
  <c r="U252" i="7"/>
  <c r="R252" i="7"/>
  <c r="N252" i="7"/>
  <c r="O252" i="7" s="1"/>
  <c r="L252" i="7"/>
  <c r="I252" i="7"/>
  <c r="H252" i="7"/>
  <c r="F252" i="7"/>
  <c r="C252" i="7"/>
  <c r="AC251" i="7"/>
  <c r="AD251" i="7" s="1"/>
  <c r="AA251" i="7"/>
  <c r="W251" i="7"/>
  <c r="X251" i="7" s="1"/>
  <c r="U251" i="7"/>
  <c r="R251" i="7"/>
  <c r="O251" i="7"/>
  <c r="N251" i="7"/>
  <c r="L251" i="7"/>
  <c r="I251" i="7"/>
  <c r="H251" i="7"/>
  <c r="F251" i="7"/>
  <c r="C251" i="7"/>
  <c r="AC250" i="7"/>
  <c r="AD250" i="7" s="1"/>
  <c r="AA250" i="7"/>
  <c r="W250" i="7"/>
  <c r="X250" i="7" s="1"/>
  <c r="U250" i="7"/>
  <c r="R250" i="7"/>
  <c r="N250" i="7"/>
  <c r="O250" i="7" s="1"/>
  <c r="L250" i="7"/>
  <c r="H250" i="7"/>
  <c r="I250" i="7" s="1"/>
  <c r="F250" i="7"/>
  <c r="C250" i="7"/>
  <c r="AD249" i="7"/>
  <c r="AC249" i="7"/>
  <c r="AA249" i="7"/>
  <c r="X249" i="7"/>
  <c r="W249" i="7"/>
  <c r="U249" i="7"/>
  <c r="R249" i="7"/>
  <c r="N249" i="7"/>
  <c r="O249" i="7" s="1"/>
  <c r="L249" i="7"/>
  <c r="H249" i="7"/>
  <c r="I249" i="7" s="1"/>
  <c r="F249" i="7"/>
  <c r="C249" i="7"/>
  <c r="AD248" i="7"/>
  <c r="AC248" i="7"/>
  <c r="AA248" i="7"/>
  <c r="W248" i="7"/>
  <c r="X248" i="7" s="1"/>
  <c r="U248" i="7"/>
  <c r="R248" i="7"/>
  <c r="N248" i="7"/>
  <c r="O248" i="7" s="1"/>
  <c r="L248" i="7"/>
  <c r="I248" i="7"/>
  <c r="H248" i="7"/>
  <c r="F248" i="7"/>
  <c r="C248" i="7"/>
  <c r="AC247" i="7"/>
  <c r="AD247" i="7" s="1"/>
  <c r="AA247" i="7"/>
  <c r="X247" i="7"/>
  <c r="W247" i="7"/>
  <c r="U247" i="7"/>
  <c r="R247" i="7"/>
  <c r="O247" i="7"/>
  <c r="N247" i="7"/>
  <c r="L247" i="7"/>
  <c r="H247" i="7"/>
  <c r="I247" i="7" s="1"/>
  <c r="F247" i="7"/>
  <c r="C247" i="7"/>
  <c r="AC246" i="7"/>
  <c r="AD246" i="7" s="1"/>
  <c r="AA246" i="7"/>
  <c r="W246" i="7"/>
  <c r="X246" i="7" s="1"/>
  <c r="U246" i="7"/>
  <c r="R246" i="7"/>
  <c r="N246" i="7"/>
  <c r="O246" i="7" s="1"/>
  <c r="L246" i="7"/>
  <c r="H246" i="7"/>
  <c r="I246" i="7" s="1"/>
  <c r="F246" i="7"/>
  <c r="C246" i="7"/>
  <c r="AD245" i="7"/>
  <c r="AC245" i="7"/>
  <c r="AA245" i="7"/>
  <c r="X245" i="7"/>
  <c r="W245" i="7"/>
  <c r="U245" i="7"/>
  <c r="R245" i="7"/>
  <c r="O245" i="7"/>
  <c r="N245" i="7"/>
  <c r="L245" i="7"/>
  <c r="H245" i="7"/>
  <c r="I245" i="7" s="1"/>
  <c r="F245" i="7"/>
  <c r="C245" i="7"/>
  <c r="AD244" i="7"/>
  <c r="AC244" i="7"/>
  <c r="AA244" i="7"/>
  <c r="X244" i="7"/>
  <c r="W244" i="7"/>
  <c r="U244" i="7"/>
  <c r="R244" i="7"/>
  <c r="N244" i="7"/>
  <c r="O244" i="7" s="1"/>
  <c r="L244" i="7"/>
  <c r="I244" i="7"/>
  <c r="H244" i="7"/>
  <c r="F244" i="7"/>
  <c r="C244" i="7"/>
  <c r="AC243" i="7"/>
  <c r="AD243" i="7" s="1"/>
  <c r="AA243" i="7"/>
  <c r="W243" i="7"/>
  <c r="X243" i="7" s="1"/>
  <c r="U243" i="7"/>
  <c r="R243" i="7"/>
  <c r="O243" i="7"/>
  <c r="N243" i="7"/>
  <c r="L243" i="7"/>
  <c r="I243" i="7"/>
  <c r="H243" i="7"/>
  <c r="F243" i="7"/>
  <c r="C243" i="7"/>
  <c r="AC242" i="7"/>
  <c r="AD242" i="7" s="1"/>
  <c r="AA242" i="7"/>
  <c r="W242" i="7"/>
  <c r="X242" i="7" s="1"/>
  <c r="U242" i="7"/>
  <c r="R242" i="7"/>
  <c r="O242" i="7"/>
  <c r="N242" i="7"/>
  <c r="L242" i="7"/>
  <c r="H242" i="7"/>
  <c r="I242" i="7" s="1"/>
  <c r="F242" i="7"/>
  <c r="C242" i="7"/>
  <c r="AD241" i="7"/>
  <c r="AC241" i="7"/>
  <c r="AA241" i="7"/>
  <c r="X241" i="7"/>
  <c r="W241" i="7"/>
  <c r="U241" i="7"/>
  <c r="R241" i="7"/>
  <c r="O241" i="7"/>
  <c r="N241" i="7"/>
  <c r="L241" i="7"/>
  <c r="I241" i="7"/>
  <c r="H241" i="7"/>
  <c r="F241" i="7"/>
  <c r="C241" i="7"/>
  <c r="AC240" i="7"/>
  <c r="AD240" i="7" s="1"/>
  <c r="AA240" i="7"/>
  <c r="W240" i="7"/>
  <c r="X240" i="7" s="1"/>
  <c r="U240" i="7"/>
  <c r="R240" i="7"/>
  <c r="N240" i="7"/>
  <c r="O240" i="7" s="1"/>
  <c r="L240" i="7"/>
  <c r="H240" i="7"/>
  <c r="I240" i="7" s="1"/>
  <c r="F240" i="7"/>
  <c r="C240" i="7"/>
  <c r="AC238" i="7"/>
  <c r="AD238" i="7" s="1"/>
  <c r="AA238" i="7"/>
  <c r="W238" i="7"/>
  <c r="X238" i="7" s="1"/>
  <c r="U238" i="7"/>
  <c r="R238" i="7"/>
  <c r="O238" i="7"/>
  <c r="N238" i="7"/>
  <c r="L238" i="7"/>
  <c r="H238" i="7"/>
  <c r="I238" i="7" s="1"/>
  <c r="F238" i="7"/>
  <c r="C238" i="7"/>
  <c r="Z236" i="7"/>
  <c r="AA236" i="7" s="1"/>
  <c r="T236" i="7"/>
  <c r="U236" i="7" s="1"/>
  <c r="Q236" i="7"/>
  <c r="K236" i="7"/>
  <c r="L236" i="7" s="1"/>
  <c r="E236" i="7"/>
  <c r="H236" i="7" s="1"/>
  <c r="I236" i="7" s="1"/>
  <c r="B236" i="7"/>
  <c r="C236" i="7" s="1"/>
  <c r="AD235" i="7"/>
  <c r="AC235" i="7"/>
  <c r="AA235" i="7"/>
  <c r="X235" i="7"/>
  <c r="W235" i="7"/>
  <c r="U235" i="7"/>
  <c r="R235" i="7"/>
  <c r="N235" i="7"/>
  <c r="O235" i="7" s="1"/>
  <c r="L235" i="7"/>
  <c r="H235" i="7"/>
  <c r="I235" i="7" s="1"/>
  <c r="F235" i="7"/>
  <c r="C235" i="7"/>
  <c r="AC234" i="7"/>
  <c r="AD234" i="7" s="1"/>
  <c r="AA234" i="7"/>
  <c r="W234" i="7"/>
  <c r="X234" i="7" s="1"/>
  <c r="U234" i="7"/>
  <c r="R234" i="7"/>
  <c r="O234" i="7"/>
  <c r="N234" i="7"/>
  <c r="L234" i="7"/>
  <c r="H234" i="7"/>
  <c r="I234" i="7" s="1"/>
  <c r="F234" i="7"/>
  <c r="C234" i="7"/>
  <c r="AD233" i="7"/>
  <c r="AC233" i="7"/>
  <c r="AA233" i="7"/>
  <c r="W233" i="7"/>
  <c r="X233" i="7" s="1"/>
  <c r="U233" i="7"/>
  <c r="R233" i="7"/>
  <c r="O233" i="7"/>
  <c r="N233" i="7"/>
  <c r="L233" i="7"/>
  <c r="H233" i="7"/>
  <c r="I233" i="7" s="1"/>
  <c r="F233" i="7"/>
  <c r="C233" i="7"/>
  <c r="AC232" i="7"/>
  <c r="AD232" i="7" s="1"/>
  <c r="AA232" i="7"/>
  <c r="X232" i="7"/>
  <c r="W232" i="7"/>
  <c r="U232" i="7"/>
  <c r="R232" i="7"/>
  <c r="N232" i="7"/>
  <c r="O232" i="7" s="1"/>
  <c r="L232" i="7"/>
  <c r="I232" i="7"/>
  <c r="H232" i="7"/>
  <c r="F232" i="7"/>
  <c r="C232" i="7"/>
  <c r="AC231" i="7"/>
  <c r="AD231" i="7" s="1"/>
  <c r="AA231" i="7"/>
  <c r="W231" i="7"/>
  <c r="X231" i="7" s="1"/>
  <c r="U231" i="7"/>
  <c r="R231" i="7"/>
  <c r="N231" i="7"/>
  <c r="O231" i="7" s="1"/>
  <c r="L231" i="7"/>
  <c r="H231" i="7"/>
  <c r="I231" i="7" s="1"/>
  <c r="F231" i="7"/>
  <c r="C231" i="7"/>
  <c r="AC230" i="7"/>
  <c r="AD230" i="7" s="1"/>
  <c r="AA230" i="7"/>
  <c r="X230" i="7"/>
  <c r="W230" i="7"/>
  <c r="U230" i="7"/>
  <c r="R230" i="7"/>
  <c r="O230" i="7"/>
  <c r="N230" i="7"/>
  <c r="L230" i="7"/>
  <c r="I230" i="7"/>
  <c r="H230" i="7"/>
  <c r="F230" i="7"/>
  <c r="C230" i="7"/>
  <c r="AC229" i="7"/>
  <c r="AD229" i="7" s="1"/>
  <c r="AA229" i="7"/>
  <c r="W229" i="7"/>
  <c r="X229" i="7" s="1"/>
  <c r="U229" i="7"/>
  <c r="R229" i="7"/>
  <c r="N229" i="7"/>
  <c r="O229" i="7" s="1"/>
  <c r="L229" i="7"/>
  <c r="H229" i="7"/>
  <c r="I229" i="7" s="1"/>
  <c r="F229" i="7"/>
  <c r="C229" i="7"/>
  <c r="Z227" i="7"/>
  <c r="U227" i="7"/>
  <c r="T227" i="7"/>
  <c r="R227" i="7"/>
  <c r="Q227" i="7"/>
  <c r="K227" i="7"/>
  <c r="L227" i="7" s="1"/>
  <c r="I227" i="7"/>
  <c r="H227" i="7"/>
  <c r="F227" i="7"/>
  <c r="E227" i="7"/>
  <c r="B227" i="7"/>
  <c r="AC226" i="7"/>
  <c r="AD226" i="7" s="1"/>
  <c r="AA226" i="7"/>
  <c r="W226" i="7"/>
  <c r="X226" i="7" s="1"/>
  <c r="U226" i="7"/>
  <c r="R226" i="7"/>
  <c r="O226" i="7"/>
  <c r="N226" i="7"/>
  <c r="L226" i="7"/>
  <c r="H226" i="7"/>
  <c r="I226" i="7" s="1"/>
  <c r="F226" i="7"/>
  <c r="C226" i="7"/>
  <c r="AD225" i="7"/>
  <c r="AC225" i="7"/>
  <c r="AA225" i="7"/>
  <c r="X225" i="7"/>
  <c r="W225" i="7"/>
  <c r="U225" i="7"/>
  <c r="R225" i="7"/>
  <c r="O225" i="7"/>
  <c r="N225" i="7"/>
  <c r="L225" i="7"/>
  <c r="H225" i="7"/>
  <c r="I225" i="7" s="1"/>
  <c r="F225" i="7"/>
  <c r="C225" i="7"/>
  <c r="AC224" i="7"/>
  <c r="AD224" i="7" s="1"/>
  <c r="AA224" i="7"/>
  <c r="X224" i="7"/>
  <c r="W224" i="7"/>
  <c r="U224" i="7"/>
  <c r="R224" i="7"/>
  <c r="N224" i="7"/>
  <c r="O224" i="7" s="1"/>
  <c r="L224" i="7"/>
  <c r="H224" i="7"/>
  <c r="I224" i="7" s="1"/>
  <c r="F224" i="7"/>
  <c r="C224" i="7"/>
  <c r="AD223" i="7"/>
  <c r="AC223" i="7"/>
  <c r="AA223" i="7"/>
  <c r="W223" i="7"/>
  <c r="X223" i="7" s="1"/>
  <c r="U223" i="7"/>
  <c r="R223" i="7"/>
  <c r="O223" i="7"/>
  <c r="N223" i="7"/>
  <c r="L223" i="7"/>
  <c r="H223" i="7"/>
  <c r="I223" i="7" s="1"/>
  <c r="F223" i="7"/>
  <c r="C223" i="7"/>
  <c r="AC222" i="7"/>
  <c r="AD222" i="7" s="1"/>
  <c r="AA222" i="7"/>
  <c r="X222" i="7"/>
  <c r="W222" i="7"/>
  <c r="U222" i="7"/>
  <c r="R222" i="7"/>
  <c r="N222" i="7"/>
  <c r="O222" i="7" s="1"/>
  <c r="L222" i="7"/>
  <c r="I222" i="7"/>
  <c r="H222" i="7"/>
  <c r="F222" i="7"/>
  <c r="C222" i="7"/>
  <c r="AC221" i="7"/>
  <c r="AD221" i="7" s="1"/>
  <c r="AA221" i="7"/>
  <c r="W221" i="7"/>
  <c r="X221" i="7" s="1"/>
  <c r="U221" i="7"/>
  <c r="R221" i="7"/>
  <c r="N221" i="7"/>
  <c r="O221" i="7" s="1"/>
  <c r="L221" i="7"/>
  <c r="I221" i="7"/>
  <c r="H221" i="7"/>
  <c r="F221" i="7"/>
  <c r="C221" i="7"/>
  <c r="AC220" i="7"/>
  <c r="AD220" i="7" s="1"/>
  <c r="AA220" i="7"/>
  <c r="W220" i="7"/>
  <c r="X220" i="7" s="1"/>
  <c r="U220" i="7"/>
  <c r="R220" i="7"/>
  <c r="O220" i="7"/>
  <c r="N220" i="7"/>
  <c r="L220" i="7"/>
  <c r="H220" i="7"/>
  <c r="I220" i="7" s="1"/>
  <c r="F220" i="7"/>
  <c r="C220" i="7"/>
  <c r="AD219" i="7"/>
  <c r="AC219" i="7"/>
  <c r="AA219" i="7"/>
  <c r="W219" i="7"/>
  <c r="X219" i="7" s="1"/>
  <c r="U219" i="7"/>
  <c r="R219" i="7"/>
  <c r="N219" i="7"/>
  <c r="O219" i="7" s="1"/>
  <c r="L219" i="7"/>
  <c r="H219" i="7"/>
  <c r="I219" i="7" s="1"/>
  <c r="F219" i="7"/>
  <c r="C219" i="7"/>
  <c r="AD218" i="7"/>
  <c r="AA218" i="7"/>
  <c r="Z218" i="7"/>
  <c r="W218" i="7"/>
  <c r="X218" i="7" s="1"/>
  <c r="U218" i="7"/>
  <c r="T218" i="7"/>
  <c r="R218" i="7"/>
  <c r="Q218" i="7"/>
  <c r="AC218" i="7" s="1"/>
  <c r="K218" i="7"/>
  <c r="L218" i="7" s="1"/>
  <c r="H218" i="7"/>
  <c r="I218" i="7" s="1"/>
  <c r="F218" i="7"/>
  <c r="E218" i="7"/>
  <c r="C218" i="7"/>
  <c r="B218" i="7"/>
  <c r="AC217" i="7"/>
  <c r="AD217" i="7" s="1"/>
  <c r="AA217" i="7"/>
  <c r="W217" i="7"/>
  <c r="X217" i="7" s="1"/>
  <c r="U217" i="7"/>
  <c r="R217" i="7"/>
  <c r="O217" i="7"/>
  <c r="N217" i="7"/>
  <c r="L217" i="7"/>
  <c r="H217" i="7"/>
  <c r="I217" i="7" s="1"/>
  <c r="F217" i="7"/>
  <c r="C217" i="7"/>
  <c r="AD216" i="7"/>
  <c r="AC216" i="7"/>
  <c r="AA216" i="7"/>
  <c r="W216" i="7"/>
  <c r="X216" i="7" s="1"/>
  <c r="U216" i="7"/>
  <c r="R216" i="7"/>
  <c r="N216" i="7"/>
  <c r="O216" i="7" s="1"/>
  <c r="L216" i="7"/>
  <c r="H216" i="7"/>
  <c r="I216" i="7" s="1"/>
  <c r="F216" i="7"/>
  <c r="C216" i="7"/>
  <c r="AD215" i="7"/>
  <c r="AC215" i="7"/>
  <c r="AA215" i="7"/>
  <c r="X215" i="7"/>
  <c r="W215" i="7"/>
  <c r="U215" i="7"/>
  <c r="R215" i="7"/>
  <c r="N215" i="7"/>
  <c r="O215" i="7" s="1"/>
  <c r="L215" i="7"/>
  <c r="I215" i="7"/>
  <c r="H215" i="7"/>
  <c r="F215" i="7"/>
  <c r="C215" i="7"/>
  <c r="AC214" i="7"/>
  <c r="AD214" i="7" s="1"/>
  <c r="AA214" i="7"/>
  <c r="W214" i="7"/>
  <c r="X214" i="7" s="1"/>
  <c r="U214" i="7"/>
  <c r="R214" i="7"/>
  <c r="N214" i="7"/>
  <c r="O214" i="7" s="1"/>
  <c r="L214" i="7"/>
  <c r="I214" i="7"/>
  <c r="H214" i="7"/>
  <c r="F214" i="7"/>
  <c r="C214" i="7"/>
  <c r="AC213" i="7"/>
  <c r="AD213" i="7" s="1"/>
  <c r="AA213" i="7"/>
  <c r="X213" i="7"/>
  <c r="W213" i="7"/>
  <c r="U213" i="7"/>
  <c r="R213" i="7"/>
  <c r="O213" i="7"/>
  <c r="N213" i="7"/>
  <c r="L213" i="7"/>
  <c r="H213" i="7"/>
  <c r="I213" i="7" s="1"/>
  <c r="F213" i="7"/>
  <c r="C213" i="7"/>
  <c r="AC211" i="7"/>
  <c r="AD211" i="7" s="1"/>
  <c r="AA211" i="7"/>
  <c r="X211" i="7"/>
  <c r="W211" i="7"/>
  <c r="U211" i="7"/>
  <c r="R211" i="7"/>
  <c r="N211" i="7"/>
  <c r="O211" i="7" s="1"/>
  <c r="L211" i="7"/>
  <c r="H211" i="7"/>
  <c r="I211" i="7" s="1"/>
  <c r="F211" i="7"/>
  <c r="C211" i="7"/>
  <c r="AA209" i="7"/>
  <c r="Z209" i="7"/>
  <c r="T209" i="7"/>
  <c r="W209" i="7" s="1"/>
  <c r="X209" i="7" s="1"/>
  <c r="R209" i="7"/>
  <c r="Q209" i="7"/>
  <c r="AC209" i="7" s="1"/>
  <c r="AD209" i="7" s="1"/>
  <c r="N209" i="7"/>
  <c r="O209" i="7" s="1"/>
  <c r="K209" i="7"/>
  <c r="L209" i="7" s="1"/>
  <c r="H209" i="7"/>
  <c r="I209" i="7" s="1"/>
  <c r="F209" i="7"/>
  <c r="E209" i="7"/>
  <c r="C209" i="7"/>
  <c r="B209" i="7"/>
  <c r="AC208" i="7"/>
  <c r="AD208" i="7" s="1"/>
  <c r="AA208" i="7"/>
  <c r="W208" i="7"/>
  <c r="X208" i="7" s="1"/>
  <c r="U208" i="7"/>
  <c r="R208" i="7"/>
  <c r="O208" i="7"/>
  <c r="N208" i="7"/>
  <c r="L208" i="7"/>
  <c r="H208" i="7"/>
  <c r="I208" i="7" s="1"/>
  <c r="F208" i="7"/>
  <c r="C208" i="7"/>
  <c r="AD207" i="7"/>
  <c r="AC207" i="7"/>
  <c r="AA207" i="7"/>
  <c r="X207" i="7"/>
  <c r="W207" i="7"/>
  <c r="U207" i="7"/>
  <c r="R207" i="7"/>
  <c r="N207" i="7"/>
  <c r="O207" i="7" s="1"/>
  <c r="L207" i="7"/>
  <c r="H207" i="7"/>
  <c r="I207" i="7" s="1"/>
  <c r="F207" i="7"/>
  <c r="C207" i="7"/>
  <c r="AD206" i="7"/>
  <c r="AC206" i="7"/>
  <c r="AA206" i="7"/>
  <c r="X206" i="7"/>
  <c r="W206" i="7"/>
  <c r="U206" i="7"/>
  <c r="R206" i="7"/>
  <c r="O206" i="7"/>
  <c r="N206" i="7"/>
  <c r="L206" i="7"/>
  <c r="H206" i="7"/>
  <c r="I206" i="7" s="1"/>
  <c r="F206" i="7"/>
  <c r="C206" i="7"/>
  <c r="AC205" i="7"/>
  <c r="AD205" i="7" s="1"/>
  <c r="AA205" i="7"/>
  <c r="W205" i="7"/>
  <c r="X205" i="7" s="1"/>
  <c r="U205" i="7"/>
  <c r="R205" i="7"/>
  <c r="N205" i="7"/>
  <c r="O205" i="7" s="1"/>
  <c r="L205" i="7"/>
  <c r="I205" i="7"/>
  <c r="H205" i="7"/>
  <c r="F205" i="7"/>
  <c r="C205" i="7"/>
  <c r="AC204" i="7"/>
  <c r="AD204" i="7" s="1"/>
  <c r="AA204" i="7"/>
  <c r="X204" i="7"/>
  <c r="W204" i="7"/>
  <c r="U204" i="7"/>
  <c r="R204" i="7"/>
  <c r="O204" i="7"/>
  <c r="N204" i="7"/>
  <c r="L204" i="7"/>
  <c r="H204" i="7"/>
  <c r="I204" i="7" s="1"/>
  <c r="F204" i="7"/>
  <c r="C204" i="7"/>
  <c r="AC203" i="7"/>
  <c r="AD203" i="7" s="1"/>
  <c r="AA203" i="7"/>
  <c r="W203" i="7"/>
  <c r="X203" i="7" s="1"/>
  <c r="U203" i="7"/>
  <c r="R203" i="7"/>
  <c r="N203" i="7"/>
  <c r="O203" i="7" s="1"/>
  <c r="L203" i="7"/>
  <c r="H203" i="7"/>
  <c r="I203" i="7" s="1"/>
  <c r="F203" i="7"/>
  <c r="C203" i="7"/>
  <c r="AD202" i="7"/>
  <c r="AC202" i="7"/>
  <c r="AA202" i="7"/>
  <c r="X202" i="7"/>
  <c r="W202" i="7"/>
  <c r="U202" i="7"/>
  <c r="R202" i="7"/>
  <c r="N202" i="7"/>
  <c r="O202" i="7" s="1"/>
  <c r="L202" i="7"/>
  <c r="H202" i="7"/>
  <c r="I202" i="7" s="1"/>
  <c r="F202" i="7"/>
  <c r="C202" i="7"/>
  <c r="AC201" i="7"/>
  <c r="AD201" i="7" s="1"/>
  <c r="AA201" i="7"/>
  <c r="W201" i="7"/>
  <c r="X201" i="7" s="1"/>
  <c r="U201" i="7"/>
  <c r="R201" i="7"/>
  <c r="N201" i="7"/>
  <c r="O201" i="7" s="1"/>
  <c r="L201" i="7"/>
  <c r="I201" i="7"/>
  <c r="H201" i="7"/>
  <c r="F201" i="7"/>
  <c r="C201" i="7"/>
  <c r="B198" i="7"/>
  <c r="B345" i="7" s="1"/>
  <c r="AA197" i="7"/>
  <c r="Z197" i="7"/>
  <c r="T197" i="7"/>
  <c r="W197" i="7" s="1"/>
  <c r="X197" i="7" s="1"/>
  <c r="R197" i="7"/>
  <c r="Q197" i="7"/>
  <c r="AC197" i="7" s="1"/>
  <c r="AD197" i="7" s="1"/>
  <c r="N197" i="7"/>
  <c r="O197" i="7" s="1"/>
  <c r="K197" i="7"/>
  <c r="L197" i="7" s="1"/>
  <c r="H197" i="7"/>
  <c r="I197" i="7" s="1"/>
  <c r="F197" i="7"/>
  <c r="E197" i="7"/>
  <c r="C197" i="7"/>
  <c r="B197" i="7"/>
  <c r="AC196" i="7"/>
  <c r="AD196" i="7" s="1"/>
  <c r="Z196" i="7"/>
  <c r="AA196" i="7" s="1"/>
  <c r="T196" i="7"/>
  <c r="U196" i="7" s="1"/>
  <c r="Q196" i="7"/>
  <c r="N196" i="7"/>
  <c r="O196" i="7" s="1"/>
  <c r="L196" i="7"/>
  <c r="K196" i="7"/>
  <c r="E196" i="7"/>
  <c r="F196" i="7" s="1"/>
  <c r="C196" i="7"/>
  <c r="B196" i="7"/>
  <c r="AD195" i="7"/>
  <c r="AC195" i="7"/>
  <c r="AA195" i="7"/>
  <c r="X195" i="7"/>
  <c r="W195" i="7"/>
  <c r="U195" i="7"/>
  <c r="R195" i="7"/>
  <c r="N195" i="7"/>
  <c r="O195" i="7" s="1"/>
  <c r="L195" i="7"/>
  <c r="H195" i="7"/>
  <c r="I195" i="7" s="1"/>
  <c r="F195" i="7"/>
  <c r="C195" i="7"/>
  <c r="AD194" i="7"/>
  <c r="AC194" i="7"/>
  <c r="AA194" i="7"/>
  <c r="W194" i="7"/>
  <c r="X194" i="7" s="1"/>
  <c r="U194" i="7"/>
  <c r="R194" i="7"/>
  <c r="N194" i="7"/>
  <c r="O194" i="7" s="1"/>
  <c r="L194" i="7"/>
  <c r="I194" i="7"/>
  <c r="H194" i="7"/>
  <c r="F194" i="7"/>
  <c r="C194" i="7"/>
  <c r="Z193" i="7"/>
  <c r="AC193" i="7" s="1"/>
  <c r="AD193" i="7" s="1"/>
  <c r="T193" i="7"/>
  <c r="U193" i="7" s="1"/>
  <c r="Q193" i="7"/>
  <c r="N193" i="7"/>
  <c r="O193" i="7" s="1"/>
  <c r="L193" i="7"/>
  <c r="K193" i="7"/>
  <c r="E193" i="7"/>
  <c r="B193" i="7"/>
  <c r="C193" i="7" s="1"/>
  <c r="AD192" i="7"/>
  <c r="AC192" i="7"/>
  <c r="AA192" i="7"/>
  <c r="X192" i="7"/>
  <c r="W192" i="7"/>
  <c r="U192" i="7"/>
  <c r="R192" i="7"/>
  <c r="N192" i="7"/>
  <c r="O192" i="7" s="1"/>
  <c r="L192" i="7"/>
  <c r="I192" i="7"/>
  <c r="H192" i="7"/>
  <c r="F192" i="7"/>
  <c r="C192" i="7"/>
  <c r="AC191" i="7"/>
  <c r="AD191" i="7" s="1"/>
  <c r="AA191" i="7"/>
  <c r="W191" i="7"/>
  <c r="X191" i="7" s="1"/>
  <c r="U191" i="7"/>
  <c r="R191" i="7"/>
  <c r="N191" i="7"/>
  <c r="O191" i="7" s="1"/>
  <c r="L191" i="7"/>
  <c r="I191" i="7"/>
  <c r="H191" i="7"/>
  <c r="F191" i="7"/>
  <c r="C191" i="7"/>
  <c r="AC190" i="7"/>
  <c r="AD190" i="7" s="1"/>
  <c r="AA190" i="7"/>
  <c r="X190" i="7"/>
  <c r="W190" i="7"/>
  <c r="U190" i="7"/>
  <c r="R190" i="7"/>
  <c r="O190" i="7"/>
  <c r="N190" i="7"/>
  <c r="L190" i="7"/>
  <c r="H190" i="7"/>
  <c r="I190" i="7" s="1"/>
  <c r="F190" i="7"/>
  <c r="C190" i="7"/>
  <c r="AC189" i="7"/>
  <c r="AD189" i="7" s="1"/>
  <c r="AA189" i="7"/>
  <c r="X189" i="7"/>
  <c r="W189" i="7"/>
  <c r="U189" i="7"/>
  <c r="R189" i="7"/>
  <c r="N189" i="7"/>
  <c r="O189" i="7" s="1"/>
  <c r="L189" i="7"/>
  <c r="H189" i="7"/>
  <c r="I189" i="7" s="1"/>
  <c r="F189" i="7"/>
  <c r="C189" i="7"/>
  <c r="AD188" i="7"/>
  <c r="AC188" i="7"/>
  <c r="AA188" i="7"/>
  <c r="X188" i="7"/>
  <c r="W188" i="7"/>
  <c r="U188" i="7"/>
  <c r="R188" i="7"/>
  <c r="O188" i="7"/>
  <c r="N188" i="7"/>
  <c r="L188" i="7"/>
  <c r="H188" i="7"/>
  <c r="I188" i="7" s="1"/>
  <c r="F188" i="7"/>
  <c r="C188" i="7"/>
  <c r="AC187" i="7"/>
  <c r="AD187" i="7" s="1"/>
  <c r="AA187" i="7"/>
  <c r="W187" i="7"/>
  <c r="X187" i="7" s="1"/>
  <c r="U187" i="7"/>
  <c r="R187" i="7"/>
  <c r="N187" i="7"/>
  <c r="O187" i="7" s="1"/>
  <c r="L187" i="7"/>
  <c r="I187" i="7"/>
  <c r="H187" i="7"/>
  <c r="F187" i="7"/>
  <c r="C187" i="7"/>
  <c r="AC186" i="7"/>
  <c r="AD186" i="7" s="1"/>
  <c r="AA186" i="7"/>
  <c r="W186" i="7"/>
  <c r="X186" i="7" s="1"/>
  <c r="U186" i="7"/>
  <c r="R186" i="7"/>
  <c r="O186" i="7"/>
  <c r="N186" i="7"/>
  <c r="L186" i="7"/>
  <c r="H186" i="7"/>
  <c r="I186" i="7" s="1"/>
  <c r="F186" i="7"/>
  <c r="C186" i="7"/>
  <c r="AC184" i="7"/>
  <c r="AD184" i="7" s="1"/>
  <c r="AA184" i="7"/>
  <c r="W184" i="7"/>
  <c r="X184" i="7" s="1"/>
  <c r="U184" i="7"/>
  <c r="R184" i="7"/>
  <c r="N184" i="7"/>
  <c r="O184" i="7" s="1"/>
  <c r="L184" i="7"/>
  <c r="H184" i="7"/>
  <c r="I184" i="7" s="1"/>
  <c r="F184" i="7"/>
  <c r="C184" i="7"/>
  <c r="AD183" i="7"/>
  <c r="AC183" i="7"/>
  <c r="AA183" i="7"/>
  <c r="X183" i="7"/>
  <c r="W183" i="7"/>
  <c r="U183" i="7"/>
  <c r="R183" i="7"/>
  <c r="N183" i="7"/>
  <c r="O183" i="7" s="1"/>
  <c r="L183" i="7"/>
  <c r="H183" i="7"/>
  <c r="I183" i="7" s="1"/>
  <c r="F183" i="7"/>
  <c r="C183" i="7"/>
  <c r="AC182" i="7"/>
  <c r="AD182" i="7" s="1"/>
  <c r="AA182" i="7"/>
  <c r="Z182" i="7"/>
  <c r="W182" i="7"/>
  <c r="X182" i="7" s="1"/>
  <c r="T182" i="7"/>
  <c r="U182" i="7" s="1"/>
  <c r="R182" i="7"/>
  <c r="Q182" i="7"/>
  <c r="K182" i="7"/>
  <c r="L182" i="7" s="1"/>
  <c r="H182" i="7"/>
  <c r="I182" i="7" s="1"/>
  <c r="F182" i="7"/>
  <c r="E182" i="7"/>
  <c r="C182" i="7"/>
  <c r="B182" i="7"/>
  <c r="AC181" i="7"/>
  <c r="AD181" i="7" s="1"/>
  <c r="AA181" i="7"/>
  <c r="W181" i="7"/>
  <c r="X181" i="7" s="1"/>
  <c r="U181" i="7"/>
  <c r="R181" i="7"/>
  <c r="N181" i="7"/>
  <c r="O181" i="7" s="1"/>
  <c r="L181" i="7"/>
  <c r="H181" i="7"/>
  <c r="I181" i="7" s="1"/>
  <c r="F181" i="7"/>
  <c r="C181" i="7"/>
  <c r="AD180" i="7"/>
  <c r="AC180" i="7"/>
  <c r="AA180" i="7"/>
  <c r="X180" i="7"/>
  <c r="W180" i="7"/>
  <c r="U180" i="7"/>
  <c r="R180" i="7"/>
  <c r="N180" i="7"/>
  <c r="O180" i="7" s="1"/>
  <c r="L180" i="7"/>
  <c r="I180" i="7"/>
  <c r="H180" i="7"/>
  <c r="F180" i="7"/>
  <c r="C180" i="7"/>
  <c r="AC179" i="7"/>
  <c r="AD179" i="7" s="1"/>
  <c r="AA179" i="7"/>
  <c r="W179" i="7"/>
  <c r="X179" i="7" s="1"/>
  <c r="U179" i="7"/>
  <c r="R179" i="7"/>
  <c r="N179" i="7"/>
  <c r="O179" i="7" s="1"/>
  <c r="L179" i="7"/>
  <c r="I179" i="7"/>
  <c r="H179" i="7"/>
  <c r="F179" i="7"/>
  <c r="C179" i="7"/>
  <c r="AC178" i="7"/>
  <c r="AD178" i="7" s="1"/>
  <c r="AA178" i="7"/>
  <c r="W178" i="7"/>
  <c r="X178" i="7" s="1"/>
  <c r="U178" i="7"/>
  <c r="R178" i="7"/>
  <c r="O178" i="7"/>
  <c r="N178" i="7"/>
  <c r="L178" i="7"/>
  <c r="H178" i="7"/>
  <c r="I178" i="7" s="1"/>
  <c r="F178" i="7"/>
  <c r="C178" i="7"/>
  <c r="AD177" i="7"/>
  <c r="AC177" i="7"/>
  <c r="AA177" i="7"/>
  <c r="W177" i="7"/>
  <c r="X177" i="7" s="1"/>
  <c r="U177" i="7"/>
  <c r="R177" i="7"/>
  <c r="N177" i="7"/>
  <c r="O177" i="7" s="1"/>
  <c r="L177" i="7"/>
  <c r="H177" i="7"/>
  <c r="I177" i="7" s="1"/>
  <c r="F177" i="7"/>
  <c r="C177" i="7"/>
  <c r="AD175" i="7"/>
  <c r="AC175" i="7"/>
  <c r="AA175" i="7"/>
  <c r="X175" i="7"/>
  <c r="W175" i="7"/>
  <c r="U175" i="7"/>
  <c r="R175" i="7"/>
  <c r="N175" i="7"/>
  <c r="O175" i="7" s="1"/>
  <c r="L175" i="7"/>
  <c r="H175" i="7"/>
  <c r="I175" i="7" s="1"/>
  <c r="F175" i="7"/>
  <c r="C175" i="7"/>
  <c r="C172" i="7"/>
  <c r="AC171" i="7"/>
  <c r="AD171" i="7" s="1"/>
  <c r="Z171" i="7"/>
  <c r="AA171" i="7" s="1"/>
  <c r="W171" i="7"/>
  <c r="X171" i="7" s="1"/>
  <c r="U171" i="7"/>
  <c r="T171" i="7"/>
  <c r="R171" i="7"/>
  <c r="Q171" i="7"/>
  <c r="N171" i="7"/>
  <c r="O171" i="7" s="1"/>
  <c r="K171" i="7"/>
  <c r="L171" i="7" s="1"/>
  <c r="E171" i="7"/>
  <c r="H171" i="7" s="1"/>
  <c r="I171" i="7" s="1"/>
  <c r="B171" i="7"/>
  <c r="C171" i="7" s="1"/>
  <c r="Z170" i="7"/>
  <c r="AA170" i="7" s="1"/>
  <c r="T170" i="7"/>
  <c r="U170" i="7" s="1"/>
  <c r="Q170" i="7"/>
  <c r="L170" i="7"/>
  <c r="K170" i="7"/>
  <c r="N170" i="7" s="1"/>
  <c r="O170" i="7" s="1"/>
  <c r="H170" i="7"/>
  <c r="I170" i="7" s="1"/>
  <c r="F170" i="7"/>
  <c r="E170" i="7"/>
  <c r="C170" i="7"/>
  <c r="B170" i="7"/>
  <c r="AC169" i="7"/>
  <c r="AD169" i="7" s="1"/>
  <c r="AA169" i="7"/>
  <c r="W169" i="7"/>
  <c r="X169" i="7" s="1"/>
  <c r="U169" i="7"/>
  <c r="R169" i="7"/>
  <c r="N169" i="7"/>
  <c r="O169" i="7" s="1"/>
  <c r="L169" i="7"/>
  <c r="H169" i="7"/>
  <c r="I169" i="7" s="1"/>
  <c r="F169" i="7"/>
  <c r="C169" i="7"/>
  <c r="AC168" i="7"/>
  <c r="AD168" i="7" s="1"/>
  <c r="AA168" i="7"/>
  <c r="X168" i="7"/>
  <c r="W168" i="7"/>
  <c r="U168" i="7"/>
  <c r="R168" i="7"/>
  <c r="O168" i="7"/>
  <c r="N168" i="7"/>
  <c r="L168" i="7"/>
  <c r="H168" i="7"/>
  <c r="I168" i="7" s="1"/>
  <c r="F168" i="7"/>
  <c r="C168" i="7"/>
  <c r="AC167" i="7"/>
  <c r="AD167" i="7" s="1"/>
  <c r="AA167" i="7"/>
  <c r="X167" i="7"/>
  <c r="W167" i="7"/>
  <c r="U167" i="7"/>
  <c r="R167" i="7"/>
  <c r="N167" i="7"/>
  <c r="O167" i="7" s="1"/>
  <c r="L167" i="7"/>
  <c r="H167" i="7"/>
  <c r="I167" i="7" s="1"/>
  <c r="F167" i="7"/>
  <c r="C167" i="7"/>
  <c r="Z166" i="7"/>
  <c r="AC166" i="7" s="1"/>
  <c r="AD166" i="7" s="1"/>
  <c r="X166" i="7"/>
  <c r="W166" i="7"/>
  <c r="U166" i="7"/>
  <c r="T166" i="7"/>
  <c r="Q166" i="7"/>
  <c r="R166" i="7" s="1"/>
  <c r="K166" i="7"/>
  <c r="L166" i="7" s="1"/>
  <c r="H166" i="7"/>
  <c r="I166" i="7" s="1"/>
  <c r="E166" i="7"/>
  <c r="F166" i="7" s="1"/>
  <c r="B166" i="7"/>
  <c r="C166" i="7" s="1"/>
  <c r="AC165" i="7"/>
  <c r="AD165" i="7" s="1"/>
  <c r="AA165" i="7"/>
  <c r="X165" i="7"/>
  <c r="W165" i="7"/>
  <c r="U165" i="7"/>
  <c r="R165" i="7"/>
  <c r="N165" i="7"/>
  <c r="O165" i="7" s="1"/>
  <c r="L165" i="7"/>
  <c r="I165" i="7"/>
  <c r="H165" i="7"/>
  <c r="F165" i="7"/>
  <c r="C165" i="7"/>
  <c r="AC164" i="7"/>
  <c r="AD164" i="7" s="1"/>
  <c r="AA164" i="7"/>
  <c r="W164" i="7"/>
  <c r="X164" i="7" s="1"/>
  <c r="U164" i="7"/>
  <c r="R164" i="7"/>
  <c r="N164" i="7"/>
  <c r="O164" i="7" s="1"/>
  <c r="L164" i="7"/>
  <c r="H164" i="7"/>
  <c r="I164" i="7" s="1"/>
  <c r="F164" i="7"/>
  <c r="C164" i="7"/>
  <c r="AC163" i="7"/>
  <c r="AD163" i="7" s="1"/>
  <c r="AA163" i="7"/>
  <c r="W163" i="7"/>
  <c r="X163" i="7" s="1"/>
  <c r="U163" i="7"/>
  <c r="R163" i="7"/>
  <c r="O163" i="7"/>
  <c r="N163" i="7"/>
  <c r="L163" i="7"/>
  <c r="H163" i="7"/>
  <c r="I163" i="7" s="1"/>
  <c r="F163" i="7"/>
  <c r="C163" i="7"/>
  <c r="AC162" i="7"/>
  <c r="AD162" i="7" s="1"/>
  <c r="AA162" i="7"/>
  <c r="X162" i="7"/>
  <c r="W162" i="7"/>
  <c r="U162" i="7"/>
  <c r="R162" i="7"/>
  <c r="N162" i="7"/>
  <c r="O162" i="7" s="1"/>
  <c r="L162" i="7"/>
  <c r="H162" i="7"/>
  <c r="I162" i="7" s="1"/>
  <c r="F162" i="7"/>
  <c r="C162" i="7"/>
  <c r="AC161" i="7"/>
  <c r="AD161" i="7" s="1"/>
  <c r="AA161" i="7"/>
  <c r="X161" i="7"/>
  <c r="W161" i="7"/>
  <c r="U161" i="7"/>
  <c r="R161" i="7"/>
  <c r="N161" i="7"/>
  <c r="O161" i="7" s="1"/>
  <c r="L161" i="7"/>
  <c r="H161" i="7"/>
  <c r="I161" i="7" s="1"/>
  <c r="F161" i="7"/>
  <c r="C161" i="7"/>
  <c r="AD160" i="7"/>
  <c r="AC160" i="7"/>
  <c r="AA160" i="7"/>
  <c r="X160" i="7"/>
  <c r="W160" i="7"/>
  <c r="U160" i="7"/>
  <c r="R160" i="7"/>
  <c r="N160" i="7"/>
  <c r="O160" i="7" s="1"/>
  <c r="L160" i="7"/>
  <c r="H160" i="7"/>
  <c r="I160" i="7" s="1"/>
  <c r="F160" i="7"/>
  <c r="C160" i="7"/>
  <c r="Z158" i="7"/>
  <c r="AA158" i="7" s="1"/>
  <c r="U158" i="7"/>
  <c r="T158" i="7"/>
  <c r="Q158" i="7"/>
  <c r="R158" i="7" s="1"/>
  <c r="L158" i="7"/>
  <c r="K158" i="7"/>
  <c r="E158" i="7"/>
  <c r="H158" i="7" s="1"/>
  <c r="I158" i="7" s="1"/>
  <c r="C158" i="7"/>
  <c r="B158" i="7"/>
  <c r="N158" i="7" s="1"/>
  <c r="O158" i="7" s="1"/>
  <c r="AD157" i="7"/>
  <c r="AC157" i="7"/>
  <c r="AA157" i="7"/>
  <c r="X157" i="7"/>
  <c r="W157" i="7"/>
  <c r="U157" i="7"/>
  <c r="R157" i="7"/>
  <c r="N157" i="7"/>
  <c r="O157" i="7" s="1"/>
  <c r="L157" i="7"/>
  <c r="H157" i="7"/>
  <c r="I157" i="7" s="1"/>
  <c r="F157" i="7"/>
  <c r="C157" i="7"/>
  <c r="AD156" i="7"/>
  <c r="AC156" i="7"/>
  <c r="AA156" i="7"/>
  <c r="W156" i="7"/>
  <c r="X156" i="7" s="1"/>
  <c r="U156" i="7"/>
  <c r="R156" i="7"/>
  <c r="O156" i="7"/>
  <c r="N156" i="7"/>
  <c r="L156" i="7"/>
  <c r="I156" i="7"/>
  <c r="H156" i="7"/>
  <c r="F156" i="7"/>
  <c r="C156" i="7"/>
  <c r="AC155" i="7"/>
  <c r="AD155" i="7" s="1"/>
  <c r="AA155" i="7"/>
  <c r="W155" i="7"/>
  <c r="X155" i="7" s="1"/>
  <c r="U155" i="7"/>
  <c r="R155" i="7"/>
  <c r="O155" i="7"/>
  <c r="N155" i="7"/>
  <c r="L155" i="7"/>
  <c r="I155" i="7"/>
  <c r="H155" i="7"/>
  <c r="F155" i="7"/>
  <c r="C155" i="7"/>
  <c r="AC154" i="7"/>
  <c r="AD154" i="7" s="1"/>
  <c r="AA154" i="7"/>
  <c r="X154" i="7"/>
  <c r="W154" i="7"/>
  <c r="U154" i="7"/>
  <c r="R154" i="7"/>
  <c r="N154" i="7"/>
  <c r="O154" i="7" s="1"/>
  <c r="L154" i="7"/>
  <c r="H154" i="7"/>
  <c r="I154" i="7" s="1"/>
  <c r="F154" i="7"/>
  <c r="C154" i="7"/>
  <c r="AD153" i="7"/>
  <c r="AC153" i="7"/>
  <c r="AA153" i="7"/>
  <c r="X153" i="7"/>
  <c r="W153" i="7"/>
  <c r="U153" i="7"/>
  <c r="R153" i="7"/>
  <c r="N153" i="7"/>
  <c r="O153" i="7" s="1"/>
  <c r="L153" i="7"/>
  <c r="H153" i="7"/>
  <c r="I153" i="7" s="1"/>
  <c r="F153" i="7"/>
  <c r="C153" i="7"/>
  <c r="AD151" i="7"/>
  <c r="AC151" i="7"/>
  <c r="AA151" i="7"/>
  <c r="W151" i="7"/>
  <c r="X151" i="7" s="1"/>
  <c r="U151" i="7"/>
  <c r="R151" i="7"/>
  <c r="O151" i="7"/>
  <c r="N151" i="7"/>
  <c r="L151" i="7"/>
  <c r="I151" i="7"/>
  <c r="H151" i="7"/>
  <c r="F151" i="7"/>
  <c r="C151" i="7"/>
  <c r="AA149" i="7"/>
  <c r="Z149" i="7"/>
  <c r="T149" i="7"/>
  <c r="U149" i="7" s="1"/>
  <c r="Q149" i="7"/>
  <c r="W149" i="7" s="1"/>
  <c r="X149" i="7" s="1"/>
  <c r="L149" i="7"/>
  <c r="K149" i="7"/>
  <c r="E149" i="7"/>
  <c r="H149" i="7" s="1"/>
  <c r="I149" i="7" s="1"/>
  <c r="C149" i="7"/>
  <c r="B149" i="7"/>
  <c r="N149" i="7" s="1"/>
  <c r="O149" i="7" s="1"/>
  <c r="AD148" i="7"/>
  <c r="Z148" i="7"/>
  <c r="AA148" i="7" s="1"/>
  <c r="W148" i="7"/>
  <c r="X148" i="7" s="1"/>
  <c r="U148" i="7"/>
  <c r="T148" i="7"/>
  <c r="R148" i="7"/>
  <c r="Q148" i="7"/>
  <c r="AC148" i="7" s="1"/>
  <c r="K148" i="7"/>
  <c r="L148" i="7" s="1"/>
  <c r="F148" i="7"/>
  <c r="E148" i="7"/>
  <c r="B148" i="7"/>
  <c r="C148" i="7" s="1"/>
  <c r="AC147" i="7"/>
  <c r="AD147" i="7" s="1"/>
  <c r="AA147" i="7"/>
  <c r="W147" i="7"/>
  <c r="X147" i="7" s="1"/>
  <c r="U147" i="7"/>
  <c r="R147" i="7"/>
  <c r="O147" i="7"/>
  <c r="N147" i="7"/>
  <c r="L147" i="7"/>
  <c r="I147" i="7"/>
  <c r="H147" i="7"/>
  <c r="F147" i="7"/>
  <c r="C147" i="7"/>
  <c r="AC146" i="7"/>
  <c r="AD146" i="7" s="1"/>
  <c r="AA146" i="7"/>
  <c r="X146" i="7"/>
  <c r="W146" i="7"/>
  <c r="U146" i="7"/>
  <c r="R146" i="7"/>
  <c r="N146" i="7"/>
  <c r="O146" i="7" s="1"/>
  <c r="L146" i="7"/>
  <c r="H146" i="7"/>
  <c r="I146" i="7" s="1"/>
  <c r="F146" i="7"/>
  <c r="C146" i="7"/>
  <c r="AD145" i="7"/>
  <c r="AC145" i="7"/>
  <c r="AA145" i="7"/>
  <c r="X145" i="7"/>
  <c r="W145" i="7"/>
  <c r="U145" i="7"/>
  <c r="R145" i="7"/>
  <c r="N145" i="7"/>
  <c r="O145" i="7" s="1"/>
  <c r="L145" i="7"/>
  <c r="H145" i="7"/>
  <c r="I145" i="7" s="1"/>
  <c r="F145" i="7"/>
  <c r="C145" i="7"/>
  <c r="AD144" i="7"/>
  <c r="AC144" i="7"/>
  <c r="AA144" i="7"/>
  <c r="W144" i="7"/>
  <c r="X144" i="7" s="1"/>
  <c r="U144" i="7"/>
  <c r="R144" i="7"/>
  <c r="O144" i="7"/>
  <c r="N144" i="7"/>
  <c r="L144" i="7"/>
  <c r="I144" i="7"/>
  <c r="H144" i="7"/>
  <c r="F144" i="7"/>
  <c r="C144" i="7"/>
  <c r="AC143" i="7"/>
  <c r="AD143" i="7" s="1"/>
  <c r="AA143" i="7"/>
  <c r="W143" i="7"/>
  <c r="X143" i="7" s="1"/>
  <c r="U143" i="7"/>
  <c r="R143" i="7"/>
  <c r="O143" i="7"/>
  <c r="N143" i="7"/>
  <c r="L143" i="7"/>
  <c r="I143" i="7"/>
  <c r="H143" i="7"/>
  <c r="F143" i="7"/>
  <c r="C143" i="7"/>
  <c r="Z141" i="7"/>
  <c r="AA141" i="7" s="1"/>
  <c r="U141" i="7"/>
  <c r="T141" i="7"/>
  <c r="Q141" i="7"/>
  <c r="R141" i="7" s="1"/>
  <c r="L141" i="7"/>
  <c r="K141" i="7"/>
  <c r="E141" i="7"/>
  <c r="F141" i="7" s="1"/>
  <c r="B141" i="7"/>
  <c r="H141" i="7" s="1"/>
  <c r="I141" i="7" s="1"/>
  <c r="AD140" i="7"/>
  <c r="AC140" i="7"/>
  <c r="AA140" i="7"/>
  <c r="W140" i="7"/>
  <c r="X140" i="7" s="1"/>
  <c r="U140" i="7"/>
  <c r="R140" i="7"/>
  <c r="O140" i="7"/>
  <c r="N140" i="7"/>
  <c r="L140" i="7"/>
  <c r="I140" i="7"/>
  <c r="H140" i="7"/>
  <c r="F140" i="7"/>
  <c r="C140" i="7"/>
  <c r="AC139" i="7"/>
  <c r="AD139" i="7" s="1"/>
  <c r="AA139" i="7"/>
  <c r="W139" i="7"/>
  <c r="X139" i="7" s="1"/>
  <c r="U139" i="7"/>
  <c r="R139" i="7"/>
  <c r="O139" i="7"/>
  <c r="N139" i="7"/>
  <c r="L139" i="7"/>
  <c r="I139" i="7"/>
  <c r="H139" i="7"/>
  <c r="F139" i="7"/>
  <c r="C139" i="7"/>
  <c r="AC138" i="7"/>
  <c r="AD138" i="7" s="1"/>
  <c r="AA138" i="7"/>
  <c r="X138" i="7"/>
  <c r="W138" i="7"/>
  <c r="U138" i="7"/>
  <c r="R138" i="7"/>
  <c r="N138" i="7"/>
  <c r="O138" i="7" s="1"/>
  <c r="L138" i="7"/>
  <c r="H138" i="7"/>
  <c r="I138" i="7" s="1"/>
  <c r="F138" i="7"/>
  <c r="C138" i="7"/>
  <c r="AD137" i="7"/>
  <c r="AC137" i="7"/>
  <c r="AA137" i="7"/>
  <c r="X137" i="7"/>
  <c r="W137" i="7"/>
  <c r="U137" i="7"/>
  <c r="R137" i="7"/>
  <c r="N137" i="7"/>
  <c r="O137" i="7" s="1"/>
  <c r="L137" i="7"/>
  <c r="H137" i="7"/>
  <c r="I137" i="7" s="1"/>
  <c r="F137" i="7"/>
  <c r="C137" i="7"/>
  <c r="AD136" i="7"/>
  <c r="AC136" i="7"/>
  <c r="AA136" i="7"/>
  <c r="W136" i="7"/>
  <c r="X136" i="7" s="1"/>
  <c r="U136" i="7"/>
  <c r="R136" i="7"/>
  <c r="O136" i="7"/>
  <c r="N136" i="7"/>
  <c r="L136" i="7"/>
  <c r="I136" i="7"/>
  <c r="H136" i="7"/>
  <c r="F136" i="7"/>
  <c r="C136" i="7"/>
  <c r="AC135" i="7"/>
  <c r="AD135" i="7" s="1"/>
  <c r="AA135" i="7"/>
  <c r="W135" i="7"/>
  <c r="X135" i="7" s="1"/>
  <c r="U135" i="7"/>
  <c r="R135" i="7"/>
  <c r="O135" i="7"/>
  <c r="N135" i="7"/>
  <c r="L135" i="7"/>
  <c r="I135" i="7"/>
  <c r="H135" i="7"/>
  <c r="F135" i="7"/>
  <c r="C135" i="7"/>
  <c r="AC134" i="7"/>
  <c r="AD134" i="7" s="1"/>
  <c r="AA134" i="7"/>
  <c r="X134" i="7"/>
  <c r="W134" i="7"/>
  <c r="U134" i="7"/>
  <c r="R134" i="7"/>
  <c r="N134" i="7"/>
  <c r="O134" i="7" s="1"/>
  <c r="L134" i="7"/>
  <c r="H134" i="7"/>
  <c r="I134" i="7" s="1"/>
  <c r="F134" i="7"/>
  <c r="C134" i="7"/>
  <c r="AD133" i="7"/>
  <c r="AC133" i="7"/>
  <c r="AA133" i="7"/>
  <c r="X133" i="7"/>
  <c r="W133" i="7"/>
  <c r="U133" i="7"/>
  <c r="R133" i="7"/>
  <c r="N133" i="7"/>
  <c r="O133" i="7" s="1"/>
  <c r="L133" i="7"/>
  <c r="H133" i="7"/>
  <c r="I133" i="7" s="1"/>
  <c r="F133" i="7"/>
  <c r="C133" i="7"/>
  <c r="AD132" i="7"/>
  <c r="AC132" i="7"/>
  <c r="AA132" i="7"/>
  <c r="W132" i="7"/>
  <c r="X132" i="7" s="1"/>
  <c r="U132" i="7"/>
  <c r="R132" i="7"/>
  <c r="O132" i="7"/>
  <c r="N132" i="7"/>
  <c r="L132" i="7"/>
  <c r="I132" i="7"/>
  <c r="H132" i="7"/>
  <c r="F132" i="7"/>
  <c r="C132" i="7"/>
  <c r="AC131" i="7"/>
  <c r="AD131" i="7" s="1"/>
  <c r="AA131" i="7"/>
  <c r="W131" i="7"/>
  <c r="X131" i="7" s="1"/>
  <c r="U131" i="7"/>
  <c r="R131" i="7"/>
  <c r="O131" i="7"/>
  <c r="N131" i="7"/>
  <c r="L131" i="7"/>
  <c r="I131" i="7"/>
  <c r="H131" i="7"/>
  <c r="F131" i="7"/>
  <c r="C131" i="7"/>
  <c r="AC130" i="7"/>
  <c r="AD130" i="7" s="1"/>
  <c r="AA130" i="7"/>
  <c r="X130" i="7"/>
  <c r="W130" i="7"/>
  <c r="U130" i="7"/>
  <c r="R130" i="7"/>
  <c r="N130" i="7"/>
  <c r="O130" i="7" s="1"/>
  <c r="L130" i="7"/>
  <c r="H130" i="7"/>
  <c r="I130" i="7" s="1"/>
  <c r="F130" i="7"/>
  <c r="C130" i="7"/>
  <c r="AD129" i="7"/>
  <c r="AC129" i="7"/>
  <c r="AA129" i="7"/>
  <c r="X129" i="7"/>
  <c r="W129" i="7"/>
  <c r="U129" i="7"/>
  <c r="R129" i="7"/>
  <c r="N129" i="7"/>
  <c r="O129" i="7" s="1"/>
  <c r="L129" i="7"/>
  <c r="H129" i="7"/>
  <c r="I129" i="7" s="1"/>
  <c r="F129" i="7"/>
  <c r="C129" i="7"/>
  <c r="AD127" i="7"/>
  <c r="AC127" i="7"/>
  <c r="AA127" i="7"/>
  <c r="W127" i="7"/>
  <c r="X127" i="7" s="1"/>
  <c r="U127" i="7"/>
  <c r="R127" i="7"/>
  <c r="O127" i="7"/>
  <c r="N127" i="7"/>
  <c r="L127" i="7"/>
  <c r="I127" i="7"/>
  <c r="H127" i="7"/>
  <c r="F127" i="7"/>
  <c r="C127" i="7"/>
  <c r="AA124" i="7"/>
  <c r="Z124" i="7"/>
  <c r="Z172" i="7" s="1"/>
  <c r="Z198" i="7" s="1"/>
  <c r="X124" i="7"/>
  <c r="T124" i="7"/>
  <c r="U124" i="7" s="1"/>
  <c r="Q124" i="7"/>
  <c r="W124" i="7" s="1"/>
  <c r="L124" i="7"/>
  <c r="K124" i="7"/>
  <c r="K172" i="7" s="1"/>
  <c r="E124" i="7"/>
  <c r="H124" i="7" s="1"/>
  <c r="I124" i="7" s="1"/>
  <c r="C124" i="7"/>
  <c r="B124" i="7"/>
  <c r="B172" i="7" s="1"/>
  <c r="AD123" i="7"/>
  <c r="AC123" i="7"/>
  <c r="AA123" i="7"/>
  <c r="X123" i="7"/>
  <c r="W123" i="7"/>
  <c r="U123" i="7"/>
  <c r="R123" i="7"/>
  <c r="N123" i="7"/>
  <c r="O123" i="7" s="1"/>
  <c r="L123" i="7"/>
  <c r="H123" i="7"/>
  <c r="I123" i="7" s="1"/>
  <c r="F123" i="7"/>
  <c r="C123" i="7"/>
  <c r="AA122" i="7"/>
  <c r="Z122" i="7"/>
  <c r="T122" i="7"/>
  <c r="W122" i="7" s="1"/>
  <c r="X122" i="7" s="1"/>
  <c r="R122" i="7"/>
  <c r="Q122" i="7"/>
  <c r="AC122" i="7" s="1"/>
  <c r="AD122" i="7" s="1"/>
  <c r="K122" i="7"/>
  <c r="L122" i="7" s="1"/>
  <c r="H122" i="7"/>
  <c r="I122" i="7" s="1"/>
  <c r="F122" i="7"/>
  <c r="E122" i="7"/>
  <c r="C122" i="7"/>
  <c r="B122" i="7"/>
  <c r="N122" i="7" s="1"/>
  <c r="O122" i="7" s="1"/>
  <c r="AC121" i="7"/>
  <c r="AD121" i="7" s="1"/>
  <c r="AA121" i="7"/>
  <c r="X121" i="7"/>
  <c r="W121" i="7"/>
  <c r="U121" i="7"/>
  <c r="R121" i="7"/>
  <c r="N121" i="7"/>
  <c r="O121" i="7" s="1"/>
  <c r="L121" i="7"/>
  <c r="H121" i="7"/>
  <c r="I121" i="7" s="1"/>
  <c r="F121" i="7"/>
  <c r="C121" i="7"/>
  <c r="AD120" i="7"/>
  <c r="AC120" i="7"/>
  <c r="AA120" i="7"/>
  <c r="X120" i="7"/>
  <c r="W120" i="7"/>
  <c r="U120" i="7"/>
  <c r="R120" i="7"/>
  <c r="N120" i="7"/>
  <c r="O120" i="7" s="1"/>
  <c r="L120" i="7"/>
  <c r="H120" i="7"/>
  <c r="I120" i="7" s="1"/>
  <c r="F120" i="7"/>
  <c r="C120" i="7"/>
  <c r="AD119" i="7"/>
  <c r="AC119" i="7"/>
  <c r="AA119" i="7"/>
  <c r="W119" i="7"/>
  <c r="X119" i="7" s="1"/>
  <c r="U119" i="7"/>
  <c r="R119" i="7"/>
  <c r="O119" i="7"/>
  <c r="N119" i="7"/>
  <c r="L119" i="7"/>
  <c r="I119" i="7"/>
  <c r="H119" i="7"/>
  <c r="F119" i="7"/>
  <c r="C119" i="7"/>
  <c r="AA118" i="7"/>
  <c r="Z118" i="7"/>
  <c r="T118" i="7"/>
  <c r="U118" i="7" s="1"/>
  <c r="Q118" i="7"/>
  <c r="W118" i="7" s="1"/>
  <c r="X118" i="7" s="1"/>
  <c r="L118" i="7"/>
  <c r="K118" i="7"/>
  <c r="E118" i="7"/>
  <c r="H118" i="7" s="1"/>
  <c r="I118" i="7" s="1"/>
  <c r="C118" i="7"/>
  <c r="B118" i="7"/>
  <c r="N118" i="7" s="1"/>
  <c r="O118" i="7" s="1"/>
  <c r="AD117" i="7"/>
  <c r="AC117" i="7"/>
  <c r="AA117" i="7"/>
  <c r="X117" i="7"/>
  <c r="W117" i="7"/>
  <c r="U117" i="7"/>
  <c r="R117" i="7"/>
  <c r="N117" i="7"/>
  <c r="O117" i="7" s="1"/>
  <c r="L117" i="7"/>
  <c r="H117" i="7"/>
  <c r="I117" i="7" s="1"/>
  <c r="F117" i="7"/>
  <c r="C117" i="7"/>
  <c r="AD116" i="7"/>
  <c r="AC116" i="7"/>
  <c r="AA116" i="7"/>
  <c r="X116" i="7"/>
  <c r="W116" i="7"/>
  <c r="U116" i="7"/>
  <c r="R116" i="7"/>
  <c r="O116" i="7"/>
  <c r="N116" i="7"/>
  <c r="L116" i="7"/>
  <c r="I116" i="7"/>
  <c r="H116" i="7"/>
  <c r="F116" i="7"/>
  <c r="C116" i="7"/>
  <c r="AC115" i="7"/>
  <c r="AD115" i="7" s="1"/>
  <c r="AA115" i="7"/>
  <c r="W115" i="7"/>
  <c r="X115" i="7" s="1"/>
  <c r="U115" i="7"/>
  <c r="R115" i="7"/>
  <c r="O115" i="7"/>
  <c r="N115" i="7"/>
  <c r="L115" i="7"/>
  <c r="I115" i="7"/>
  <c r="H115" i="7"/>
  <c r="F115" i="7"/>
  <c r="C115" i="7"/>
  <c r="AC114" i="7"/>
  <c r="AD114" i="7" s="1"/>
  <c r="AA114" i="7"/>
  <c r="X114" i="7"/>
  <c r="W114" i="7"/>
  <c r="U114" i="7"/>
  <c r="R114" i="7"/>
  <c r="N114" i="7"/>
  <c r="O114" i="7" s="1"/>
  <c r="L114" i="7"/>
  <c r="H114" i="7"/>
  <c r="I114" i="7" s="1"/>
  <c r="F114" i="7"/>
  <c r="C114" i="7"/>
  <c r="AD113" i="7"/>
  <c r="AC113" i="7"/>
  <c r="AA113" i="7"/>
  <c r="X113" i="7"/>
  <c r="W113" i="7"/>
  <c r="U113" i="7"/>
  <c r="R113" i="7"/>
  <c r="N113" i="7"/>
  <c r="O113" i="7" s="1"/>
  <c r="L113" i="7"/>
  <c r="H113" i="7"/>
  <c r="I113" i="7" s="1"/>
  <c r="F113" i="7"/>
  <c r="C113" i="7"/>
  <c r="AD112" i="7"/>
  <c r="AC112" i="7"/>
  <c r="AA112" i="7"/>
  <c r="W112" i="7"/>
  <c r="X112" i="7" s="1"/>
  <c r="U112" i="7"/>
  <c r="R112" i="7"/>
  <c r="O112" i="7"/>
  <c r="N112" i="7"/>
  <c r="L112" i="7"/>
  <c r="I112" i="7"/>
  <c r="H112" i="7"/>
  <c r="F112" i="7"/>
  <c r="C112" i="7"/>
  <c r="AC111" i="7"/>
  <c r="AD111" i="7" s="1"/>
  <c r="AA111" i="7"/>
  <c r="W111" i="7"/>
  <c r="X111" i="7" s="1"/>
  <c r="U111" i="7"/>
  <c r="R111" i="7"/>
  <c r="O111" i="7"/>
  <c r="N111" i="7"/>
  <c r="L111" i="7"/>
  <c r="I111" i="7"/>
  <c r="H111" i="7"/>
  <c r="F111" i="7"/>
  <c r="C111" i="7"/>
  <c r="AC110" i="7"/>
  <c r="AD110" i="7" s="1"/>
  <c r="AA110" i="7"/>
  <c r="X110" i="7"/>
  <c r="W110" i="7"/>
  <c r="U110" i="7"/>
  <c r="R110" i="7"/>
  <c r="N110" i="7"/>
  <c r="O110" i="7" s="1"/>
  <c r="L110" i="7"/>
  <c r="H110" i="7"/>
  <c r="I110" i="7" s="1"/>
  <c r="F110" i="7"/>
  <c r="C110" i="7"/>
  <c r="AD109" i="7"/>
  <c r="AC109" i="7"/>
  <c r="AA109" i="7"/>
  <c r="X109" i="7"/>
  <c r="W109" i="7"/>
  <c r="U109" i="7"/>
  <c r="R109" i="7"/>
  <c r="N109" i="7"/>
  <c r="O109" i="7" s="1"/>
  <c r="L109" i="7"/>
  <c r="H109" i="7"/>
  <c r="I109" i="7" s="1"/>
  <c r="F109" i="7"/>
  <c r="C109" i="7"/>
  <c r="AD108" i="7"/>
  <c r="AC108" i="7"/>
  <c r="AA108" i="7"/>
  <c r="W108" i="7"/>
  <c r="X108" i="7" s="1"/>
  <c r="U108" i="7"/>
  <c r="R108" i="7"/>
  <c r="O108" i="7"/>
  <c r="N108" i="7"/>
  <c r="L108" i="7"/>
  <c r="I108" i="7"/>
  <c r="H108" i="7"/>
  <c r="F108" i="7"/>
  <c r="C108" i="7"/>
  <c r="AC107" i="7"/>
  <c r="AD107" i="7" s="1"/>
  <c r="AA107" i="7"/>
  <c r="W107" i="7"/>
  <c r="X107" i="7" s="1"/>
  <c r="U107" i="7"/>
  <c r="R107" i="7"/>
  <c r="O107" i="7"/>
  <c r="N107" i="7"/>
  <c r="L107" i="7"/>
  <c r="I107" i="7"/>
  <c r="H107" i="7"/>
  <c r="F107" i="7"/>
  <c r="C107" i="7"/>
  <c r="AC106" i="7"/>
  <c r="AD106" i="7" s="1"/>
  <c r="AA106" i="7"/>
  <c r="X106" i="7"/>
  <c r="W106" i="7"/>
  <c r="U106" i="7"/>
  <c r="R106" i="7"/>
  <c r="N106" i="7"/>
  <c r="O106" i="7" s="1"/>
  <c r="L106" i="7"/>
  <c r="H106" i="7"/>
  <c r="I106" i="7" s="1"/>
  <c r="F106" i="7"/>
  <c r="C106" i="7"/>
  <c r="AD105" i="7"/>
  <c r="AC105" i="7"/>
  <c r="AA105" i="7"/>
  <c r="X105" i="7"/>
  <c r="W105" i="7"/>
  <c r="U105" i="7"/>
  <c r="R105" i="7"/>
  <c r="N105" i="7"/>
  <c r="O105" i="7" s="1"/>
  <c r="L105" i="7"/>
  <c r="H105" i="7"/>
  <c r="I105" i="7" s="1"/>
  <c r="F105" i="7"/>
  <c r="C105" i="7"/>
  <c r="AD104" i="7"/>
  <c r="AC104" i="7"/>
  <c r="AA104" i="7"/>
  <c r="W104" i="7"/>
  <c r="X104" i="7" s="1"/>
  <c r="U104" i="7"/>
  <c r="R104" i="7"/>
  <c r="O104" i="7"/>
  <c r="N104" i="7"/>
  <c r="L104" i="7"/>
  <c r="I104" i="7"/>
  <c r="H104" i="7"/>
  <c r="F104" i="7"/>
  <c r="C104" i="7"/>
  <c r="AC103" i="7"/>
  <c r="AD103" i="7" s="1"/>
  <c r="AA103" i="7"/>
  <c r="W103" i="7"/>
  <c r="X103" i="7" s="1"/>
  <c r="U103" i="7"/>
  <c r="R103" i="7"/>
  <c r="O103" i="7"/>
  <c r="N103" i="7"/>
  <c r="L103" i="7"/>
  <c r="I103" i="7"/>
  <c r="H103" i="7"/>
  <c r="F103" i="7"/>
  <c r="C103" i="7"/>
  <c r="AC102" i="7"/>
  <c r="AD102" i="7" s="1"/>
  <c r="AA102" i="7"/>
  <c r="X102" i="7"/>
  <c r="W102" i="7"/>
  <c r="U102" i="7"/>
  <c r="R102" i="7"/>
  <c r="N102" i="7"/>
  <c r="O102" i="7" s="1"/>
  <c r="L102" i="7"/>
  <c r="H102" i="7"/>
  <c r="I102" i="7" s="1"/>
  <c r="F102" i="7"/>
  <c r="C102" i="7"/>
  <c r="AD101" i="7"/>
  <c r="AC101" i="7"/>
  <c r="AA101" i="7"/>
  <c r="X101" i="7"/>
  <c r="W101" i="7"/>
  <c r="U101" i="7"/>
  <c r="R101" i="7"/>
  <c r="N101" i="7"/>
  <c r="O101" i="7" s="1"/>
  <c r="L101" i="7"/>
  <c r="H101" i="7"/>
  <c r="I101" i="7" s="1"/>
  <c r="F101" i="7"/>
  <c r="C101" i="7"/>
  <c r="AD100" i="7"/>
  <c r="AC100" i="7"/>
  <c r="AA100" i="7"/>
  <c r="W100" i="7"/>
  <c r="X100" i="7" s="1"/>
  <c r="U100" i="7"/>
  <c r="R100" i="7"/>
  <c r="N100" i="7"/>
  <c r="O100" i="7" s="1"/>
  <c r="L100" i="7"/>
  <c r="I100" i="7"/>
  <c r="H100" i="7"/>
  <c r="F100" i="7"/>
  <c r="C100" i="7"/>
  <c r="AC99" i="7"/>
  <c r="AD99" i="7" s="1"/>
  <c r="AA99" i="7"/>
  <c r="W99" i="7"/>
  <c r="X99" i="7" s="1"/>
  <c r="U99" i="7"/>
  <c r="R99" i="7"/>
  <c r="O99" i="7"/>
  <c r="N99" i="7"/>
  <c r="L99" i="7"/>
  <c r="I99" i="7"/>
  <c r="H99" i="7"/>
  <c r="F99" i="7"/>
  <c r="C99" i="7"/>
  <c r="AC98" i="7"/>
  <c r="AD98" i="7" s="1"/>
  <c r="AA98" i="7"/>
  <c r="W98" i="7"/>
  <c r="X98" i="7" s="1"/>
  <c r="U98" i="7"/>
  <c r="R98" i="7"/>
  <c r="N98" i="7"/>
  <c r="O98" i="7" s="1"/>
  <c r="L98" i="7"/>
  <c r="H98" i="7"/>
  <c r="I98" i="7" s="1"/>
  <c r="F98" i="7"/>
  <c r="C98" i="7"/>
  <c r="AD97" i="7"/>
  <c r="AC97" i="7"/>
  <c r="AA97" i="7"/>
  <c r="X97" i="7"/>
  <c r="W97" i="7"/>
  <c r="U97" i="7"/>
  <c r="R97" i="7"/>
  <c r="N97" i="7"/>
  <c r="O97" i="7" s="1"/>
  <c r="L97" i="7"/>
  <c r="H97" i="7"/>
  <c r="I97" i="7" s="1"/>
  <c r="F97" i="7"/>
  <c r="C97" i="7"/>
  <c r="AD96" i="7"/>
  <c r="AC96" i="7"/>
  <c r="AA96" i="7"/>
  <c r="W96" i="7"/>
  <c r="X96" i="7" s="1"/>
  <c r="U96" i="7"/>
  <c r="R96" i="7"/>
  <c r="N96" i="7"/>
  <c r="O96" i="7" s="1"/>
  <c r="L96" i="7"/>
  <c r="I96" i="7"/>
  <c r="H96" i="7"/>
  <c r="F96" i="7"/>
  <c r="C96" i="7"/>
  <c r="AC95" i="7"/>
  <c r="AD95" i="7" s="1"/>
  <c r="AA95" i="7"/>
  <c r="W95" i="7"/>
  <c r="X95" i="7" s="1"/>
  <c r="U95" i="7"/>
  <c r="R95" i="7"/>
  <c r="O95" i="7"/>
  <c r="N95" i="7"/>
  <c r="L95" i="7"/>
  <c r="I95" i="7"/>
  <c r="H95" i="7"/>
  <c r="F95" i="7"/>
  <c r="C95" i="7"/>
  <c r="AC94" i="7"/>
  <c r="AD94" i="7" s="1"/>
  <c r="AA94" i="7"/>
  <c r="W94" i="7"/>
  <c r="X94" i="7" s="1"/>
  <c r="U94" i="7"/>
  <c r="R94" i="7"/>
  <c r="N94" i="7"/>
  <c r="O94" i="7" s="1"/>
  <c r="L94" i="7"/>
  <c r="H94" i="7"/>
  <c r="I94" i="7" s="1"/>
  <c r="F94" i="7"/>
  <c r="C94" i="7"/>
  <c r="AD92" i="7"/>
  <c r="AC92" i="7"/>
  <c r="AA92" i="7"/>
  <c r="X92" i="7"/>
  <c r="W92" i="7"/>
  <c r="U92" i="7"/>
  <c r="R92" i="7"/>
  <c r="N92" i="7"/>
  <c r="O92" i="7" s="1"/>
  <c r="L92" i="7"/>
  <c r="H92" i="7"/>
  <c r="I92" i="7" s="1"/>
  <c r="F92" i="7"/>
  <c r="C92" i="7"/>
  <c r="AD91" i="7"/>
  <c r="AC91" i="7"/>
  <c r="AA91" i="7"/>
  <c r="W91" i="7"/>
  <c r="X91" i="7" s="1"/>
  <c r="U91" i="7"/>
  <c r="R91" i="7"/>
  <c r="N91" i="7"/>
  <c r="O91" i="7" s="1"/>
  <c r="L91" i="7"/>
  <c r="I91" i="7"/>
  <c r="H91" i="7"/>
  <c r="F91" i="7"/>
  <c r="C91" i="7"/>
  <c r="AC90" i="7"/>
  <c r="AD90" i="7" s="1"/>
  <c r="AA90" i="7"/>
  <c r="W90" i="7"/>
  <c r="X90" i="7" s="1"/>
  <c r="U90" i="7"/>
  <c r="R90" i="7"/>
  <c r="N90" i="7"/>
  <c r="O90" i="7" s="1"/>
  <c r="L90" i="7"/>
  <c r="I90" i="7"/>
  <c r="H90" i="7"/>
  <c r="F90" i="7"/>
  <c r="C90" i="7"/>
  <c r="AC89" i="7"/>
  <c r="AD89" i="7" s="1"/>
  <c r="AA89" i="7"/>
  <c r="X89" i="7"/>
  <c r="W89" i="7"/>
  <c r="U89" i="7"/>
  <c r="R89" i="7"/>
  <c r="N89" i="7"/>
  <c r="O89" i="7" s="1"/>
  <c r="L89" i="7"/>
  <c r="H89" i="7"/>
  <c r="I89" i="7" s="1"/>
  <c r="F89" i="7"/>
  <c r="C89" i="7"/>
  <c r="Z88" i="7"/>
  <c r="AA88" i="7" s="1"/>
  <c r="W88" i="7"/>
  <c r="X88" i="7" s="1"/>
  <c r="U88" i="7"/>
  <c r="T88" i="7"/>
  <c r="R88" i="7"/>
  <c r="Q88" i="7"/>
  <c r="L88" i="7"/>
  <c r="K88" i="7"/>
  <c r="F88" i="7"/>
  <c r="E88" i="7"/>
  <c r="B88" i="7"/>
  <c r="AC87" i="7"/>
  <c r="AD87" i="7" s="1"/>
  <c r="AA87" i="7"/>
  <c r="W87" i="7"/>
  <c r="X87" i="7" s="1"/>
  <c r="U87" i="7"/>
  <c r="R87" i="7"/>
  <c r="N87" i="7"/>
  <c r="O87" i="7" s="1"/>
  <c r="L87" i="7"/>
  <c r="I87" i="7"/>
  <c r="H87" i="7"/>
  <c r="F87" i="7"/>
  <c r="C87" i="7"/>
  <c r="AC86" i="7"/>
  <c r="AD86" i="7" s="1"/>
  <c r="AA86" i="7"/>
  <c r="X86" i="7"/>
  <c r="W86" i="7"/>
  <c r="U86" i="7"/>
  <c r="R86" i="7"/>
  <c r="N86" i="7"/>
  <c r="O86" i="7" s="1"/>
  <c r="L86" i="7"/>
  <c r="H86" i="7"/>
  <c r="I86" i="7" s="1"/>
  <c r="F86" i="7"/>
  <c r="C86" i="7"/>
  <c r="AD85" i="7"/>
  <c r="AC85" i="7"/>
  <c r="AA85" i="7"/>
  <c r="X85" i="7"/>
  <c r="W85" i="7"/>
  <c r="U85" i="7"/>
  <c r="R85" i="7"/>
  <c r="N85" i="7"/>
  <c r="O85" i="7" s="1"/>
  <c r="L85" i="7"/>
  <c r="H85" i="7"/>
  <c r="I85" i="7" s="1"/>
  <c r="F85" i="7"/>
  <c r="C85" i="7"/>
  <c r="AD84" i="7"/>
  <c r="AC84" i="7"/>
  <c r="AA84" i="7"/>
  <c r="W84" i="7"/>
  <c r="X84" i="7" s="1"/>
  <c r="U84" i="7"/>
  <c r="R84" i="7"/>
  <c r="N84" i="7"/>
  <c r="O84" i="7" s="1"/>
  <c r="L84" i="7"/>
  <c r="I84" i="7"/>
  <c r="H84" i="7"/>
  <c r="F84" i="7"/>
  <c r="C84" i="7"/>
  <c r="AD83" i="7"/>
  <c r="AC83" i="7"/>
  <c r="AA83" i="7"/>
  <c r="W83" i="7"/>
  <c r="X83" i="7" s="1"/>
  <c r="U83" i="7"/>
  <c r="R83" i="7"/>
  <c r="N83" i="7"/>
  <c r="O83" i="7" s="1"/>
  <c r="L83" i="7"/>
  <c r="I83" i="7"/>
  <c r="H83" i="7"/>
  <c r="F83" i="7"/>
  <c r="C83" i="7"/>
  <c r="AC82" i="7"/>
  <c r="AD82" i="7" s="1"/>
  <c r="AA82" i="7"/>
  <c r="W82" i="7"/>
  <c r="X82" i="7" s="1"/>
  <c r="U82" i="7"/>
  <c r="R82" i="7"/>
  <c r="N82" i="7"/>
  <c r="O82" i="7" s="1"/>
  <c r="L82" i="7"/>
  <c r="I82" i="7"/>
  <c r="H82" i="7"/>
  <c r="F82" i="7"/>
  <c r="C82" i="7"/>
  <c r="AD81" i="7"/>
  <c r="AC81" i="7"/>
  <c r="AA81" i="7"/>
  <c r="W81" i="7"/>
  <c r="X81" i="7" s="1"/>
  <c r="U81" i="7"/>
  <c r="R81" i="7"/>
  <c r="N81" i="7"/>
  <c r="O81" i="7" s="1"/>
  <c r="L81" i="7"/>
  <c r="H81" i="7"/>
  <c r="I81" i="7" s="1"/>
  <c r="F81" i="7"/>
  <c r="C81" i="7"/>
  <c r="AD80" i="7"/>
  <c r="AC80" i="7"/>
  <c r="AA80" i="7"/>
  <c r="W80" i="7"/>
  <c r="X80" i="7" s="1"/>
  <c r="U80" i="7"/>
  <c r="R80" i="7"/>
  <c r="N80" i="7"/>
  <c r="O80" i="7" s="1"/>
  <c r="L80" i="7"/>
  <c r="I80" i="7"/>
  <c r="H80" i="7"/>
  <c r="F80" i="7"/>
  <c r="C80" i="7"/>
  <c r="AD79" i="7"/>
  <c r="AC79" i="7"/>
  <c r="AA79" i="7"/>
  <c r="W79" i="7"/>
  <c r="X79" i="7" s="1"/>
  <c r="U79" i="7"/>
  <c r="R79" i="7"/>
  <c r="O79" i="7"/>
  <c r="N79" i="7"/>
  <c r="L79" i="7"/>
  <c r="I79" i="7"/>
  <c r="H79" i="7"/>
  <c r="F79" i="7"/>
  <c r="C79" i="7"/>
  <c r="AC78" i="7"/>
  <c r="AD78" i="7" s="1"/>
  <c r="AA78" i="7"/>
  <c r="W78" i="7"/>
  <c r="X78" i="7" s="1"/>
  <c r="U78" i="7"/>
  <c r="R78" i="7"/>
  <c r="O78" i="7"/>
  <c r="N78" i="7"/>
  <c r="L78" i="7"/>
  <c r="I78" i="7"/>
  <c r="H78" i="7"/>
  <c r="F78" i="7"/>
  <c r="C78" i="7"/>
  <c r="AD77" i="7"/>
  <c r="AC77" i="7"/>
  <c r="AA77" i="7"/>
  <c r="W77" i="7"/>
  <c r="X77" i="7" s="1"/>
  <c r="U77" i="7"/>
  <c r="R77" i="7"/>
  <c r="N77" i="7"/>
  <c r="O77" i="7" s="1"/>
  <c r="L77" i="7"/>
  <c r="H77" i="7"/>
  <c r="I77" i="7" s="1"/>
  <c r="F77" i="7"/>
  <c r="C77" i="7"/>
  <c r="AD76" i="7"/>
  <c r="AC76" i="7"/>
  <c r="AA76" i="7"/>
  <c r="W76" i="7"/>
  <c r="X76" i="7" s="1"/>
  <c r="U76" i="7"/>
  <c r="R76" i="7"/>
  <c r="N76" i="7"/>
  <c r="O76" i="7" s="1"/>
  <c r="L76" i="7"/>
  <c r="I76" i="7"/>
  <c r="H76" i="7"/>
  <c r="F76" i="7"/>
  <c r="C76" i="7"/>
  <c r="AD75" i="7"/>
  <c r="AC75" i="7"/>
  <c r="AA75" i="7"/>
  <c r="W75" i="7"/>
  <c r="X75" i="7" s="1"/>
  <c r="U75" i="7"/>
  <c r="R75" i="7"/>
  <c r="N75" i="7"/>
  <c r="O75" i="7" s="1"/>
  <c r="L75" i="7"/>
  <c r="I75" i="7"/>
  <c r="H75" i="7"/>
  <c r="F75" i="7"/>
  <c r="C75" i="7"/>
  <c r="Z73" i="7"/>
  <c r="AA73" i="7" s="1"/>
  <c r="U73" i="7"/>
  <c r="T73" i="7"/>
  <c r="Q73" i="7"/>
  <c r="AC73" i="7" s="1"/>
  <c r="AD73" i="7" s="1"/>
  <c r="L73" i="7"/>
  <c r="K73" i="7"/>
  <c r="I73" i="7"/>
  <c r="E73" i="7"/>
  <c r="F73" i="7" s="1"/>
  <c r="B73" i="7"/>
  <c r="H73" i="7" s="1"/>
  <c r="AD72" i="7"/>
  <c r="AC72" i="7"/>
  <c r="AA72" i="7"/>
  <c r="W72" i="7"/>
  <c r="X72" i="7" s="1"/>
  <c r="U72" i="7"/>
  <c r="R72" i="7"/>
  <c r="N72" i="7"/>
  <c r="O72" i="7" s="1"/>
  <c r="L72" i="7"/>
  <c r="I72" i="7"/>
  <c r="H72" i="7"/>
  <c r="F72" i="7"/>
  <c r="C72" i="7"/>
  <c r="AC71" i="7"/>
  <c r="AD71" i="7" s="1"/>
  <c r="AA71" i="7"/>
  <c r="W71" i="7"/>
  <c r="X71" i="7" s="1"/>
  <c r="U71" i="7"/>
  <c r="R71" i="7"/>
  <c r="N71" i="7"/>
  <c r="O71" i="7" s="1"/>
  <c r="L71" i="7"/>
  <c r="I71" i="7"/>
  <c r="H71" i="7"/>
  <c r="F71" i="7"/>
  <c r="C71" i="7"/>
  <c r="AC70" i="7"/>
  <c r="AD70" i="7" s="1"/>
  <c r="AA70" i="7"/>
  <c r="X70" i="7"/>
  <c r="W70" i="7"/>
  <c r="U70" i="7"/>
  <c r="R70" i="7"/>
  <c r="N70" i="7"/>
  <c r="O70" i="7" s="1"/>
  <c r="L70" i="7"/>
  <c r="H70" i="7"/>
  <c r="I70" i="7" s="1"/>
  <c r="F70" i="7"/>
  <c r="C70" i="7"/>
  <c r="AD69" i="7"/>
  <c r="AC69" i="7"/>
  <c r="AA69" i="7"/>
  <c r="X69" i="7"/>
  <c r="W69" i="7"/>
  <c r="U69" i="7"/>
  <c r="R69" i="7"/>
  <c r="N69" i="7"/>
  <c r="O69" i="7" s="1"/>
  <c r="L69" i="7"/>
  <c r="H69" i="7"/>
  <c r="I69" i="7" s="1"/>
  <c r="F69" i="7"/>
  <c r="C69" i="7"/>
  <c r="AD68" i="7"/>
  <c r="AC68" i="7"/>
  <c r="AA68" i="7"/>
  <c r="W68" i="7"/>
  <c r="X68" i="7" s="1"/>
  <c r="U68" i="7"/>
  <c r="R68" i="7"/>
  <c r="N68" i="7"/>
  <c r="O68" i="7" s="1"/>
  <c r="L68" i="7"/>
  <c r="I68" i="7"/>
  <c r="H68" i="7"/>
  <c r="F68" i="7"/>
  <c r="C68" i="7"/>
  <c r="AD67" i="7"/>
  <c r="AC67" i="7"/>
  <c r="AA67" i="7"/>
  <c r="W67" i="7"/>
  <c r="X67" i="7" s="1"/>
  <c r="U67" i="7"/>
  <c r="R67" i="7"/>
  <c r="N67" i="7"/>
  <c r="O67" i="7" s="1"/>
  <c r="L67" i="7"/>
  <c r="I67" i="7"/>
  <c r="H67" i="7"/>
  <c r="F67" i="7"/>
  <c r="C67" i="7"/>
  <c r="AC66" i="7"/>
  <c r="AD66" i="7" s="1"/>
  <c r="AA66" i="7"/>
  <c r="W66" i="7"/>
  <c r="X66" i="7" s="1"/>
  <c r="U66" i="7"/>
  <c r="R66" i="7"/>
  <c r="N66" i="7"/>
  <c r="O66" i="7" s="1"/>
  <c r="L66" i="7"/>
  <c r="I66" i="7"/>
  <c r="H66" i="7"/>
  <c r="F66" i="7"/>
  <c r="C66" i="7"/>
  <c r="AD65" i="7"/>
  <c r="AC65" i="7"/>
  <c r="AA65" i="7"/>
  <c r="W65" i="7"/>
  <c r="X65" i="7" s="1"/>
  <c r="U65" i="7"/>
  <c r="R65" i="7"/>
  <c r="N65" i="7"/>
  <c r="O65" i="7" s="1"/>
  <c r="L65" i="7"/>
  <c r="H65" i="7"/>
  <c r="I65" i="7" s="1"/>
  <c r="F65" i="7"/>
  <c r="C65" i="7"/>
  <c r="AD64" i="7"/>
  <c r="AC64" i="7"/>
  <c r="AA64" i="7"/>
  <c r="W64" i="7"/>
  <c r="X64" i="7" s="1"/>
  <c r="U64" i="7"/>
  <c r="R64" i="7"/>
  <c r="N64" i="7"/>
  <c r="O64" i="7" s="1"/>
  <c r="L64" i="7"/>
  <c r="I64" i="7"/>
  <c r="H64" i="7"/>
  <c r="F64" i="7"/>
  <c r="C64" i="7"/>
  <c r="AA62" i="7"/>
  <c r="Z62" i="7"/>
  <c r="T62" i="7"/>
  <c r="U62" i="7" s="1"/>
  <c r="R62" i="7"/>
  <c r="Q62" i="7"/>
  <c r="W62" i="7" s="1"/>
  <c r="X62" i="7" s="1"/>
  <c r="O62" i="7"/>
  <c r="L62" i="7"/>
  <c r="K62" i="7"/>
  <c r="H62" i="7"/>
  <c r="I62" i="7" s="1"/>
  <c r="E62" i="7"/>
  <c r="F62" i="7" s="1"/>
  <c r="C62" i="7"/>
  <c r="B62" i="7"/>
  <c r="N62" i="7" s="1"/>
  <c r="AD61" i="7"/>
  <c r="Z61" i="7"/>
  <c r="AA61" i="7" s="1"/>
  <c r="W61" i="7"/>
  <c r="X61" i="7" s="1"/>
  <c r="U61" i="7"/>
  <c r="T61" i="7"/>
  <c r="R61" i="7"/>
  <c r="Q61" i="7"/>
  <c r="AC61" i="7" s="1"/>
  <c r="K61" i="7"/>
  <c r="L61" i="7" s="1"/>
  <c r="F61" i="7"/>
  <c r="E61" i="7"/>
  <c r="B61" i="7"/>
  <c r="AC60" i="7"/>
  <c r="AD60" i="7" s="1"/>
  <c r="AA60" i="7"/>
  <c r="W60" i="7"/>
  <c r="X60" i="7" s="1"/>
  <c r="U60" i="7"/>
  <c r="R60" i="7"/>
  <c r="N60" i="7"/>
  <c r="O60" i="7" s="1"/>
  <c r="L60" i="7"/>
  <c r="I60" i="7"/>
  <c r="H60" i="7"/>
  <c r="F60" i="7"/>
  <c r="C60" i="7"/>
  <c r="AC59" i="7"/>
  <c r="AD59" i="7" s="1"/>
  <c r="AA59" i="7"/>
  <c r="X59" i="7"/>
  <c r="W59" i="7"/>
  <c r="U59" i="7"/>
  <c r="R59" i="7"/>
  <c r="N59" i="7"/>
  <c r="O59" i="7" s="1"/>
  <c r="L59" i="7"/>
  <c r="H59" i="7"/>
  <c r="I59" i="7" s="1"/>
  <c r="F59" i="7"/>
  <c r="C59" i="7"/>
  <c r="AD58" i="7"/>
  <c r="AC58" i="7"/>
  <c r="AA58" i="7"/>
  <c r="X58" i="7"/>
  <c r="W58" i="7"/>
  <c r="U58" i="7"/>
  <c r="R58" i="7"/>
  <c r="N58" i="7"/>
  <c r="O58" i="7" s="1"/>
  <c r="L58" i="7"/>
  <c r="H58" i="7"/>
  <c r="I58" i="7" s="1"/>
  <c r="F58" i="7"/>
  <c r="C58" i="7"/>
  <c r="AD57" i="7"/>
  <c r="AC57" i="7"/>
  <c r="AA57" i="7"/>
  <c r="W57" i="7"/>
  <c r="X57" i="7" s="1"/>
  <c r="U57" i="7"/>
  <c r="R57" i="7"/>
  <c r="N57" i="7"/>
  <c r="O57" i="7" s="1"/>
  <c r="L57" i="7"/>
  <c r="I57" i="7"/>
  <c r="H57" i="7"/>
  <c r="F57" i="7"/>
  <c r="C57" i="7"/>
  <c r="AC56" i="7"/>
  <c r="AD56" i="7" s="1"/>
  <c r="AA56" i="7"/>
  <c r="W56" i="7"/>
  <c r="X56" i="7" s="1"/>
  <c r="U56" i="7"/>
  <c r="R56" i="7"/>
  <c r="N56" i="7"/>
  <c r="O56" i="7" s="1"/>
  <c r="L56" i="7"/>
  <c r="I56" i="7"/>
  <c r="H56" i="7"/>
  <c r="F56" i="7"/>
  <c r="C56" i="7"/>
  <c r="AC55" i="7"/>
  <c r="AD55" i="7" s="1"/>
  <c r="AA55" i="7"/>
  <c r="X55" i="7"/>
  <c r="W55" i="7"/>
  <c r="U55" i="7"/>
  <c r="R55" i="7"/>
  <c r="N55" i="7"/>
  <c r="O55" i="7" s="1"/>
  <c r="L55" i="7"/>
  <c r="I55" i="7"/>
  <c r="H55" i="7"/>
  <c r="F55" i="7"/>
  <c r="C55" i="7"/>
  <c r="AD54" i="7"/>
  <c r="AC54" i="7"/>
  <c r="AA54" i="7"/>
  <c r="W54" i="7"/>
  <c r="X54" i="7" s="1"/>
  <c r="U54" i="7"/>
  <c r="R54" i="7"/>
  <c r="N54" i="7"/>
  <c r="O54" i="7" s="1"/>
  <c r="L54" i="7"/>
  <c r="H54" i="7"/>
  <c r="I54" i="7" s="1"/>
  <c r="F54" i="7"/>
  <c r="C54" i="7"/>
  <c r="AD53" i="7"/>
  <c r="AC53" i="7"/>
  <c r="AA53" i="7"/>
  <c r="W53" i="7"/>
  <c r="X53" i="7" s="1"/>
  <c r="U53" i="7"/>
  <c r="R53" i="7"/>
  <c r="N53" i="7"/>
  <c r="O53" i="7" s="1"/>
  <c r="L53" i="7"/>
  <c r="I53" i="7"/>
  <c r="H53" i="7"/>
  <c r="F53" i="7"/>
  <c r="C53" i="7"/>
  <c r="AD52" i="7"/>
  <c r="AC52" i="7"/>
  <c r="AA52" i="7"/>
  <c r="W52" i="7"/>
  <c r="X52" i="7" s="1"/>
  <c r="U52" i="7"/>
  <c r="R52" i="7"/>
  <c r="N52" i="7"/>
  <c r="O52" i="7" s="1"/>
  <c r="L52" i="7"/>
  <c r="I52" i="7"/>
  <c r="H52" i="7"/>
  <c r="F52" i="7"/>
  <c r="C52" i="7"/>
  <c r="AC51" i="7"/>
  <c r="AD51" i="7" s="1"/>
  <c r="AA51" i="7"/>
  <c r="W51" i="7"/>
  <c r="X51" i="7" s="1"/>
  <c r="U51" i="7"/>
  <c r="R51" i="7"/>
  <c r="N51" i="7"/>
  <c r="O51" i="7" s="1"/>
  <c r="L51" i="7"/>
  <c r="I51" i="7"/>
  <c r="H51" i="7"/>
  <c r="F51" i="7"/>
  <c r="C51" i="7"/>
  <c r="AD50" i="7"/>
  <c r="AC50" i="7"/>
  <c r="AA50" i="7"/>
  <c r="W50" i="7"/>
  <c r="X50" i="7" s="1"/>
  <c r="U50" i="7"/>
  <c r="R50" i="7"/>
  <c r="N50" i="7"/>
  <c r="O50" i="7" s="1"/>
  <c r="L50" i="7"/>
  <c r="H50" i="7"/>
  <c r="I50" i="7" s="1"/>
  <c r="F50" i="7"/>
  <c r="C50" i="7"/>
  <c r="AD49" i="7"/>
  <c r="AC49" i="7"/>
  <c r="AA49" i="7"/>
  <c r="W49" i="7"/>
  <c r="X49" i="7" s="1"/>
  <c r="U49" i="7"/>
  <c r="R49" i="7"/>
  <c r="O49" i="7"/>
  <c r="N49" i="7"/>
  <c r="L49" i="7"/>
  <c r="I49" i="7"/>
  <c r="H49" i="7"/>
  <c r="F49" i="7"/>
  <c r="C49" i="7"/>
  <c r="AC48" i="7"/>
  <c r="AD48" i="7" s="1"/>
  <c r="AA48" i="7"/>
  <c r="W48" i="7"/>
  <c r="X48" i="7" s="1"/>
  <c r="U48" i="7"/>
  <c r="R48" i="7"/>
  <c r="O48" i="7"/>
  <c r="N48" i="7"/>
  <c r="L48" i="7"/>
  <c r="I48" i="7"/>
  <c r="H48" i="7"/>
  <c r="F48" i="7"/>
  <c r="C48" i="7"/>
  <c r="AC47" i="7"/>
  <c r="AD47" i="7" s="1"/>
  <c r="AA47" i="7"/>
  <c r="W47" i="7"/>
  <c r="X47" i="7" s="1"/>
  <c r="U47" i="7"/>
  <c r="R47" i="7"/>
  <c r="N47" i="7"/>
  <c r="O47" i="7" s="1"/>
  <c r="L47" i="7"/>
  <c r="H47" i="7"/>
  <c r="I47" i="7" s="1"/>
  <c r="F47" i="7"/>
  <c r="C47" i="7"/>
  <c r="AD46" i="7"/>
  <c r="AC46" i="7"/>
  <c r="AA46" i="7"/>
  <c r="W46" i="7"/>
  <c r="X46" i="7" s="1"/>
  <c r="U46" i="7"/>
  <c r="R46" i="7"/>
  <c r="N46" i="7"/>
  <c r="O46" i="7" s="1"/>
  <c r="L46" i="7"/>
  <c r="H46" i="7"/>
  <c r="I46" i="7" s="1"/>
  <c r="F46" i="7"/>
  <c r="C46" i="7"/>
  <c r="AD44" i="7"/>
  <c r="AC44" i="7"/>
  <c r="AA44" i="7"/>
  <c r="W44" i="7"/>
  <c r="X44" i="7" s="1"/>
  <c r="U44" i="7"/>
  <c r="R44" i="7"/>
  <c r="O44" i="7"/>
  <c r="N44" i="7"/>
  <c r="L44" i="7"/>
  <c r="I44" i="7"/>
  <c r="H44" i="7"/>
  <c r="F44" i="7"/>
  <c r="C44" i="7"/>
  <c r="AC43" i="7"/>
  <c r="AD43" i="7" s="1"/>
  <c r="AA43" i="7"/>
  <c r="W43" i="7"/>
  <c r="X43" i="7" s="1"/>
  <c r="U43" i="7"/>
  <c r="R43" i="7"/>
  <c r="N43" i="7"/>
  <c r="O43" i="7" s="1"/>
  <c r="L43" i="7"/>
  <c r="I43" i="7"/>
  <c r="H43" i="7"/>
  <c r="F43" i="7"/>
  <c r="C43" i="7"/>
  <c r="AC42" i="7"/>
  <c r="AD42" i="7" s="1"/>
  <c r="AA42" i="7"/>
  <c r="X42" i="7"/>
  <c r="W42" i="7"/>
  <c r="U42" i="7"/>
  <c r="R42" i="7"/>
  <c r="N42" i="7"/>
  <c r="O42" i="7" s="1"/>
  <c r="L42" i="7"/>
  <c r="H42" i="7"/>
  <c r="I42" i="7" s="1"/>
  <c r="F42" i="7"/>
  <c r="C42" i="7"/>
  <c r="Z40" i="7"/>
  <c r="AA40" i="7" s="1"/>
  <c r="X40" i="7"/>
  <c r="W40" i="7"/>
  <c r="U40" i="7"/>
  <c r="T40" i="7"/>
  <c r="R40" i="7"/>
  <c r="Q40" i="7"/>
  <c r="AC40" i="7" s="1"/>
  <c r="AD40" i="7" s="1"/>
  <c r="K40" i="7"/>
  <c r="L40" i="7" s="1"/>
  <c r="F40" i="7"/>
  <c r="E40" i="7"/>
  <c r="B40" i="7"/>
  <c r="AC39" i="7"/>
  <c r="AD39" i="7" s="1"/>
  <c r="AA39" i="7"/>
  <c r="W39" i="7"/>
  <c r="X39" i="7" s="1"/>
  <c r="U39" i="7"/>
  <c r="R39" i="7"/>
  <c r="N39" i="7"/>
  <c r="O39" i="7" s="1"/>
  <c r="L39" i="7"/>
  <c r="I39" i="7"/>
  <c r="H39" i="7"/>
  <c r="F39" i="7"/>
  <c r="C39" i="7"/>
  <c r="AC38" i="7"/>
  <c r="AD38" i="7" s="1"/>
  <c r="AA38" i="7"/>
  <c r="W38" i="7"/>
  <c r="X38" i="7" s="1"/>
  <c r="U38" i="7"/>
  <c r="R38" i="7"/>
  <c r="N38" i="7"/>
  <c r="O38" i="7" s="1"/>
  <c r="L38" i="7"/>
  <c r="H38" i="7"/>
  <c r="I38" i="7" s="1"/>
  <c r="F38" i="7"/>
  <c r="C38" i="7"/>
  <c r="AD37" i="7"/>
  <c r="AC37" i="7"/>
  <c r="AA37" i="7"/>
  <c r="X37" i="7"/>
  <c r="W37" i="7"/>
  <c r="U37" i="7"/>
  <c r="R37" i="7"/>
  <c r="N37" i="7"/>
  <c r="O37" i="7" s="1"/>
  <c r="L37" i="7"/>
  <c r="H37" i="7"/>
  <c r="I37" i="7" s="1"/>
  <c r="F37" i="7"/>
  <c r="C37" i="7"/>
  <c r="AD36" i="7"/>
  <c r="AC36" i="7"/>
  <c r="AA36" i="7"/>
  <c r="W36" i="7"/>
  <c r="X36" i="7" s="1"/>
  <c r="U36" i="7"/>
  <c r="R36" i="7"/>
  <c r="O36" i="7"/>
  <c r="N36" i="7"/>
  <c r="L36" i="7"/>
  <c r="I36" i="7"/>
  <c r="H36" i="7"/>
  <c r="F36" i="7"/>
  <c r="C36" i="7"/>
  <c r="AC35" i="7"/>
  <c r="AD35" i="7" s="1"/>
  <c r="AA35" i="7"/>
  <c r="W35" i="7"/>
  <c r="X35" i="7" s="1"/>
  <c r="U35" i="7"/>
  <c r="R35" i="7"/>
  <c r="N35" i="7"/>
  <c r="O35" i="7" s="1"/>
  <c r="L35" i="7"/>
  <c r="I35" i="7"/>
  <c r="H35" i="7"/>
  <c r="F35" i="7"/>
  <c r="C35" i="7"/>
  <c r="AC34" i="7"/>
  <c r="AD34" i="7" s="1"/>
  <c r="AA34" i="7"/>
  <c r="X34" i="7"/>
  <c r="W34" i="7"/>
  <c r="U34" i="7"/>
  <c r="R34" i="7"/>
  <c r="N34" i="7"/>
  <c r="O34" i="7" s="1"/>
  <c r="L34" i="7"/>
  <c r="I34" i="7"/>
  <c r="H34" i="7"/>
  <c r="F34" i="7"/>
  <c r="C34" i="7"/>
  <c r="AD33" i="7"/>
  <c r="AC33" i="7"/>
  <c r="AA33" i="7"/>
  <c r="W33" i="7"/>
  <c r="X33" i="7" s="1"/>
  <c r="U33" i="7"/>
  <c r="R33" i="7"/>
  <c r="N33" i="7"/>
  <c r="O33" i="7" s="1"/>
  <c r="L33" i="7"/>
  <c r="H33" i="7"/>
  <c r="I33" i="7" s="1"/>
  <c r="F33" i="7"/>
  <c r="C33" i="7"/>
  <c r="AD32" i="7"/>
  <c r="AC32" i="7"/>
  <c r="AA32" i="7"/>
  <c r="W32" i="7"/>
  <c r="X32" i="7" s="1"/>
  <c r="U32" i="7"/>
  <c r="R32" i="7"/>
  <c r="N32" i="7"/>
  <c r="O32" i="7" s="1"/>
  <c r="L32" i="7"/>
  <c r="I32" i="7"/>
  <c r="H32" i="7"/>
  <c r="F32" i="7"/>
  <c r="C32" i="7"/>
  <c r="AD31" i="7"/>
  <c r="AC31" i="7"/>
  <c r="AA31" i="7"/>
  <c r="W31" i="7"/>
  <c r="X31" i="7" s="1"/>
  <c r="U31" i="7"/>
  <c r="R31" i="7"/>
  <c r="N31" i="7"/>
  <c r="O31" i="7" s="1"/>
  <c r="L31" i="7"/>
  <c r="I31" i="7"/>
  <c r="H31" i="7"/>
  <c r="F31" i="7"/>
  <c r="C31" i="7"/>
  <c r="Z29" i="7"/>
  <c r="AA29" i="7" s="1"/>
  <c r="U29" i="7"/>
  <c r="T29" i="7"/>
  <c r="Q29" i="7"/>
  <c r="L29" i="7"/>
  <c r="K29" i="7"/>
  <c r="E29" i="7"/>
  <c r="F29" i="7" s="1"/>
  <c r="B29" i="7"/>
  <c r="AD28" i="7"/>
  <c r="AC28" i="7"/>
  <c r="AA28" i="7"/>
  <c r="W28" i="7"/>
  <c r="X28" i="7" s="1"/>
  <c r="U28" i="7"/>
  <c r="R28" i="7"/>
  <c r="N28" i="7"/>
  <c r="O28" i="7" s="1"/>
  <c r="L28" i="7"/>
  <c r="I28" i="7"/>
  <c r="H28" i="7"/>
  <c r="F28" i="7"/>
  <c r="C28" i="7"/>
  <c r="AD27" i="7"/>
  <c r="AC27" i="7"/>
  <c r="AA27" i="7"/>
  <c r="W27" i="7"/>
  <c r="X27" i="7" s="1"/>
  <c r="U27" i="7"/>
  <c r="R27" i="7"/>
  <c r="N27" i="7"/>
  <c r="O27" i="7" s="1"/>
  <c r="L27" i="7"/>
  <c r="I27" i="7"/>
  <c r="H27" i="7"/>
  <c r="F27" i="7"/>
  <c r="C27" i="7"/>
  <c r="AC26" i="7"/>
  <c r="AD26" i="7" s="1"/>
  <c r="AA26" i="7"/>
  <c r="X26" i="7"/>
  <c r="W26" i="7"/>
  <c r="U26" i="7"/>
  <c r="R26" i="7"/>
  <c r="N26" i="7"/>
  <c r="O26" i="7" s="1"/>
  <c r="L26" i="7"/>
  <c r="H26" i="7"/>
  <c r="I26" i="7" s="1"/>
  <c r="F26" i="7"/>
  <c r="C26" i="7"/>
  <c r="AD25" i="7"/>
  <c r="AC25" i="7"/>
  <c r="AA25" i="7"/>
  <c r="X25" i="7"/>
  <c r="W25" i="7"/>
  <c r="U25" i="7"/>
  <c r="R25" i="7"/>
  <c r="N25" i="7"/>
  <c r="O25" i="7" s="1"/>
  <c r="L25" i="7"/>
  <c r="H25" i="7"/>
  <c r="I25" i="7" s="1"/>
  <c r="F25" i="7"/>
  <c r="C25" i="7"/>
  <c r="AD24" i="7"/>
  <c r="AC24" i="7"/>
  <c r="AA24" i="7"/>
  <c r="W24" i="7"/>
  <c r="X24" i="7" s="1"/>
  <c r="U24" i="7"/>
  <c r="R24" i="7"/>
  <c r="N24" i="7"/>
  <c r="O24" i="7" s="1"/>
  <c r="L24" i="7"/>
  <c r="I24" i="7"/>
  <c r="H24" i="7"/>
  <c r="F24" i="7"/>
  <c r="C24" i="7"/>
  <c r="AD23" i="7"/>
  <c r="AC23" i="7"/>
  <c r="AA23" i="7"/>
  <c r="W23" i="7"/>
  <c r="X23" i="7" s="1"/>
  <c r="U23" i="7"/>
  <c r="R23" i="7"/>
  <c r="O23" i="7"/>
  <c r="N23" i="7"/>
  <c r="L23" i="7"/>
  <c r="I23" i="7"/>
  <c r="H23" i="7"/>
  <c r="F23" i="7"/>
  <c r="C23" i="7"/>
  <c r="AC22" i="7"/>
  <c r="AD22" i="7" s="1"/>
  <c r="AA22" i="7"/>
  <c r="W22" i="7"/>
  <c r="X22" i="7" s="1"/>
  <c r="U22" i="7"/>
  <c r="R22" i="7"/>
  <c r="N22" i="7"/>
  <c r="O22" i="7" s="1"/>
  <c r="L22" i="7"/>
  <c r="I22" i="7"/>
  <c r="H22" i="7"/>
  <c r="F22" i="7"/>
  <c r="C22" i="7"/>
  <c r="AD21" i="7"/>
  <c r="AC21" i="7"/>
  <c r="AA21" i="7"/>
  <c r="W21" i="7"/>
  <c r="X21" i="7" s="1"/>
  <c r="U21" i="7"/>
  <c r="R21" i="7"/>
  <c r="N21" i="7"/>
  <c r="O21" i="7" s="1"/>
  <c r="L21" i="7"/>
  <c r="H21" i="7"/>
  <c r="I21" i="7" s="1"/>
  <c r="F21" i="7"/>
  <c r="C21" i="7"/>
  <c r="AD19" i="7"/>
  <c r="AC19" i="7"/>
  <c r="AA19" i="7"/>
  <c r="W19" i="7"/>
  <c r="X19" i="7" s="1"/>
  <c r="U19" i="7"/>
  <c r="R19" i="7"/>
  <c r="N19" i="7"/>
  <c r="O19" i="7" s="1"/>
  <c r="L19" i="7"/>
  <c r="I19" i="7"/>
  <c r="H19" i="7"/>
  <c r="F19" i="7"/>
  <c r="C19" i="7"/>
  <c r="AA18" i="7"/>
  <c r="Z18" i="7"/>
  <c r="T18" i="7"/>
  <c r="U18" i="7" s="1"/>
  <c r="R18" i="7"/>
  <c r="Q18" i="7"/>
  <c r="O18" i="7"/>
  <c r="L18" i="7"/>
  <c r="K18" i="7"/>
  <c r="H18" i="7"/>
  <c r="I18" i="7" s="1"/>
  <c r="F18" i="7"/>
  <c r="E18" i="7"/>
  <c r="C18" i="7"/>
  <c r="B18" i="7"/>
  <c r="N18" i="7" s="1"/>
  <c r="AD17" i="7"/>
  <c r="AC17" i="7"/>
  <c r="AA17" i="7"/>
  <c r="X17" i="7"/>
  <c r="W17" i="7"/>
  <c r="U17" i="7"/>
  <c r="R17" i="7"/>
  <c r="N17" i="7"/>
  <c r="O17" i="7" s="1"/>
  <c r="L17" i="7"/>
  <c r="H17" i="7"/>
  <c r="I17" i="7" s="1"/>
  <c r="F17" i="7"/>
  <c r="C17" i="7"/>
  <c r="AD16" i="7"/>
  <c r="AC16" i="7"/>
  <c r="AA16" i="7"/>
  <c r="W16" i="7"/>
  <c r="X16" i="7" s="1"/>
  <c r="U16" i="7"/>
  <c r="R16" i="7"/>
  <c r="O16" i="7"/>
  <c r="N16" i="7"/>
  <c r="L16" i="7"/>
  <c r="I16" i="7"/>
  <c r="H16" i="7"/>
  <c r="F16" i="7"/>
  <c r="C16" i="7"/>
  <c r="AC15" i="7"/>
  <c r="AD15" i="7" s="1"/>
  <c r="AA15" i="7"/>
  <c r="W15" i="7"/>
  <c r="X15" i="7" s="1"/>
  <c r="U15" i="7"/>
  <c r="R15" i="7"/>
  <c r="O15" i="7"/>
  <c r="N15" i="7"/>
  <c r="L15" i="7"/>
  <c r="I15" i="7"/>
  <c r="H15" i="7"/>
  <c r="F15" i="7"/>
  <c r="C15" i="7"/>
  <c r="AC14" i="7"/>
  <c r="AD14" i="7" s="1"/>
  <c r="AA14" i="7"/>
  <c r="X14" i="7"/>
  <c r="W14" i="7"/>
  <c r="U14" i="7"/>
  <c r="R14" i="7"/>
  <c r="N14" i="7"/>
  <c r="O14" i="7" s="1"/>
  <c r="L14" i="7"/>
  <c r="H14" i="7"/>
  <c r="I14" i="7" s="1"/>
  <c r="F14" i="7"/>
  <c r="C14" i="7"/>
  <c r="AD13" i="7"/>
  <c r="AC13" i="7"/>
  <c r="AA13" i="7"/>
  <c r="W13" i="7"/>
  <c r="X13" i="7" s="1"/>
  <c r="U13" i="7"/>
  <c r="R13" i="7"/>
  <c r="N13" i="7"/>
  <c r="O13" i="7" s="1"/>
  <c r="L13" i="7"/>
  <c r="H13" i="7"/>
  <c r="I13" i="7" s="1"/>
  <c r="F13" i="7"/>
  <c r="C13" i="7"/>
  <c r="AD12" i="7"/>
  <c r="AC12" i="7"/>
  <c r="AA12" i="7"/>
  <c r="W12" i="7"/>
  <c r="X12" i="7" s="1"/>
  <c r="U12" i="7"/>
  <c r="R12" i="7"/>
  <c r="O12" i="7"/>
  <c r="N12" i="7"/>
  <c r="L12" i="7"/>
  <c r="I12" i="7"/>
  <c r="H12" i="7"/>
  <c r="F12" i="7"/>
  <c r="C12" i="7"/>
  <c r="AD11" i="7"/>
  <c r="AC11" i="7"/>
  <c r="AA11" i="7"/>
  <c r="W11" i="7"/>
  <c r="X11" i="7" s="1"/>
  <c r="U11" i="7"/>
  <c r="R11" i="7"/>
  <c r="N11" i="7"/>
  <c r="O11" i="7" s="1"/>
  <c r="L11" i="7"/>
  <c r="I11" i="7"/>
  <c r="H11" i="7"/>
  <c r="F11" i="7"/>
  <c r="C11" i="7"/>
  <c r="AC10" i="7"/>
  <c r="AD10" i="7" s="1"/>
  <c r="AA10" i="7"/>
  <c r="W10" i="7"/>
  <c r="X10" i="7" s="1"/>
  <c r="U10" i="7"/>
  <c r="R10" i="7"/>
  <c r="N10" i="7"/>
  <c r="O10" i="7" s="1"/>
  <c r="L10" i="7"/>
  <c r="I10" i="7"/>
  <c r="H10" i="7"/>
  <c r="F10" i="7"/>
  <c r="C10" i="7"/>
  <c r="AD8" i="7"/>
  <c r="AC8" i="7"/>
  <c r="AA8" i="7"/>
  <c r="W8" i="7"/>
  <c r="X8" i="7" s="1"/>
  <c r="U8" i="7"/>
  <c r="R8" i="7"/>
  <c r="N8" i="7"/>
  <c r="O8" i="7" s="1"/>
  <c r="L8" i="7"/>
  <c r="H8" i="7"/>
  <c r="I8" i="7" s="1"/>
  <c r="F8" i="7"/>
  <c r="C8" i="7"/>
  <c r="AC444" i="6"/>
  <c r="W444" i="6"/>
  <c r="N444" i="6"/>
  <c r="H444" i="6"/>
  <c r="AA442" i="6"/>
  <c r="Z442" i="6"/>
  <c r="T442" i="6"/>
  <c r="R442" i="6"/>
  <c r="Q442" i="6"/>
  <c r="AC442" i="6" s="1"/>
  <c r="AD442" i="6" s="1"/>
  <c r="K442" i="6"/>
  <c r="L442" i="6" s="1"/>
  <c r="I442" i="6"/>
  <c r="H442" i="6"/>
  <c r="F442" i="6"/>
  <c r="E442" i="6"/>
  <c r="C442" i="6"/>
  <c r="B442" i="6"/>
  <c r="Z441" i="6"/>
  <c r="AA441" i="6" s="1"/>
  <c r="U441" i="6"/>
  <c r="T441" i="6"/>
  <c r="Q441" i="6"/>
  <c r="L441" i="6"/>
  <c r="K441" i="6"/>
  <c r="E441" i="6"/>
  <c r="F441" i="6" s="1"/>
  <c r="C441" i="6"/>
  <c r="B441" i="6"/>
  <c r="AC440" i="6"/>
  <c r="AA440" i="6"/>
  <c r="X440" i="6"/>
  <c r="W440" i="6"/>
  <c r="U440" i="6"/>
  <c r="R440" i="6"/>
  <c r="N440" i="6"/>
  <c r="O440" i="6" s="1"/>
  <c r="L440" i="6"/>
  <c r="I440" i="6"/>
  <c r="H440" i="6"/>
  <c r="F440" i="6"/>
  <c r="C440" i="6"/>
  <c r="AD439" i="6"/>
  <c r="AC439" i="6"/>
  <c r="AA439" i="6"/>
  <c r="W439" i="6"/>
  <c r="X439" i="6" s="1"/>
  <c r="U439" i="6"/>
  <c r="R439" i="6"/>
  <c r="N439" i="6"/>
  <c r="L439" i="6"/>
  <c r="I439" i="6"/>
  <c r="H439" i="6"/>
  <c r="F439" i="6"/>
  <c r="C439" i="6"/>
  <c r="AC438" i="6"/>
  <c r="AA438" i="6"/>
  <c r="W438" i="6"/>
  <c r="X438" i="6" s="1"/>
  <c r="U438" i="6"/>
  <c r="R438" i="6"/>
  <c r="N438" i="6"/>
  <c r="L438" i="6"/>
  <c r="I438" i="6"/>
  <c r="H438" i="6"/>
  <c r="F438" i="6"/>
  <c r="C438" i="6"/>
  <c r="AD437" i="6"/>
  <c r="AC437" i="6"/>
  <c r="AA437" i="6"/>
  <c r="W437" i="6"/>
  <c r="X437" i="6" s="1"/>
  <c r="U437" i="6"/>
  <c r="R437" i="6"/>
  <c r="N437" i="6"/>
  <c r="O437" i="6" s="1"/>
  <c r="L437" i="6"/>
  <c r="H437" i="6"/>
  <c r="I437" i="6" s="1"/>
  <c r="F437" i="6"/>
  <c r="C437" i="6"/>
  <c r="AC436" i="6"/>
  <c r="AA436" i="6"/>
  <c r="W436" i="6"/>
  <c r="X436" i="6" s="1"/>
  <c r="U436" i="6"/>
  <c r="R436" i="6"/>
  <c r="N436" i="6"/>
  <c r="O436" i="6" s="1"/>
  <c r="L436" i="6"/>
  <c r="I436" i="6"/>
  <c r="H436" i="6"/>
  <c r="F436" i="6"/>
  <c r="C436" i="6"/>
  <c r="AD435" i="6"/>
  <c r="AC435" i="6"/>
  <c r="AA435" i="6"/>
  <c r="W435" i="6"/>
  <c r="X435" i="6" s="1"/>
  <c r="U435" i="6"/>
  <c r="R435" i="6"/>
  <c r="N435" i="6"/>
  <c r="O435" i="6" s="1"/>
  <c r="L435" i="6"/>
  <c r="I435" i="6"/>
  <c r="H435" i="6"/>
  <c r="F435" i="6"/>
  <c r="C435" i="6"/>
  <c r="AC434" i="6"/>
  <c r="AA434" i="6"/>
  <c r="X434" i="6"/>
  <c r="W434" i="6"/>
  <c r="U434" i="6"/>
  <c r="R434" i="6"/>
  <c r="N434" i="6"/>
  <c r="O434" i="6" s="1"/>
  <c r="L434" i="6"/>
  <c r="H434" i="6"/>
  <c r="I434" i="6" s="1"/>
  <c r="F434" i="6"/>
  <c r="C434" i="6"/>
  <c r="AC433" i="6"/>
  <c r="AA433" i="6"/>
  <c r="X433" i="6"/>
  <c r="W433" i="6"/>
  <c r="U433" i="6"/>
  <c r="R433" i="6"/>
  <c r="N433" i="6"/>
  <c r="O433" i="6" s="1"/>
  <c r="L433" i="6"/>
  <c r="H433" i="6"/>
  <c r="I433" i="6" s="1"/>
  <c r="F433" i="6"/>
  <c r="C433" i="6"/>
  <c r="AC432" i="6"/>
  <c r="AA432" i="6"/>
  <c r="W432" i="6"/>
  <c r="X432" i="6" s="1"/>
  <c r="U432" i="6"/>
  <c r="R432" i="6"/>
  <c r="O432" i="6"/>
  <c r="N432" i="6"/>
  <c r="L432" i="6"/>
  <c r="I432" i="6"/>
  <c r="H432" i="6"/>
  <c r="F432" i="6"/>
  <c r="C432" i="6"/>
  <c r="AD429" i="6"/>
  <c r="AC429" i="6"/>
  <c r="AA429" i="6"/>
  <c r="Z429" i="6"/>
  <c r="T429" i="6"/>
  <c r="U429" i="6" s="1"/>
  <c r="R429" i="6"/>
  <c r="Q429" i="6"/>
  <c r="O429" i="6"/>
  <c r="L429" i="6"/>
  <c r="K429" i="6"/>
  <c r="E429" i="6"/>
  <c r="H429" i="6" s="1"/>
  <c r="I429" i="6" s="1"/>
  <c r="C429" i="6"/>
  <c r="B429" i="6"/>
  <c r="N429" i="6" s="1"/>
  <c r="Z428" i="6"/>
  <c r="AA428" i="6" s="1"/>
  <c r="X428" i="6"/>
  <c r="W428" i="6"/>
  <c r="U428" i="6"/>
  <c r="T428" i="6"/>
  <c r="R428" i="6"/>
  <c r="Q428" i="6"/>
  <c r="L428" i="6"/>
  <c r="K428" i="6"/>
  <c r="F428" i="6"/>
  <c r="E428" i="6"/>
  <c r="B428" i="6"/>
  <c r="N428" i="6" s="1"/>
  <c r="O428" i="6" s="1"/>
  <c r="AC427" i="6"/>
  <c r="AD427" i="6" s="1"/>
  <c r="AA427" i="6"/>
  <c r="W427" i="6"/>
  <c r="X427" i="6" s="1"/>
  <c r="U427" i="6"/>
  <c r="R427" i="6"/>
  <c r="O427" i="6"/>
  <c r="N427" i="6"/>
  <c r="L427" i="6"/>
  <c r="I427" i="6"/>
  <c r="H427" i="6"/>
  <c r="F427" i="6"/>
  <c r="C427" i="6"/>
  <c r="AC426" i="6"/>
  <c r="AD426" i="6" s="1"/>
  <c r="AA426" i="6"/>
  <c r="X426" i="6"/>
  <c r="W426" i="6"/>
  <c r="U426" i="6"/>
  <c r="R426" i="6"/>
  <c r="N426" i="6"/>
  <c r="L426" i="6"/>
  <c r="H426" i="6"/>
  <c r="I426" i="6" s="1"/>
  <c r="F426" i="6"/>
  <c r="C426" i="6"/>
  <c r="AD425" i="6"/>
  <c r="AC425" i="6"/>
  <c r="AA425" i="6"/>
  <c r="W425" i="6"/>
  <c r="X425" i="6" s="1"/>
  <c r="U425" i="6"/>
  <c r="R425" i="6"/>
  <c r="N425" i="6"/>
  <c r="L425" i="6"/>
  <c r="H425" i="6"/>
  <c r="I425" i="6" s="1"/>
  <c r="F425" i="6"/>
  <c r="C425" i="6"/>
  <c r="AD424" i="6"/>
  <c r="AC424" i="6"/>
  <c r="AA424" i="6"/>
  <c r="X424" i="6"/>
  <c r="W424" i="6"/>
  <c r="U424" i="6"/>
  <c r="R424" i="6"/>
  <c r="N424" i="6"/>
  <c r="O424" i="6" s="1"/>
  <c r="L424" i="6"/>
  <c r="I424" i="6"/>
  <c r="H424" i="6"/>
  <c r="F424" i="6"/>
  <c r="C424" i="6"/>
  <c r="AC423" i="6"/>
  <c r="AA423" i="6"/>
  <c r="W423" i="6"/>
  <c r="X423" i="6" s="1"/>
  <c r="U423" i="6"/>
  <c r="R423" i="6"/>
  <c r="O423" i="6"/>
  <c r="N423" i="6"/>
  <c r="L423" i="6"/>
  <c r="I423" i="6"/>
  <c r="H423" i="6"/>
  <c r="F423" i="6"/>
  <c r="C423" i="6"/>
  <c r="AC422" i="6"/>
  <c r="AA422" i="6"/>
  <c r="X422" i="6"/>
  <c r="W422" i="6"/>
  <c r="U422" i="6"/>
  <c r="R422" i="6"/>
  <c r="N422" i="6"/>
  <c r="L422" i="6"/>
  <c r="H422" i="6"/>
  <c r="I422" i="6" s="1"/>
  <c r="F422" i="6"/>
  <c r="C422" i="6"/>
  <c r="AC421" i="6"/>
  <c r="AA421" i="6"/>
  <c r="X421" i="6"/>
  <c r="W421" i="6"/>
  <c r="U421" i="6"/>
  <c r="R421" i="6"/>
  <c r="N421" i="6"/>
  <c r="L421" i="6"/>
  <c r="H421" i="6"/>
  <c r="I421" i="6" s="1"/>
  <c r="F421" i="6"/>
  <c r="C421" i="6"/>
  <c r="AC420" i="6"/>
  <c r="AA420" i="6"/>
  <c r="X420" i="6"/>
  <c r="W420" i="6"/>
  <c r="U420" i="6"/>
  <c r="R420" i="6"/>
  <c r="O420" i="6"/>
  <c r="N420" i="6"/>
  <c r="L420" i="6"/>
  <c r="I420" i="6"/>
  <c r="H420" i="6"/>
  <c r="F420" i="6"/>
  <c r="C420" i="6"/>
  <c r="AC419" i="6"/>
  <c r="AD419" i="6" s="1"/>
  <c r="AA419" i="6"/>
  <c r="W419" i="6"/>
  <c r="X419" i="6" s="1"/>
  <c r="U419" i="6"/>
  <c r="R419" i="6"/>
  <c r="N419" i="6"/>
  <c r="O419" i="6" s="1"/>
  <c r="L419" i="6"/>
  <c r="I419" i="6"/>
  <c r="H419" i="6"/>
  <c r="F419" i="6"/>
  <c r="C419" i="6"/>
  <c r="AC418" i="6"/>
  <c r="AA418" i="6"/>
  <c r="X418" i="6"/>
  <c r="W418" i="6"/>
  <c r="U418" i="6"/>
  <c r="R418" i="6"/>
  <c r="N418" i="6"/>
  <c r="L418" i="6"/>
  <c r="I418" i="6"/>
  <c r="H418" i="6"/>
  <c r="F418" i="6"/>
  <c r="C418" i="6"/>
  <c r="AD417" i="6"/>
  <c r="AC417" i="6"/>
  <c r="AA417" i="6"/>
  <c r="X417" i="6"/>
  <c r="W417" i="6"/>
  <c r="U417" i="6"/>
  <c r="R417" i="6"/>
  <c r="N417" i="6"/>
  <c r="O417" i="6" s="1"/>
  <c r="L417" i="6"/>
  <c r="H417" i="6"/>
  <c r="I417" i="6" s="1"/>
  <c r="F417" i="6"/>
  <c r="C417" i="6"/>
  <c r="AC416" i="6"/>
  <c r="AA416" i="6"/>
  <c r="X416" i="6"/>
  <c r="W416" i="6"/>
  <c r="U416" i="6"/>
  <c r="R416" i="6"/>
  <c r="O416" i="6"/>
  <c r="N416" i="6"/>
  <c r="L416" i="6"/>
  <c r="I416" i="6"/>
  <c r="H416" i="6"/>
  <c r="F416" i="6"/>
  <c r="C416" i="6"/>
  <c r="AD415" i="6"/>
  <c r="AC415" i="6"/>
  <c r="AA415" i="6"/>
  <c r="W415" i="6"/>
  <c r="X415" i="6" s="1"/>
  <c r="U415" i="6"/>
  <c r="R415" i="6"/>
  <c r="O415" i="6"/>
  <c r="N415" i="6"/>
  <c r="L415" i="6"/>
  <c r="I415" i="6"/>
  <c r="H415" i="6"/>
  <c r="F415" i="6"/>
  <c r="C415" i="6"/>
  <c r="AC414" i="6"/>
  <c r="AD414" i="6" s="1"/>
  <c r="AA414" i="6"/>
  <c r="W414" i="6"/>
  <c r="X414" i="6" s="1"/>
  <c r="U414" i="6"/>
  <c r="R414" i="6"/>
  <c r="N414" i="6"/>
  <c r="L414" i="6"/>
  <c r="H414" i="6"/>
  <c r="I414" i="6" s="1"/>
  <c r="F414" i="6"/>
  <c r="C414" i="6"/>
  <c r="AD413" i="6"/>
  <c r="AC413" i="6"/>
  <c r="AA413" i="6"/>
  <c r="X413" i="6"/>
  <c r="W413" i="6"/>
  <c r="U413" i="6"/>
  <c r="R413" i="6"/>
  <c r="N413" i="6"/>
  <c r="O413" i="6" s="1"/>
  <c r="L413" i="6"/>
  <c r="H413" i="6"/>
  <c r="I413" i="6" s="1"/>
  <c r="F413" i="6"/>
  <c r="C413" i="6"/>
  <c r="AD412" i="6"/>
  <c r="AC412" i="6"/>
  <c r="AA412" i="6"/>
  <c r="X412" i="6"/>
  <c r="W412" i="6"/>
  <c r="U412" i="6"/>
  <c r="R412" i="6"/>
  <c r="O412" i="6"/>
  <c r="N412" i="6"/>
  <c r="L412" i="6"/>
  <c r="I412" i="6"/>
  <c r="H412" i="6"/>
  <c r="F412" i="6"/>
  <c r="C412" i="6"/>
  <c r="AC411" i="6"/>
  <c r="AA411" i="6"/>
  <c r="W411" i="6"/>
  <c r="X411" i="6" s="1"/>
  <c r="U411" i="6"/>
  <c r="R411" i="6"/>
  <c r="O411" i="6"/>
  <c r="N411" i="6"/>
  <c r="L411" i="6"/>
  <c r="I411" i="6"/>
  <c r="H411" i="6"/>
  <c r="F411" i="6"/>
  <c r="C411" i="6"/>
  <c r="AC410" i="6"/>
  <c r="AA410" i="6"/>
  <c r="X410" i="6"/>
  <c r="W410" i="6"/>
  <c r="U410" i="6"/>
  <c r="R410" i="6"/>
  <c r="N410" i="6"/>
  <c r="L410" i="6"/>
  <c r="H410" i="6"/>
  <c r="I410" i="6" s="1"/>
  <c r="F410" i="6"/>
  <c r="C410" i="6"/>
  <c r="AC409" i="6"/>
  <c r="AA409" i="6"/>
  <c r="W409" i="6"/>
  <c r="X409" i="6" s="1"/>
  <c r="U409" i="6"/>
  <c r="R409" i="6"/>
  <c r="N409" i="6"/>
  <c r="L409" i="6"/>
  <c r="H409" i="6"/>
  <c r="I409" i="6" s="1"/>
  <c r="F409" i="6"/>
  <c r="C409" i="6"/>
  <c r="AD408" i="6"/>
  <c r="AC408" i="6"/>
  <c r="AA408" i="6"/>
  <c r="X408" i="6"/>
  <c r="W408" i="6"/>
  <c r="U408" i="6"/>
  <c r="R408" i="6"/>
  <c r="N408" i="6"/>
  <c r="O408" i="6" s="1"/>
  <c r="L408" i="6"/>
  <c r="I408" i="6"/>
  <c r="H408" i="6"/>
  <c r="F408" i="6"/>
  <c r="C408" i="6"/>
  <c r="AC407" i="6"/>
  <c r="AA407" i="6"/>
  <c r="W407" i="6"/>
  <c r="X407" i="6" s="1"/>
  <c r="U407" i="6"/>
  <c r="R407" i="6"/>
  <c r="O407" i="6"/>
  <c r="N407" i="6"/>
  <c r="L407" i="6"/>
  <c r="I407" i="6"/>
  <c r="H407" i="6"/>
  <c r="F407" i="6"/>
  <c r="C407" i="6"/>
  <c r="AD403" i="6"/>
  <c r="AA403" i="6"/>
  <c r="Z403" i="6"/>
  <c r="T403" i="6"/>
  <c r="W403" i="6" s="1"/>
  <c r="X403" i="6" s="1"/>
  <c r="R403" i="6"/>
  <c r="Q403" i="6"/>
  <c r="AC403" i="6" s="1"/>
  <c r="K403" i="6"/>
  <c r="L403" i="6" s="1"/>
  <c r="I403" i="6"/>
  <c r="H403" i="6"/>
  <c r="F403" i="6"/>
  <c r="E403" i="6"/>
  <c r="C403" i="6"/>
  <c r="B403" i="6"/>
  <c r="AC402" i="6"/>
  <c r="AA402" i="6"/>
  <c r="X402" i="6"/>
  <c r="W402" i="6"/>
  <c r="U402" i="6"/>
  <c r="R402" i="6"/>
  <c r="N402" i="6"/>
  <c r="L402" i="6"/>
  <c r="H402" i="6"/>
  <c r="I402" i="6" s="1"/>
  <c r="F402" i="6"/>
  <c r="C402" i="6"/>
  <c r="AC401" i="6"/>
  <c r="AA401" i="6"/>
  <c r="W401" i="6"/>
  <c r="X401" i="6" s="1"/>
  <c r="U401" i="6"/>
  <c r="R401" i="6"/>
  <c r="N401" i="6"/>
  <c r="O401" i="6" s="1"/>
  <c r="L401" i="6"/>
  <c r="H401" i="6"/>
  <c r="I401" i="6" s="1"/>
  <c r="F401" i="6"/>
  <c r="C401" i="6"/>
  <c r="AD400" i="6"/>
  <c r="AC400" i="6"/>
  <c r="AA400" i="6"/>
  <c r="X400" i="6"/>
  <c r="W400" i="6"/>
  <c r="U400" i="6"/>
  <c r="R400" i="6"/>
  <c r="N400" i="6"/>
  <c r="O400" i="6" s="1"/>
  <c r="L400" i="6"/>
  <c r="H400" i="6"/>
  <c r="I400" i="6" s="1"/>
  <c r="F400" i="6"/>
  <c r="C400" i="6"/>
  <c r="AC399" i="6"/>
  <c r="AA399" i="6"/>
  <c r="X399" i="6"/>
  <c r="W399" i="6"/>
  <c r="U399" i="6"/>
  <c r="R399" i="6"/>
  <c r="O399" i="6"/>
  <c r="N399" i="6"/>
  <c r="L399" i="6"/>
  <c r="I399" i="6"/>
  <c r="H399" i="6"/>
  <c r="F399" i="6"/>
  <c r="C399" i="6"/>
  <c r="AC398" i="6"/>
  <c r="AD398" i="6" s="1"/>
  <c r="AA398" i="6"/>
  <c r="W398" i="6"/>
  <c r="X398" i="6" s="1"/>
  <c r="U398" i="6"/>
  <c r="R398" i="6"/>
  <c r="N398" i="6"/>
  <c r="L398" i="6"/>
  <c r="I398" i="6"/>
  <c r="H398" i="6"/>
  <c r="F398" i="6"/>
  <c r="C398" i="6"/>
  <c r="AC397" i="6"/>
  <c r="AA397" i="6"/>
  <c r="W397" i="6"/>
  <c r="X397" i="6" s="1"/>
  <c r="U397" i="6"/>
  <c r="R397" i="6"/>
  <c r="O397" i="6"/>
  <c r="N397" i="6"/>
  <c r="L397" i="6"/>
  <c r="H397" i="6"/>
  <c r="I397" i="6" s="1"/>
  <c r="F397" i="6"/>
  <c r="C397" i="6"/>
  <c r="AC396" i="6"/>
  <c r="AA396" i="6"/>
  <c r="Z396" i="6"/>
  <c r="U396" i="6"/>
  <c r="T396" i="6"/>
  <c r="W396" i="6" s="1"/>
  <c r="X396" i="6" s="1"/>
  <c r="R396" i="6"/>
  <c r="Q396" i="6"/>
  <c r="K396" i="6"/>
  <c r="L396" i="6" s="1"/>
  <c r="F396" i="6"/>
  <c r="E396" i="6"/>
  <c r="B396" i="6"/>
  <c r="C396" i="6" s="1"/>
  <c r="AC395" i="6"/>
  <c r="AD395" i="6" s="1"/>
  <c r="AA395" i="6"/>
  <c r="W395" i="6"/>
  <c r="X395" i="6" s="1"/>
  <c r="U395" i="6"/>
  <c r="R395" i="6"/>
  <c r="N395" i="6"/>
  <c r="O395" i="6" s="1"/>
  <c r="L395" i="6"/>
  <c r="I395" i="6"/>
  <c r="H395" i="6"/>
  <c r="F395" i="6"/>
  <c r="C395" i="6"/>
  <c r="AD394" i="6"/>
  <c r="AC394" i="6"/>
  <c r="AA394" i="6"/>
  <c r="X394" i="6"/>
  <c r="W394" i="6"/>
  <c r="U394" i="6"/>
  <c r="R394" i="6"/>
  <c r="N394" i="6"/>
  <c r="O394" i="6" s="1"/>
  <c r="L394" i="6"/>
  <c r="I394" i="6"/>
  <c r="H394" i="6"/>
  <c r="F394" i="6"/>
  <c r="C394" i="6"/>
  <c r="AA393" i="6"/>
  <c r="Z393" i="6"/>
  <c r="X393" i="6"/>
  <c r="W393" i="6"/>
  <c r="U393" i="6"/>
  <c r="T393" i="6"/>
  <c r="R393" i="6"/>
  <c r="Q393" i="6"/>
  <c r="AC393" i="6" s="1"/>
  <c r="AD393" i="6" s="1"/>
  <c r="K393" i="6"/>
  <c r="L393" i="6" s="1"/>
  <c r="E393" i="6"/>
  <c r="H393" i="6" s="1"/>
  <c r="I393" i="6" s="1"/>
  <c r="C393" i="6"/>
  <c r="B393" i="6"/>
  <c r="N393" i="6" s="1"/>
  <c r="O393" i="6" s="1"/>
  <c r="AC392" i="6"/>
  <c r="AD392" i="6" s="1"/>
  <c r="AA392" i="6"/>
  <c r="W392" i="6"/>
  <c r="X392" i="6" s="1"/>
  <c r="U392" i="6"/>
  <c r="R392" i="6"/>
  <c r="N392" i="6"/>
  <c r="O392" i="6" s="1"/>
  <c r="L392" i="6"/>
  <c r="I392" i="6"/>
  <c r="H392" i="6"/>
  <c r="F392" i="6"/>
  <c r="C392" i="6"/>
  <c r="AC391" i="6"/>
  <c r="AA391" i="6"/>
  <c r="X391" i="6"/>
  <c r="W391" i="6"/>
  <c r="U391" i="6"/>
  <c r="R391" i="6"/>
  <c r="O391" i="6"/>
  <c r="N391" i="6"/>
  <c r="L391" i="6"/>
  <c r="H391" i="6"/>
  <c r="I391" i="6" s="1"/>
  <c r="F391" i="6"/>
  <c r="C391" i="6"/>
  <c r="AC390" i="6"/>
  <c r="AD390" i="6" s="1"/>
  <c r="AA390" i="6"/>
  <c r="W390" i="6"/>
  <c r="X390" i="6" s="1"/>
  <c r="U390" i="6"/>
  <c r="R390" i="6"/>
  <c r="N390" i="6"/>
  <c r="O390" i="6" s="1"/>
  <c r="L390" i="6"/>
  <c r="I390" i="6"/>
  <c r="H390" i="6"/>
  <c r="F390" i="6"/>
  <c r="C390" i="6"/>
  <c r="AC389" i="6"/>
  <c r="AA389" i="6"/>
  <c r="W389" i="6"/>
  <c r="X389" i="6" s="1"/>
  <c r="U389" i="6"/>
  <c r="R389" i="6"/>
  <c r="O389" i="6"/>
  <c r="N389" i="6"/>
  <c r="L389" i="6"/>
  <c r="I389" i="6"/>
  <c r="H389" i="6"/>
  <c r="F389" i="6"/>
  <c r="C389" i="6"/>
  <c r="AD388" i="6"/>
  <c r="AC388" i="6"/>
  <c r="AA388" i="6"/>
  <c r="W388" i="6"/>
  <c r="X388" i="6" s="1"/>
  <c r="U388" i="6"/>
  <c r="R388" i="6"/>
  <c r="N388" i="6"/>
  <c r="O388" i="6" s="1"/>
  <c r="L388" i="6"/>
  <c r="I388" i="6"/>
  <c r="H388" i="6"/>
  <c r="F388" i="6"/>
  <c r="C388" i="6"/>
  <c r="AD386" i="6"/>
  <c r="AC386" i="6"/>
  <c r="AA386" i="6"/>
  <c r="X386" i="6"/>
  <c r="W386" i="6"/>
  <c r="U386" i="6"/>
  <c r="R386" i="6"/>
  <c r="N386" i="6"/>
  <c r="O386" i="6" s="1"/>
  <c r="L386" i="6"/>
  <c r="I386" i="6"/>
  <c r="H386" i="6"/>
  <c r="F386" i="6"/>
  <c r="C386" i="6"/>
  <c r="AD385" i="6"/>
  <c r="AC385" i="6"/>
  <c r="AA385" i="6"/>
  <c r="W385" i="6"/>
  <c r="X385" i="6" s="1"/>
  <c r="U385" i="6"/>
  <c r="R385" i="6"/>
  <c r="N385" i="6"/>
  <c r="O385" i="6" s="1"/>
  <c r="L385" i="6"/>
  <c r="I385" i="6"/>
  <c r="H385" i="6"/>
  <c r="F385" i="6"/>
  <c r="C385" i="6"/>
  <c r="AC383" i="6"/>
  <c r="AA383" i="6"/>
  <c r="X383" i="6"/>
  <c r="W383" i="6"/>
  <c r="U383" i="6"/>
  <c r="R383" i="6"/>
  <c r="O383" i="6"/>
  <c r="N383" i="6"/>
  <c r="L383" i="6"/>
  <c r="H383" i="6"/>
  <c r="I383" i="6" s="1"/>
  <c r="F383" i="6"/>
  <c r="C383" i="6"/>
  <c r="AC382" i="6"/>
  <c r="AD382" i="6" s="1"/>
  <c r="AA382" i="6"/>
  <c r="W382" i="6"/>
  <c r="X382" i="6" s="1"/>
  <c r="U382" i="6"/>
  <c r="R382" i="6"/>
  <c r="N382" i="6"/>
  <c r="O382" i="6" s="1"/>
  <c r="L382" i="6"/>
  <c r="I382" i="6"/>
  <c r="H382" i="6"/>
  <c r="F382" i="6"/>
  <c r="C382" i="6"/>
  <c r="AD381" i="6"/>
  <c r="AC381" i="6"/>
  <c r="AA381" i="6"/>
  <c r="X381" i="6"/>
  <c r="W381" i="6"/>
  <c r="U381" i="6"/>
  <c r="R381" i="6"/>
  <c r="O381" i="6"/>
  <c r="N381" i="6"/>
  <c r="L381" i="6"/>
  <c r="H381" i="6"/>
  <c r="I381" i="6" s="1"/>
  <c r="F381" i="6"/>
  <c r="C381" i="6"/>
  <c r="AC380" i="6"/>
  <c r="AD380" i="6" s="1"/>
  <c r="AA380" i="6"/>
  <c r="W380" i="6"/>
  <c r="X380" i="6" s="1"/>
  <c r="U380" i="6"/>
  <c r="R380" i="6"/>
  <c r="N380" i="6"/>
  <c r="O380" i="6" s="1"/>
  <c r="L380" i="6"/>
  <c r="I380" i="6"/>
  <c r="H380" i="6"/>
  <c r="F380" i="6"/>
  <c r="C380" i="6"/>
  <c r="AC379" i="6"/>
  <c r="AA379" i="6"/>
  <c r="W379" i="6"/>
  <c r="X379" i="6" s="1"/>
  <c r="U379" i="6"/>
  <c r="R379" i="6"/>
  <c r="O379" i="6"/>
  <c r="N379" i="6"/>
  <c r="L379" i="6"/>
  <c r="I379" i="6"/>
  <c r="H379" i="6"/>
  <c r="F379" i="6"/>
  <c r="C379" i="6"/>
  <c r="AD378" i="6"/>
  <c r="AC378" i="6"/>
  <c r="AA378" i="6"/>
  <c r="W378" i="6"/>
  <c r="X378" i="6" s="1"/>
  <c r="U378" i="6"/>
  <c r="R378" i="6"/>
  <c r="N378" i="6"/>
  <c r="O378" i="6" s="1"/>
  <c r="L378" i="6"/>
  <c r="I378" i="6"/>
  <c r="H378" i="6"/>
  <c r="F378" i="6"/>
  <c r="C378" i="6"/>
  <c r="AD377" i="6"/>
  <c r="AC377" i="6"/>
  <c r="AA377" i="6"/>
  <c r="X377" i="6"/>
  <c r="W377" i="6"/>
  <c r="U377" i="6"/>
  <c r="R377" i="6"/>
  <c r="N377" i="6"/>
  <c r="O377" i="6" s="1"/>
  <c r="L377" i="6"/>
  <c r="I377" i="6"/>
  <c r="H377" i="6"/>
  <c r="F377" i="6"/>
  <c r="C377" i="6"/>
  <c r="AD376" i="6"/>
  <c r="AC376" i="6"/>
  <c r="AA376" i="6"/>
  <c r="W376" i="6"/>
  <c r="X376" i="6" s="1"/>
  <c r="U376" i="6"/>
  <c r="R376" i="6"/>
  <c r="N376" i="6"/>
  <c r="O376" i="6" s="1"/>
  <c r="L376" i="6"/>
  <c r="I376" i="6"/>
  <c r="H376" i="6"/>
  <c r="F376" i="6"/>
  <c r="C376" i="6"/>
  <c r="AC375" i="6"/>
  <c r="AA375" i="6"/>
  <c r="X375" i="6"/>
  <c r="W375" i="6"/>
  <c r="U375" i="6"/>
  <c r="R375" i="6"/>
  <c r="O375" i="6"/>
  <c r="N375" i="6"/>
  <c r="L375" i="6"/>
  <c r="H375" i="6"/>
  <c r="I375" i="6" s="1"/>
  <c r="F375" i="6"/>
  <c r="C375" i="6"/>
  <c r="AC374" i="6"/>
  <c r="AD374" i="6" s="1"/>
  <c r="AA374" i="6"/>
  <c r="W374" i="6"/>
  <c r="X374" i="6" s="1"/>
  <c r="U374" i="6"/>
  <c r="R374" i="6"/>
  <c r="N374" i="6"/>
  <c r="O374" i="6" s="1"/>
  <c r="L374" i="6"/>
  <c r="I374" i="6"/>
  <c r="H374" i="6"/>
  <c r="F374" i="6"/>
  <c r="C374" i="6"/>
  <c r="AC373" i="6"/>
  <c r="AA373" i="6"/>
  <c r="X373" i="6"/>
  <c r="W373" i="6"/>
  <c r="U373" i="6"/>
  <c r="R373" i="6"/>
  <c r="O373" i="6"/>
  <c r="N373" i="6"/>
  <c r="L373" i="6"/>
  <c r="H373" i="6"/>
  <c r="I373" i="6" s="1"/>
  <c r="F373" i="6"/>
  <c r="C373" i="6"/>
  <c r="AC372" i="6"/>
  <c r="AD372" i="6" s="1"/>
  <c r="AA372" i="6"/>
  <c r="W372" i="6"/>
  <c r="X372" i="6" s="1"/>
  <c r="U372" i="6"/>
  <c r="R372" i="6"/>
  <c r="N372" i="6"/>
  <c r="O372" i="6" s="1"/>
  <c r="L372" i="6"/>
  <c r="I372" i="6"/>
  <c r="H372" i="6"/>
  <c r="F372" i="6"/>
  <c r="C372" i="6"/>
  <c r="AD371" i="6"/>
  <c r="AC371" i="6"/>
  <c r="AA371" i="6"/>
  <c r="X371" i="6"/>
  <c r="W371" i="6"/>
  <c r="U371" i="6"/>
  <c r="R371" i="6"/>
  <c r="O371" i="6"/>
  <c r="N371" i="6"/>
  <c r="L371" i="6"/>
  <c r="H371" i="6"/>
  <c r="I371" i="6" s="1"/>
  <c r="F371" i="6"/>
  <c r="C371" i="6"/>
  <c r="AC370" i="6"/>
  <c r="AD370" i="6" s="1"/>
  <c r="AA370" i="6"/>
  <c r="W370" i="6"/>
  <c r="X370" i="6" s="1"/>
  <c r="U370" i="6"/>
  <c r="R370" i="6"/>
  <c r="N370" i="6"/>
  <c r="O370" i="6" s="1"/>
  <c r="L370" i="6"/>
  <c r="I370" i="6"/>
  <c r="H370" i="6"/>
  <c r="F370" i="6"/>
  <c r="C370" i="6"/>
  <c r="AD369" i="6"/>
  <c r="AC369" i="6"/>
  <c r="AA369" i="6"/>
  <c r="X369" i="6"/>
  <c r="W369" i="6"/>
  <c r="U369" i="6"/>
  <c r="R369" i="6"/>
  <c r="O369" i="6"/>
  <c r="N369" i="6"/>
  <c r="L369" i="6"/>
  <c r="H369" i="6"/>
  <c r="I369" i="6" s="1"/>
  <c r="F369" i="6"/>
  <c r="C369" i="6"/>
  <c r="AA368" i="6"/>
  <c r="Z368" i="6"/>
  <c r="W368" i="6"/>
  <c r="X368" i="6" s="1"/>
  <c r="U368" i="6"/>
  <c r="T368" i="6"/>
  <c r="Q368" i="6"/>
  <c r="R368" i="6" s="1"/>
  <c r="L368" i="6"/>
  <c r="K368" i="6"/>
  <c r="I368" i="6"/>
  <c r="E368" i="6"/>
  <c r="H368" i="6" s="1"/>
  <c r="C368" i="6"/>
  <c r="B368" i="6"/>
  <c r="N368" i="6" s="1"/>
  <c r="O368" i="6" s="1"/>
  <c r="AC367" i="6"/>
  <c r="AD367" i="6" s="1"/>
  <c r="AA367" i="6"/>
  <c r="W367" i="6"/>
  <c r="X367" i="6" s="1"/>
  <c r="U367" i="6"/>
  <c r="R367" i="6"/>
  <c r="N367" i="6"/>
  <c r="O367" i="6" s="1"/>
  <c r="L367" i="6"/>
  <c r="I367" i="6"/>
  <c r="H367" i="6"/>
  <c r="F367" i="6"/>
  <c r="C367" i="6"/>
  <c r="AC366" i="6"/>
  <c r="AA366" i="6"/>
  <c r="X366" i="6"/>
  <c r="W366" i="6"/>
  <c r="U366" i="6"/>
  <c r="R366" i="6"/>
  <c r="O366" i="6"/>
  <c r="N366" i="6"/>
  <c r="L366" i="6"/>
  <c r="I366" i="6"/>
  <c r="H366" i="6"/>
  <c r="F366" i="6"/>
  <c r="C366" i="6"/>
  <c r="AC365" i="6"/>
  <c r="AD365" i="6" s="1"/>
  <c r="AA365" i="6"/>
  <c r="W365" i="6"/>
  <c r="X365" i="6" s="1"/>
  <c r="U365" i="6"/>
  <c r="R365" i="6"/>
  <c r="N365" i="6"/>
  <c r="O365" i="6" s="1"/>
  <c r="L365" i="6"/>
  <c r="I365" i="6"/>
  <c r="H365" i="6"/>
  <c r="F365" i="6"/>
  <c r="C365" i="6"/>
  <c r="AD364" i="6"/>
  <c r="AC364" i="6"/>
  <c r="AA364" i="6"/>
  <c r="X364" i="6"/>
  <c r="W364" i="6"/>
  <c r="U364" i="6"/>
  <c r="R364" i="6"/>
  <c r="N364" i="6"/>
  <c r="O364" i="6" s="1"/>
  <c r="L364" i="6"/>
  <c r="H364" i="6"/>
  <c r="I364" i="6" s="1"/>
  <c r="F364" i="6"/>
  <c r="C364" i="6"/>
  <c r="AC363" i="6"/>
  <c r="AD363" i="6" s="1"/>
  <c r="AA363" i="6"/>
  <c r="W363" i="6"/>
  <c r="X363" i="6" s="1"/>
  <c r="U363" i="6"/>
  <c r="R363" i="6"/>
  <c r="N363" i="6"/>
  <c r="O363" i="6" s="1"/>
  <c r="L363" i="6"/>
  <c r="I363" i="6"/>
  <c r="H363" i="6"/>
  <c r="F363" i="6"/>
  <c r="C363" i="6"/>
  <c r="AD362" i="6"/>
  <c r="AC362" i="6"/>
  <c r="AA362" i="6"/>
  <c r="X362" i="6"/>
  <c r="W362" i="6"/>
  <c r="U362" i="6"/>
  <c r="R362" i="6"/>
  <c r="O362" i="6"/>
  <c r="N362" i="6"/>
  <c r="L362" i="6"/>
  <c r="H362" i="6"/>
  <c r="I362" i="6" s="1"/>
  <c r="F362" i="6"/>
  <c r="C362" i="6"/>
  <c r="AC361" i="6"/>
  <c r="AD361" i="6" s="1"/>
  <c r="AA361" i="6"/>
  <c r="W361" i="6"/>
  <c r="X361" i="6" s="1"/>
  <c r="U361" i="6"/>
  <c r="R361" i="6"/>
  <c r="N361" i="6"/>
  <c r="O361" i="6" s="1"/>
  <c r="L361" i="6"/>
  <c r="I361" i="6"/>
  <c r="H361" i="6"/>
  <c r="F361" i="6"/>
  <c r="C361" i="6"/>
  <c r="AD360" i="6"/>
  <c r="AC360" i="6"/>
  <c r="AA360" i="6"/>
  <c r="W360" i="6"/>
  <c r="X360" i="6" s="1"/>
  <c r="U360" i="6"/>
  <c r="R360" i="6"/>
  <c r="O360" i="6"/>
  <c r="N360" i="6"/>
  <c r="L360" i="6"/>
  <c r="H360" i="6"/>
  <c r="I360" i="6" s="1"/>
  <c r="F360" i="6"/>
  <c r="C360" i="6"/>
  <c r="AC358" i="6"/>
  <c r="AD358" i="6" s="1"/>
  <c r="AA358" i="6"/>
  <c r="Z358" i="6"/>
  <c r="W358" i="6"/>
  <c r="X358" i="6" s="1"/>
  <c r="U358" i="6"/>
  <c r="T358" i="6"/>
  <c r="Q358" i="6"/>
  <c r="R358" i="6" s="1"/>
  <c r="L358" i="6"/>
  <c r="K358" i="6"/>
  <c r="F358" i="6"/>
  <c r="E358" i="6"/>
  <c r="C358" i="6"/>
  <c r="B358" i="6"/>
  <c r="N358" i="6" s="1"/>
  <c r="O358" i="6" s="1"/>
  <c r="AC357" i="6"/>
  <c r="AD357" i="6" s="1"/>
  <c r="AA357" i="6"/>
  <c r="W357" i="6"/>
  <c r="X357" i="6" s="1"/>
  <c r="U357" i="6"/>
  <c r="R357" i="6"/>
  <c r="N357" i="6"/>
  <c r="O357" i="6" s="1"/>
  <c r="L357" i="6"/>
  <c r="I357" i="6"/>
  <c r="H357" i="6"/>
  <c r="F357" i="6"/>
  <c r="C357" i="6"/>
  <c r="AD356" i="6"/>
  <c r="AC356" i="6"/>
  <c r="AA356" i="6"/>
  <c r="X356" i="6"/>
  <c r="W356" i="6"/>
  <c r="U356" i="6"/>
  <c r="R356" i="6"/>
  <c r="O356" i="6"/>
  <c r="N356" i="6"/>
  <c r="L356" i="6"/>
  <c r="H356" i="6"/>
  <c r="I356" i="6" s="1"/>
  <c r="F356" i="6"/>
  <c r="C356" i="6"/>
  <c r="AC355" i="6"/>
  <c r="AD355" i="6" s="1"/>
  <c r="AA355" i="6"/>
  <c r="W355" i="6"/>
  <c r="X355" i="6" s="1"/>
  <c r="U355" i="6"/>
  <c r="R355" i="6"/>
  <c r="N355" i="6"/>
  <c r="O355" i="6" s="1"/>
  <c r="L355" i="6"/>
  <c r="I355" i="6"/>
  <c r="H355" i="6"/>
  <c r="F355" i="6"/>
  <c r="C355" i="6"/>
  <c r="AD354" i="6"/>
  <c r="AC354" i="6"/>
  <c r="AA354" i="6"/>
  <c r="X354" i="6"/>
  <c r="W354" i="6"/>
  <c r="U354" i="6"/>
  <c r="R354" i="6"/>
  <c r="O354" i="6"/>
  <c r="N354" i="6"/>
  <c r="L354" i="6"/>
  <c r="I354" i="6"/>
  <c r="H354" i="6"/>
  <c r="F354" i="6"/>
  <c r="C354" i="6"/>
  <c r="AC353" i="6"/>
  <c r="AD353" i="6" s="1"/>
  <c r="AA353" i="6"/>
  <c r="W353" i="6"/>
  <c r="X353" i="6" s="1"/>
  <c r="U353" i="6"/>
  <c r="R353" i="6"/>
  <c r="N353" i="6"/>
  <c r="O353" i="6" s="1"/>
  <c r="L353" i="6"/>
  <c r="I353" i="6"/>
  <c r="H353" i="6"/>
  <c r="F353" i="6"/>
  <c r="C353" i="6"/>
  <c r="AD352" i="6"/>
  <c r="AC352" i="6"/>
  <c r="AA352" i="6"/>
  <c r="W352" i="6"/>
  <c r="X352" i="6" s="1"/>
  <c r="U352" i="6"/>
  <c r="R352" i="6"/>
  <c r="O352" i="6"/>
  <c r="N352" i="6"/>
  <c r="L352" i="6"/>
  <c r="H352" i="6"/>
  <c r="I352" i="6" s="1"/>
  <c r="F352" i="6"/>
  <c r="C352" i="6"/>
  <c r="AC351" i="6"/>
  <c r="AD351" i="6" s="1"/>
  <c r="AA351" i="6"/>
  <c r="W351" i="6"/>
  <c r="X351" i="6" s="1"/>
  <c r="U351" i="6"/>
  <c r="R351" i="6"/>
  <c r="N351" i="6"/>
  <c r="O351" i="6" s="1"/>
  <c r="L351" i="6"/>
  <c r="I351" i="6"/>
  <c r="H351" i="6"/>
  <c r="F351" i="6"/>
  <c r="C351" i="6"/>
  <c r="AC350" i="6"/>
  <c r="AA350" i="6"/>
  <c r="X350" i="6"/>
  <c r="W350" i="6"/>
  <c r="U350" i="6"/>
  <c r="R350" i="6"/>
  <c r="O350" i="6"/>
  <c r="N350" i="6"/>
  <c r="L350" i="6"/>
  <c r="H350" i="6"/>
  <c r="I350" i="6" s="1"/>
  <c r="F350" i="6"/>
  <c r="C350" i="6"/>
  <c r="AC349" i="6"/>
  <c r="AD349" i="6" s="1"/>
  <c r="AA349" i="6"/>
  <c r="W349" i="6"/>
  <c r="X349" i="6" s="1"/>
  <c r="U349" i="6"/>
  <c r="R349" i="6"/>
  <c r="N349" i="6"/>
  <c r="O349" i="6" s="1"/>
  <c r="L349" i="6"/>
  <c r="I349" i="6"/>
  <c r="H349" i="6"/>
  <c r="F349" i="6"/>
  <c r="C349" i="6"/>
  <c r="AD347" i="6"/>
  <c r="AC347" i="6"/>
  <c r="AA347" i="6"/>
  <c r="W347" i="6"/>
  <c r="X347" i="6" s="1"/>
  <c r="U347" i="6"/>
  <c r="R347" i="6"/>
  <c r="O347" i="6"/>
  <c r="N347" i="6"/>
  <c r="L347" i="6"/>
  <c r="H347" i="6"/>
  <c r="I347" i="6" s="1"/>
  <c r="F347" i="6"/>
  <c r="C347" i="6"/>
  <c r="AA344" i="6"/>
  <c r="Z344" i="6"/>
  <c r="X344" i="6"/>
  <c r="W344" i="6"/>
  <c r="U344" i="6"/>
  <c r="T344" i="6"/>
  <c r="R344" i="6"/>
  <c r="Q344" i="6"/>
  <c r="AC344" i="6" s="1"/>
  <c r="AD344" i="6" s="1"/>
  <c r="K344" i="6"/>
  <c r="L344" i="6" s="1"/>
  <c r="F344" i="6"/>
  <c r="E344" i="6"/>
  <c r="H344" i="6" s="1"/>
  <c r="I344" i="6" s="1"/>
  <c r="C344" i="6"/>
  <c r="B344" i="6"/>
  <c r="AA343" i="6"/>
  <c r="Z343" i="6"/>
  <c r="X343" i="6"/>
  <c r="W343" i="6"/>
  <c r="U343" i="6"/>
  <c r="T343" i="6"/>
  <c r="Q343" i="6"/>
  <c r="R343" i="6" s="1"/>
  <c r="K343" i="6"/>
  <c r="L343" i="6" s="1"/>
  <c r="F343" i="6"/>
  <c r="E343" i="6"/>
  <c r="C343" i="6"/>
  <c r="B343" i="6"/>
  <c r="AA342" i="6"/>
  <c r="Z342" i="6"/>
  <c r="X342" i="6"/>
  <c r="U342" i="6"/>
  <c r="T342" i="6"/>
  <c r="R342" i="6"/>
  <c r="Q342" i="6"/>
  <c r="W342" i="6" s="1"/>
  <c r="K342" i="6"/>
  <c r="L342" i="6" s="1"/>
  <c r="E342" i="6"/>
  <c r="C342" i="6"/>
  <c r="B342" i="6"/>
  <c r="AC341" i="6"/>
  <c r="AD341" i="6" s="1"/>
  <c r="AA341" i="6"/>
  <c r="W341" i="6"/>
  <c r="X341" i="6" s="1"/>
  <c r="U341" i="6"/>
  <c r="R341" i="6"/>
  <c r="N341" i="6"/>
  <c r="O341" i="6" s="1"/>
  <c r="L341" i="6"/>
  <c r="I341" i="6"/>
  <c r="H341" i="6"/>
  <c r="F341" i="6"/>
  <c r="C341" i="6"/>
  <c r="AD340" i="6"/>
  <c r="AC340" i="6"/>
  <c r="AA340" i="6"/>
  <c r="W340" i="6"/>
  <c r="X340" i="6" s="1"/>
  <c r="U340" i="6"/>
  <c r="R340" i="6"/>
  <c r="N340" i="6"/>
  <c r="O340" i="6" s="1"/>
  <c r="L340" i="6"/>
  <c r="I340" i="6"/>
  <c r="H340" i="6"/>
  <c r="F340" i="6"/>
  <c r="C340" i="6"/>
  <c r="AD339" i="6"/>
  <c r="AC339" i="6"/>
  <c r="AA339" i="6"/>
  <c r="W339" i="6"/>
  <c r="X339" i="6" s="1"/>
  <c r="U339" i="6"/>
  <c r="R339" i="6"/>
  <c r="N339" i="6"/>
  <c r="O339" i="6" s="1"/>
  <c r="L339" i="6"/>
  <c r="I339" i="6"/>
  <c r="H339" i="6"/>
  <c r="F339" i="6"/>
  <c r="C339" i="6"/>
  <c r="AD338" i="6"/>
  <c r="AC338" i="6"/>
  <c r="AA338" i="6"/>
  <c r="X338" i="6"/>
  <c r="W338" i="6"/>
  <c r="U338" i="6"/>
  <c r="R338" i="6"/>
  <c r="N338" i="6"/>
  <c r="O338" i="6" s="1"/>
  <c r="L338" i="6"/>
  <c r="H338" i="6"/>
  <c r="I338" i="6" s="1"/>
  <c r="F338" i="6"/>
  <c r="C338" i="6"/>
  <c r="AC337" i="6"/>
  <c r="AD337" i="6" s="1"/>
  <c r="AA337" i="6"/>
  <c r="W337" i="6"/>
  <c r="X337" i="6" s="1"/>
  <c r="U337" i="6"/>
  <c r="R337" i="6"/>
  <c r="N337" i="6"/>
  <c r="O337" i="6" s="1"/>
  <c r="L337" i="6"/>
  <c r="I337" i="6"/>
  <c r="H337" i="6"/>
  <c r="F337" i="6"/>
  <c r="C337" i="6"/>
  <c r="AD335" i="6"/>
  <c r="AC335" i="6"/>
  <c r="AA335" i="6"/>
  <c r="W335" i="6"/>
  <c r="X335" i="6" s="1"/>
  <c r="U335" i="6"/>
  <c r="R335" i="6"/>
  <c r="N335" i="6"/>
  <c r="O335" i="6" s="1"/>
  <c r="L335" i="6"/>
  <c r="I335" i="6"/>
  <c r="H335" i="6"/>
  <c r="F335" i="6"/>
  <c r="C335" i="6"/>
  <c r="AD334" i="6"/>
  <c r="AC334" i="6"/>
  <c r="AA334" i="6"/>
  <c r="W334" i="6"/>
  <c r="X334" i="6" s="1"/>
  <c r="U334" i="6"/>
  <c r="R334" i="6"/>
  <c r="N334" i="6"/>
  <c r="O334" i="6" s="1"/>
  <c r="L334" i="6"/>
  <c r="I334" i="6"/>
  <c r="H334" i="6"/>
  <c r="F334" i="6"/>
  <c r="C334" i="6"/>
  <c r="AD333" i="6"/>
  <c r="AC333" i="6"/>
  <c r="AA333" i="6"/>
  <c r="X333" i="6"/>
  <c r="W333" i="6"/>
  <c r="U333" i="6"/>
  <c r="R333" i="6"/>
  <c r="N333" i="6"/>
  <c r="O333" i="6" s="1"/>
  <c r="L333" i="6"/>
  <c r="H333" i="6"/>
  <c r="I333" i="6" s="1"/>
  <c r="F333" i="6"/>
  <c r="C333" i="6"/>
  <c r="AC332" i="6"/>
  <c r="AD332" i="6" s="1"/>
  <c r="AA332" i="6"/>
  <c r="W332" i="6"/>
  <c r="X332" i="6" s="1"/>
  <c r="U332" i="6"/>
  <c r="R332" i="6"/>
  <c r="N332" i="6"/>
  <c r="O332" i="6" s="1"/>
  <c r="L332" i="6"/>
  <c r="I332" i="6"/>
  <c r="H332" i="6"/>
  <c r="F332" i="6"/>
  <c r="C332" i="6"/>
  <c r="AD331" i="6"/>
  <c r="AC331" i="6"/>
  <c r="AA331" i="6"/>
  <c r="W331" i="6"/>
  <c r="X331" i="6" s="1"/>
  <c r="U331" i="6"/>
  <c r="R331" i="6"/>
  <c r="N331" i="6"/>
  <c r="O331" i="6" s="1"/>
  <c r="L331" i="6"/>
  <c r="I331" i="6"/>
  <c r="H331" i="6"/>
  <c r="F331" i="6"/>
  <c r="C331" i="6"/>
  <c r="AD330" i="6"/>
  <c r="AC330" i="6"/>
  <c r="AA330" i="6"/>
  <c r="W330" i="6"/>
  <c r="X330" i="6" s="1"/>
  <c r="U330" i="6"/>
  <c r="R330" i="6"/>
  <c r="N330" i="6"/>
  <c r="O330" i="6" s="1"/>
  <c r="L330" i="6"/>
  <c r="I330" i="6"/>
  <c r="H330" i="6"/>
  <c r="F330" i="6"/>
  <c r="C330" i="6"/>
  <c r="AD329" i="6"/>
  <c r="AC329" i="6"/>
  <c r="AA329" i="6"/>
  <c r="W329" i="6"/>
  <c r="X329" i="6" s="1"/>
  <c r="U329" i="6"/>
  <c r="R329" i="6"/>
  <c r="O329" i="6"/>
  <c r="N329" i="6"/>
  <c r="L329" i="6"/>
  <c r="I329" i="6"/>
  <c r="H329" i="6"/>
  <c r="F329" i="6"/>
  <c r="C329" i="6"/>
  <c r="AD328" i="6"/>
  <c r="AC328" i="6"/>
  <c r="AA328" i="6"/>
  <c r="W328" i="6"/>
  <c r="X328" i="6" s="1"/>
  <c r="U328" i="6"/>
  <c r="R328" i="6"/>
  <c r="N328" i="6"/>
  <c r="O328" i="6" s="1"/>
  <c r="L328" i="6"/>
  <c r="I328" i="6"/>
  <c r="H328" i="6"/>
  <c r="F328" i="6"/>
  <c r="C328" i="6"/>
  <c r="Z325" i="6"/>
  <c r="AA325" i="6" s="1"/>
  <c r="U325" i="6"/>
  <c r="T325" i="6"/>
  <c r="R325" i="6"/>
  <c r="Q325" i="6"/>
  <c r="L325" i="6"/>
  <c r="K325" i="6"/>
  <c r="I325" i="6"/>
  <c r="H325" i="6"/>
  <c r="F325" i="6"/>
  <c r="E325" i="6"/>
  <c r="C325" i="6"/>
  <c r="B325" i="6"/>
  <c r="N325" i="6" s="1"/>
  <c r="O325" i="6" s="1"/>
  <c r="Z324" i="6"/>
  <c r="AA324" i="6" s="1"/>
  <c r="X324" i="6"/>
  <c r="U324" i="6"/>
  <c r="T324" i="6"/>
  <c r="W324" i="6" s="1"/>
  <c r="R324" i="6"/>
  <c r="Q324" i="6"/>
  <c r="L324" i="6"/>
  <c r="K324" i="6"/>
  <c r="I324" i="6"/>
  <c r="H324" i="6"/>
  <c r="F324" i="6"/>
  <c r="E324" i="6"/>
  <c r="C324" i="6"/>
  <c r="B324" i="6"/>
  <c r="N324" i="6" s="1"/>
  <c r="O324" i="6" s="1"/>
  <c r="AD323" i="6"/>
  <c r="AC323" i="6"/>
  <c r="AA323" i="6"/>
  <c r="W323" i="6"/>
  <c r="X323" i="6" s="1"/>
  <c r="U323" i="6"/>
  <c r="R323" i="6"/>
  <c r="N323" i="6"/>
  <c r="O323" i="6" s="1"/>
  <c r="L323" i="6"/>
  <c r="I323" i="6"/>
  <c r="H323" i="6"/>
  <c r="F323" i="6"/>
  <c r="C323" i="6"/>
  <c r="AD322" i="6"/>
  <c r="AC322" i="6"/>
  <c r="AA322" i="6"/>
  <c r="W322" i="6"/>
  <c r="X322" i="6" s="1"/>
  <c r="U322" i="6"/>
  <c r="R322" i="6"/>
  <c r="N322" i="6"/>
  <c r="O322" i="6" s="1"/>
  <c r="L322" i="6"/>
  <c r="I322" i="6"/>
  <c r="H322" i="6"/>
  <c r="F322" i="6"/>
  <c r="C322" i="6"/>
  <c r="AD321" i="6"/>
  <c r="AC321" i="6"/>
  <c r="AA321" i="6"/>
  <c r="W321" i="6"/>
  <c r="X321" i="6" s="1"/>
  <c r="U321" i="6"/>
  <c r="R321" i="6"/>
  <c r="O321" i="6"/>
  <c r="N321" i="6"/>
  <c r="L321" i="6"/>
  <c r="I321" i="6"/>
  <c r="H321" i="6"/>
  <c r="F321" i="6"/>
  <c r="C321" i="6"/>
  <c r="AD320" i="6"/>
  <c r="AC320" i="6"/>
  <c r="AA320" i="6"/>
  <c r="W320" i="6"/>
  <c r="X320" i="6" s="1"/>
  <c r="U320" i="6"/>
  <c r="R320" i="6"/>
  <c r="N320" i="6"/>
  <c r="O320" i="6" s="1"/>
  <c r="L320" i="6"/>
  <c r="I320" i="6"/>
  <c r="H320" i="6"/>
  <c r="F320" i="6"/>
  <c r="C320" i="6"/>
  <c r="AD319" i="6"/>
  <c r="AC319" i="6"/>
  <c r="AA319" i="6"/>
  <c r="W319" i="6"/>
  <c r="X319" i="6" s="1"/>
  <c r="U319" i="6"/>
  <c r="R319" i="6"/>
  <c r="O319" i="6"/>
  <c r="N319" i="6"/>
  <c r="L319" i="6"/>
  <c r="I319" i="6"/>
  <c r="H319" i="6"/>
  <c r="F319" i="6"/>
  <c r="C319" i="6"/>
  <c r="AC318" i="6"/>
  <c r="AD318" i="6" s="1"/>
  <c r="AA318" i="6"/>
  <c r="W318" i="6"/>
  <c r="X318" i="6" s="1"/>
  <c r="U318" i="6"/>
  <c r="R318" i="6"/>
  <c r="N318" i="6"/>
  <c r="O318" i="6" s="1"/>
  <c r="L318" i="6"/>
  <c r="I318" i="6"/>
  <c r="H318" i="6"/>
  <c r="F318" i="6"/>
  <c r="C318" i="6"/>
  <c r="AD317" i="6"/>
  <c r="AC317" i="6"/>
  <c r="AA317" i="6"/>
  <c r="X317" i="6"/>
  <c r="W317" i="6"/>
  <c r="U317" i="6"/>
  <c r="R317" i="6"/>
  <c r="N317" i="6"/>
  <c r="O317" i="6" s="1"/>
  <c r="L317" i="6"/>
  <c r="I317" i="6"/>
  <c r="H317" i="6"/>
  <c r="F317" i="6"/>
  <c r="C317" i="6"/>
  <c r="AD316" i="6"/>
  <c r="AC316" i="6"/>
  <c r="AA316" i="6"/>
  <c r="W316" i="6"/>
  <c r="X316" i="6" s="1"/>
  <c r="U316" i="6"/>
  <c r="R316" i="6"/>
  <c r="N316" i="6"/>
  <c r="O316" i="6" s="1"/>
  <c r="L316" i="6"/>
  <c r="I316" i="6"/>
  <c r="H316" i="6"/>
  <c r="F316" i="6"/>
  <c r="C316" i="6"/>
  <c r="AD315" i="6"/>
  <c r="AC315" i="6"/>
  <c r="AA315" i="6"/>
  <c r="W315" i="6"/>
  <c r="X315" i="6" s="1"/>
  <c r="U315" i="6"/>
  <c r="R315" i="6"/>
  <c r="N315" i="6"/>
  <c r="O315" i="6" s="1"/>
  <c r="L315" i="6"/>
  <c r="H315" i="6"/>
  <c r="I315" i="6" s="1"/>
  <c r="F315" i="6"/>
  <c r="C315" i="6"/>
  <c r="AD314" i="6"/>
  <c r="AC314" i="6"/>
  <c r="AA314" i="6"/>
  <c r="W314" i="6"/>
  <c r="X314" i="6" s="1"/>
  <c r="U314" i="6"/>
  <c r="R314" i="6"/>
  <c r="N314" i="6"/>
  <c r="O314" i="6" s="1"/>
  <c r="L314" i="6"/>
  <c r="I314" i="6"/>
  <c r="H314" i="6"/>
  <c r="F314" i="6"/>
  <c r="C314" i="6"/>
  <c r="AD313" i="6"/>
  <c r="AC313" i="6"/>
  <c r="AA313" i="6"/>
  <c r="W313" i="6"/>
  <c r="X313" i="6" s="1"/>
  <c r="U313" i="6"/>
  <c r="R313" i="6"/>
  <c r="O313" i="6"/>
  <c r="N313" i="6"/>
  <c r="L313" i="6"/>
  <c r="H313" i="6"/>
  <c r="I313" i="6" s="1"/>
  <c r="F313" i="6"/>
  <c r="C313" i="6"/>
  <c r="AD312" i="6"/>
  <c r="AC312" i="6"/>
  <c r="AA312" i="6"/>
  <c r="W312" i="6"/>
  <c r="X312" i="6" s="1"/>
  <c r="U312" i="6"/>
  <c r="R312" i="6"/>
  <c r="N312" i="6"/>
  <c r="O312" i="6" s="1"/>
  <c r="L312" i="6"/>
  <c r="I312" i="6"/>
  <c r="H312" i="6"/>
  <c r="F312" i="6"/>
  <c r="C312" i="6"/>
  <c r="AD311" i="6"/>
  <c r="AC311" i="6"/>
  <c r="AA311" i="6"/>
  <c r="W311" i="6"/>
  <c r="X311" i="6" s="1"/>
  <c r="U311" i="6"/>
  <c r="R311" i="6"/>
  <c r="O311" i="6"/>
  <c r="N311" i="6"/>
  <c r="L311" i="6"/>
  <c r="I311" i="6"/>
  <c r="H311" i="6"/>
  <c r="F311" i="6"/>
  <c r="C311" i="6"/>
  <c r="AC310" i="6"/>
  <c r="AD310" i="6" s="1"/>
  <c r="AA310" i="6"/>
  <c r="W310" i="6"/>
  <c r="X310" i="6" s="1"/>
  <c r="U310" i="6"/>
  <c r="R310" i="6"/>
  <c r="N310" i="6"/>
  <c r="O310" i="6" s="1"/>
  <c r="L310" i="6"/>
  <c r="I310" i="6"/>
  <c r="H310" i="6"/>
  <c r="F310" i="6"/>
  <c r="C310" i="6"/>
  <c r="AD309" i="6"/>
  <c r="AC309" i="6"/>
  <c r="AA309" i="6"/>
  <c r="X309" i="6"/>
  <c r="W309" i="6"/>
  <c r="U309" i="6"/>
  <c r="R309" i="6"/>
  <c r="O309" i="6"/>
  <c r="N309" i="6"/>
  <c r="L309" i="6"/>
  <c r="I309" i="6"/>
  <c r="H309" i="6"/>
  <c r="F309" i="6"/>
  <c r="C309" i="6"/>
  <c r="AD308" i="6"/>
  <c r="AC308" i="6"/>
  <c r="AA308" i="6"/>
  <c r="W308" i="6"/>
  <c r="X308" i="6" s="1"/>
  <c r="U308" i="6"/>
  <c r="R308" i="6"/>
  <c r="N308" i="6"/>
  <c r="O308" i="6" s="1"/>
  <c r="L308" i="6"/>
  <c r="I308" i="6"/>
  <c r="H308" i="6"/>
  <c r="F308" i="6"/>
  <c r="C308" i="6"/>
  <c r="AD307" i="6"/>
  <c r="AC307" i="6"/>
  <c r="AA307" i="6"/>
  <c r="W307" i="6"/>
  <c r="X307" i="6" s="1"/>
  <c r="U307" i="6"/>
  <c r="R307" i="6"/>
  <c r="N307" i="6"/>
  <c r="O307" i="6" s="1"/>
  <c r="L307" i="6"/>
  <c r="H307" i="6"/>
  <c r="I307" i="6" s="1"/>
  <c r="F307" i="6"/>
  <c r="C307" i="6"/>
  <c r="AD306" i="6"/>
  <c r="AC306" i="6"/>
  <c r="AA306" i="6"/>
  <c r="W306" i="6"/>
  <c r="X306" i="6" s="1"/>
  <c r="U306" i="6"/>
  <c r="R306" i="6"/>
  <c r="N306" i="6"/>
  <c r="O306" i="6" s="1"/>
  <c r="L306" i="6"/>
  <c r="I306" i="6"/>
  <c r="H306" i="6"/>
  <c r="F306" i="6"/>
  <c r="C306" i="6"/>
  <c r="AD305" i="6"/>
  <c r="AC305" i="6"/>
  <c r="AA305" i="6"/>
  <c r="W305" i="6"/>
  <c r="X305" i="6" s="1"/>
  <c r="U305" i="6"/>
  <c r="R305" i="6"/>
  <c r="O305" i="6"/>
  <c r="N305" i="6"/>
  <c r="L305" i="6"/>
  <c r="I305" i="6"/>
  <c r="H305" i="6"/>
  <c r="F305" i="6"/>
  <c r="C305" i="6"/>
  <c r="AD304" i="6"/>
  <c r="AC304" i="6"/>
  <c r="AA304" i="6"/>
  <c r="W304" i="6"/>
  <c r="X304" i="6" s="1"/>
  <c r="U304" i="6"/>
  <c r="R304" i="6"/>
  <c r="N304" i="6"/>
  <c r="O304" i="6" s="1"/>
  <c r="L304" i="6"/>
  <c r="I304" i="6"/>
  <c r="H304" i="6"/>
  <c r="F304" i="6"/>
  <c r="C304" i="6"/>
  <c r="AD303" i="6"/>
  <c r="AC303" i="6"/>
  <c r="AA303" i="6"/>
  <c r="W303" i="6"/>
  <c r="X303" i="6" s="1"/>
  <c r="U303" i="6"/>
  <c r="R303" i="6"/>
  <c r="O303" i="6"/>
  <c r="N303" i="6"/>
  <c r="L303" i="6"/>
  <c r="I303" i="6"/>
  <c r="H303" i="6"/>
  <c r="F303" i="6"/>
  <c r="C303" i="6"/>
  <c r="AC302" i="6"/>
  <c r="AD302" i="6" s="1"/>
  <c r="AA302" i="6"/>
  <c r="W302" i="6"/>
  <c r="X302" i="6" s="1"/>
  <c r="U302" i="6"/>
  <c r="R302" i="6"/>
  <c r="N302" i="6"/>
  <c r="O302" i="6" s="1"/>
  <c r="L302" i="6"/>
  <c r="I302" i="6"/>
  <c r="H302" i="6"/>
  <c r="F302" i="6"/>
  <c r="C302" i="6"/>
  <c r="AD301" i="6"/>
  <c r="AC301" i="6"/>
  <c r="AA301" i="6"/>
  <c r="X301" i="6"/>
  <c r="W301" i="6"/>
  <c r="U301" i="6"/>
  <c r="R301" i="6"/>
  <c r="N301" i="6"/>
  <c r="O301" i="6" s="1"/>
  <c r="L301" i="6"/>
  <c r="I301" i="6"/>
  <c r="H301" i="6"/>
  <c r="F301" i="6"/>
  <c r="C301" i="6"/>
  <c r="AD300" i="6"/>
  <c r="AC300" i="6"/>
  <c r="AA300" i="6"/>
  <c r="W300" i="6"/>
  <c r="X300" i="6" s="1"/>
  <c r="U300" i="6"/>
  <c r="R300" i="6"/>
  <c r="N300" i="6"/>
  <c r="O300" i="6" s="1"/>
  <c r="L300" i="6"/>
  <c r="I300" i="6"/>
  <c r="H300" i="6"/>
  <c r="F300" i="6"/>
  <c r="C300" i="6"/>
  <c r="AD299" i="6"/>
  <c r="AC299" i="6"/>
  <c r="AA299" i="6"/>
  <c r="W299" i="6"/>
  <c r="X299" i="6" s="1"/>
  <c r="U299" i="6"/>
  <c r="R299" i="6"/>
  <c r="N299" i="6"/>
  <c r="O299" i="6" s="1"/>
  <c r="L299" i="6"/>
  <c r="H299" i="6"/>
  <c r="I299" i="6" s="1"/>
  <c r="F299" i="6"/>
  <c r="C299" i="6"/>
  <c r="AD298" i="6"/>
  <c r="AC298" i="6"/>
  <c r="AA298" i="6"/>
  <c r="W298" i="6"/>
  <c r="X298" i="6" s="1"/>
  <c r="U298" i="6"/>
  <c r="R298" i="6"/>
  <c r="N298" i="6"/>
  <c r="O298" i="6" s="1"/>
  <c r="L298" i="6"/>
  <c r="I298" i="6"/>
  <c r="H298" i="6"/>
  <c r="F298" i="6"/>
  <c r="C298" i="6"/>
  <c r="AD297" i="6"/>
  <c r="AC297" i="6"/>
  <c r="AA297" i="6"/>
  <c r="W297" i="6"/>
  <c r="X297" i="6" s="1"/>
  <c r="U297" i="6"/>
  <c r="R297" i="6"/>
  <c r="N297" i="6"/>
  <c r="O297" i="6" s="1"/>
  <c r="L297" i="6"/>
  <c r="H297" i="6"/>
  <c r="I297" i="6" s="1"/>
  <c r="F297" i="6"/>
  <c r="C297" i="6"/>
  <c r="AA295" i="6"/>
  <c r="Z295" i="6"/>
  <c r="W295" i="6"/>
  <c r="X295" i="6" s="1"/>
  <c r="U295" i="6"/>
  <c r="T295" i="6"/>
  <c r="R295" i="6"/>
  <c r="Q295" i="6"/>
  <c r="AC295" i="6" s="1"/>
  <c r="AD295" i="6" s="1"/>
  <c r="L295" i="6"/>
  <c r="K295" i="6"/>
  <c r="I295" i="6"/>
  <c r="F295" i="6"/>
  <c r="E295" i="6"/>
  <c r="C295" i="6"/>
  <c r="B295" i="6"/>
  <c r="H295" i="6" s="1"/>
  <c r="AC294" i="6"/>
  <c r="AD294" i="6" s="1"/>
  <c r="AA294" i="6"/>
  <c r="W294" i="6"/>
  <c r="X294" i="6" s="1"/>
  <c r="U294" i="6"/>
  <c r="R294" i="6"/>
  <c r="N294" i="6"/>
  <c r="O294" i="6" s="1"/>
  <c r="L294" i="6"/>
  <c r="I294" i="6"/>
  <c r="H294" i="6"/>
  <c r="F294" i="6"/>
  <c r="C294" i="6"/>
  <c r="AD293" i="6"/>
  <c r="AC293" i="6"/>
  <c r="AA293" i="6"/>
  <c r="W293" i="6"/>
  <c r="X293" i="6" s="1"/>
  <c r="U293" i="6"/>
  <c r="R293" i="6"/>
  <c r="N293" i="6"/>
  <c r="O293" i="6" s="1"/>
  <c r="L293" i="6"/>
  <c r="I293" i="6"/>
  <c r="H293" i="6"/>
  <c r="F293" i="6"/>
  <c r="C293" i="6"/>
  <c r="AC292" i="6"/>
  <c r="AD292" i="6" s="1"/>
  <c r="AA292" i="6"/>
  <c r="W292" i="6"/>
  <c r="X292" i="6" s="1"/>
  <c r="U292" i="6"/>
  <c r="R292" i="6"/>
  <c r="N292" i="6"/>
  <c r="O292" i="6" s="1"/>
  <c r="L292" i="6"/>
  <c r="I292" i="6"/>
  <c r="H292" i="6"/>
  <c r="F292" i="6"/>
  <c r="C292" i="6"/>
  <c r="AD291" i="6"/>
  <c r="AC291" i="6"/>
  <c r="AA291" i="6"/>
  <c r="X291" i="6"/>
  <c r="W291" i="6"/>
  <c r="U291" i="6"/>
  <c r="R291" i="6"/>
  <c r="N291" i="6"/>
  <c r="O291" i="6" s="1"/>
  <c r="L291" i="6"/>
  <c r="H291" i="6"/>
  <c r="I291" i="6" s="1"/>
  <c r="F291" i="6"/>
  <c r="C291" i="6"/>
  <c r="AD290" i="6"/>
  <c r="AC290" i="6"/>
  <c r="AA290" i="6"/>
  <c r="W290" i="6"/>
  <c r="X290" i="6" s="1"/>
  <c r="U290" i="6"/>
  <c r="R290" i="6"/>
  <c r="N290" i="6"/>
  <c r="O290" i="6" s="1"/>
  <c r="L290" i="6"/>
  <c r="I290" i="6"/>
  <c r="H290" i="6"/>
  <c r="F290" i="6"/>
  <c r="C290" i="6"/>
  <c r="AD289" i="6"/>
  <c r="AC289" i="6"/>
  <c r="AA289" i="6"/>
  <c r="W289" i="6"/>
  <c r="X289" i="6" s="1"/>
  <c r="U289" i="6"/>
  <c r="R289" i="6"/>
  <c r="O289" i="6"/>
  <c r="N289" i="6"/>
  <c r="L289" i="6"/>
  <c r="I289" i="6"/>
  <c r="H289" i="6"/>
  <c r="F289" i="6"/>
  <c r="C289" i="6"/>
  <c r="AC288" i="6"/>
  <c r="AD288" i="6" s="1"/>
  <c r="AA288" i="6"/>
  <c r="W288" i="6"/>
  <c r="X288" i="6" s="1"/>
  <c r="U288" i="6"/>
  <c r="R288" i="6"/>
  <c r="N288" i="6"/>
  <c r="O288" i="6" s="1"/>
  <c r="L288" i="6"/>
  <c r="I288" i="6"/>
  <c r="H288" i="6"/>
  <c r="F288" i="6"/>
  <c r="C288" i="6"/>
  <c r="AD287" i="6"/>
  <c r="AC287" i="6"/>
  <c r="AA287" i="6"/>
  <c r="W287" i="6"/>
  <c r="X287" i="6" s="1"/>
  <c r="U287" i="6"/>
  <c r="R287" i="6"/>
  <c r="N287" i="6"/>
  <c r="O287" i="6" s="1"/>
  <c r="L287" i="6"/>
  <c r="I287" i="6"/>
  <c r="H287" i="6"/>
  <c r="F287" i="6"/>
  <c r="C287" i="6"/>
  <c r="AD286" i="6"/>
  <c r="AC286" i="6"/>
  <c r="AA286" i="6"/>
  <c r="W286" i="6"/>
  <c r="X286" i="6" s="1"/>
  <c r="U286" i="6"/>
  <c r="R286" i="6"/>
  <c r="N286" i="6"/>
  <c r="O286" i="6" s="1"/>
  <c r="L286" i="6"/>
  <c r="I286" i="6"/>
  <c r="H286" i="6"/>
  <c r="F286" i="6"/>
  <c r="C286" i="6"/>
  <c r="Z284" i="6"/>
  <c r="AA284" i="6" s="1"/>
  <c r="T284" i="6"/>
  <c r="U284" i="6" s="1"/>
  <c r="R284" i="6"/>
  <c r="Q284" i="6"/>
  <c r="W284" i="6" s="1"/>
  <c r="X284" i="6" s="1"/>
  <c r="L284" i="6"/>
  <c r="K284" i="6"/>
  <c r="I284" i="6"/>
  <c r="H284" i="6"/>
  <c r="F284" i="6"/>
  <c r="E284" i="6"/>
  <c r="C284" i="6"/>
  <c r="B284" i="6"/>
  <c r="N284" i="6" s="1"/>
  <c r="O284" i="6" s="1"/>
  <c r="AD283" i="6"/>
  <c r="AC283" i="6"/>
  <c r="AA283" i="6"/>
  <c r="W283" i="6"/>
  <c r="X283" i="6" s="1"/>
  <c r="U283" i="6"/>
  <c r="R283" i="6"/>
  <c r="N283" i="6"/>
  <c r="O283" i="6" s="1"/>
  <c r="L283" i="6"/>
  <c r="H283" i="6"/>
  <c r="I283" i="6" s="1"/>
  <c r="F283" i="6"/>
  <c r="C283" i="6"/>
  <c r="AD282" i="6"/>
  <c r="AC282" i="6"/>
  <c r="AA282" i="6"/>
  <c r="W282" i="6"/>
  <c r="X282" i="6" s="1"/>
  <c r="U282" i="6"/>
  <c r="R282" i="6"/>
  <c r="N282" i="6"/>
  <c r="O282" i="6" s="1"/>
  <c r="L282" i="6"/>
  <c r="I282" i="6"/>
  <c r="H282" i="6"/>
  <c r="F282" i="6"/>
  <c r="C282" i="6"/>
  <c r="AD281" i="6"/>
  <c r="AC281" i="6"/>
  <c r="AA281" i="6"/>
  <c r="X281" i="6"/>
  <c r="W281" i="6"/>
  <c r="U281" i="6"/>
  <c r="R281" i="6"/>
  <c r="N281" i="6"/>
  <c r="O281" i="6" s="1"/>
  <c r="L281" i="6"/>
  <c r="H281" i="6"/>
  <c r="I281" i="6" s="1"/>
  <c r="F281" i="6"/>
  <c r="C281" i="6"/>
  <c r="AD280" i="6"/>
  <c r="AC280" i="6"/>
  <c r="AA280" i="6"/>
  <c r="W280" i="6"/>
  <c r="X280" i="6" s="1"/>
  <c r="U280" i="6"/>
  <c r="R280" i="6"/>
  <c r="N280" i="6"/>
  <c r="O280" i="6" s="1"/>
  <c r="L280" i="6"/>
  <c r="I280" i="6"/>
  <c r="H280" i="6"/>
  <c r="F280" i="6"/>
  <c r="C280" i="6"/>
  <c r="AD279" i="6"/>
  <c r="AC279" i="6"/>
  <c r="AA279" i="6"/>
  <c r="W279" i="6"/>
  <c r="X279" i="6" s="1"/>
  <c r="U279" i="6"/>
  <c r="R279" i="6"/>
  <c r="N279" i="6"/>
  <c r="O279" i="6" s="1"/>
  <c r="L279" i="6"/>
  <c r="I279" i="6"/>
  <c r="H279" i="6"/>
  <c r="F279" i="6"/>
  <c r="C279" i="6"/>
  <c r="AC278" i="6"/>
  <c r="AD278" i="6" s="1"/>
  <c r="AA278" i="6"/>
  <c r="W278" i="6"/>
  <c r="X278" i="6" s="1"/>
  <c r="U278" i="6"/>
  <c r="R278" i="6"/>
  <c r="N278" i="6"/>
  <c r="O278" i="6" s="1"/>
  <c r="L278" i="6"/>
  <c r="I278" i="6"/>
  <c r="H278" i="6"/>
  <c r="F278" i="6"/>
  <c r="C278" i="6"/>
  <c r="AD277" i="6"/>
  <c r="AC277" i="6"/>
  <c r="AA277" i="6"/>
  <c r="X277" i="6"/>
  <c r="W277" i="6"/>
  <c r="U277" i="6"/>
  <c r="R277" i="6"/>
  <c r="N277" i="6"/>
  <c r="O277" i="6" s="1"/>
  <c r="L277" i="6"/>
  <c r="I277" i="6"/>
  <c r="H277" i="6"/>
  <c r="F277" i="6"/>
  <c r="C277" i="6"/>
  <c r="AD276" i="6"/>
  <c r="AC276" i="6"/>
  <c r="AA276" i="6"/>
  <c r="W276" i="6"/>
  <c r="X276" i="6" s="1"/>
  <c r="U276" i="6"/>
  <c r="R276" i="6"/>
  <c r="N276" i="6"/>
  <c r="O276" i="6" s="1"/>
  <c r="L276" i="6"/>
  <c r="I276" i="6"/>
  <c r="H276" i="6"/>
  <c r="F276" i="6"/>
  <c r="C276" i="6"/>
  <c r="AD275" i="6"/>
  <c r="AC275" i="6"/>
  <c r="AA275" i="6"/>
  <c r="W275" i="6"/>
  <c r="X275" i="6" s="1"/>
  <c r="U275" i="6"/>
  <c r="R275" i="6"/>
  <c r="N275" i="6"/>
  <c r="O275" i="6" s="1"/>
  <c r="L275" i="6"/>
  <c r="I275" i="6"/>
  <c r="H275" i="6"/>
  <c r="F275" i="6"/>
  <c r="C275" i="6"/>
  <c r="AA273" i="6"/>
  <c r="Z273" i="6"/>
  <c r="W273" i="6"/>
  <c r="X273" i="6" s="1"/>
  <c r="U273" i="6"/>
  <c r="T273" i="6"/>
  <c r="R273" i="6"/>
  <c r="Q273" i="6"/>
  <c r="AC273" i="6" s="1"/>
  <c r="AD273" i="6" s="1"/>
  <c r="K273" i="6"/>
  <c r="L273" i="6" s="1"/>
  <c r="I273" i="6"/>
  <c r="E273" i="6"/>
  <c r="H273" i="6" s="1"/>
  <c r="C273" i="6"/>
  <c r="B273" i="6"/>
  <c r="AD272" i="6"/>
  <c r="AC272" i="6"/>
  <c r="AA272" i="6"/>
  <c r="W272" i="6"/>
  <c r="X272" i="6" s="1"/>
  <c r="U272" i="6"/>
  <c r="R272" i="6"/>
  <c r="N272" i="6"/>
  <c r="O272" i="6" s="1"/>
  <c r="L272" i="6"/>
  <c r="I272" i="6"/>
  <c r="H272" i="6"/>
  <c r="F272" i="6"/>
  <c r="C272" i="6"/>
  <c r="AD271" i="6"/>
  <c r="AC271" i="6"/>
  <c r="AA271" i="6"/>
  <c r="W271" i="6"/>
  <c r="X271" i="6" s="1"/>
  <c r="U271" i="6"/>
  <c r="R271" i="6"/>
  <c r="O271" i="6"/>
  <c r="N271" i="6"/>
  <c r="L271" i="6"/>
  <c r="I271" i="6"/>
  <c r="H271" i="6"/>
  <c r="F271" i="6"/>
  <c r="C271" i="6"/>
  <c r="AC270" i="6"/>
  <c r="AD270" i="6" s="1"/>
  <c r="AA270" i="6"/>
  <c r="W270" i="6"/>
  <c r="X270" i="6" s="1"/>
  <c r="U270" i="6"/>
  <c r="R270" i="6"/>
  <c r="N270" i="6"/>
  <c r="O270" i="6" s="1"/>
  <c r="L270" i="6"/>
  <c r="I270" i="6"/>
  <c r="H270" i="6"/>
  <c r="F270" i="6"/>
  <c r="C270" i="6"/>
  <c r="AD269" i="6"/>
  <c r="AC269" i="6"/>
  <c r="AA269" i="6"/>
  <c r="X269" i="6"/>
  <c r="W269" i="6"/>
  <c r="U269" i="6"/>
  <c r="R269" i="6"/>
  <c r="N269" i="6"/>
  <c r="O269" i="6" s="1"/>
  <c r="L269" i="6"/>
  <c r="H269" i="6"/>
  <c r="I269" i="6" s="1"/>
  <c r="F269" i="6"/>
  <c r="C269" i="6"/>
  <c r="AA267" i="6"/>
  <c r="Z267" i="6"/>
  <c r="W267" i="6"/>
  <c r="X267" i="6" s="1"/>
  <c r="U267" i="6"/>
  <c r="T267" i="6"/>
  <c r="R267" i="6"/>
  <c r="Q267" i="6"/>
  <c r="AC267" i="6" s="1"/>
  <c r="AD267" i="6" s="1"/>
  <c r="K267" i="6"/>
  <c r="L267" i="6" s="1"/>
  <c r="F267" i="6"/>
  <c r="E267" i="6"/>
  <c r="C267" i="6"/>
  <c r="B267" i="6"/>
  <c r="H267" i="6" s="1"/>
  <c r="I267" i="6" s="1"/>
  <c r="AD266" i="6"/>
  <c r="AC266" i="6"/>
  <c r="AA266" i="6"/>
  <c r="W266" i="6"/>
  <c r="X266" i="6" s="1"/>
  <c r="U266" i="6"/>
  <c r="R266" i="6"/>
  <c r="N266" i="6"/>
  <c r="O266" i="6" s="1"/>
  <c r="L266" i="6"/>
  <c r="I266" i="6"/>
  <c r="H266" i="6"/>
  <c r="F266" i="6"/>
  <c r="C266" i="6"/>
  <c r="AD265" i="6"/>
  <c r="AC265" i="6"/>
  <c r="AA265" i="6"/>
  <c r="X265" i="6"/>
  <c r="W265" i="6"/>
  <c r="U265" i="6"/>
  <c r="R265" i="6"/>
  <c r="N265" i="6"/>
  <c r="O265" i="6" s="1"/>
  <c r="L265" i="6"/>
  <c r="I265" i="6"/>
  <c r="H265" i="6"/>
  <c r="F265" i="6"/>
  <c r="C265" i="6"/>
  <c r="AA263" i="6"/>
  <c r="Z263" i="6"/>
  <c r="W263" i="6"/>
  <c r="X263" i="6" s="1"/>
  <c r="U263" i="6"/>
  <c r="T263" i="6"/>
  <c r="R263" i="6"/>
  <c r="Q263" i="6"/>
  <c r="AC263" i="6" s="1"/>
  <c r="AD263" i="6" s="1"/>
  <c r="K263" i="6"/>
  <c r="L263" i="6" s="1"/>
  <c r="I263" i="6"/>
  <c r="F263" i="6"/>
  <c r="E263" i="6"/>
  <c r="C263" i="6"/>
  <c r="B263" i="6"/>
  <c r="H263" i="6" s="1"/>
  <c r="AA262" i="6"/>
  <c r="Z262" i="6"/>
  <c r="U262" i="6"/>
  <c r="T262" i="6"/>
  <c r="Q262" i="6"/>
  <c r="W262" i="6" s="1"/>
  <c r="X262" i="6" s="1"/>
  <c r="K262" i="6"/>
  <c r="L262" i="6" s="1"/>
  <c r="E262" i="6"/>
  <c r="H262" i="6" s="1"/>
  <c r="I262" i="6" s="1"/>
  <c r="C262" i="6"/>
  <c r="B262" i="6"/>
  <c r="AD261" i="6"/>
  <c r="AC261" i="6"/>
  <c r="AA261" i="6"/>
  <c r="W261" i="6"/>
  <c r="X261" i="6" s="1"/>
  <c r="U261" i="6"/>
  <c r="R261" i="6"/>
  <c r="N261" i="6"/>
  <c r="O261" i="6" s="1"/>
  <c r="L261" i="6"/>
  <c r="I261" i="6"/>
  <c r="H261" i="6"/>
  <c r="F261" i="6"/>
  <c r="C261" i="6"/>
  <c r="AD260" i="6"/>
  <c r="AC260" i="6"/>
  <c r="AA260" i="6"/>
  <c r="W260" i="6"/>
  <c r="X260" i="6" s="1"/>
  <c r="U260" i="6"/>
  <c r="R260" i="6"/>
  <c r="N260" i="6"/>
  <c r="O260" i="6" s="1"/>
  <c r="L260" i="6"/>
  <c r="H260" i="6"/>
  <c r="I260" i="6" s="1"/>
  <c r="F260" i="6"/>
  <c r="C260" i="6"/>
  <c r="AD259" i="6"/>
  <c r="AC259" i="6"/>
  <c r="AA259" i="6"/>
  <c r="W259" i="6"/>
  <c r="X259" i="6" s="1"/>
  <c r="U259" i="6"/>
  <c r="R259" i="6"/>
  <c r="N259" i="6"/>
  <c r="O259" i="6" s="1"/>
  <c r="L259" i="6"/>
  <c r="I259" i="6"/>
  <c r="H259" i="6"/>
  <c r="F259" i="6"/>
  <c r="C259" i="6"/>
  <c r="AD258" i="6"/>
  <c r="AC258" i="6"/>
  <c r="AA258" i="6"/>
  <c r="X258" i="6"/>
  <c r="W258" i="6"/>
  <c r="U258" i="6"/>
  <c r="R258" i="6"/>
  <c r="N258" i="6"/>
  <c r="O258" i="6" s="1"/>
  <c r="L258" i="6"/>
  <c r="H258" i="6"/>
  <c r="I258" i="6" s="1"/>
  <c r="F258" i="6"/>
  <c r="C258" i="6"/>
  <c r="AD257" i="6"/>
  <c r="AC257" i="6"/>
  <c r="AA257" i="6"/>
  <c r="W257" i="6"/>
  <c r="X257" i="6" s="1"/>
  <c r="U257" i="6"/>
  <c r="R257" i="6"/>
  <c r="N257" i="6"/>
  <c r="O257" i="6" s="1"/>
  <c r="L257" i="6"/>
  <c r="I257" i="6"/>
  <c r="H257" i="6"/>
  <c r="F257" i="6"/>
  <c r="C257" i="6"/>
  <c r="AD256" i="6"/>
  <c r="AC256" i="6"/>
  <c r="AA256" i="6"/>
  <c r="W256" i="6"/>
  <c r="X256" i="6" s="1"/>
  <c r="U256" i="6"/>
  <c r="R256" i="6"/>
  <c r="N256" i="6"/>
  <c r="O256" i="6" s="1"/>
  <c r="L256" i="6"/>
  <c r="I256" i="6"/>
  <c r="H256" i="6"/>
  <c r="F256" i="6"/>
  <c r="C256" i="6"/>
  <c r="AC255" i="6"/>
  <c r="AD255" i="6" s="1"/>
  <c r="AA255" i="6"/>
  <c r="W255" i="6"/>
  <c r="X255" i="6" s="1"/>
  <c r="U255" i="6"/>
  <c r="R255" i="6"/>
  <c r="N255" i="6"/>
  <c r="O255" i="6" s="1"/>
  <c r="L255" i="6"/>
  <c r="I255" i="6"/>
  <c r="H255" i="6"/>
  <c r="F255" i="6"/>
  <c r="C255" i="6"/>
  <c r="AD254" i="6"/>
  <c r="AC254" i="6"/>
  <c r="AA254" i="6"/>
  <c r="X254" i="6"/>
  <c r="W254" i="6"/>
  <c r="U254" i="6"/>
  <c r="R254" i="6"/>
  <c r="N254" i="6"/>
  <c r="O254" i="6" s="1"/>
  <c r="L254" i="6"/>
  <c r="H254" i="6"/>
  <c r="I254" i="6" s="1"/>
  <c r="F254" i="6"/>
  <c r="C254" i="6"/>
  <c r="AD253" i="6"/>
  <c r="AC253" i="6"/>
  <c r="AA253" i="6"/>
  <c r="W253" i="6"/>
  <c r="X253" i="6" s="1"/>
  <c r="U253" i="6"/>
  <c r="R253" i="6"/>
  <c r="N253" i="6"/>
  <c r="O253" i="6" s="1"/>
  <c r="L253" i="6"/>
  <c r="I253" i="6"/>
  <c r="H253" i="6"/>
  <c r="F253" i="6"/>
  <c r="C253" i="6"/>
  <c r="AD252" i="6"/>
  <c r="AC252" i="6"/>
  <c r="AA252" i="6"/>
  <c r="W252" i="6"/>
  <c r="X252" i="6" s="1"/>
  <c r="U252" i="6"/>
  <c r="R252" i="6"/>
  <c r="N252" i="6"/>
  <c r="O252" i="6" s="1"/>
  <c r="L252" i="6"/>
  <c r="I252" i="6"/>
  <c r="H252" i="6"/>
  <c r="F252" i="6"/>
  <c r="C252" i="6"/>
  <c r="AD251" i="6"/>
  <c r="AC251" i="6"/>
  <c r="AA251" i="6"/>
  <c r="W251" i="6"/>
  <c r="X251" i="6" s="1"/>
  <c r="U251" i="6"/>
  <c r="R251" i="6"/>
  <c r="N251" i="6"/>
  <c r="O251" i="6" s="1"/>
  <c r="L251" i="6"/>
  <c r="I251" i="6"/>
  <c r="H251" i="6"/>
  <c r="F251" i="6"/>
  <c r="C251" i="6"/>
  <c r="AD250" i="6"/>
  <c r="AC250" i="6"/>
  <c r="AA250" i="6"/>
  <c r="X250" i="6"/>
  <c r="W250" i="6"/>
  <c r="U250" i="6"/>
  <c r="R250" i="6"/>
  <c r="N250" i="6"/>
  <c r="O250" i="6" s="1"/>
  <c r="L250" i="6"/>
  <c r="H250" i="6"/>
  <c r="I250" i="6" s="1"/>
  <c r="F250" i="6"/>
  <c r="C250" i="6"/>
  <c r="AC249" i="6"/>
  <c r="AD249" i="6" s="1"/>
  <c r="AA249" i="6"/>
  <c r="W249" i="6"/>
  <c r="X249" i="6" s="1"/>
  <c r="U249" i="6"/>
  <c r="R249" i="6"/>
  <c r="N249" i="6"/>
  <c r="O249" i="6" s="1"/>
  <c r="L249" i="6"/>
  <c r="I249" i="6"/>
  <c r="H249" i="6"/>
  <c r="F249" i="6"/>
  <c r="C249" i="6"/>
  <c r="AD248" i="6"/>
  <c r="AC248" i="6"/>
  <c r="AA248" i="6"/>
  <c r="W248" i="6"/>
  <c r="X248" i="6" s="1"/>
  <c r="U248" i="6"/>
  <c r="R248" i="6"/>
  <c r="O248" i="6"/>
  <c r="N248" i="6"/>
  <c r="L248" i="6"/>
  <c r="I248" i="6"/>
  <c r="H248" i="6"/>
  <c r="F248" i="6"/>
  <c r="C248" i="6"/>
  <c r="AC247" i="6"/>
  <c r="AD247" i="6" s="1"/>
  <c r="AA247" i="6"/>
  <c r="W247" i="6"/>
  <c r="X247" i="6" s="1"/>
  <c r="U247" i="6"/>
  <c r="R247" i="6"/>
  <c r="N247" i="6"/>
  <c r="O247" i="6" s="1"/>
  <c r="L247" i="6"/>
  <c r="I247" i="6"/>
  <c r="H247" i="6"/>
  <c r="F247" i="6"/>
  <c r="C247" i="6"/>
  <c r="AD246" i="6"/>
  <c r="AC246" i="6"/>
  <c r="AA246" i="6"/>
  <c r="W246" i="6"/>
  <c r="X246" i="6" s="1"/>
  <c r="U246" i="6"/>
  <c r="R246" i="6"/>
  <c r="N246" i="6"/>
  <c r="O246" i="6" s="1"/>
  <c r="L246" i="6"/>
  <c r="I246" i="6"/>
  <c r="H246" i="6"/>
  <c r="F246" i="6"/>
  <c r="C246" i="6"/>
  <c r="AC245" i="6"/>
  <c r="AD245" i="6" s="1"/>
  <c r="AA245" i="6"/>
  <c r="W245" i="6"/>
  <c r="X245" i="6" s="1"/>
  <c r="U245" i="6"/>
  <c r="R245" i="6"/>
  <c r="N245" i="6"/>
  <c r="O245" i="6" s="1"/>
  <c r="L245" i="6"/>
  <c r="I245" i="6"/>
  <c r="H245" i="6"/>
  <c r="F245" i="6"/>
  <c r="C245" i="6"/>
  <c r="AD244" i="6"/>
  <c r="AC244" i="6"/>
  <c r="AA244" i="6"/>
  <c r="X244" i="6"/>
  <c r="W244" i="6"/>
  <c r="U244" i="6"/>
  <c r="R244" i="6"/>
  <c r="N244" i="6"/>
  <c r="O244" i="6" s="1"/>
  <c r="L244" i="6"/>
  <c r="H244" i="6"/>
  <c r="I244" i="6" s="1"/>
  <c r="F244" i="6"/>
  <c r="C244" i="6"/>
  <c r="AD243" i="6"/>
  <c r="AC243" i="6"/>
  <c r="AA243" i="6"/>
  <c r="W243" i="6"/>
  <c r="X243" i="6" s="1"/>
  <c r="U243" i="6"/>
  <c r="R243" i="6"/>
  <c r="N243" i="6"/>
  <c r="O243" i="6" s="1"/>
  <c r="L243" i="6"/>
  <c r="I243" i="6"/>
  <c r="H243" i="6"/>
  <c r="F243" i="6"/>
  <c r="C243" i="6"/>
  <c r="AD242" i="6"/>
  <c r="AC242" i="6"/>
  <c r="AA242" i="6"/>
  <c r="W242" i="6"/>
  <c r="X242" i="6" s="1"/>
  <c r="U242" i="6"/>
  <c r="R242" i="6"/>
  <c r="O242" i="6"/>
  <c r="N242" i="6"/>
  <c r="L242" i="6"/>
  <c r="I242" i="6"/>
  <c r="H242" i="6"/>
  <c r="F242" i="6"/>
  <c r="C242" i="6"/>
  <c r="AC241" i="6"/>
  <c r="AD241" i="6" s="1"/>
  <c r="AA241" i="6"/>
  <c r="W241" i="6"/>
  <c r="X241" i="6" s="1"/>
  <c r="U241" i="6"/>
  <c r="R241" i="6"/>
  <c r="N241" i="6"/>
  <c r="O241" i="6" s="1"/>
  <c r="L241" i="6"/>
  <c r="I241" i="6"/>
  <c r="H241" i="6"/>
  <c r="F241" i="6"/>
  <c r="C241" i="6"/>
  <c r="AD240" i="6"/>
  <c r="AC240" i="6"/>
  <c r="AA240" i="6"/>
  <c r="W240" i="6"/>
  <c r="X240" i="6" s="1"/>
  <c r="U240" i="6"/>
  <c r="R240" i="6"/>
  <c r="N240" i="6"/>
  <c r="O240" i="6" s="1"/>
  <c r="L240" i="6"/>
  <c r="I240" i="6"/>
  <c r="H240" i="6"/>
  <c r="F240" i="6"/>
  <c r="C240" i="6"/>
  <c r="AD238" i="6"/>
  <c r="AC238" i="6"/>
  <c r="AA238" i="6"/>
  <c r="W238" i="6"/>
  <c r="X238" i="6" s="1"/>
  <c r="U238" i="6"/>
  <c r="R238" i="6"/>
  <c r="N238" i="6"/>
  <c r="O238" i="6" s="1"/>
  <c r="L238" i="6"/>
  <c r="I238" i="6"/>
  <c r="H238" i="6"/>
  <c r="F238" i="6"/>
  <c r="C238" i="6"/>
  <c r="Z236" i="6"/>
  <c r="AA236" i="6" s="1"/>
  <c r="T236" i="6"/>
  <c r="U236" i="6" s="1"/>
  <c r="R236" i="6"/>
  <c r="Q236" i="6"/>
  <c r="W236" i="6" s="1"/>
  <c r="X236" i="6" s="1"/>
  <c r="L236" i="6"/>
  <c r="K236" i="6"/>
  <c r="I236" i="6"/>
  <c r="H236" i="6"/>
  <c r="F236" i="6"/>
  <c r="E236" i="6"/>
  <c r="C236" i="6"/>
  <c r="B236" i="6"/>
  <c r="N236" i="6" s="1"/>
  <c r="O236" i="6" s="1"/>
  <c r="AD235" i="6"/>
  <c r="AC235" i="6"/>
  <c r="AA235" i="6"/>
  <c r="W235" i="6"/>
  <c r="X235" i="6" s="1"/>
  <c r="U235" i="6"/>
  <c r="R235" i="6"/>
  <c r="N235" i="6"/>
  <c r="O235" i="6" s="1"/>
  <c r="L235" i="6"/>
  <c r="H235" i="6"/>
  <c r="I235" i="6" s="1"/>
  <c r="F235" i="6"/>
  <c r="C235" i="6"/>
  <c r="AD234" i="6"/>
  <c r="AC234" i="6"/>
  <c r="AA234" i="6"/>
  <c r="W234" i="6"/>
  <c r="X234" i="6" s="1"/>
  <c r="U234" i="6"/>
  <c r="R234" i="6"/>
  <c r="N234" i="6"/>
  <c r="O234" i="6" s="1"/>
  <c r="L234" i="6"/>
  <c r="I234" i="6"/>
  <c r="H234" i="6"/>
  <c r="F234" i="6"/>
  <c r="C234" i="6"/>
  <c r="AD233" i="6"/>
  <c r="AC233" i="6"/>
  <c r="AA233" i="6"/>
  <c r="X233" i="6"/>
  <c r="W233" i="6"/>
  <c r="U233" i="6"/>
  <c r="R233" i="6"/>
  <c r="N233" i="6"/>
  <c r="O233" i="6" s="1"/>
  <c r="L233" i="6"/>
  <c r="H233" i="6"/>
  <c r="I233" i="6" s="1"/>
  <c r="F233" i="6"/>
  <c r="C233" i="6"/>
  <c r="AD232" i="6"/>
  <c r="AC232" i="6"/>
  <c r="AA232" i="6"/>
  <c r="W232" i="6"/>
  <c r="X232" i="6" s="1"/>
  <c r="U232" i="6"/>
  <c r="R232" i="6"/>
  <c r="N232" i="6"/>
  <c r="O232" i="6" s="1"/>
  <c r="L232" i="6"/>
  <c r="I232" i="6"/>
  <c r="H232" i="6"/>
  <c r="F232" i="6"/>
  <c r="C232" i="6"/>
  <c r="AD231" i="6"/>
  <c r="AC231" i="6"/>
  <c r="AA231" i="6"/>
  <c r="W231" i="6"/>
  <c r="X231" i="6" s="1"/>
  <c r="U231" i="6"/>
  <c r="R231" i="6"/>
  <c r="N231" i="6"/>
  <c r="O231" i="6" s="1"/>
  <c r="L231" i="6"/>
  <c r="I231" i="6"/>
  <c r="H231" i="6"/>
  <c r="F231" i="6"/>
  <c r="C231" i="6"/>
  <c r="AC230" i="6"/>
  <c r="AD230" i="6" s="1"/>
  <c r="AA230" i="6"/>
  <c r="W230" i="6"/>
  <c r="X230" i="6" s="1"/>
  <c r="U230" i="6"/>
  <c r="R230" i="6"/>
  <c r="N230" i="6"/>
  <c r="O230" i="6" s="1"/>
  <c r="L230" i="6"/>
  <c r="I230" i="6"/>
  <c r="H230" i="6"/>
  <c r="F230" i="6"/>
  <c r="C230" i="6"/>
  <c r="AD229" i="6"/>
  <c r="AC229" i="6"/>
  <c r="AA229" i="6"/>
  <c r="X229" i="6"/>
  <c r="W229" i="6"/>
  <c r="U229" i="6"/>
  <c r="R229" i="6"/>
  <c r="N229" i="6"/>
  <c r="O229" i="6" s="1"/>
  <c r="L229" i="6"/>
  <c r="H229" i="6"/>
  <c r="I229" i="6" s="1"/>
  <c r="F229" i="6"/>
  <c r="C229" i="6"/>
  <c r="AA227" i="6"/>
  <c r="Z227" i="6"/>
  <c r="X227" i="6"/>
  <c r="W227" i="6"/>
  <c r="U227" i="6"/>
  <c r="T227" i="6"/>
  <c r="R227" i="6"/>
  <c r="Q227" i="6"/>
  <c r="AC227" i="6" s="1"/>
  <c r="AD227" i="6" s="1"/>
  <c r="K227" i="6"/>
  <c r="L227" i="6" s="1"/>
  <c r="E227" i="6"/>
  <c r="F227" i="6" s="1"/>
  <c r="C227" i="6"/>
  <c r="B227" i="6"/>
  <c r="AC226" i="6"/>
  <c r="AD226" i="6" s="1"/>
  <c r="AA226" i="6"/>
  <c r="W226" i="6"/>
  <c r="X226" i="6" s="1"/>
  <c r="U226" i="6"/>
  <c r="R226" i="6"/>
  <c r="N226" i="6"/>
  <c r="O226" i="6" s="1"/>
  <c r="L226" i="6"/>
  <c r="I226" i="6"/>
  <c r="H226" i="6"/>
  <c r="F226" i="6"/>
  <c r="C226" i="6"/>
  <c r="AC225" i="6"/>
  <c r="AD225" i="6" s="1"/>
  <c r="AA225" i="6"/>
  <c r="W225" i="6"/>
  <c r="X225" i="6" s="1"/>
  <c r="U225" i="6"/>
  <c r="R225" i="6"/>
  <c r="O225" i="6"/>
  <c r="N225" i="6"/>
  <c r="L225" i="6"/>
  <c r="I225" i="6"/>
  <c r="H225" i="6"/>
  <c r="F225" i="6"/>
  <c r="C225" i="6"/>
  <c r="AC224" i="6"/>
  <c r="AD224" i="6" s="1"/>
  <c r="AA224" i="6"/>
  <c r="W224" i="6"/>
  <c r="X224" i="6" s="1"/>
  <c r="U224" i="6"/>
  <c r="R224" i="6"/>
  <c r="N224" i="6"/>
  <c r="O224" i="6" s="1"/>
  <c r="L224" i="6"/>
  <c r="H224" i="6"/>
  <c r="I224" i="6" s="1"/>
  <c r="F224" i="6"/>
  <c r="C224" i="6"/>
  <c r="AD223" i="6"/>
  <c r="AC223" i="6"/>
  <c r="AA223" i="6"/>
  <c r="W223" i="6"/>
  <c r="X223" i="6" s="1"/>
  <c r="U223" i="6"/>
  <c r="R223" i="6"/>
  <c r="O223" i="6"/>
  <c r="N223" i="6"/>
  <c r="L223" i="6"/>
  <c r="I223" i="6"/>
  <c r="H223" i="6"/>
  <c r="F223" i="6"/>
  <c r="C223" i="6"/>
  <c r="AC222" i="6"/>
  <c r="AD222" i="6" s="1"/>
  <c r="AA222" i="6"/>
  <c r="W222" i="6"/>
  <c r="X222" i="6" s="1"/>
  <c r="U222" i="6"/>
  <c r="R222" i="6"/>
  <c r="O222" i="6"/>
  <c r="N222" i="6"/>
  <c r="L222" i="6"/>
  <c r="I222" i="6"/>
  <c r="H222" i="6"/>
  <c r="F222" i="6"/>
  <c r="C222" i="6"/>
  <c r="AC221" i="6"/>
  <c r="AD221" i="6" s="1"/>
  <c r="AA221" i="6"/>
  <c r="W221" i="6"/>
  <c r="X221" i="6" s="1"/>
  <c r="U221" i="6"/>
  <c r="R221" i="6"/>
  <c r="O221" i="6"/>
  <c r="N221" i="6"/>
  <c r="L221" i="6"/>
  <c r="I221" i="6"/>
  <c r="H221" i="6"/>
  <c r="F221" i="6"/>
  <c r="C221" i="6"/>
  <c r="AC220" i="6"/>
  <c r="AD220" i="6" s="1"/>
  <c r="AA220" i="6"/>
  <c r="X220" i="6"/>
  <c r="W220" i="6"/>
  <c r="U220" i="6"/>
  <c r="R220" i="6"/>
  <c r="N220" i="6"/>
  <c r="O220" i="6" s="1"/>
  <c r="L220" i="6"/>
  <c r="I220" i="6"/>
  <c r="H220" i="6"/>
  <c r="F220" i="6"/>
  <c r="C220" i="6"/>
  <c r="AD219" i="6"/>
  <c r="AC219" i="6"/>
  <c r="AA219" i="6"/>
  <c r="W219" i="6"/>
  <c r="X219" i="6" s="1"/>
  <c r="U219" i="6"/>
  <c r="R219" i="6"/>
  <c r="O219" i="6"/>
  <c r="N219" i="6"/>
  <c r="L219" i="6"/>
  <c r="H219" i="6"/>
  <c r="I219" i="6" s="1"/>
  <c r="F219" i="6"/>
  <c r="C219" i="6"/>
  <c r="AC218" i="6"/>
  <c r="AD218" i="6" s="1"/>
  <c r="AA218" i="6"/>
  <c r="Z218" i="6"/>
  <c r="W218" i="6"/>
  <c r="X218" i="6" s="1"/>
  <c r="U218" i="6"/>
  <c r="T218" i="6"/>
  <c r="R218" i="6"/>
  <c r="Q218" i="6"/>
  <c r="L218" i="6"/>
  <c r="K218" i="6"/>
  <c r="E218" i="6"/>
  <c r="H218" i="6" s="1"/>
  <c r="I218" i="6" s="1"/>
  <c r="C218" i="6"/>
  <c r="B218" i="6"/>
  <c r="N218" i="6" s="1"/>
  <c r="O218" i="6" s="1"/>
  <c r="AD217" i="6"/>
  <c r="AC217" i="6"/>
  <c r="AA217" i="6"/>
  <c r="X217" i="6"/>
  <c r="W217" i="6"/>
  <c r="U217" i="6"/>
  <c r="R217" i="6"/>
  <c r="N217" i="6"/>
  <c r="O217" i="6" s="1"/>
  <c r="L217" i="6"/>
  <c r="H217" i="6"/>
  <c r="I217" i="6" s="1"/>
  <c r="F217" i="6"/>
  <c r="C217" i="6"/>
  <c r="AD216" i="6"/>
  <c r="AC216" i="6"/>
  <c r="AA216" i="6"/>
  <c r="X216" i="6"/>
  <c r="W216" i="6"/>
  <c r="U216" i="6"/>
  <c r="R216" i="6"/>
  <c r="O216" i="6"/>
  <c r="N216" i="6"/>
  <c r="L216" i="6"/>
  <c r="H216" i="6"/>
  <c r="I216" i="6" s="1"/>
  <c r="F216" i="6"/>
  <c r="C216" i="6"/>
  <c r="AD215" i="6"/>
  <c r="AC215" i="6"/>
  <c r="AA215" i="6"/>
  <c r="W215" i="6"/>
  <c r="X215" i="6" s="1"/>
  <c r="U215" i="6"/>
  <c r="R215" i="6"/>
  <c r="N215" i="6"/>
  <c r="O215" i="6" s="1"/>
  <c r="L215" i="6"/>
  <c r="I215" i="6"/>
  <c r="H215" i="6"/>
  <c r="F215" i="6"/>
  <c r="C215" i="6"/>
  <c r="AD214" i="6"/>
  <c r="AC214" i="6"/>
  <c r="AA214" i="6"/>
  <c r="W214" i="6"/>
  <c r="X214" i="6" s="1"/>
  <c r="U214" i="6"/>
  <c r="R214" i="6"/>
  <c r="O214" i="6"/>
  <c r="N214" i="6"/>
  <c r="L214" i="6"/>
  <c r="I214" i="6"/>
  <c r="H214" i="6"/>
  <c r="F214" i="6"/>
  <c r="C214" i="6"/>
  <c r="AC213" i="6"/>
  <c r="AD213" i="6" s="1"/>
  <c r="AA213" i="6"/>
  <c r="W213" i="6"/>
  <c r="X213" i="6" s="1"/>
  <c r="U213" i="6"/>
  <c r="R213" i="6"/>
  <c r="N213" i="6"/>
  <c r="O213" i="6" s="1"/>
  <c r="L213" i="6"/>
  <c r="H213" i="6"/>
  <c r="I213" i="6" s="1"/>
  <c r="F213" i="6"/>
  <c r="C213" i="6"/>
  <c r="AD211" i="6"/>
  <c r="AC211" i="6"/>
  <c r="AA211" i="6"/>
  <c r="X211" i="6"/>
  <c r="W211" i="6"/>
  <c r="U211" i="6"/>
  <c r="R211" i="6"/>
  <c r="N211" i="6"/>
  <c r="O211" i="6" s="1"/>
  <c r="L211" i="6"/>
  <c r="I211" i="6"/>
  <c r="H211" i="6"/>
  <c r="F211" i="6"/>
  <c r="C211" i="6"/>
  <c r="AA209" i="6"/>
  <c r="Z209" i="6"/>
  <c r="U209" i="6"/>
  <c r="T209" i="6"/>
  <c r="Q209" i="6"/>
  <c r="R209" i="6" s="1"/>
  <c r="L209" i="6"/>
  <c r="K209" i="6"/>
  <c r="H209" i="6"/>
  <c r="I209" i="6" s="1"/>
  <c r="F209" i="6"/>
  <c r="E209" i="6"/>
  <c r="C209" i="6"/>
  <c r="B209" i="6"/>
  <c r="AC208" i="6"/>
  <c r="AD208" i="6" s="1"/>
  <c r="AA208" i="6"/>
  <c r="X208" i="6"/>
  <c r="W208" i="6"/>
  <c r="U208" i="6"/>
  <c r="R208" i="6"/>
  <c r="N208" i="6"/>
  <c r="O208" i="6" s="1"/>
  <c r="L208" i="6"/>
  <c r="I208" i="6"/>
  <c r="H208" i="6"/>
  <c r="F208" i="6"/>
  <c r="C208" i="6"/>
  <c r="AD207" i="6"/>
  <c r="AC207" i="6"/>
  <c r="AA207" i="6"/>
  <c r="W207" i="6"/>
  <c r="X207" i="6" s="1"/>
  <c r="U207" i="6"/>
  <c r="R207" i="6"/>
  <c r="O207" i="6"/>
  <c r="N207" i="6"/>
  <c r="L207" i="6"/>
  <c r="H207" i="6"/>
  <c r="I207" i="6" s="1"/>
  <c r="F207" i="6"/>
  <c r="C207" i="6"/>
  <c r="AD206" i="6"/>
  <c r="AC206" i="6"/>
  <c r="AA206" i="6"/>
  <c r="W206" i="6"/>
  <c r="X206" i="6" s="1"/>
  <c r="U206" i="6"/>
  <c r="R206" i="6"/>
  <c r="O206" i="6"/>
  <c r="N206" i="6"/>
  <c r="L206" i="6"/>
  <c r="I206" i="6"/>
  <c r="H206" i="6"/>
  <c r="F206" i="6"/>
  <c r="C206" i="6"/>
  <c r="AC205" i="6"/>
  <c r="AD205" i="6" s="1"/>
  <c r="AA205" i="6"/>
  <c r="X205" i="6"/>
  <c r="W205" i="6"/>
  <c r="U205" i="6"/>
  <c r="R205" i="6"/>
  <c r="N205" i="6"/>
  <c r="O205" i="6" s="1"/>
  <c r="L205" i="6"/>
  <c r="H205" i="6"/>
  <c r="I205" i="6" s="1"/>
  <c r="F205" i="6"/>
  <c r="C205" i="6"/>
  <c r="AD204" i="6"/>
  <c r="AC204" i="6"/>
  <c r="AA204" i="6"/>
  <c r="X204" i="6"/>
  <c r="W204" i="6"/>
  <c r="U204" i="6"/>
  <c r="R204" i="6"/>
  <c r="N204" i="6"/>
  <c r="O204" i="6" s="1"/>
  <c r="L204" i="6"/>
  <c r="H204" i="6"/>
  <c r="I204" i="6" s="1"/>
  <c r="F204" i="6"/>
  <c r="C204" i="6"/>
  <c r="AD203" i="6"/>
  <c r="AC203" i="6"/>
  <c r="AA203" i="6"/>
  <c r="X203" i="6"/>
  <c r="W203" i="6"/>
  <c r="U203" i="6"/>
  <c r="R203" i="6"/>
  <c r="N203" i="6"/>
  <c r="O203" i="6" s="1"/>
  <c r="L203" i="6"/>
  <c r="H203" i="6"/>
  <c r="I203" i="6" s="1"/>
  <c r="F203" i="6"/>
  <c r="C203" i="6"/>
  <c r="AC202" i="6"/>
  <c r="AD202" i="6" s="1"/>
  <c r="AA202" i="6"/>
  <c r="W202" i="6"/>
  <c r="X202" i="6" s="1"/>
  <c r="U202" i="6"/>
  <c r="R202" i="6"/>
  <c r="O202" i="6"/>
  <c r="N202" i="6"/>
  <c r="L202" i="6"/>
  <c r="I202" i="6"/>
  <c r="H202" i="6"/>
  <c r="F202" i="6"/>
  <c r="C202" i="6"/>
  <c r="AC201" i="6"/>
  <c r="AD201" i="6" s="1"/>
  <c r="AA201" i="6"/>
  <c r="X201" i="6"/>
  <c r="W201" i="6"/>
  <c r="U201" i="6"/>
  <c r="R201" i="6"/>
  <c r="N201" i="6"/>
  <c r="O201" i="6" s="1"/>
  <c r="L201" i="6"/>
  <c r="I201" i="6"/>
  <c r="H201" i="6"/>
  <c r="F201" i="6"/>
  <c r="C201" i="6"/>
  <c r="AA197" i="6"/>
  <c r="Z197" i="6"/>
  <c r="W197" i="6"/>
  <c r="X197" i="6" s="1"/>
  <c r="U197" i="6"/>
  <c r="T197" i="6"/>
  <c r="R197" i="6"/>
  <c r="Q197" i="6"/>
  <c r="AC197" i="6" s="1"/>
  <c r="AD197" i="6" s="1"/>
  <c r="L197" i="6"/>
  <c r="K197" i="6"/>
  <c r="E197" i="6"/>
  <c r="C197" i="6"/>
  <c r="B197" i="6"/>
  <c r="Z196" i="6"/>
  <c r="AA196" i="6" s="1"/>
  <c r="U196" i="6"/>
  <c r="T196" i="6"/>
  <c r="Q196" i="6"/>
  <c r="R196" i="6" s="1"/>
  <c r="K196" i="6"/>
  <c r="L196" i="6" s="1"/>
  <c r="F196" i="6"/>
  <c r="E196" i="6"/>
  <c r="B196" i="6"/>
  <c r="N196" i="6" s="1"/>
  <c r="O196" i="6" s="1"/>
  <c r="AD195" i="6"/>
  <c r="AC195" i="6"/>
  <c r="AA195" i="6"/>
  <c r="W195" i="6"/>
  <c r="X195" i="6" s="1"/>
  <c r="U195" i="6"/>
  <c r="R195" i="6"/>
  <c r="N195" i="6"/>
  <c r="O195" i="6" s="1"/>
  <c r="L195" i="6"/>
  <c r="I195" i="6"/>
  <c r="H195" i="6"/>
  <c r="F195" i="6"/>
  <c r="C195" i="6"/>
  <c r="AD194" i="6"/>
  <c r="AC194" i="6"/>
  <c r="AA194" i="6"/>
  <c r="X194" i="6"/>
  <c r="W194" i="6"/>
  <c r="U194" i="6"/>
  <c r="R194" i="6"/>
  <c r="N194" i="6"/>
  <c r="O194" i="6" s="1"/>
  <c r="L194" i="6"/>
  <c r="I194" i="6"/>
  <c r="H194" i="6"/>
  <c r="F194" i="6"/>
  <c r="C194" i="6"/>
  <c r="AC193" i="6"/>
  <c r="AD193" i="6" s="1"/>
  <c r="AA193" i="6"/>
  <c r="Z193" i="6"/>
  <c r="U193" i="6"/>
  <c r="T193" i="6"/>
  <c r="Q193" i="6"/>
  <c r="L193" i="6"/>
  <c r="K193" i="6"/>
  <c r="E193" i="6"/>
  <c r="F193" i="6" s="1"/>
  <c r="B193" i="6"/>
  <c r="AD192" i="6"/>
  <c r="AC192" i="6"/>
  <c r="AA192" i="6"/>
  <c r="W192" i="6"/>
  <c r="X192" i="6" s="1"/>
  <c r="U192" i="6"/>
  <c r="R192" i="6"/>
  <c r="N192" i="6"/>
  <c r="O192" i="6" s="1"/>
  <c r="L192" i="6"/>
  <c r="I192" i="6"/>
  <c r="H192" i="6"/>
  <c r="F192" i="6"/>
  <c r="C192" i="6"/>
  <c r="AD191" i="6"/>
  <c r="AC191" i="6"/>
  <c r="AA191" i="6"/>
  <c r="X191" i="6"/>
  <c r="W191" i="6"/>
  <c r="U191" i="6"/>
  <c r="R191" i="6"/>
  <c r="N191" i="6"/>
  <c r="O191" i="6" s="1"/>
  <c r="L191" i="6"/>
  <c r="I191" i="6"/>
  <c r="H191" i="6"/>
  <c r="F191" i="6"/>
  <c r="C191" i="6"/>
  <c r="AC190" i="6"/>
  <c r="AD190" i="6" s="1"/>
  <c r="AA190" i="6"/>
  <c r="X190" i="6"/>
  <c r="W190" i="6"/>
  <c r="U190" i="6"/>
  <c r="R190" i="6"/>
  <c r="N190" i="6"/>
  <c r="O190" i="6" s="1"/>
  <c r="L190" i="6"/>
  <c r="I190" i="6"/>
  <c r="H190" i="6"/>
  <c r="F190" i="6"/>
  <c r="C190" i="6"/>
  <c r="AD189" i="6"/>
  <c r="AC189" i="6"/>
  <c r="AA189" i="6"/>
  <c r="W189" i="6"/>
  <c r="X189" i="6" s="1"/>
  <c r="U189" i="6"/>
  <c r="R189" i="6"/>
  <c r="O189" i="6"/>
  <c r="N189" i="6"/>
  <c r="L189" i="6"/>
  <c r="I189" i="6"/>
  <c r="H189" i="6"/>
  <c r="F189" i="6"/>
  <c r="C189" i="6"/>
  <c r="AC188" i="6"/>
  <c r="AD188" i="6" s="1"/>
  <c r="AA188" i="6"/>
  <c r="W188" i="6"/>
  <c r="X188" i="6" s="1"/>
  <c r="U188" i="6"/>
  <c r="R188" i="6"/>
  <c r="O188" i="6"/>
  <c r="N188" i="6"/>
  <c r="L188" i="6"/>
  <c r="I188" i="6"/>
  <c r="H188" i="6"/>
  <c r="F188" i="6"/>
  <c r="C188" i="6"/>
  <c r="AC187" i="6"/>
  <c r="AD187" i="6" s="1"/>
  <c r="AA187" i="6"/>
  <c r="X187" i="6"/>
  <c r="W187" i="6"/>
  <c r="U187" i="6"/>
  <c r="R187" i="6"/>
  <c r="O187" i="6"/>
  <c r="N187" i="6"/>
  <c r="L187" i="6"/>
  <c r="I187" i="6"/>
  <c r="H187" i="6"/>
  <c r="F187" i="6"/>
  <c r="C187" i="6"/>
  <c r="AC186" i="6"/>
  <c r="AD186" i="6" s="1"/>
  <c r="AA186" i="6"/>
  <c r="W186" i="6"/>
  <c r="X186" i="6" s="1"/>
  <c r="U186" i="6"/>
  <c r="R186" i="6"/>
  <c r="N186" i="6"/>
  <c r="O186" i="6" s="1"/>
  <c r="L186" i="6"/>
  <c r="I186" i="6"/>
  <c r="H186" i="6"/>
  <c r="F186" i="6"/>
  <c r="C186" i="6"/>
  <c r="AD184" i="6"/>
  <c r="AC184" i="6"/>
  <c r="AA184" i="6"/>
  <c r="W184" i="6"/>
  <c r="X184" i="6" s="1"/>
  <c r="U184" i="6"/>
  <c r="R184" i="6"/>
  <c r="O184" i="6"/>
  <c r="N184" i="6"/>
  <c r="L184" i="6"/>
  <c r="I184" i="6"/>
  <c r="H184" i="6"/>
  <c r="F184" i="6"/>
  <c r="C184" i="6"/>
  <c r="AC183" i="6"/>
  <c r="AD183" i="6" s="1"/>
  <c r="AA183" i="6"/>
  <c r="W183" i="6"/>
  <c r="X183" i="6" s="1"/>
  <c r="U183" i="6"/>
  <c r="R183" i="6"/>
  <c r="O183" i="6"/>
  <c r="N183" i="6"/>
  <c r="L183" i="6"/>
  <c r="I183" i="6"/>
  <c r="H183" i="6"/>
  <c r="F183" i="6"/>
  <c r="C183" i="6"/>
  <c r="Z182" i="6"/>
  <c r="U182" i="6"/>
  <c r="T182" i="6"/>
  <c r="Q182" i="6"/>
  <c r="W182" i="6" s="1"/>
  <c r="X182" i="6" s="1"/>
  <c r="L182" i="6"/>
  <c r="K182" i="6"/>
  <c r="H182" i="6"/>
  <c r="I182" i="6" s="1"/>
  <c r="F182" i="6"/>
  <c r="E182" i="6"/>
  <c r="C182" i="6"/>
  <c r="B182" i="6"/>
  <c r="N182" i="6" s="1"/>
  <c r="O182" i="6" s="1"/>
  <c r="AD181" i="6"/>
  <c r="AC181" i="6"/>
  <c r="AA181" i="6"/>
  <c r="X181" i="6"/>
  <c r="W181" i="6"/>
  <c r="U181" i="6"/>
  <c r="R181" i="6"/>
  <c r="N181" i="6"/>
  <c r="O181" i="6" s="1"/>
  <c r="L181" i="6"/>
  <c r="I181" i="6"/>
  <c r="H181" i="6"/>
  <c r="F181" i="6"/>
  <c r="C181" i="6"/>
  <c r="AD180" i="6"/>
  <c r="AC180" i="6"/>
  <c r="AA180" i="6"/>
  <c r="W180" i="6"/>
  <c r="X180" i="6" s="1"/>
  <c r="U180" i="6"/>
  <c r="R180" i="6"/>
  <c r="O180" i="6"/>
  <c r="N180" i="6"/>
  <c r="L180" i="6"/>
  <c r="H180" i="6"/>
  <c r="I180" i="6" s="1"/>
  <c r="F180" i="6"/>
  <c r="C180" i="6"/>
  <c r="AD179" i="6"/>
  <c r="AC179" i="6"/>
  <c r="AA179" i="6"/>
  <c r="X179" i="6"/>
  <c r="W179" i="6"/>
  <c r="U179" i="6"/>
  <c r="R179" i="6"/>
  <c r="O179" i="6"/>
  <c r="N179" i="6"/>
  <c r="L179" i="6"/>
  <c r="I179" i="6"/>
  <c r="H179" i="6"/>
  <c r="F179" i="6"/>
  <c r="C179" i="6"/>
  <c r="AC178" i="6"/>
  <c r="AD178" i="6" s="1"/>
  <c r="AA178" i="6"/>
  <c r="W178" i="6"/>
  <c r="X178" i="6" s="1"/>
  <c r="U178" i="6"/>
  <c r="R178" i="6"/>
  <c r="O178" i="6"/>
  <c r="N178" i="6"/>
  <c r="L178" i="6"/>
  <c r="I178" i="6"/>
  <c r="H178" i="6"/>
  <c r="F178" i="6"/>
  <c r="C178" i="6"/>
  <c r="AC177" i="6"/>
  <c r="AD177" i="6" s="1"/>
  <c r="AA177" i="6"/>
  <c r="W177" i="6"/>
  <c r="X177" i="6" s="1"/>
  <c r="U177" i="6"/>
  <c r="R177" i="6"/>
  <c r="O177" i="6"/>
  <c r="N177" i="6"/>
  <c r="L177" i="6"/>
  <c r="I177" i="6"/>
  <c r="H177" i="6"/>
  <c r="F177" i="6"/>
  <c r="C177" i="6"/>
  <c r="AC175" i="6"/>
  <c r="AD175" i="6" s="1"/>
  <c r="AA175" i="6"/>
  <c r="W175" i="6"/>
  <c r="X175" i="6" s="1"/>
  <c r="U175" i="6"/>
  <c r="R175" i="6"/>
  <c r="O175" i="6"/>
  <c r="N175" i="6"/>
  <c r="L175" i="6"/>
  <c r="H175" i="6"/>
  <c r="I175" i="6" s="1"/>
  <c r="F175" i="6"/>
  <c r="C175" i="6"/>
  <c r="AA172" i="6"/>
  <c r="E172" i="6"/>
  <c r="F172" i="6" s="1"/>
  <c r="AC171" i="6"/>
  <c r="AD171" i="6" s="1"/>
  <c r="Z171" i="6"/>
  <c r="AA171" i="6" s="1"/>
  <c r="U171" i="6"/>
  <c r="T171" i="6"/>
  <c r="Q171" i="6"/>
  <c r="L171" i="6"/>
  <c r="K171" i="6"/>
  <c r="E171" i="6"/>
  <c r="F171" i="6" s="1"/>
  <c r="C171" i="6"/>
  <c r="B171" i="6"/>
  <c r="AC170" i="6"/>
  <c r="AD170" i="6" s="1"/>
  <c r="AA170" i="6"/>
  <c r="Z170" i="6"/>
  <c r="T170" i="6"/>
  <c r="R170" i="6"/>
  <c r="Q170" i="6"/>
  <c r="K170" i="6"/>
  <c r="L170" i="6" s="1"/>
  <c r="F170" i="6"/>
  <c r="E170" i="6"/>
  <c r="B170" i="6"/>
  <c r="C170" i="6" s="1"/>
  <c r="AC169" i="6"/>
  <c r="AD169" i="6" s="1"/>
  <c r="AA169" i="6"/>
  <c r="X169" i="6"/>
  <c r="W169" i="6"/>
  <c r="U169" i="6"/>
  <c r="R169" i="6"/>
  <c r="O169" i="6"/>
  <c r="N169" i="6"/>
  <c r="L169" i="6"/>
  <c r="H169" i="6"/>
  <c r="I169" i="6" s="1"/>
  <c r="F169" i="6"/>
  <c r="C169" i="6"/>
  <c r="AD168" i="6"/>
  <c r="AC168" i="6"/>
  <c r="AA168" i="6"/>
  <c r="X168" i="6"/>
  <c r="W168" i="6"/>
  <c r="U168" i="6"/>
  <c r="R168" i="6"/>
  <c r="O168" i="6"/>
  <c r="N168" i="6"/>
  <c r="L168" i="6"/>
  <c r="H168" i="6"/>
  <c r="I168" i="6" s="1"/>
  <c r="F168" i="6"/>
  <c r="C168" i="6"/>
  <c r="AD167" i="6"/>
  <c r="AC167" i="6"/>
  <c r="AA167" i="6"/>
  <c r="X167" i="6"/>
  <c r="W167" i="6"/>
  <c r="U167" i="6"/>
  <c r="R167" i="6"/>
  <c r="N167" i="6"/>
  <c r="O167" i="6" s="1"/>
  <c r="L167" i="6"/>
  <c r="H167" i="6"/>
  <c r="I167" i="6" s="1"/>
  <c r="F167" i="6"/>
  <c r="C167" i="6"/>
  <c r="AA166" i="6"/>
  <c r="Z166" i="6"/>
  <c r="X166" i="6"/>
  <c r="W166" i="6"/>
  <c r="T166" i="6"/>
  <c r="U166" i="6" s="1"/>
  <c r="R166" i="6"/>
  <c r="Q166" i="6"/>
  <c r="AC166" i="6" s="1"/>
  <c r="AD166" i="6" s="1"/>
  <c r="K166" i="6"/>
  <c r="H166" i="6"/>
  <c r="I166" i="6" s="1"/>
  <c r="E166" i="6"/>
  <c r="F166" i="6" s="1"/>
  <c r="C166" i="6"/>
  <c r="B166" i="6"/>
  <c r="AD165" i="6"/>
  <c r="AC165" i="6"/>
  <c r="AA165" i="6"/>
  <c r="X165" i="6"/>
  <c r="W165" i="6"/>
  <c r="U165" i="6"/>
  <c r="R165" i="6"/>
  <c r="N165" i="6"/>
  <c r="O165" i="6" s="1"/>
  <c r="L165" i="6"/>
  <c r="H165" i="6"/>
  <c r="I165" i="6" s="1"/>
  <c r="F165" i="6"/>
  <c r="C165" i="6"/>
  <c r="AD164" i="6"/>
  <c r="AC164" i="6"/>
  <c r="AA164" i="6"/>
  <c r="X164" i="6"/>
  <c r="W164" i="6"/>
  <c r="U164" i="6"/>
  <c r="R164" i="6"/>
  <c r="N164" i="6"/>
  <c r="O164" i="6" s="1"/>
  <c r="L164" i="6"/>
  <c r="H164" i="6"/>
  <c r="I164" i="6" s="1"/>
  <c r="F164" i="6"/>
  <c r="C164" i="6"/>
  <c r="AD163" i="6"/>
  <c r="AC163" i="6"/>
  <c r="AA163" i="6"/>
  <c r="X163" i="6"/>
  <c r="W163" i="6"/>
  <c r="U163" i="6"/>
  <c r="R163" i="6"/>
  <c r="O163" i="6"/>
  <c r="N163" i="6"/>
  <c r="L163" i="6"/>
  <c r="I163" i="6"/>
  <c r="H163" i="6"/>
  <c r="F163" i="6"/>
  <c r="C163" i="6"/>
  <c r="AC162" i="6"/>
  <c r="AD162" i="6" s="1"/>
  <c r="AA162" i="6"/>
  <c r="X162" i="6"/>
  <c r="W162" i="6"/>
  <c r="U162" i="6"/>
  <c r="R162" i="6"/>
  <c r="O162" i="6"/>
  <c r="N162" i="6"/>
  <c r="L162" i="6"/>
  <c r="I162" i="6"/>
  <c r="H162" i="6"/>
  <c r="F162" i="6"/>
  <c r="C162" i="6"/>
  <c r="AD161" i="6"/>
  <c r="AC161" i="6"/>
  <c r="AA161" i="6"/>
  <c r="W161" i="6"/>
  <c r="X161" i="6" s="1"/>
  <c r="U161" i="6"/>
  <c r="R161" i="6"/>
  <c r="O161" i="6"/>
  <c r="N161" i="6"/>
  <c r="L161" i="6"/>
  <c r="H161" i="6"/>
  <c r="I161" i="6" s="1"/>
  <c r="F161" i="6"/>
  <c r="C161" i="6"/>
  <c r="AD160" i="6"/>
  <c r="AC160" i="6"/>
  <c r="AA160" i="6"/>
  <c r="X160" i="6"/>
  <c r="W160" i="6"/>
  <c r="U160" i="6"/>
  <c r="R160" i="6"/>
  <c r="O160" i="6"/>
  <c r="N160" i="6"/>
  <c r="L160" i="6"/>
  <c r="I160" i="6"/>
  <c r="H160" i="6"/>
  <c r="F160" i="6"/>
  <c r="C160" i="6"/>
  <c r="AC158" i="6"/>
  <c r="AD158" i="6" s="1"/>
  <c r="AA158" i="6"/>
  <c r="Z158" i="6"/>
  <c r="X158" i="6"/>
  <c r="W158" i="6"/>
  <c r="T158" i="6"/>
  <c r="U158" i="6" s="1"/>
  <c r="R158" i="6"/>
  <c r="Q158" i="6"/>
  <c r="N158" i="6"/>
  <c r="O158" i="6" s="1"/>
  <c r="K158" i="6"/>
  <c r="L158" i="6" s="1"/>
  <c r="E158" i="6"/>
  <c r="F158" i="6" s="1"/>
  <c r="B158" i="6"/>
  <c r="AD157" i="6"/>
  <c r="AC157" i="6"/>
  <c r="AA157" i="6"/>
  <c r="X157" i="6"/>
  <c r="W157" i="6"/>
  <c r="U157" i="6"/>
  <c r="R157" i="6"/>
  <c r="N157" i="6"/>
  <c r="O157" i="6" s="1"/>
  <c r="L157" i="6"/>
  <c r="H157" i="6"/>
  <c r="I157" i="6" s="1"/>
  <c r="F157" i="6"/>
  <c r="C157" i="6"/>
  <c r="AD156" i="6"/>
  <c r="AC156" i="6"/>
  <c r="AA156" i="6"/>
  <c r="X156" i="6"/>
  <c r="W156" i="6"/>
  <c r="U156" i="6"/>
  <c r="R156" i="6"/>
  <c r="N156" i="6"/>
  <c r="O156" i="6" s="1"/>
  <c r="L156" i="6"/>
  <c r="H156" i="6"/>
  <c r="I156" i="6" s="1"/>
  <c r="F156" i="6"/>
  <c r="C156" i="6"/>
  <c r="AD155" i="6"/>
  <c r="AC155" i="6"/>
  <c r="AA155" i="6"/>
  <c r="W155" i="6"/>
  <c r="X155" i="6" s="1"/>
  <c r="U155" i="6"/>
  <c r="R155" i="6"/>
  <c r="O155" i="6"/>
  <c r="N155" i="6"/>
  <c r="L155" i="6"/>
  <c r="I155" i="6"/>
  <c r="H155" i="6"/>
  <c r="F155" i="6"/>
  <c r="C155" i="6"/>
  <c r="AC154" i="6"/>
  <c r="AD154" i="6" s="1"/>
  <c r="AA154" i="6"/>
  <c r="X154" i="6"/>
  <c r="W154" i="6"/>
  <c r="U154" i="6"/>
  <c r="R154" i="6"/>
  <c r="O154" i="6"/>
  <c r="N154" i="6"/>
  <c r="L154" i="6"/>
  <c r="I154" i="6"/>
  <c r="H154" i="6"/>
  <c r="F154" i="6"/>
  <c r="C154" i="6"/>
  <c r="AC153" i="6"/>
  <c r="AD153" i="6" s="1"/>
  <c r="AA153" i="6"/>
  <c r="W153" i="6"/>
  <c r="X153" i="6" s="1"/>
  <c r="U153" i="6"/>
  <c r="R153" i="6"/>
  <c r="O153" i="6"/>
  <c r="N153" i="6"/>
  <c r="L153" i="6"/>
  <c r="H153" i="6"/>
  <c r="I153" i="6" s="1"/>
  <c r="F153" i="6"/>
  <c r="C153" i="6"/>
  <c r="AD151" i="6"/>
  <c r="AC151" i="6"/>
  <c r="AA151" i="6"/>
  <c r="X151" i="6"/>
  <c r="W151" i="6"/>
  <c r="U151" i="6"/>
  <c r="R151" i="6"/>
  <c r="N151" i="6"/>
  <c r="O151" i="6" s="1"/>
  <c r="L151" i="6"/>
  <c r="I151" i="6"/>
  <c r="H151" i="6"/>
  <c r="F151" i="6"/>
  <c r="C151" i="6"/>
  <c r="AC149" i="6"/>
  <c r="AD149" i="6" s="1"/>
  <c r="AA149" i="6"/>
  <c r="Z149" i="6"/>
  <c r="T149" i="6"/>
  <c r="U149" i="6" s="1"/>
  <c r="R149" i="6"/>
  <c r="Q149" i="6"/>
  <c r="K149" i="6"/>
  <c r="L149" i="6" s="1"/>
  <c r="H149" i="6"/>
  <c r="I149" i="6" s="1"/>
  <c r="F149" i="6"/>
  <c r="E149" i="6"/>
  <c r="B149" i="6"/>
  <c r="N149" i="6" s="1"/>
  <c r="O149" i="6" s="1"/>
  <c r="AC148" i="6"/>
  <c r="AD148" i="6" s="1"/>
  <c r="Z148" i="6"/>
  <c r="AA148" i="6" s="1"/>
  <c r="U148" i="6"/>
  <c r="T148" i="6"/>
  <c r="Q148" i="6"/>
  <c r="L148" i="6"/>
  <c r="K148" i="6"/>
  <c r="E148" i="6"/>
  <c r="F148" i="6" s="1"/>
  <c r="B148" i="6"/>
  <c r="C148" i="6" s="1"/>
  <c r="AD147" i="6"/>
  <c r="AC147" i="6"/>
  <c r="AA147" i="6"/>
  <c r="X147" i="6"/>
  <c r="W147" i="6"/>
  <c r="U147" i="6"/>
  <c r="R147" i="6"/>
  <c r="O147" i="6"/>
  <c r="N147" i="6"/>
  <c r="L147" i="6"/>
  <c r="H147" i="6"/>
  <c r="I147" i="6" s="1"/>
  <c r="F147" i="6"/>
  <c r="C147" i="6"/>
  <c r="AC146" i="6"/>
  <c r="AD146" i="6" s="1"/>
  <c r="AA146" i="6"/>
  <c r="W146" i="6"/>
  <c r="X146" i="6" s="1"/>
  <c r="U146" i="6"/>
  <c r="R146" i="6"/>
  <c r="O146" i="6"/>
  <c r="N146" i="6"/>
  <c r="L146" i="6"/>
  <c r="I146" i="6"/>
  <c r="H146" i="6"/>
  <c r="F146" i="6"/>
  <c r="C146" i="6"/>
  <c r="AC145" i="6"/>
  <c r="AD145" i="6" s="1"/>
  <c r="AA145" i="6"/>
  <c r="X145" i="6"/>
  <c r="W145" i="6"/>
  <c r="U145" i="6"/>
  <c r="R145" i="6"/>
  <c r="O145" i="6"/>
  <c r="N145" i="6"/>
  <c r="L145" i="6"/>
  <c r="H145" i="6"/>
  <c r="I145" i="6" s="1"/>
  <c r="F145" i="6"/>
  <c r="C145" i="6"/>
  <c r="AD144" i="6"/>
  <c r="AC144" i="6"/>
  <c r="AA144" i="6"/>
  <c r="X144" i="6"/>
  <c r="W144" i="6"/>
  <c r="U144" i="6"/>
  <c r="R144" i="6"/>
  <c r="N144" i="6"/>
  <c r="O144" i="6" s="1"/>
  <c r="L144" i="6"/>
  <c r="H144" i="6"/>
  <c r="I144" i="6" s="1"/>
  <c r="F144" i="6"/>
  <c r="C144" i="6"/>
  <c r="AD143" i="6"/>
  <c r="AC143" i="6"/>
  <c r="AA143" i="6"/>
  <c r="X143" i="6"/>
  <c r="W143" i="6"/>
  <c r="U143" i="6"/>
  <c r="R143" i="6"/>
  <c r="N143" i="6"/>
  <c r="O143" i="6" s="1"/>
  <c r="L143" i="6"/>
  <c r="I143" i="6"/>
  <c r="H143" i="6"/>
  <c r="F143" i="6"/>
  <c r="C143" i="6"/>
  <c r="AA141" i="6"/>
  <c r="Z141" i="6"/>
  <c r="T141" i="6"/>
  <c r="U141" i="6" s="1"/>
  <c r="Q141" i="6"/>
  <c r="R141" i="6" s="1"/>
  <c r="L141" i="6"/>
  <c r="K141" i="6"/>
  <c r="E141" i="6"/>
  <c r="C141" i="6"/>
  <c r="B141" i="6"/>
  <c r="AD140" i="6"/>
  <c r="AC140" i="6"/>
  <c r="AA140" i="6"/>
  <c r="X140" i="6"/>
  <c r="W140" i="6"/>
  <c r="U140" i="6"/>
  <c r="R140" i="6"/>
  <c r="N140" i="6"/>
  <c r="O140" i="6" s="1"/>
  <c r="L140" i="6"/>
  <c r="H140" i="6"/>
  <c r="I140" i="6" s="1"/>
  <c r="F140" i="6"/>
  <c r="C140" i="6"/>
  <c r="AD139" i="6"/>
  <c r="AC139" i="6"/>
  <c r="AA139" i="6"/>
  <c r="X139" i="6"/>
  <c r="W139" i="6"/>
  <c r="U139" i="6"/>
  <c r="R139" i="6"/>
  <c r="N139" i="6"/>
  <c r="O139" i="6" s="1"/>
  <c r="L139" i="6"/>
  <c r="I139" i="6"/>
  <c r="H139" i="6"/>
  <c r="F139" i="6"/>
  <c r="C139" i="6"/>
  <c r="AC138" i="6"/>
  <c r="AD138" i="6" s="1"/>
  <c r="AA138" i="6"/>
  <c r="W138" i="6"/>
  <c r="X138" i="6" s="1"/>
  <c r="U138" i="6"/>
  <c r="R138" i="6"/>
  <c r="O138" i="6"/>
  <c r="N138" i="6"/>
  <c r="L138" i="6"/>
  <c r="I138" i="6"/>
  <c r="H138" i="6"/>
  <c r="F138" i="6"/>
  <c r="C138" i="6"/>
  <c r="AC137" i="6"/>
  <c r="AD137" i="6" s="1"/>
  <c r="AA137" i="6"/>
  <c r="X137" i="6"/>
  <c r="W137" i="6"/>
  <c r="U137" i="6"/>
  <c r="R137" i="6"/>
  <c r="O137" i="6"/>
  <c r="N137" i="6"/>
  <c r="L137" i="6"/>
  <c r="H137" i="6"/>
  <c r="I137" i="6" s="1"/>
  <c r="F137" i="6"/>
  <c r="C137" i="6"/>
  <c r="AD136" i="6"/>
  <c r="AC136" i="6"/>
  <c r="AA136" i="6"/>
  <c r="X136" i="6"/>
  <c r="W136" i="6"/>
  <c r="U136" i="6"/>
  <c r="R136" i="6"/>
  <c r="N136" i="6"/>
  <c r="O136" i="6" s="1"/>
  <c r="L136" i="6"/>
  <c r="H136" i="6"/>
  <c r="I136" i="6" s="1"/>
  <c r="F136" i="6"/>
  <c r="C136" i="6"/>
  <c r="AD135" i="6"/>
  <c r="AC135" i="6"/>
  <c r="AA135" i="6"/>
  <c r="X135" i="6"/>
  <c r="W135" i="6"/>
  <c r="U135" i="6"/>
  <c r="R135" i="6"/>
  <c r="O135" i="6"/>
  <c r="N135" i="6"/>
  <c r="L135" i="6"/>
  <c r="I135" i="6"/>
  <c r="H135" i="6"/>
  <c r="F135" i="6"/>
  <c r="C135" i="6"/>
  <c r="AC134" i="6"/>
  <c r="AD134" i="6" s="1"/>
  <c r="AA134" i="6"/>
  <c r="W134" i="6"/>
  <c r="X134" i="6" s="1"/>
  <c r="U134" i="6"/>
  <c r="R134" i="6"/>
  <c r="O134" i="6"/>
  <c r="N134" i="6"/>
  <c r="L134" i="6"/>
  <c r="I134" i="6"/>
  <c r="H134" i="6"/>
  <c r="F134" i="6"/>
  <c r="C134" i="6"/>
  <c r="AC133" i="6"/>
  <c r="AD133" i="6" s="1"/>
  <c r="AA133" i="6"/>
  <c r="X133" i="6"/>
  <c r="W133" i="6"/>
  <c r="U133" i="6"/>
  <c r="R133" i="6"/>
  <c r="O133" i="6"/>
  <c r="N133" i="6"/>
  <c r="L133" i="6"/>
  <c r="H133" i="6"/>
  <c r="I133" i="6" s="1"/>
  <c r="F133" i="6"/>
  <c r="C133" i="6"/>
  <c r="AC132" i="6"/>
  <c r="AD132" i="6" s="1"/>
  <c r="AA132" i="6"/>
  <c r="X132" i="6"/>
  <c r="W132" i="6"/>
  <c r="U132" i="6"/>
  <c r="R132" i="6"/>
  <c r="N132" i="6"/>
  <c r="O132" i="6" s="1"/>
  <c r="L132" i="6"/>
  <c r="H132" i="6"/>
  <c r="I132" i="6" s="1"/>
  <c r="F132" i="6"/>
  <c r="C132" i="6"/>
  <c r="AD131" i="6"/>
  <c r="AC131" i="6"/>
  <c r="AA131" i="6"/>
  <c r="X131" i="6"/>
  <c r="W131" i="6"/>
  <c r="U131" i="6"/>
  <c r="R131" i="6"/>
  <c r="N131" i="6"/>
  <c r="O131" i="6" s="1"/>
  <c r="L131" i="6"/>
  <c r="I131" i="6"/>
  <c r="H131" i="6"/>
  <c r="F131" i="6"/>
  <c r="C131" i="6"/>
  <c r="AC130" i="6"/>
  <c r="AD130" i="6" s="1"/>
  <c r="AA130" i="6"/>
  <c r="W130" i="6"/>
  <c r="X130" i="6" s="1"/>
  <c r="U130" i="6"/>
  <c r="R130" i="6"/>
  <c r="O130" i="6"/>
  <c r="N130" i="6"/>
  <c r="L130" i="6"/>
  <c r="I130" i="6"/>
  <c r="H130" i="6"/>
  <c r="F130" i="6"/>
  <c r="C130" i="6"/>
  <c r="AD129" i="6"/>
  <c r="AC129" i="6"/>
  <c r="AA129" i="6"/>
  <c r="X129" i="6"/>
  <c r="W129" i="6"/>
  <c r="U129" i="6"/>
  <c r="R129" i="6"/>
  <c r="O129" i="6"/>
  <c r="N129" i="6"/>
  <c r="L129" i="6"/>
  <c r="H129" i="6"/>
  <c r="I129" i="6" s="1"/>
  <c r="F129" i="6"/>
  <c r="C129" i="6"/>
  <c r="AC127" i="6"/>
  <c r="AD127" i="6" s="1"/>
  <c r="AA127" i="6"/>
  <c r="X127" i="6"/>
  <c r="W127" i="6"/>
  <c r="U127" i="6"/>
  <c r="R127" i="6"/>
  <c r="N127" i="6"/>
  <c r="O127" i="6" s="1"/>
  <c r="L127" i="6"/>
  <c r="H127" i="6"/>
  <c r="I127" i="6" s="1"/>
  <c r="F127" i="6"/>
  <c r="C127" i="6"/>
  <c r="AD124" i="6"/>
  <c r="AA124" i="6"/>
  <c r="Z124" i="6"/>
  <c r="Z172" i="6" s="1"/>
  <c r="Z198" i="6" s="1"/>
  <c r="T124" i="6"/>
  <c r="R124" i="6"/>
  <c r="Q124" i="6"/>
  <c r="AC124" i="6" s="1"/>
  <c r="N124" i="6"/>
  <c r="O124" i="6" s="1"/>
  <c r="L124" i="6"/>
  <c r="K124" i="6"/>
  <c r="K172" i="6" s="1"/>
  <c r="H124" i="6"/>
  <c r="I124" i="6" s="1"/>
  <c r="F124" i="6"/>
  <c r="E124" i="6"/>
  <c r="B124" i="6"/>
  <c r="B172" i="6" s="1"/>
  <c r="AD123" i="6"/>
  <c r="AC123" i="6"/>
  <c r="AA123" i="6"/>
  <c r="W123" i="6"/>
  <c r="X123" i="6" s="1"/>
  <c r="U123" i="6"/>
  <c r="R123" i="6"/>
  <c r="N123" i="6"/>
  <c r="O123" i="6" s="1"/>
  <c r="L123" i="6"/>
  <c r="H123" i="6"/>
  <c r="I123" i="6" s="1"/>
  <c r="F123" i="6"/>
  <c r="C123" i="6"/>
  <c r="Z122" i="6"/>
  <c r="AA122" i="6" s="1"/>
  <c r="U122" i="6"/>
  <c r="T122" i="6"/>
  <c r="R122" i="6"/>
  <c r="Q122" i="6"/>
  <c r="W122" i="6" s="1"/>
  <c r="X122" i="6" s="1"/>
  <c r="K122" i="6"/>
  <c r="L122" i="6" s="1"/>
  <c r="E122" i="6"/>
  <c r="F122" i="6" s="1"/>
  <c r="C122" i="6"/>
  <c r="B122" i="6"/>
  <c r="N122" i="6" s="1"/>
  <c r="O122" i="6" s="1"/>
  <c r="AC121" i="6"/>
  <c r="AD121" i="6" s="1"/>
  <c r="AA121" i="6"/>
  <c r="W121" i="6"/>
  <c r="X121" i="6" s="1"/>
  <c r="U121" i="6"/>
  <c r="R121" i="6"/>
  <c r="O121" i="6"/>
  <c r="N121" i="6"/>
  <c r="L121" i="6"/>
  <c r="I121" i="6"/>
  <c r="H121" i="6"/>
  <c r="F121" i="6"/>
  <c r="C121" i="6"/>
  <c r="AC120" i="6"/>
  <c r="AD120" i="6" s="1"/>
  <c r="AA120" i="6"/>
  <c r="X120" i="6"/>
  <c r="W120" i="6"/>
  <c r="U120" i="6"/>
  <c r="R120" i="6"/>
  <c r="O120" i="6"/>
  <c r="N120" i="6"/>
  <c r="L120" i="6"/>
  <c r="H120" i="6"/>
  <c r="I120" i="6" s="1"/>
  <c r="F120" i="6"/>
  <c r="C120" i="6"/>
  <c r="AC119" i="6"/>
  <c r="AD119" i="6" s="1"/>
  <c r="AA119" i="6"/>
  <c r="X119" i="6"/>
  <c r="W119" i="6"/>
  <c r="U119" i="6"/>
  <c r="R119" i="6"/>
  <c r="N119" i="6"/>
  <c r="O119" i="6" s="1"/>
  <c r="L119" i="6"/>
  <c r="I119" i="6"/>
  <c r="H119" i="6"/>
  <c r="F119" i="6"/>
  <c r="C119" i="6"/>
  <c r="AD118" i="6"/>
  <c r="AA118" i="6"/>
  <c r="Z118" i="6"/>
  <c r="W118" i="6"/>
  <c r="X118" i="6" s="1"/>
  <c r="T118" i="6"/>
  <c r="U118" i="6" s="1"/>
  <c r="R118" i="6"/>
  <c r="Q118" i="6"/>
  <c r="AC118" i="6" s="1"/>
  <c r="K118" i="6"/>
  <c r="L118" i="6" s="1"/>
  <c r="H118" i="6"/>
  <c r="I118" i="6" s="1"/>
  <c r="F118" i="6"/>
  <c r="E118" i="6"/>
  <c r="B118" i="6"/>
  <c r="C118" i="6" s="1"/>
  <c r="AD117" i="6"/>
  <c r="AC117" i="6"/>
  <c r="AA117" i="6"/>
  <c r="X117" i="6"/>
  <c r="W117" i="6"/>
  <c r="U117" i="6"/>
  <c r="R117" i="6"/>
  <c r="O117" i="6"/>
  <c r="N117" i="6"/>
  <c r="L117" i="6"/>
  <c r="H117" i="6"/>
  <c r="I117" i="6" s="1"/>
  <c r="F117" i="6"/>
  <c r="C117" i="6"/>
  <c r="AC116" i="6"/>
  <c r="AD116" i="6" s="1"/>
  <c r="AA116" i="6"/>
  <c r="X116" i="6"/>
  <c r="W116" i="6"/>
  <c r="U116" i="6"/>
  <c r="R116" i="6"/>
  <c r="N116" i="6"/>
  <c r="O116" i="6" s="1"/>
  <c r="L116" i="6"/>
  <c r="H116" i="6"/>
  <c r="I116" i="6" s="1"/>
  <c r="F116" i="6"/>
  <c r="C116" i="6"/>
  <c r="AD115" i="6"/>
  <c r="AC115" i="6"/>
  <c r="AA115" i="6"/>
  <c r="W115" i="6"/>
  <c r="X115" i="6" s="1"/>
  <c r="U115" i="6"/>
  <c r="R115" i="6"/>
  <c r="N115" i="6"/>
  <c r="O115" i="6" s="1"/>
  <c r="L115" i="6"/>
  <c r="I115" i="6"/>
  <c r="H115" i="6"/>
  <c r="F115" i="6"/>
  <c r="C115" i="6"/>
  <c r="AC114" i="6"/>
  <c r="AD114" i="6" s="1"/>
  <c r="AA114" i="6"/>
  <c r="W114" i="6"/>
  <c r="X114" i="6" s="1"/>
  <c r="U114" i="6"/>
  <c r="R114" i="6"/>
  <c r="O114" i="6"/>
  <c r="N114" i="6"/>
  <c r="L114" i="6"/>
  <c r="I114" i="6"/>
  <c r="H114" i="6"/>
  <c r="F114" i="6"/>
  <c r="C114" i="6"/>
  <c r="AD113" i="6"/>
  <c r="AC113" i="6"/>
  <c r="AA113" i="6"/>
  <c r="X113" i="6"/>
  <c r="W113" i="6"/>
  <c r="U113" i="6"/>
  <c r="R113" i="6"/>
  <c r="O113" i="6"/>
  <c r="N113" i="6"/>
  <c r="L113" i="6"/>
  <c r="H113" i="6"/>
  <c r="I113" i="6" s="1"/>
  <c r="F113" i="6"/>
  <c r="C113" i="6"/>
  <c r="AC112" i="6"/>
  <c r="AD112" i="6" s="1"/>
  <c r="AA112" i="6"/>
  <c r="X112" i="6"/>
  <c r="W112" i="6"/>
  <c r="U112" i="6"/>
  <c r="R112" i="6"/>
  <c r="N112" i="6"/>
  <c r="O112" i="6" s="1"/>
  <c r="L112" i="6"/>
  <c r="H112" i="6"/>
  <c r="I112" i="6" s="1"/>
  <c r="F112" i="6"/>
  <c r="C112" i="6"/>
  <c r="AD111" i="6"/>
  <c r="AC111" i="6"/>
  <c r="AA111" i="6"/>
  <c r="W111" i="6"/>
  <c r="X111" i="6" s="1"/>
  <c r="U111" i="6"/>
  <c r="R111" i="6"/>
  <c r="N111" i="6"/>
  <c r="O111" i="6" s="1"/>
  <c r="L111" i="6"/>
  <c r="I111" i="6"/>
  <c r="H111" i="6"/>
  <c r="F111" i="6"/>
  <c r="C111" i="6"/>
  <c r="AC110" i="6"/>
  <c r="AD110" i="6" s="1"/>
  <c r="AA110" i="6"/>
  <c r="W110" i="6"/>
  <c r="X110" i="6" s="1"/>
  <c r="U110" i="6"/>
  <c r="R110" i="6"/>
  <c r="O110" i="6"/>
  <c r="N110" i="6"/>
  <c r="L110" i="6"/>
  <c r="I110" i="6"/>
  <c r="H110" i="6"/>
  <c r="F110" i="6"/>
  <c r="C110" i="6"/>
  <c r="AD109" i="6"/>
  <c r="AC109" i="6"/>
  <c r="AA109" i="6"/>
  <c r="X109" i="6"/>
  <c r="W109" i="6"/>
  <c r="U109" i="6"/>
  <c r="R109" i="6"/>
  <c r="O109" i="6"/>
  <c r="N109" i="6"/>
  <c r="L109" i="6"/>
  <c r="H109" i="6"/>
  <c r="I109" i="6" s="1"/>
  <c r="F109" i="6"/>
  <c r="C109" i="6"/>
  <c r="AC108" i="6"/>
  <c r="AD108" i="6" s="1"/>
  <c r="AA108" i="6"/>
  <c r="X108" i="6"/>
  <c r="W108" i="6"/>
  <c r="U108" i="6"/>
  <c r="R108" i="6"/>
  <c r="N108" i="6"/>
  <c r="O108" i="6" s="1"/>
  <c r="L108" i="6"/>
  <c r="H108" i="6"/>
  <c r="I108" i="6" s="1"/>
  <c r="F108" i="6"/>
  <c r="C108" i="6"/>
  <c r="AD107" i="6"/>
  <c r="AC107" i="6"/>
  <c r="AA107" i="6"/>
  <c r="W107" i="6"/>
  <c r="X107" i="6" s="1"/>
  <c r="U107" i="6"/>
  <c r="R107" i="6"/>
  <c r="N107" i="6"/>
  <c r="O107" i="6" s="1"/>
  <c r="L107" i="6"/>
  <c r="I107" i="6"/>
  <c r="H107" i="6"/>
  <c r="F107" i="6"/>
  <c r="C107" i="6"/>
  <c r="AC106" i="6"/>
  <c r="AD106" i="6" s="1"/>
  <c r="AA106" i="6"/>
  <c r="W106" i="6"/>
  <c r="X106" i="6" s="1"/>
  <c r="U106" i="6"/>
  <c r="R106" i="6"/>
  <c r="O106" i="6"/>
  <c r="N106" i="6"/>
  <c r="L106" i="6"/>
  <c r="I106" i="6"/>
  <c r="H106" i="6"/>
  <c r="F106" i="6"/>
  <c r="C106" i="6"/>
  <c r="AD105" i="6"/>
  <c r="AC105" i="6"/>
  <c r="AA105" i="6"/>
  <c r="X105" i="6"/>
  <c r="W105" i="6"/>
  <c r="U105" i="6"/>
  <c r="R105" i="6"/>
  <c r="O105" i="6"/>
  <c r="N105" i="6"/>
  <c r="L105" i="6"/>
  <c r="H105" i="6"/>
  <c r="I105" i="6" s="1"/>
  <c r="F105" i="6"/>
  <c r="C105" i="6"/>
  <c r="AC104" i="6"/>
  <c r="AD104" i="6" s="1"/>
  <c r="AA104" i="6"/>
  <c r="X104" i="6"/>
  <c r="W104" i="6"/>
  <c r="U104" i="6"/>
  <c r="R104" i="6"/>
  <c r="N104" i="6"/>
  <c r="O104" i="6" s="1"/>
  <c r="L104" i="6"/>
  <c r="H104" i="6"/>
  <c r="I104" i="6" s="1"/>
  <c r="F104" i="6"/>
  <c r="C104" i="6"/>
  <c r="AD103" i="6"/>
  <c r="AC103" i="6"/>
  <c r="AA103" i="6"/>
  <c r="W103" i="6"/>
  <c r="X103" i="6" s="1"/>
  <c r="U103" i="6"/>
  <c r="R103" i="6"/>
  <c r="N103" i="6"/>
  <c r="O103" i="6" s="1"/>
  <c r="L103" i="6"/>
  <c r="I103" i="6"/>
  <c r="H103" i="6"/>
  <c r="F103" i="6"/>
  <c r="C103" i="6"/>
  <c r="AC102" i="6"/>
  <c r="AD102" i="6" s="1"/>
  <c r="AA102" i="6"/>
  <c r="W102" i="6"/>
  <c r="X102" i="6" s="1"/>
  <c r="U102" i="6"/>
  <c r="R102" i="6"/>
  <c r="O102" i="6"/>
  <c r="N102" i="6"/>
  <c r="L102" i="6"/>
  <c r="I102" i="6"/>
  <c r="H102" i="6"/>
  <c r="F102" i="6"/>
  <c r="C102" i="6"/>
  <c r="AD101" i="6"/>
  <c r="AC101" i="6"/>
  <c r="AA101" i="6"/>
  <c r="X101" i="6"/>
  <c r="W101" i="6"/>
  <c r="U101" i="6"/>
  <c r="R101" i="6"/>
  <c r="O101" i="6"/>
  <c r="N101" i="6"/>
  <c r="L101" i="6"/>
  <c r="H101" i="6"/>
  <c r="I101" i="6" s="1"/>
  <c r="F101" i="6"/>
  <c r="C101" i="6"/>
  <c r="AC100" i="6"/>
  <c r="AD100" i="6" s="1"/>
  <c r="AA100" i="6"/>
  <c r="X100" i="6"/>
  <c r="W100" i="6"/>
  <c r="U100" i="6"/>
  <c r="R100" i="6"/>
  <c r="N100" i="6"/>
  <c r="O100" i="6" s="1"/>
  <c r="L100" i="6"/>
  <c r="H100" i="6"/>
  <c r="I100" i="6" s="1"/>
  <c r="F100" i="6"/>
  <c r="C100" i="6"/>
  <c r="AD99" i="6"/>
  <c r="AC99" i="6"/>
  <c r="AA99" i="6"/>
  <c r="W99" i="6"/>
  <c r="X99" i="6" s="1"/>
  <c r="U99" i="6"/>
  <c r="R99" i="6"/>
  <c r="N99" i="6"/>
  <c r="O99" i="6" s="1"/>
  <c r="L99" i="6"/>
  <c r="I99" i="6"/>
  <c r="H99" i="6"/>
  <c r="F99" i="6"/>
  <c r="C99" i="6"/>
  <c r="AC98" i="6"/>
  <c r="AD98" i="6" s="1"/>
  <c r="AA98" i="6"/>
  <c r="W98" i="6"/>
  <c r="X98" i="6" s="1"/>
  <c r="U98" i="6"/>
  <c r="R98" i="6"/>
  <c r="O98" i="6"/>
  <c r="N98" i="6"/>
  <c r="L98" i="6"/>
  <c r="I98" i="6"/>
  <c r="H98" i="6"/>
  <c r="F98" i="6"/>
  <c r="C98" i="6"/>
  <c r="AD97" i="6"/>
  <c r="AC97" i="6"/>
  <c r="AA97" i="6"/>
  <c r="X97" i="6"/>
  <c r="W97" i="6"/>
  <c r="U97" i="6"/>
  <c r="R97" i="6"/>
  <c r="O97" i="6"/>
  <c r="N97" i="6"/>
  <c r="L97" i="6"/>
  <c r="H97" i="6"/>
  <c r="I97" i="6" s="1"/>
  <c r="F97" i="6"/>
  <c r="C97" i="6"/>
  <c r="AC96" i="6"/>
  <c r="AD96" i="6" s="1"/>
  <c r="AA96" i="6"/>
  <c r="X96" i="6"/>
  <c r="W96" i="6"/>
  <c r="U96" i="6"/>
  <c r="R96" i="6"/>
  <c r="N96" i="6"/>
  <c r="O96" i="6" s="1"/>
  <c r="L96" i="6"/>
  <c r="H96" i="6"/>
  <c r="I96" i="6" s="1"/>
  <c r="F96" i="6"/>
  <c r="C96" i="6"/>
  <c r="AD95" i="6"/>
  <c r="AC95" i="6"/>
  <c r="AA95" i="6"/>
  <c r="W95" i="6"/>
  <c r="X95" i="6" s="1"/>
  <c r="U95" i="6"/>
  <c r="R95" i="6"/>
  <c r="N95" i="6"/>
  <c r="O95" i="6" s="1"/>
  <c r="L95" i="6"/>
  <c r="I95" i="6"/>
  <c r="H95" i="6"/>
  <c r="F95" i="6"/>
  <c r="C95" i="6"/>
  <c r="AC94" i="6"/>
  <c r="AD94" i="6" s="1"/>
  <c r="AA94" i="6"/>
  <c r="W94" i="6"/>
  <c r="X94" i="6" s="1"/>
  <c r="U94" i="6"/>
  <c r="R94" i="6"/>
  <c r="O94" i="6"/>
  <c r="N94" i="6"/>
  <c r="L94" i="6"/>
  <c r="I94" i="6"/>
  <c r="H94" i="6"/>
  <c r="F94" i="6"/>
  <c r="C94" i="6"/>
  <c r="AD92" i="6"/>
  <c r="AC92" i="6"/>
  <c r="AA92" i="6"/>
  <c r="X92" i="6"/>
  <c r="W92" i="6"/>
  <c r="U92" i="6"/>
  <c r="R92" i="6"/>
  <c r="O92" i="6"/>
  <c r="N92" i="6"/>
  <c r="L92" i="6"/>
  <c r="H92" i="6"/>
  <c r="I92" i="6" s="1"/>
  <c r="F92" i="6"/>
  <c r="C92" i="6"/>
  <c r="AC91" i="6"/>
  <c r="AD91" i="6" s="1"/>
  <c r="AA91" i="6"/>
  <c r="X91" i="6"/>
  <c r="W91" i="6"/>
  <c r="U91" i="6"/>
  <c r="R91" i="6"/>
  <c r="N91" i="6"/>
  <c r="O91" i="6" s="1"/>
  <c r="L91" i="6"/>
  <c r="H91" i="6"/>
  <c r="I91" i="6" s="1"/>
  <c r="F91" i="6"/>
  <c r="C91" i="6"/>
  <c r="AD90" i="6"/>
  <c r="AC90" i="6"/>
  <c r="AA90" i="6"/>
  <c r="W90" i="6"/>
  <c r="X90" i="6" s="1"/>
  <c r="U90" i="6"/>
  <c r="R90" i="6"/>
  <c r="N90" i="6"/>
  <c r="O90" i="6" s="1"/>
  <c r="L90" i="6"/>
  <c r="I90" i="6"/>
  <c r="H90" i="6"/>
  <c r="F90" i="6"/>
  <c r="C90" i="6"/>
  <c r="AC89" i="6"/>
  <c r="AD89" i="6" s="1"/>
  <c r="AA89" i="6"/>
  <c r="W89" i="6"/>
  <c r="X89" i="6" s="1"/>
  <c r="U89" i="6"/>
  <c r="R89" i="6"/>
  <c r="O89" i="6"/>
  <c r="N89" i="6"/>
  <c r="L89" i="6"/>
  <c r="I89" i="6"/>
  <c r="H89" i="6"/>
  <c r="F89" i="6"/>
  <c r="C89" i="6"/>
  <c r="Z88" i="6"/>
  <c r="AA88" i="6" s="1"/>
  <c r="U88" i="6"/>
  <c r="T88" i="6"/>
  <c r="Q88" i="6"/>
  <c r="L88" i="6"/>
  <c r="K88" i="6"/>
  <c r="E88" i="6"/>
  <c r="F88" i="6" s="1"/>
  <c r="B88" i="6"/>
  <c r="AD87" i="6"/>
  <c r="AC87" i="6"/>
  <c r="AA87" i="6"/>
  <c r="X87" i="6"/>
  <c r="W87" i="6"/>
  <c r="U87" i="6"/>
  <c r="R87" i="6"/>
  <c r="O87" i="6"/>
  <c r="N87" i="6"/>
  <c r="L87" i="6"/>
  <c r="H87" i="6"/>
  <c r="I87" i="6" s="1"/>
  <c r="F87" i="6"/>
  <c r="C87" i="6"/>
  <c r="AC86" i="6"/>
  <c r="AD86" i="6" s="1"/>
  <c r="AA86" i="6"/>
  <c r="W86" i="6"/>
  <c r="X86" i="6" s="1"/>
  <c r="U86" i="6"/>
  <c r="R86" i="6"/>
  <c r="O86" i="6"/>
  <c r="N86" i="6"/>
  <c r="L86" i="6"/>
  <c r="I86" i="6"/>
  <c r="H86" i="6"/>
  <c r="F86" i="6"/>
  <c r="C86" i="6"/>
  <c r="AC85" i="6"/>
  <c r="AD85" i="6" s="1"/>
  <c r="AA85" i="6"/>
  <c r="W85" i="6"/>
  <c r="X85" i="6" s="1"/>
  <c r="U85" i="6"/>
  <c r="R85" i="6"/>
  <c r="N85" i="6"/>
  <c r="O85" i="6" s="1"/>
  <c r="L85" i="6"/>
  <c r="H85" i="6"/>
  <c r="I85" i="6" s="1"/>
  <c r="F85" i="6"/>
  <c r="C85" i="6"/>
  <c r="AD84" i="6"/>
  <c r="AC84" i="6"/>
  <c r="AA84" i="6"/>
  <c r="X84" i="6"/>
  <c r="W84" i="6"/>
  <c r="U84" i="6"/>
  <c r="R84" i="6"/>
  <c r="N84" i="6"/>
  <c r="O84" i="6" s="1"/>
  <c r="L84" i="6"/>
  <c r="I84" i="6"/>
  <c r="H84" i="6"/>
  <c r="F84" i="6"/>
  <c r="C84" i="6"/>
  <c r="AD83" i="6"/>
  <c r="AC83" i="6"/>
  <c r="AA83" i="6"/>
  <c r="X83" i="6"/>
  <c r="W83" i="6"/>
  <c r="U83" i="6"/>
  <c r="R83" i="6"/>
  <c r="O83" i="6"/>
  <c r="N83" i="6"/>
  <c r="L83" i="6"/>
  <c r="H83" i="6"/>
  <c r="I83" i="6" s="1"/>
  <c r="F83" i="6"/>
  <c r="C83" i="6"/>
  <c r="AC82" i="6"/>
  <c r="AD82" i="6" s="1"/>
  <c r="AA82" i="6"/>
  <c r="W82" i="6"/>
  <c r="X82" i="6" s="1"/>
  <c r="U82" i="6"/>
  <c r="R82" i="6"/>
  <c r="O82" i="6"/>
  <c r="N82" i="6"/>
  <c r="L82" i="6"/>
  <c r="I82" i="6"/>
  <c r="H82" i="6"/>
  <c r="F82" i="6"/>
  <c r="C82" i="6"/>
  <c r="AC81" i="6"/>
  <c r="AD81" i="6" s="1"/>
  <c r="AA81" i="6"/>
  <c r="W81" i="6"/>
  <c r="X81" i="6" s="1"/>
  <c r="U81" i="6"/>
  <c r="R81" i="6"/>
  <c r="N81" i="6"/>
  <c r="O81" i="6" s="1"/>
  <c r="L81" i="6"/>
  <c r="H81" i="6"/>
  <c r="I81" i="6" s="1"/>
  <c r="F81" i="6"/>
  <c r="C81" i="6"/>
  <c r="AD80" i="6"/>
  <c r="AC80" i="6"/>
  <c r="AA80" i="6"/>
  <c r="X80" i="6"/>
  <c r="W80" i="6"/>
  <c r="U80" i="6"/>
  <c r="R80" i="6"/>
  <c r="N80" i="6"/>
  <c r="O80" i="6" s="1"/>
  <c r="L80" i="6"/>
  <c r="I80" i="6"/>
  <c r="H80" i="6"/>
  <c r="F80" i="6"/>
  <c r="C80" i="6"/>
  <c r="AD79" i="6"/>
  <c r="AC79" i="6"/>
  <c r="AA79" i="6"/>
  <c r="X79" i="6"/>
  <c r="W79" i="6"/>
  <c r="U79" i="6"/>
  <c r="R79" i="6"/>
  <c r="O79" i="6"/>
  <c r="N79" i="6"/>
  <c r="L79" i="6"/>
  <c r="H79" i="6"/>
  <c r="I79" i="6" s="1"/>
  <c r="F79" i="6"/>
  <c r="C79" i="6"/>
  <c r="AC78" i="6"/>
  <c r="AD78" i="6" s="1"/>
  <c r="AA78" i="6"/>
  <c r="W78" i="6"/>
  <c r="X78" i="6" s="1"/>
  <c r="U78" i="6"/>
  <c r="R78" i="6"/>
  <c r="O78" i="6"/>
  <c r="N78" i="6"/>
  <c r="L78" i="6"/>
  <c r="I78" i="6"/>
  <c r="H78" i="6"/>
  <c r="F78" i="6"/>
  <c r="C78" i="6"/>
  <c r="AC77" i="6"/>
  <c r="AD77" i="6" s="1"/>
  <c r="AA77" i="6"/>
  <c r="W77" i="6"/>
  <c r="X77" i="6" s="1"/>
  <c r="U77" i="6"/>
  <c r="R77" i="6"/>
  <c r="N77" i="6"/>
  <c r="O77" i="6" s="1"/>
  <c r="L77" i="6"/>
  <c r="H77" i="6"/>
  <c r="I77" i="6" s="1"/>
  <c r="F77" i="6"/>
  <c r="C77" i="6"/>
  <c r="AD76" i="6"/>
  <c r="AC76" i="6"/>
  <c r="AA76" i="6"/>
  <c r="X76" i="6"/>
  <c r="W76" i="6"/>
  <c r="U76" i="6"/>
  <c r="R76" i="6"/>
  <c r="N76" i="6"/>
  <c r="O76" i="6" s="1"/>
  <c r="L76" i="6"/>
  <c r="I76" i="6"/>
  <c r="H76" i="6"/>
  <c r="F76" i="6"/>
  <c r="C76" i="6"/>
  <c r="AD75" i="6"/>
  <c r="AC75" i="6"/>
  <c r="AA75" i="6"/>
  <c r="X75" i="6"/>
  <c r="W75" i="6"/>
  <c r="U75" i="6"/>
  <c r="R75" i="6"/>
  <c r="O75" i="6"/>
  <c r="N75" i="6"/>
  <c r="L75" i="6"/>
  <c r="H75" i="6"/>
  <c r="I75" i="6" s="1"/>
  <c r="F75" i="6"/>
  <c r="C75" i="6"/>
  <c r="AC73" i="6"/>
  <c r="AD73" i="6" s="1"/>
  <c r="AA73" i="6"/>
  <c r="Z73" i="6"/>
  <c r="W73" i="6"/>
  <c r="X73" i="6" s="1"/>
  <c r="U73" i="6"/>
  <c r="T73" i="6"/>
  <c r="Q73" i="6"/>
  <c r="R73" i="6" s="1"/>
  <c r="L73" i="6"/>
  <c r="K73" i="6"/>
  <c r="E73" i="6"/>
  <c r="C73" i="6"/>
  <c r="B73" i="6"/>
  <c r="AC72" i="6"/>
  <c r="AD72" i="6" s="1"/>
  <c r="AA72" i="6"/>
  <c r="X72" i="6"/>
  <c r="W72" i="6"/>
  <c r="U72" i="6"/>
  <c r="R72" i="6"/>
  <c r="N72" i="6"/>
  <c r="O72" i="6" s="1"/>
  <c r="L72" i="6"/>
  <c r="I72" i="6"/>
  <c r="H72" i="6"/>
  <c r="F72" i="6"/>
  <c r="C72" i="6"/>
  <c r="AD71" i="6"/>
  <c r="AC71" i="6"/>
  <c r="AA71" i="6"/>
  <c r="W71" i="6"/>
  <c r="X71" i="6" s="1"/>
  <c r="U71" i="6"/>
  <c r="R71" i="6"/>
  <c r="N71" i="6"/>
  <c r="O71" i="6" s="1"/>
  <c r="L71" i="6"/>
  <c r="H71" i="6"/>
  <c r="I71" i="6" s="1"/>
  <c r="F71" i="6"/>
  <c r="C71" i="6"/>
  <c r="AC70" i="6"/>
  <c r="AD70" i="6" s="1"/>
  <c r="AA70" i="6"/>
  <c r="W70" i="6"/>
  <c r="X70" i="6" s="1"/>
  <c r="U70" i="6"/>
  <c r="R70" i="6"/>
  <c r="O70" i="6"/>
  <c r="N70" i="6"/>
  <c r="L70" i="6"/>
  <c r="I70" i="6"/>
  <c r="H70" i="6"/>
  <c r="F70" i="6"/>
  <c r="C70" i="6"/>
  <c r="AC69" i="6"/>
  <c r="AD69" i="6" s="1"/>
  <c r="AA69" i="6"/>
  <c r="X69" i="6"/>
  <c r="W69" i="6"/>
  <c r="U69" i="6"/>
  <c r="R69" i="6"/>
  <c r="O69" i="6"/>
  <c r="N69" i="6"/>
  <c r="L69" i="6"/>
  <c r="H69" i="6"/>
  <c r="I69" i="6" s="1"/>
  <c r="F69" i="6"/>
  <c r="C69" i="6"/>
  <c r="AC68" i="6"/>
  <c r="AD68" i="6" s="1"/>
  <c r="AA68" i="6"/>
  <c r="X68" i="6"/>
  <c r="W68" i="6"/>
  <c r="U68" i="6"/>
  <c r="R68" i="6"/>
  <c r="N68" i="6"/>
  <c r="O68" i="6" s="1"/>
  <c r="L68" i="6"/>
  <c r="I68" i="6"/>
  <c r="H68" i="6"/>
  <c r="F68" i="6"/>
  <c r="C68" i="6"/>
  <c r="AD67" i="6"/>
  <c r="AC67" i="6"/>
  <c r="AA67" i="6"/>
  <c r="X67" i="6"/>
  <c r="W67" i="6"/>
  <c r="U67" i="6"/>
  <c r="R67" i="6"/>
  <c r="O67" i="6"/>
  <c r="N67" i="6"/>
  <c r="L67" i="6"/>
  <c r="H67" i="6"/>
  <c r="I67" i="6" s="1"/>
  <c r="F67" i="6"/>
  <c r="C67" i="6"/>
  <c r="AC66" i="6"/>
  <c r="AD66" i="6" s="1"/>
  <c r="AA66" i="6"/>
  <c r="X66" i="6"/>
  <c r="W66" i="6"/>
  <c r="U66" i="6"/>
  <c r="R66" i="6"/>
  <c r="O66" i="6"/>
  <c r="N66" i="6"/>
  <c r="L66" i="6"/>
  <c r="I66" i="6"/>
  <c r="H66" i="6"/>
  <c r="F66" i="6"/>
  <c r="C66" i="6"/>
  <c r="AD65" i="6"/>
  <c r="AC65" i="6"/>
  <c r="AA65" i="6"/>
  <c r="W65" i="6"/>
  <c r="X65" i="6" s="1"/>
  <c r="U65" i="6"/>
  <c r="R65" i="6"/>
  <c r="N65" i="6"/>
  <c r="O65" i="6" s="1"/>
  <c r="L65" i="6"/>
  <c r="H65" i="6"/>
  <c r="I65" i="6" s="1"/>
  <c r="F65" i="6"/>
  <c r="C65" i="6"/>
  <c r="AD64" i="6"/>
  <c r="AC64" i="6"/>
  <c r="AA64" i="6"/>
  <c r="X64" i="6"/>
  <c r="W64" i="6"/>
  <c r="U64" i="6"/>
  <c r="R64" i="6"/>
  <c r="O64" i="6"/>
  <c r="N64" i="6"/>
  <c r="L64" i="6"/>
  <c r="H64" i="6"/>
  <c r="I64" i="6" s="1"/>
  <c r="F64" i="6"/>
  <c r="C64" i="6"/>
  <c r="AC62" i="6"/>
  <c r="AD62" i="6" s="1"/>
  <c r="AA62" i="6"/>
  <c r="Z62" i="6"/>
  <c r="W62" i="6"/>
  <c r="X62" i="6" s="1"/>
  <c r="T62" i="6"/>
  <c r="U62" i="6" s="1"/>
  <c r="Q62" i="6"/>
  <c r="R62" i="6" s="1"/>
  <c r="K62" i="6"/>
  <c r="L62" i="6" s="1"/>
  <c r="H62" i="6"/>
  <c r="I62" i="6" s="1"/>
  <c r="F62" i="6"/>
  <c r="E62" i="6"/>
  <c r="B62" i="6"/>
  <c r="C62" i="6" s="1"/>
  <c r="Z61" i="6"/>
  <c r="AA61" i="6" s="1"/>
  <c r="T61" i="6"/>
  <c r="U61" i="6" s="1"/>
  <c r="R61" i="6"/>
  <c r="Q61" i="6"/>
  <c r="W61" i="6" s="1"/>
  <c r="X61" i="6" s="1"/>
  <c r="K61" i="6"/>
  <c r="L61" i="6" s="1"/>
  <c r="E61" i="6"/>
  <c r="F61" i="6" s="1"/>
  <c r="B61" i="6"/>
  <c r="C61" i="6" s="1"/>
  <c r="AC60" i="6"/>
  <c r="AD60" i="6" s="1"/>
  <c r="AA60" i="6"/>
  <c r="X60" i="6"/>
  <c r="W60" i="6"/>
  <c r="U60" i="6"/>
  <c r="R60" i="6"/>
  <c r="O60" i="6"/>
  <c r="N60" i="6"/>
  <c r="L60" i="6"/>
  <c r="I60" i="6"/>
  <c r="H60" i="6"/>
  <c r="F60" i="6"/>
  <c r="C60" i="6"/>
  <c r="AC59" i="6"/>
  <c r="AD59" i="6" s="1"/>
  <c r="AA59" i="6"/>
  <c r="W59" i="6"/>
  <c r="X59" i="6" s="1"/>
  <c r="U59" i="6"/>
  <c r="R59" i="6"/>
  <c r="O59" i="6"/>
  <c r="N59" i="6"/>
  <c r="L59" i="6"/>
  <c r="I59" i="6"/>
  <c r="H59" i="6"/>
  <c r="F59" i="6"/>
  <c r="C59" i="6"/>
  <c r="AD58" i="6"/>
  <c r="AC58" i="6"/>
  <c r="AA58" i="6"/>
  <c r="X58" i="6"/>
  <c r="W58" i="6"/>
  <c r="U58" i="6"/>
  <c r="R58" i="6"/>
  <c r="O58" i="6"/>
  <c r="N58" i="6"/>
  <c r="L58" i="6"/>
  <c r="H58" i="6"/>
  <c r="I58" i="6" s="1"/>
  <c r="F58" i="6"/>
  <c r="C58" i="6"/>
  <c r="AC57" i="6"/>
  <c r="AD57" i="6" s="1"/>
  <c r="AA57" i="6"/>
  <c r="X57" i="6"/>
  <c r="W57" i="6"/>
  <c r="U57" i="6"/>
  <c r="R57" i="6"/>
  <c r="O57" i="6"/>
  <c r="N57" i="6"/>
  <c r="L57" i="6"/>
  <c r="I57" i="6"/>
  <c r="H57" i="6"/>
  <c r="F57" i="6"/>
  <c r="C57" i="6"/>
  <c r="AD56" i="6"/>
  <c r="AC56" i="6"/>
  <c r="AA56" i="6"/>
  <c r="W56" i="6"/>
  <c r="X56" i="6" s="1"/>
  <c r="U56" i="6"/>
  <c r="R56" i="6"/>
  <c r="N56" i="6"/>
  <c r="O56" i="6" s="1"/>
  <c r="L56" i="6"/>
  <c r="H56" i="6"/>
  <c r="I56" i="6" s="1"/>
  <c r="F56" i="6"/>
  <c r="C56" i="6"/>
  <c r="AC55" i="6"/>
  <c r="AD55" i="6" s="1"/>
  <c r="AA55" i="6"/>
  <c r="X55" i="6"/>
  <c r="W55" i="6"/>
  <c r="U55" i="6"/>
  <c r="R55" i="6"/>
  <c r="O55" i="6"/>
  <c r="N55" i="6"/>
  <c r="L55" i="6"/>
  <c r="H55" i="6"/>
  <c r="I55" i="6" s="1"/>
  <c r="F55" i="6"/>
  <c r="C55" i="6"/>
  <c r="AC54" i="6"/>
  <c r="AD54" i="6" s="1"/>
  <c r="AA54" i="6"/>
  <c r="W54" i="6"/>
  <c r="X54" i="6" s="1"/>
  <c r="U54" i="6"/>
  <c r="R54" i="6"/>
  <c r="N54" i="6"/>
  <c r="O54" i="6" s="1"/>
  <c r="L54" i="6"/>
  <c r="H54" i="6"/>
  <c r="I54" i="6" s="1"/>
  <c r="F54" i="6"/>
  <c r="C54" i="6"/>
  <c r="AD53" i="6"/>
  <c r="AC53" i="6"/>
  <c r="AA53" i="6"/>
  <c r="X53" i="6"/>
  <c r="W53" i="6"/>
  <c r="U53" i="6"/>
  <c r="R53" i="6"/>
  <c r="N53" i="6"/>
  <c r="O53" i="6" s="1"/>
  <c r="L53" i="6"/>
  <c r="H53" i="6"/>
  <c r="I53" i="6" s="1"/>
  <c r="F53" i="6"/>
  <c r="C53" i="6"/>
  <c r="AC52" i="6"/>
  <c r="AD52" i="6" s="1"/>
  <c r="AA52" i="6"/>
  <c r="X52" i="6"/>
  <c r="W52" i="6"/>
  <c r="U52" i="6"/>
  <c r="R52" i="6"/>
  <c r="O52" i="6"/>
  <c r="N52" i="6"/>
  <c r="L52" i="6"/>
  <c r="I52" i="6"/>
  <c r="H52" i="6"/>
  <c r="F52" i="6"/>
  <c r="C52" i="6"/>
  <c r="AC51" i="6"/>
  <c r="AD51" i="6" s="1"/>
  <c r="AA51" i="6"/>
  <c r="W51" i="6"/>
  <c r="X51" i="6" s="1"/>
  <c r="U51" i="6"/>
  <c r="R51" i="6"/>
  <c r="O51" i="6"/>
  <c r="N51" i="6"/>
  <c r="L51" i="6"/>
  <c r="I51" i="6"/>
  <c r="H51" i="6"/>
  <c r="F51" i="6"/>
  <c r="C51" i="6"/>
  <c r="AD50" i="6"/>
  <c r="AC50" i="6"/>
  <c r="AA50" i="6"/>
  <c r="X50" i="6"/>
  <c r="W50" i="6"/>
  <c r="U50" i="6"/>
  <c r="R50" i="6"/>
  <c r="O50" i="6"/>
  <c r="N50" i="6"/>
  <c r="L50" i="6"/>
  <c r="H50" i="6"/>
  <c r="I50" i="6" s="1"/>
  <c r="F50" i="6"/>
  <c r="C50" i="6"/>
  <c r="AC49" i="6"/>
  <c r="AD49" i="6" s="1"/>
  <c r="AA49" i="6"/>
  <c r="X49" i="6"/>
  <c r="W49" i="6"/>
  <c r="U49" i="6"/>
  <c r="R49" i="6"/>
  <c r="O49" i="6"/>
  <c r="N49" i="6"/>
  <c r="L49" i="6"/>
  <c r="I49" i="6"/>
  <c r="H49" i="6"/>
  <c r="F49" i="6"/>
  <c r="C49" i="6"/>
  <c r="AD48" i="6"/>
  <c r="AC48" i="6"/>
  <c r="AA48" i="6"/>
  <c r="W48" i="6"/>
  <c r="X48" i="6" s="1"/>
  <c r="U48" i="6"/>
  <c r="R48" i="6"/>
  <c r="N48" i="6"/>
  <c r="O48" i="6" s="1"/>
  <c r="L48" i="6"/>
  <c r="H48" i="6"/>
  <c r="I48" i="6" s="1"/>
  <c r="F48" i="6"/>
  <c r="C48" i="6"/>
  <c r="AC47" i="6"/>
  <c r="AD47" i="6" s="1"/>
  <c r="AA47" i="6"/>
  <c r="X47" i="6"/>
  <c r="W47" i="6"/>
  <c r="U47" i="6"/>
  <c r="R47" i="6"/>
  <c r="O47" i="6"/>
  <c r="N47" i="6"/>
  <c r="L47" i="6"/>
  <c r="H47" i="6"/>
  <c r="I47" i="6" s="1"/>
  <c r="F47" i="6"/>
  <c r="C47" i="6"/>
  <c r="AC46" i="6"/>
  <c r="AD46" i="6" s="1"/>
  <c r="AA46" i="6"/>
  <c r="W46" i="6"/>
  <c r="X46" i="6" s="1"/>
  <c r="U46" i="6"/>
  <c r="R46" i="6"/>
  <c r="N46" i="6"/>
  <c r="O46" i="6" s="1"/>
  <c r="L46" i="6"/>
  <c r="H46" i="6"/>
  <c r="I46" i="6" s="1"/>
  <c r="F46" i="6"/>
  <c r="C46" i="6"/>
  <c r="AD44" i="6"/>
  <c r="AC44" i="6"/>
  <c r="AA44" i="6"/>
  <c r="X44" i="6"/>
  <c r="W44" i="6"/>
  <c r="U44" i="6"/>
  <c r="R44" i="6"/>
  <c r="N44" i="6"/>
  <c r="O44" i="6" s="1"/>
  <c r="L44" i="6"/>
  <c r="H44" i="6"/>
  <c r="I44" i="6" s="1"/>
  <c r="F44" i="6"/>
  <c r="C44" i="6"/>
  <c r="AC43" i="6"/>
  <c r="AD43" i="6" s="1"/>
  <c r="AA43" i="6"/>
  <c r="X43" i="6"/>
  <c r="W43" i="6"/>
  <c r="U43" i="6"/>
  <c r="R43" i="6"/>
  <c r="O43" i="6"/>
  <c r="N43" i="6"/>
  <c r="L43" i="6"/>
  <c r="I43" i="6"/>
  <c r="H43" i="6"/>
  <c r="F43" i="6"/>
  <c r="C43" i="6"/>
  <c r="AC42" i="6"/>
  <c r="AD42" i="6" s="1"/>
  <c r="AA42" i="6"/>
  <c r="W42" i="6"/>
  <c r="X42" i="6" s="1"/>
  <c r="U42" i="6"/>
  <c r="R42" i="6"/>
  <c r="O42" i="6"/>
  <c r="N42" i="6"/>
  <c r="L42" i="6"/>
  <c r="I42" i="6"/>
  <c r="H42" i="6"/>
  <c r="F42" i="6"/>
  <c r="C42" i="6"/>
  <c r="Z40" i="6"/>
  <c r="AA40" i="6" s="1"/>
  <c r="T40" i="6"/>
  <c r="W40" i="6" s="1"/>
  <c r="X40" i="6" s="1"/>
  <c r="R40" i="6"/>
  <c r="Q40" i="6"/>
  <c r="AC40" i="6" s="1"/>
  <c r="AD40" i="6" s="1"/>
  <c r="L40" i="6"/>
  <c r="K40" i="6"/>
  <c r="E40" i="6"/>
  <c r="B40" i="6"/>
  <c r="C40" i="6" s="1"/>
  <c r="AC39" i="6"/>
  <c r="AD39" i="6" s="1"/>
  <c r="AA39" i="6"/>
  <c r="X39" i="6"/>
  <c r="W39" i="6"/>
  <c r="U39" i="6"/>
  <c r="R39" i="6"/>
  <c r="O39" i="6"/>
  <c r="N39" i="6"/>
  <c r="L39" i="6"/>
  <c r="I39" i="6"/>
  <c r="H39" i="6"/>
  <c r="F39" i="6"/>
  <c r="C39" i="6"/>
  <c r="AC38" i="6"/>
  <c r="AD38" i="6" s="1"/>
  <c r="AA38" i="6"/>
  <c r="W38" i="6"/>
  <c r="X38" i="6" s="1"/>
  <c r="U38" i="6"/>
  <c r="R38" i="6"/>
  <c r="O38" i="6"/>
  <c r="N38" i="6"/>
  <c r="L38" i="6"/>
  <c r="I38" i="6"/>
  <c r="H38" i="6"/>
  <c r="F38" i="6"/>
  <c r="C38" i="6"/>
  <c r="AD37" i="6"/>
  <c r="AC37" i="6"/>
  <c r="AA37" i="6"/>
  <c r="X37" i="6"/>
  <c r="W37" i="6"/>
  <c r="U37" i="6"/>
  <c r="R37" i="6"/>
  <c r="O37" i="6"/>
  <c r="N37" i="6"/>
  <c r="L37" i="6"/>
  <c r="H37" i="6"/>
  <c r="I37" i="6" s="1"/>
  <c r="F37" i="6"/>
  <c r="C37" i="6"/>
  <c r="AC36" i="6"/>
  <c r="AD36" i="6" s="1"/>
  <c r="AA36" i="6"/>
  <c r="X36" i="6"/>
  <c r="W36" i="6"/>
  <c r="U36" i="6"/>
  <c r="R36" i="6"/>
  <c r="O36" i="6"/>
  <c r="N36" i="6"/>
  <c r="L36" i="6"/>
  <c r="I36" i="6"/>
  <c r="H36" i="6"/>
  <c r="F36" i="6"/>
  <c r="C36" i="6"/>
  <c r="AD35" i="6"/>
  <c r="AC35" i="6"/>
  <c r="AA35" i="6"/>
  <c r="X35" i="6"/>
  <c r="W35" i="6"/>
  <c r="U35" i="6"/>
  <c r="R35" i="6"/>
  <c r="N35" i="6"/>
  <c r="O35" i="6" s="1"/>
  <c r="L35" i="6"/>
  <c r="H35" i="6"/>
  <c r="I35" i="6" s="1"/>
  <c r="F35" i="6"/>
  <c r="C35" i="6"/>
  <c r="AC34" i="6"/>
  <c r="AD34" i="6" s="1"/>
  <c r="AA34" i="6"/>
  <c r="X34" i="6"/>
  <c r="W34" i="6"/>
  <c r="U34" i="6"/>
  <c r="R34" i="6"/>
  <c r="O34" i="6"/>
  <c r="N34" i="6"/>
  <c r="L34" i="6"/>
  <c r="H34" i="6"/>
  <c r="I34" i="6" s="1"/>
  <c r="F34" i="6"/>
  <c r="C34" i="6"/>
  <c r="AD33" i="6"/>
  <c r="AC33" i="6"/>
  <c r="AA33" i="6"/>
  <c r="W33" i="6"/>
  <c r="X33" i="6" s="1"/>
  <c r="U33" i="6"/>
  <c r="R33" i="6"/>
  <c r="N33" i="6"/>
  <c r="O33" i="6" s="1"/>
  <c r="L33" i="6"/>
  <c r="H33" i="6"/>
  <c r="I33" i="6" s="1"/>
  <c r="F33" i="6"/>
  <c r="C33" i="6"/>
  <c r="AD32" i="6"/>
  <c r="AC32" i="6"/>
  <c r="AA32" i="6"/>
  <c r="X32" i="6"/>
  <c r="W32" i="6"/>
  <c r="U32" i="6"/>
  <c r="R32" i="6"/>
  <c r="N32" i="6"/>
  <c r="O32" i="6" s="1"/>
  <c r="L32" i="6"/>
  <c r="H32" i="6"/>
  <c r="I32" i="6" s="1"/>
  <c r="F32" i="6"/>
  <c r="C32" i="6"/>
  <c r="AC31" i="6"/>
  <c r="AD31" i="6" s="1"/>
  <c r="AA31" i="6"/>
  <c r="X31" i="6"/>
  <c r="W31" i="6"/>
  <c r="U31" i="6"/>
  <c r="R31" i="6"/>
  <c r="O31" i="6"/>
  <c r="N31" i="6"/>
  <c r="L31" i="6"/>
  <c r="I31" i="6"/>
  <c r="H31" i="6"/>
  <c r="F31" i="6"/>
  <c r="C31" i="6"/>
  <c r="AA29" i="6"/>
  <c r="Z29" i="6"/>
  <c r="W29" i="6"/>
  <c r="X29" i="6" s="1"/>
  <c r="U29" i="6"/>
  <c r="T29" i="6"/>
  <c r="Q29" i="6"/>
  <c r="R29" i="6" s="1"/>
  <c r="K29" i="6"/>
  <c r="L29" i="6" s="1"/>
  <c r="E29" i="6"/>
  <c r="F29" i="6" s="1"/>
  <c r="C29" i="6"/>
  <c r="B29" i="6"/>
  <c r="H29" i="6" s="1"/>
  <c r="I29" i="6" s="1"/>
  <c r="AD28" i="6"/>
  <c r="AC28" i="6"/>
  <c r="AA28" i="6"/>
  <c r="X28" i="6"/>
  <c r="W28" i="6"/>
  <c r="U28" i="6"/>
  <c r="R28" i="6"/>
  <c r="O28" i="6"/>
  <c r="N28" i="6"/>
  <c r="L28" i="6"/>
  <c r="H28" i="6"/>
  <c r="I28" i="6" s="1"/>
  <c r="F28" i="6"/>
  <c r="C28" i="6"/>
  <c r="AD27" i="6"/>
  <c r="AC27" i="6"/>
  <c r="AA27" i="6"/>
  <c r="W27" i="6"/>
  <c r="X27" i="6" s="1"/>
  <c r="U27" i="6"/>
  <c r="R27" i="6"/>
  <c r="N27" i="6"/>
  <c r="O27" i="6" s="1"/>
  <c r="L27" i="6"/>
  <c r="I27" i="6"/>
  <c r="H27" i="6"/>
  <c r="F27" i="6"/>
  <c r="C27" i="6"/>
  <c r="AC26" i="6"/>
  <c r="AD26" i="6" s="1"/>
  <c r="AA26" i="6"/>
  <c r="X26" i="6"/>
  <c r="W26" i="6"/>
  <c r="U26" i="6"/>
  <c r="R26" i="6"/>
  <c r="O26" i="6"/>
  <c r="N26" i="6"/>
  <c r="L26" i="6"/>
  <c r="H26" i="6"/>
  <c r="I26" i="6" s="1"/>
  <c r="F26" i="6"/>
  <c r="C26" i="6"/>
  <c r="AC25" i="6"/>
  <c r="AD25" i="6" s="1"/>
  <c r="AA25" i="6"/>
  <c r="X25" i="6"/>
  <c r="W25" i="6"/>
  <c r="U25" i="6"/>
  <c r="R25" i="6"/>
  <c r="O25" i="6"/>
  <c r="N25" i="6"/>
  <c r="L25" i="6"/>
  <c r="H25" i="6"/>
  <c r="I25" i="6" s="1"/>
  <c r="F25" i="6"/>
  <c r="C25" i="6"/>
  <c r="AD24" i="6"/>
  <c r="AC24" i="6"/>
  <c r="AA24" i="6"/>
  <c r="X24" i="6"/>
  <c r="W24" i="6"/>
  <c r="U24" i="6"/>
  <c r="R24" i="6"/>
  <c r="N24" i="6"/>
  <c r="O24" i="6" s="1"/>
  <c r="L24" i="6"/>
  <c r="I24" i="6"/>
  <c r="H24" i="6"/>
  <c r="F24" i="6"/>
  <c r="C24" i="6"/>
  <c r="AD23" i="6"/>
  <c r="AC23" i="6"/>
  <c r="AA23" i="6"/>
  <c r="X23" i="6"/>
  <c r="W23" i="6"/>
  <c r="U23" i="6"/>
  <c r="R23" i="6"/>
  <c r="O23" i="6"/>
  <c r="N23" i="6"/>
  <c r="L23" i="6"/>
  <c r="I23" i="6"/>
  <c r="H23" i="6"/>
  <c r="F23" i="6"/>
  <c r="C23" i="6"/>
  <c r="AC22" i="6"/>
  <c r="AD22" i="6" s="1"/>
  <c r="AA22" i="6"/>
  <c r="X22" i="6"/>
  <c r="W22" i="6"/>
  <c r="U22" i="6"/>
  <c r="R22" i="6"/>
  <c r="O22" i="6"/>
  <c r="N22" i="6"/>
  <c r="L22" i="6"/>
  <c r="I22" i="6"/>
  <c r="H22" i="6"/>
  <c r="F22" i="6"/>
  <c r="C22" i="6"/>
  <c r="AD21" i="6"/>
  <c r="AC21" i="6"/>
  <c r="AA21" i="6"/>
  <c r="W21" i="6"/>
  <c r="X21" i="6" s="1"/>
  <c r="U21" i="6"/>
  <c r="R21" i="6"/>
  <c r="O21" i="6"/>
  <c r="N21" i="6"/>
  <c r="L21" i="6"/>
  <c r="H21" i="6"/>
  <c r="I21" i="6" s="1"/>
  <c r="F21" i="6"/>
  <c r="C21" i="6"/>
  <c r="AD19" i="6"/>
  <c r="AC19" i="6"/>
  <c r="AA19" i="6"/>
  <c r="X19" i="6"/>
  <c r="W19" i="6"/>
  <c r="U19" i="6"/>
  <c r="R19" i="6"/>
  <c r="O19" i="6"/>
  <c r="N19" i="6"/>
  <c r="L19" i="6"/>
  <c r="I19" i="6"/>
  <c r="H19" i="6"/>
  <c r="F19" i="6"/>
  <c r="C19" i="6"/>
  <c r="AC18" i="6"/>
  <c r="AD18" i="6" s="1"/>
  <c r="AA18" i="6"/>
  <c r="Z18" i="6"/>
  <c r="X18" i="6"/>
  <c r="W18" i="6"/>
  <c r="T18" i="6"/>
  <c r="U18" i="6" s="1"/>
  <c r="Q18" i="6"/>
  <c r="R18" i="6" s="1"/>
  <c r="K18" i="6"/>
  <c r="L18" i="6" s="1"/>
  <c r="F18" i="6"/>
  <c r="E18" i="6"/>
  <c r="B18" i="6"/>
  <c r="AD17" i="6"/>
  <c r="AC17" i="6"/>
  <c r="AA17" i="6"/>
  <c r="X17" i="6"/>
  <c r="W17" i="6"/>
  <c r="U17" i="6"/>
  <c r="R17" i="6"/>
  <c r="O17" i="6"/>
  <c r="N17" i="6"/>
  <c r="L17" i="6"/>
  <c r="H17" i="6"/>
  <c r="I17" i="6" s="1"/>
  <c r="F17" i="6"/>
  <c r="C17" i="6"/>
  <c r="AC16" i="6"/>
  <c r="AD16" i="6" s="1"/>
  <c r="AA16" i="6"/>
  <c r="X16" i="6"/>
  <c r="W16" i="6"/>
  <c r="U16" i="6"/>
  <c r="R16" i="6"/>
  <c r="O16" i="6"/>
  <c r="N16" i="6"/>
  <c r="L16" i="6"/>
  <c r="I16" i="6"/>
  <c r="H16" i="6"/>
  <c r="F16" i="6"/>
  <c r="C16" i="6"/>
  <c r="AD15" i="6"/>
  <c r="AC15" i="6"/>
  <c r="AA15" i="6"/>
  <c r="W15" i="6"/>
  <c r="X15" i="6" s="1"/>
  <c r="U15" i="6"/>
  <c r="R15" i="6"/>
  <c r="O15" i="6"/>
  <c r="N15" i="6"/>
  <c r="L15" i="6"/>
  <c r="H15" i="6"/>
  <c r="I15" i="6" s="1"/>
  <c r="F15" i="6"/>
  <c r="C15" i="6"/>
  <c r="AC14" i="6"/>
  <c r="AD14" i="6" s="1"/>
  <c r="AA14" i="6"/>
  <c r="X14" i="6"/>
  <c r="W14" i="6"/>
  <c r="U14" i="6"/>
  <c r="R14" i="6"/>
  <c r="O14" i="6"/>
  <c r="N14" i="6"/>
  <c r="L14" i="6"/>
  <c r="I14" i="6"/>
  <c r="H14" i="6"/>
  <c r="F14" i="6"/>
  <c r="C14" i="6"/>
  <c r="AC13" i="6"/>
  <c r="AD13" i="6" s="1"/>
  <c r="AA13" i="6"/>
  <c r="W13" i="6"/>
  <c r="X13" i="6" s="1"/>
  <c r="U13" i="6"/>
  <c r="R13" i="6"/>
  <c r="N13" i="6"/>
  <c r="O13" i="6" s="1"/>
  <c r="L13" i="6"/>
  <c r="H13" i="6"/>
  <c r="I13" i="6" s="1"/>
  <c r="F13" i="6"/>
  <c r="C13" i="6"/>
  <c r="AD12" i="6"/>
  <c r="AC12" i="6"/>
  <c r="AA12" i="6"/>
  <c r="X12" i="6"/>
  <c r="W12" i="6"/>
  <c r="U12" i="6"/>
  <c r="R12" i="6"/>
  <c r="O12" i="6"/>
  <c r="N12" i="6"/>
  <c r="L12" i="6"/>
  <c r="H12" i="6"/>
  <c r="I12" i="6" s="1"/>
  <c r="F12" i="6"/>
  <c r="C12" i="6"/>
  <c r="AC11" i="6"/>
  <c r="AD11" i="6" s="1"/>
  <c r="AA11" i="6"/>
  <c r="X11" i="6"/>
  <c r="W11" i="6"/>
  <c r="U11" i="6"/>
  <c r="R11" i="6"/>
  <c r="O11" i="6"/>
  <c r="N11" i="6"/>
  <c r="L11" i="6"/>
  <c r="I11" i="6"/>
  <c r="H11" i="6"/>
  <c r="F11" i="6"/>
  <c r="C11" i="6"/>
  <c r="AC10" i="6"/>
  <c r="AD10" i="6" s="1"/>
  <c r="AA10" i="6"/>
  <c r="W10" i="6"/>
  <c r="X10" i="6" s="1"/>
  <c r="U10" i="6"/>
  <c r="R10" i="6"/>
  <c r="O10" i="6"/>
  <c r="N10" i="6"/>
  <c r="L10" i="6"/>
  <c r="I10" i="6"/>
  <c r="H10" i="6"/>
  <c r="F10" i="6"/>
  <c r="C10" i="6"/>
  <c r="AD8" i="6"/>
  <c r="AC8" i="6"/>
  <c r="AA8" i="6"/>
  <c r="X8" i="6"/>
  <c r="W8" i="6"/>
  <c r="U8" i="6"/>
  <c r="R8" i="6"/>
  <c r="O8" i="6"/>
  <c r="N8" i="6"/>
  <c r="L8" i="6"/>
  <c r="H8" i="6"/>
  <c r="I8" i="6" s="1"/>
  <c r="F8" i="6"/>
  <c r="C8" i="6"/>
  <c r="AC444" i="5"/>
  <c r="W444" i="5"/>
  <c r="X435" i="5" s="1"/>
  <c r="N444" i="5"/>
  <c r="O440" i="5" s="1"/>
  <c r="H444" i="5"/>
  <c r="I427" i="5" s="1"/>
  <c r="AC442" i="5"/>
  <c r="AD442" i="5" s="1"/>
  <c r="AA442" i="5"/>
  <c r="Z442" i="5"/>
  <c r="T442" i="5"/>
  <c r="U442" i="5" s="1"/>
  <c r="Q442" i="5"/>
  <c r="W442" i="5" s="1"/>
  <c r="X442" i="5" s="1"/>
  <c r="K442" i="5"/>
  <c r="L442" i="5" s="1"/>
  <c r="F442" i="5"/>
  <c r="E442" i="5"/>
  <c r="B442" i="5"/>
  <c r="Z441" i="5"/>
  <c r="AA441" i="5" s="1"/>
  <c r="T441" i="5"/>
  <c r="U441" i="5" s="1"/>
  <c r="Q441" i="5"/>
  <c r="K441" i="5"/>
  <c r="L441" i="5" s="1"/>
  <c r="E441" i="5"/>
  <c r="F441" i="5" s="1"/>
  <c r="C441" i="5"/>
  <c r="B441" i="5"/>
  <c r="N441" i="5" s="1"/>
  <c r="O441" i="5" s="1"/>
  <c r="AC440" i="5"/>
  <c r="AD440" i="5" s="1"/>
  <c r="AA440" i="5"/>
  <c r="X440" i="5"/>
  <c r="W440" i="5"/>
  <c r="U440" i="5"/>
  <c r="R440" i="5"/>
  <c r="N440" i="5"/>
  <c r="L440" i="5"/>
  <c r="H440" i="5"/>
  <c r="I440" i="5" s="1"/>
  <c r="F440" i="5"/>
  <c r="C440" i="5"/>
  <c r="AD439" i="5"/>
  <c r="AC439" i="5"/>
  <c r="AA439" i="5"/>
  <c r="X439" i="5"/>
  <c r="W439" i="5"/>
  <c r="U439" i="5"/>
  <c r="R439" i="5"/>
  <c r="N439" i="5"/>
  <c r="O439" i="5" s="1"/>
  <c r="L439" i="5"/>
  <c r="H439" i="5"/>
  <c r="I439" i="5" s="1"/>
  <c r="F439" i="5"/>
  <c r="C439" i="5"/>
  <c r="AC438" i="5"/>
  <c r="AD438" i="5" s="1"/>
  <c r="AA438" i="5"/>
  <c r="X438" i="5"/>
  <c r="W438" i="5"/>
  <c r="U438" i="5"/>
  <c r="R438" i="5"/>
  <c r="O438" i="5"/>
  <c r="N438" i="5"/>
  <c r="L438" i="5"/>
  <c r="H438" i="5"/>
  <c r="I438" i="5" s="1"/>
  <c r="F438" i="5"/>
  <c r="C438" i="5"/>
  <c r="AC437" i="5"/>
  <c r="AD437" i="5" s="1"/>
  <c r="AA437" i="5"/>
  <c r="W437" i="5"/>
  <c r="X437" i="5" s="1"/>
  <c r="U437" i="5"/>
  <c r="R437" i="5"/>
  <c r="N437" i="5"/>
  <c r="O437" i="5" s="1"/>
  <c r="L437" i="5"/>
  <c r="H437" i="5"/>
  <c r="I437" i="5" s="1"/>
  <c r="F437" i="5"/>
  <c r="C437" i="5"/>
  <c r="AD436" i="5"/>
  <c r="AC436" i="5"/>
  <c r="AA436" i="5"/>
  <c r="X436" i="5"/>
  <c r="W436" i="5"/>
  <c r="U436" i="5"/>
  <c r="R436" i="5"/>
  <c r="N436" i="5"/>
  <c r="O436" i="5" s="1"/>
  <c r="L436" i="5"/>
  <c r="H436" i="5"/>
  <c r="I436" i="5" s="1"/>
  <c r="F436" i="5"/>
  <c r="C436" i="5"/>
  <c r="AC435" i="5"/>
  <c r="AD435" i="5" s="1"/>
  <c r="AA435" i="5"/>
  <c r="W435" i="5"/>
  <c r="U435" i="5"/>
  <c r="R435" i="5"/>
  <c r="O435" i="5"/>
  <c r="N435" i="5"/>
  <c r="L435" i="5"/>
  <c r="I435" i="5"/>
  <c r="H435" i="5"/>
  <c r="F435" i="5"/>
  <c r="C435" i="5"/>
  <c r="AC434" i="5"/>
  <c r="AD434" i="5" s="1"/>
  <c r="AA434" i="5"/>
  <c r="W434" i="5"/>
  <c r="X434" i="5" s="1"/>
  <c r="U434" i="5"/>
  <c r="R434" i="5"/>
  <c r="N434" i="5"/>
  <c r="L434" i="5"/>
  <c r="I434" i="5"/>
  <c r="H434" i="5"/>
  <c r="F434" i="5"/>
  <c r="C434" i="5"/>
  <c r="AD433" i="5"/>
  <c r="AC433" i="5"/>
  <c r="AA433" i="5"/>
  <c r="W433" i="5"/>
  <c r="X433" i="5" s="1"/>
  <c r="U433" i="5"/>
  <c r="R433" i="5"/>
  <c r="O433" i="5"/>
  <c r="N433" i="5"/>
  <c r="L433" i="5"/>
  <c r="H433" i="5"/>
  <c r="I433" i="5" s="1"/>
  <c r="F433" i="5"/>
  <c r="C433" i="5"/>
  <c r="AC432" i="5"/>
  <c r="AD432" i="5" s="1"/>
  <c r="AA432" i="5"/>
  <c r="W432" i="5"/>
  <c r="U432" i="5"/>
  <c r="R432" i="5"/>
  <c r="O432" i="5"/>
  <c r="N432" i="5"/>
  <c r="L432" i="5"/>
  <c r="I432" i="5"/>
  <c r="H432" i="5"/>
  <c r="F432" i="5"/>
  <c r="C432" i="5"/>
  <c r="Z429" i="5"/>
  <c r="AA429" i="5" s="1"/>
  <c r="T429" i="5"/>
  <c r="U429" i="5" s="1"/>
  <c r="Q429" i="5"/>
  <c r="W429" i="5" s="1"/>
  <c r="X429" i="5" s="1"/>
  <c r="K429" i="5"/>
  <c r="L429" i="5" s="1"/>
  <c r="E429" i="5"/>
  <c r="F429" i="5" s="1"/>
  <c r="B429" i="5"/>
  <c r="H429" i="5" s="1"/>
  <c r="I429" i="5" s="1"/>
  <c r="Z428" i="5"/>
  <c r="T428" i="5"/>
  <c r="U428" i="5" s="1"/>
  <c r="R428" i="5"/>
  <c r="Q428" i="5"/>
  <c r="W428" i="5" s="1"/>
  <c r="X428" i="5" s="1"/>
  <c r="N428" i="5"/>
  <c r="O428" i="5" s="1"/>
  <c r="L428" i="5"/>
  <c r="K428" i="5"/>
  <c r="E428" i="5"/>
  <c r="H428" i="5" s="1"/>
  <c r="I428" i="5" s="1"/>
  <c r="B428" i="5"/>
  <c r="C428" i="5" s="1"/>
  <c r="AC427" i="5"/>
  <c r="AD427" i="5" s="1"/>
  <c r="AA427" i="5"/>
  <c r="W427" i="5"/>
  <c r="X427" i="5" s="1"/>
  <c r="U427" i="5"/>
  <c r="R427" i="5"/>
  <c r="N427" i="5"/>
  <c r="O427" i="5" s="1"/>
  <c r="L427" i="5"/>
  <c r="H427" i="5"/>
  <c r="F427" i="5"/>
  <c r="C427" i="5"/>
  <c r="AC426" i="5"/>
  <c r="AD426" i="5" s="1"/>
  <c r="AA426" i="5"/>
  <c r="W426" i="5"/>
  <c r="X426" i="5" s="1"/>
  <c r="U426" i="5"/>
  <c r="R426" i="5"/>
  <c r="O426" i="5"/>
  <c r="N426" i="5"/>
  <c r="L426" i="5"/>
  <c r="H426" i="5"/>
  <c r="I426" i="5" s="1"/>
  <c r="F426" i="5"/>
  <c r="C426" i="5"/>
  <c r="AC425" i="5"/>
  <c r="AD425" i="5" s="1"/>
  <c r="AA425" i="5"/>
  <c r="X425" i="5"/>
  <c r="W425" i="5"/>
  <c r="U425" i="5"/>
  <c r="R425" i="5"/>
  <c r="N425" i="5"/>
  <c r="L425" i="5"/>
  <c r="H425" i="5"/>
  <c r="I425" i="5" s="1"/>
  <c r="F425" i="5"/>
  <c r="C425" i="5"/>
  <c r="AC424" i="5"/>
  <c r="AD424" i="5" s="1"/>
  <c r="AA424" i="5"/>
  <c r="W424" i="5"/>
  <c r="U424" i="5"/>
  <c r="R424" i="5"/>
  <c r="N424" i="5"/>
  <c r="O424" i="5" s="1"/>
  <c r="L424" i="5"/>
  <c r="H424" i="5"/>
  <c r="F424" i="5"/>
  <c r="C424" i="5"/>
  <c r="AD423" i="5"/>
  <c r="AC423" i="5"/>
  <c r="AA423" i="5"/>
  <c r="X423" i="5"/>
  <c r="W423" i="5"/>
  <c r="U423" i="5"/>
  <c r="R423" i="5"/>
  <c r="N423" i="5"/>
  <c r="O423" i="5" s="1"/>
  <c r="L423" i="5"/>
  <c r="H423" i="5"/>
  <c r="I423" i="5" s="1"/>
  <c r="F423" i="5"/>
  <c r="C423" i="5"/>
  <c r="AC422" i="5"/>
  <c r="AD422" i="5" s="1"/>
  <c r="AA422" i="5"/>
  <c r="X422" i="5"/>
  <c r="W422" i="5"/>
  <c r="U422" i="5"/>
  <c r="R422" i="5"/>
  <c r="N422" i="5"/>
  <c r="L422" i="5"/>
  <c r="H422" i="5"/>
  <c r="I422" i="5" s="1"/>
  <c r="F422" i="5"/>
  <c r="C422" i="5"/>
  <c r="AD421" i="5"/>
  <c r="AC421" i="5"/>
  <c r="AA421" i="5"/>
  <c r="W421" i="5"/>
  <c r="X421" i="5" s="1"/>
  <c r="U421" i="5"/>
  <c r="R421" i="5"/>
  <c r="N421" i="5"/>
  <c r="O421" i="5" s="1"/>
  <c r="L421" i="5"/>
  <c r="H421" i="5"/>
  <c r="F421" i="5"/>
  <c r="C421" i="5"/>
  <c r="AD420" i="5"/>
  <c r="AC420" i="5"/>
  <c r="AA420" i="5"/>
  <c r="X420" i="5"/>
  <c r="W420" i="5"/>
  <c r="U420" i="5"/>
  <c r="R420" i="5"/>
  <c r="N420" i="5"/>
  <c r="O420" i="5" s="1"/>
  <c r="L420" i="5"/>
  <c r="H420" i="5"/>
  <c r="I420" i="5" s="1"/>
  <c r="F420" i="5"/>
  <c r="C420" i="5"/>
  <c r="AC419" i="5"/>
  <c r="AD419" i="5" s="1"/>
  <c r="AA419" i="5"/>
  <c r="W419" i="5"/>
  <c r="X419" i="5" s="1"/>
  <c r="U419" i="5"/>
  <c r="R419" i="5"/>
  <c r="N419" i="5"/>
  <c r="O419" i="5" s="1"/>
  <c r="L419" i="5"/>
  <c r="I419" i="5"/>
  <c r="H419" i="5"/>
  <c r="F419" i="5"/>
  <c r="C419" i="5"/>
  <c r="AC418" i="5"/>
  <c r="AD418" i="5" s="1"/>
  <c r="AA418" i="5"/>
  <c r="W418" i="5"/>
  <c r="X418" i="5" s="1"/>
  <c r="U418" i="5"/>
  <c r="R418" i="5"/>
  <c r="N418" i="5"/>
  <c r="O418" i="5" s="1"/>
  <c r="L418" i="5"/>
  <c r="H418" i="5"/>
  <c r="I418" i="5" s="1"/>
  <c r="F418" i="5"/>
  <c r="C418" i="5"/>
  <c r="AC417" i="5"/>
  <c r="AD417" i="5" s="1"/>
  <c r="AA417" i="5"/>
  <c r="W417" i="5"/>
  <c r="U417" i="5"/>
  <c r="R417" i="5"/>
  <c r="O417" i="5"/>
  <c r="N417" i="5"/>
  <c r="L417" i="5"/>
  <c r="I417" i="5"/>
  <c r="H417" i="5"/>
  <c r="F417" i="5"/>
  <c r="C417" i="5"/>
  <c r="AC416" i="5"/>
  <c r="AD416" i="5" s="1"/>
  <c r="AA416" i="5"/>
  <c r="W416" i="5"/>
  <c r="X416" i="5" s="1"/>
  <c r="U416" i="5"/>
  <c r="R416" i="5"/>
  <c r="N416" i="5"/>
  <c r="O416" i="5" s="1"/>
  <c r="L416" i="5"/>
  <c r="H416" i="5"/>
  <c r="I416" i="5" s="1"/>
  <c r="F416" i="5"/>
  <c r="C416" i="5"/>
  <c r="AC415" i="5"/>
  <c r="AD415" i="5" s="1"/>
  <c r="AA415" i="5"/>
  <c r="X415" i="5"/>
  <c r="W415" i="5"/>
  <c r="U415" i="5"/>
  <c r="R415" i="5"/>
  <c r="N415" i="5"/>
  <c r="L415" i="5"/>
  <c r="H415" i="5"/>
  <c r="I415" i="5" s="1"/>
  <c r="F415" i="5"/>
  <c r="C415" i="5"/>
  <c r="AD414" i="5"/>
  <c r="AC414" i="5"/>
  <c r="AA414" i="5"/>
  <c r="W414" i="5"/>
  <c r="X414" i="5" s="1"/>
  <c r="U414" i="5"/>
  <c r="R414" i="5"/>
  <c r="N414" i="5"/>
  <c r="O414" i="5" s="1"/>
  <c r="L414" i="5"/>
  <c r="H414" i="5"/>
  <c r="I414" i="5" s="1"/>
  <c r="F414" i="5"/>
  <c r="C414" i="5"/>
  <c r="AC413" i="5"/>
  <c r="AD413" i="5" s="1"/>
  <c r="AA413" i="5"/>
  <c r="W413" i="5"/>
  <c r="U413" i="5"/>
  <c r="R413" i="5"/>
  <c r="O413" i="5"/>
  <c r="N413" i="5"/>
  <c r="L413" i="5"/>
  <c r="I413" i="5"/>
  <c r="H413" i="5"/>
  <c r="F413" i="5"/>
  <c r="C413" i="5"/>
  <c r="AC412" i="5"/>
  <c r="AD412" i="5" s="1"/>
  <c r="AA412" i="5"/>
  <c r="W412" i="5"/>
  <c r="X412" i="5" s="1"/>
  <c r="U412" i="5"/>
  <c r="R412" i="5"/>
  <c r="N412" i="5"/>
  <c r="O412" i="5" s="1"/>
  <c r="L412" i="5"/>
  <c r="H412" i="5"/>
  <c r="I412" i="5" s="1"/>
  <c r="F412" i="5"/>
  <c r="C412" i="5"/>
  <c r="AC411" i="5"/>
  <c r="AD411" i="5" s="1"/>
  <c r="AA411" i="5"/>
  <c r="X411" i="5"/>
  <c r="W411" i="5"/>
  <c r="U411" i="5"/>
  <c r="R411" i="5"/>
  <c r="N411" i="5"/>
  <c r="L411" i="5"/>
  <c r="H411" i="5"/>
  <c r="I411" i="5" s="1"/>
  <c r="F411" i="5"/>
  <c r="C411" i="5"/>
  <c r="AD410" i="5"/>
  <c r="AC410" i="5"/>
  <c r="AA410" i="5"/>
  <c r="W410" i="5"/>
  <c r="X410" i="5" s="1"/>
  <c r="U410" i="5"/>
  <c r="R410" i="5"/>
  <c r="N410" i="5"/>
  <c r="O410" i="5" s="1"/>
  <c r="L410" i="5"/>
  <c r="H410" i="5"/>
  <c r="I410" i="5" s="1"/>
  <c r="F410" i="5"/>
  <c r="C410" i="5"/>
  <c r="AC409" i="5"/>
  <c r="AD409" i="5" s="1"/>
  <c r="AA409" i="5"/>
  <c r="W409" i="5"/>
  <c r="U409" i="5"/>
  <c r="R409" i="5"/>
  <c r="O409" i="5"/>
  <c r="N409" i="5"/>
  <c r="L409" i="5"/>
  <c r="I409" i="5"/>
  <c r="H409" i="5"/>
  <c r="F409" i="5"/>
  <c r="C409" i="5"/>
  <c r="AC408" i="5"/>
  <c r="AD408" i="5" s="1"/>
  <c r="AA408" i="5"/>
  <c r="W408" i="5"/>
  <c r="X408" i="5" s="1"/>
  <c r="U408" i="5"/>
  <c r="R408" i="5"/>
  <c r="N408" i="5"/>
  <c r="O408" i="5" s="1"/>
  <c r="L408" i="5"/>
  <c r="H408" i="5"/>
  <c r="I408" i="5" s="1"/>
  <c r="F408" i="5"/>
  <c r="C408" i="5"/>
  <c r="AC407" i="5"/>
  <c r="AD407" i="5" s="1"/>
  <c r="AA407" i="5"/>
  <c r="X407" i="5"/>
  <c r="W407" i="5"/>
  <c r="U407" i="5"/>
  <c r="R407" i="5"/>
  <c r="N407" i="5"/>
  <c r="L407" i="5"/>
  <c r="H407" i="5"/>
  <c r="I407" i="5" s="1"/>
  <c r="F407" i="5"/>
  <c r="C407" i="5"/>
  <c r="Z403" i="5"/>
  <c r="AA403" i="5" s="1"/>
  <c r="T403" i="5"/>
  <c r="U403" i="5" s="1"/>
  <c r="Q403" i="5"/>
  <c r="W403" i="5" s="1"/>
  <c r="X403" i="5" s="1"/>
  <c r="L403" i="5"/>
  <c r="K403" i="5"/>
  <c r="E403" i="5"/>
  <c r="F403" i="5" s="1"/>
  <c r="B403" i="5"/>
  <c r="H403" i="5" s="1"/>
  <c r="I403" i="5" s="1"/>
  <c r="AD402" i="5"/>
  <c r="AC402" i="5"/>
  <c r="AA402" i="5"/>
  <c r="X402" i="5"/>
  <c r="W402" i="5"/>
  <c r="U402" i="5"/>
  <c r="R402" i="5"/>
  <c r="N402" i="5"/>
  <c r="O402" i="5" s="1"/>
  <c r="L402" i="5"/>
  <c r="H402" i="5"/>
  <c r="I402" i="5" s="1"/>
  <c r="F402" i="5"/>
  <c r="C402" i="5"/>
  <c r="AC401" i="5"/>
  <c r="AD401" i="5" s="1"/>
  <c r="AA401" i="5"/>
  <c r="W401" i="5"/>
  <c r="U401" i="5"/>
  <c r="R401" i="5"/>
  <c r="O401" i="5"/>
  <c r="N401" i="5"/>
  <c r="L401" i="5"/>
  <c r="I401" i="5"/>
  <c r="H401" i="5"/>
  <c r="F401" i="5"/>
  <c r="C401" i="5"/>
  <c r="AC400" i="5"/>
  <c r="AD400" i="5" s="1"/>
  <c r="AA400" i="5"/>
  <c r="W400" i="5"/>
  <c r="X400" i="5" s="1"/>
  <c r="U400" i="5"/>
  <c r="R400" i="5"/>
  <c r="O400" i="5"/>
  <c r="N400" i="5"/>
  <c r="L400" i="5"/>
  <c r="H400" i="5"/>
  <c r="I400" i="5" s="1"/>
  <c r="F400" i="5"/>
  <c r="C400" i="5"/>
  <c r="AC399" i="5"/>
  <c r="AD399" i="5" s="1"/>
  <c r="AA399" i="5"/>
  <c r="X399" i="5"/>
  <c r="W399" i="5"/>
  <c r="U399" i="5"/>
  <c r="R399" i="5"/>
  <c r="N399" i="5"/>
  <c r="L399" i="5"/>
  <c r="H399" i="5"/>
  <c r="I399" i="5" s="1"/>
  <c r="F399" i="5"/>
  <c r="C399" i="5"/>
  <c r="AD398" i="5"/>
  <c r="AC398" i="5"/>
  <c r="AA398" i="5"/>
  <c r="X398" i="5"/>
  <c r="W398" i="5"/>
  <c r="U398" i="5"/>
  <c r="R398" i="5"/>
  <c r="N398" i="5"/>
  <c r="O398" i="5" s="1"/>
  <c r="L398" i="5"/>
  <c r="H398" i="5"/>
  <c r="I398" i="5" s="1"/>
  <c r="F398" i="5"/>
  <c r="C398" i="5"/>
  <c r="AC397" i="5"/>
  <c r="AD397" i="5" s="1"/>
  <c r="AA397" i="5"/>
  <c r="W397" i="5"/>
  <c r="U397" i="5"/>
  <c r="R397" i="5"/>
  <c r="O397" i="5"/>
  <c r="N397" i="5"/>
  <c r="L397" i="5"/>
  <c r="I397" i="5"/>
  <c r="H397" i="5"/>
  <c r="F397" i="5"/>
  <c r="C397" i="5"/>
  <c r="Z396" i="5"/>
  <c r="AA396" i="5" s="1"/>
  <c r="T396" i="5"/>
  <c r="U396" i="5" s="1"/>
  <c r="Q396" i="5"/>
  <c r="W396" i="5" s="1"/>
  <c r="X396" i="5" s="1"/>
  <c r="L396" i="5"/>
  <c r="K396" i="5"/>
  <c r="E396" i="5"/>
  <c r="F396" i="5" s="1"/>
  <c r="B396" i="5"/>
  <c r="H396" i="5" s="1"/>
  <c r="I396" i="5" s="1"/>
  <c r="AD395" i="5"/>
  <c r="AC395" i="5"/>
  <c r="AA395" i="5"/>
  <c r="X395" i="5"/>
  <c r="W395" i="5"/>
  <c r="U395" i="5"/>
  <c r="R395" i="5"/>
  <c r="N395" i="5"/>
  <c r="O395" i="5" s="1"/>
  <c r="L395" i="5"/>
  <c r="H395" i="5"/>
  <c r="I395" i="5" s="1"/>
  <c r="F395" i="5"/>
  <c r="C395" i="5"/>
  <c r="AC394" i="5"/>
  <c r="AD394" i="5" s="1"/>
  <c r="AA394" i="5"/>
  <c r="W394" i="5"/>
  <c r="U394" i="5"/>
  <c r="R394" i="5"/>
  <c r="O394" i="5"/>
  <c r="N394" i="5"/>
  <c r="L394" i="5"/>
  <c r="I394" i="5"/>
  <c r="H394" i="5"/>
  <c r="F394" i="5"/>
  <c r="C394" i="5"/>
  <c r="Z393" i="5"/>
  <c r="AA393" i="5" s="1"/>
  <c r="T393" i="5"/>
  <c r="U393" i="5" s="1"/>
  <c r="Q393" i="5"/>
  <c r="W393" i="5" s="1"/>
  <c r="X393" i="5" s="1"/>
  <c r="L393" i="5"/>
  <c r="K393" i="5"/>
  <c r="E393" i="5"/>
  <c r="F393" i="5" s="1"/>
  <c r="B393" i="5"/>
  <c r="H393" i="5" s="1"/>
  <c r="I393" i="5" s="1"/>
  <c r="AD392" i="5"/>
  <c r="AC392" i="5"/>
  <c r="AA392" i="5"/>
  <c r="X392" i="5"/>
  <c r="W392" i="5"/>
  <c r="U392" i="5"/>
  <c r="R392" i="5"/>
  <c r="N392" i="5"/>
  <c r="O392" i="5" s="1"/>
  <c r="L392" i="5"/>
  <c r="H392" i="5"/>
  <c r="I392" i="5" s="1"/>
  <c r="F392" i="5"/>
  <c r="C392" i="5"/>
  <c r="AC391" i="5"/>
  <c r="AD391" i="5" s="1"/>
  <c r="AA391" i="5"/>
  <c r="W391" i="5"/>
  <c r="U391" i="5"/>
  <c r="R391" i="5"/>
  <c r="O391" i="5"/>
  <c r="N391" i="5"/>
  <c r="L391" i="5"/>
  <c r="I391" i="5"/>
  <c r="H391" i="5"/>
  <c r="F391" i="5"/>
  <c r="C391" i="5"/>
  <c r="AC390" i="5"/>
  <c r="AD390" i="5" s="1"/>
  <c r="AA390" i="5"/>
  <c r="W390" i="5"/>
  <c r="X390" i="5" s="1"/>
  <c r="U390" i="5"/>
  <c r="R390" i="5"/>
  <c r="O390" i="5"/>
  <c r="N390" i="5"/>
  <c r="L390" i="5"/>
  <c r="H390" i="5"/>
  <c r="I390" i="5" s="1"/>
  <c r="F390" i="5"/>
  <c r="C390" i="5"/>
  <c r="AC389" i="5"/>
  <c r="AD389" i="5" s="1"/>
  <c r="AA389" i="5"/>
  <c r="X389" i="5"/>
  <c r="W389" i="5"/>
  <c r="U389" i="5"/>
  <c r="R389" i="5"/>
  <c r="N389" i="5"/>
  <c r="L389" i="5"/>
  <c r="H389" i="5"/>
  <c r="I389" i="5" s="1"/>
  <c r="F389" i="5"/>
  <c r="C389" i="5"/>
  <c r="AD388" i="5"/>
  <c r="AC388" i="5"/>
  <c r="AA388" i="5"/>
  <c r="X388" i="5"/>
  <c r="W388" i="5"/>
  <c r="U388" i="5"/>
  <c r="R388" i="5"/>
  <c r="N388" i="5"/>
  <c r="O388" i="5" s="1"/>
  <c r="L388" i="5"/>
  <c r="H388" i="5"/>
  <c r="I388" i="5" s="1"/>
  <c r="F388" i="5"/>
  <c r="C388" i="5"/>
  <c r="AC386" i="5"/>
  <c r="AD386" i="5" s="1"/>
  <c r="AA386" i="5"/>
  <c r="W386" i="5"/>
  <c r="U386" i="5"/>
  <c r="R386" i="5"/>
  <c r="O386" i="5"/>
  <c r="N386" i="5"/>
  <c r="L386" i="5"/>
  <c r="I386" i="5"/>
  <c r="H386" i="5"/>
  <c r="F386" i="5"/>
  <c r="C386" i="5"/>
  <c r="AC385" i="5"/>
  <c r="AD385" i="5" s="1"/>
  <c r="AA385" i="5"/>
  <c r="W385" i="5"/>
  <c r="X385" i="5" s="1"/>
  <c r="U385" i="5"/>
  <c r="R385" i="5"/>
  <c r="O385" i="5"/>
  <c r="N385" i="5"/>
  <c r="L385" i="5"/>
  <c r="H385" i="5"/>
  <c r="I385" i="5" s="1"/>
  <c r="F385" i="5"/>
  <c r="C385" i="5"/>
  <c r="AC383" i="5"/>
  <c r="AD383" i="5" s="1"/>
  <c r="AA383" i="5"/>
  <c r="X383" i="5"/>
  <c r="W383" i="5"/>
  <c r="U383" i="5"/>
  <c r="R383" i="5"/>
  <c r="N383" i="5"/>
  <c r="L383" i="5"/>
  <c r="H383" i="5"/>
  <c r="I383" i="5" s="1"/>
  <c r="F383" i="5"/>
  <c r="C383" i="5"/>
  <c r="AD382" i="5"/>
  <c r="AC382" i="5"/>
  <c r="AA382" i="5"/>
  <c r="X382" i="5"/>
  <c r="W382" i="5"/>
  <c r="U382" i="5"/>
  <c r="R382" i="5"/>
  <c r="N382" i="5"/>
  <c r="O382" i="5" s="1"/>
  <c r="L382" i="5"/>
  <c r="H382" i="5"/>
  <c r="I382" i="5" s="1"/>
  <c r="F382" i="5"/>
  <c r="C382" i="5"/>
  <c r="AC381" i="5"/>
  <c r="AD381" i="5" s="1"/>
  <c r="AA381" i="5"/>
  <c r="W381" i="5"/>
  <c r="U381" i="5"/>
  <c r="R381" i="5"/>
  <c r="O381" i="5"/>
  <c r="N381" i="5"/>
  <c r="L381" i="5"/>
  <c r="I381" i="5"/>
  <c r="H381" i="5"/>
  <c r="F381" i="5"/>
  <c r="C381" i="5"/>
  <c r="AC380" i="5"/>
  <c r="AD380" i="5" s="1"/>
  <c r="AA380" i="5"/>
  <c r="W380" i="5"/>
  <c r="X380" i="5" s="1"/>
  <c r="U380" i="5"/>
  <c r="R380" i="5"/>
  <c r="O380" i="5"/>
  <c r="N380" i="5"/>
  <c r="L380" i="5"/>
  <c r="H380" i="5"/>
  <c r="I380" i="5" s="1"/>
  <c r="F380" i="5"/>
  <c r="C380" i="5"/>
  <c r="AC379" i="5"/>
  <c r="AD379" i="5" s="1"/>
  <c r="AA379" i="5"/>
  <c r="X379" i="5"/>
  <c r="W379" i="5"/>
  <c r="U379" i="5"/>
  <c r="R379" i="5"/>
  <c r="N379" i="5"/>
  <c r="L379" i="5"/>
  <c r="H379" i="5"/>
  <c r="I379" i="5" s="1"/>
  <c r="F379" i="5"/>
  <c r="C379" i="5"/>
  <c r="AD378" i="5"/>
  <c r="AC378" i="5"/>
  <c r="AA378" i="5"/>
  <c r="X378" i="5"/>
  <c r="W378" i="5"/>
  <c r="U378" i="5"/>
  <c r="R378" i="5"/>
  <c r="N378" i="5"/>
  <c r="O378" i="5" s="1"/>
  <c r="L378" i="5"/>
  <c r="H378" i="5"/>
  <c r="I378" i="5" s="1"/>
  <c r="F378" i="5"/>
  <c r="C378" i="5"/>
  <c r="AC377" i="5"/>
  <c r="AD377" i="5" s="1"/>
  <c r="AA377" i="5"/>
  <c r="W377" i="5"/>
  <c r="U377" i="5"/>
  <c r="R377" i="5"/>
  <c r="O377" i="5"/>
  <c r="N377" i="5"/>
  <c r="L377" i="5"/>
  <c r="I377" i="5"/>
  <c r="H377" i="5"/>
  <c r="F377" i="5"/>
  <c r="C377" i="5"/>
  <c r="AC376" i="5"/>
  <c r="AD376" i="5" s="1"/>
  <c r="AA376" i="5"/>
  <c r="W376" i="5"/>
  <c r="X376" i="5" s="1"/>
  <c r="U376" i="5"/>
  <c r="R376" i="5"/>
  <c r="O376" i="5"/>
  <c r="N376" i="5"/>
  <c r="L376" i="5"/>
  <c r="H376" i="5"/>
  <c r="I376" i="5" s="1"/>
  <c r="F376" i="5"/>
  <c r="C376" i="5"/>
  <c r="AC375" i="5"/>
  <c r="AD375" i="5" s="1"/>
  <c r="AA375" i="5"/>
  <c r="X375" i="5"/>
  <c r="W375" i="5"/>
  <c r="U375" i="5"/>
  <c r="R375" i="5"/>
  <c r="N375" i="5"/>
  <c r="L375" i="5"/>
  <c r="H375" i="5"/>
  <c r="I375" i="5" s="1"/>
  <c r="F375" i="5"/>
  <c r="C375" i="5"/>
  <c r="AD374" i="5"/>
  <c r="AC374" i="5"/>
  <c r="AA374" i="5"/>
  <c r="X374" i="5"/>
  <c r="W374" i="5"/>
  <c r="U374" i="5"/>
  <c r="R374" i="5"/>
  <c r="N374" i="5"/>
  <c r="O374" i="5" s="1"/>
  <c r="L374" i="5"/>
  <c r="H374" i="5"/>
  <c r="I374" i="5" s="1"/>
  <c r="F374" i="5"/>
  <c r="C374" i="5"/>
  <c r="AC373" i="5"/>
  <c r="AD373" i="5" s="1"/>
  <c r="AA373" i="5"/>
  <c r="W373" i="5"/>
  <c r="U373" i="5"/>
  <c r="R373" i="5"/>
  <c r="O373" i="5"/>
  <c r="N373" i="5"/>
  <c r="L373" i="5"/>
  <c r="I373" i="5"/>
  <c r="H373" i="5"/>
  <c r="F373" i="5"/>
  <c r="C373" i="5"/>
  <c r="AC372" i="5"/>
  <c r="AD372" i="5" s="1"/>
  <c r="AA372" i="5"/>
  <c r="W372" i="5"/>
  <c r="X372" i="5" s="1"/>
  <c r="U372" i="5"/>
  <c r="R372" i="5"/>
  <c r="O372" i="5"/>
  <c r="N372" i="5"/>
  <c r="L372" i="5"/>
  <c r="H372" i="5"/>
  <c r="I372" i="5" s="1"/>
  <c r="F372" i="5"/>
  <c r="C372" i="5"/>
  <c r="AC371" i="5"/>
  <c r="AD371" i="5" s="1"/>
  <c r="AA371" i="5"/>
  <c r="X371" i="5"/>
  <c r="W371" i="5"/>
  <c r="U371" i="5"/>
  <c r="R371" i="5"/>
  <c r="N371" i="5"/>
  <c r="L371" i="5"/>
  <c r="H371" i="5"/>
  <c r="I371" i="5" s="1"/>
  <c r="F371" i="5"/>
  <c r="C371" i="5"/>
  <c r="AD370" i="5"/>
  <c r="AC370" i="5"/>
  <c r="AA370" i="5"/>
  <c r="X370" i="5"/>
  <c r="W370" i="5"/>
  <c r="U370" i="5"/>
  <c r="R370" i="5"/>
  <c r="N370" i="5"/>
  <c r="O370" i="5" s="1"/>
  <c r="L370" i="5"/>
  <c r="H370" i="5"/>
  <c r="I370" i="5" s="1"/>
  <c r="F370" i="5"/>
  <c r="C370" i="5"/>
  <c r="AC369" i="5"/>
  <c r="AD369" i="5" s="1"/>
  <c r="AA369" i="5"/>
  <c r="W369" i="5"/>
  <c r="U369" i="5"/>
  <c r="R369" i="5"/>
  <c r="O369" i="5"/>
  <c r="N369" i="5"/>
  <c r="L369" i="5"/>
  <c r="I369" i="5"/>
  <c r="H369" i="5"/>
  <c r="F369" i="5"/>
  <c r="C369" i="5"/>
  <c r="Z368" i="5"/>
  <c r="AA368" i="5" s="1"/>
  <c r="T368" i="5"/>
  <c r="U368" i="5" s="1"/>
  <c r="Q368" i="5"/>
  <c r="L368" i="5"/>
  <c r="K368" i="5"/>
  <c r="F368" i="5"/>
  <c r="E368" i="5"/>
  <c r="B368" i="5"/>
  <c r="C368" i="5" s="1"/>
  <c r="AD367" i="5"/>
  <c r="AC367" i="5"/>
  <c r="AA367" i="5"/>
  <c r="X367" i="5"/>
  <c r="W367" i="5"/>
  <c r="U367" i="5"/>
  <c r="R367" i="5"/>
  <c r="O367" i="5"/>
  <c r="N367" i="5"/>
  <c r="L367" i="5"/>
  <c r="H367" i="5"/>
  <c r="I367" i="5" s="1"/>
  <c r="F367" i="5"/>
  <c r="C367" i="5"/>
  <c r="AC366" i="5"/>
  <c r="AD366" i="5" s="1"/>
  <c r="AA366" i="5"/>
  <c r="W366" i="5"/>
  <c r="U366" i="5"/>
  <c r="R366" i="5"/>
  <c r="O366" i="5"/>
  <c r="N366" i="5"/>
  <c r="L366" i="5"/>
  <c r="I366" i="5"/>
  <c r="H366" i="5"/>
  <c r="F366" i="5"/>
  <c r="C366" i="5"/>
  <c r="AD365" i="5"/>
  <c r="AC365" i="5"/>
  <c r="AA365" i="5"/>
  <c r="W365" i="5"/>
  <c r="X365" i="5" s="1"/>
  <c r="U365" i="5"/>
  <c r="R365" i="5"/>
  <c r="N365" i="5"/>
  <c r="O365" i="5" s="1"/>
  <c r="L365" i="5"/>
  <c r="H365" i="5"/>
  <c r="I365" i="5" s="1"/>
  <c r="F365" i="5"/>
  <c r="C365" i="5"/>
  <c r="AC364" i="5"/>
  <c r="AD364" i="5" s="1"/>
  <c r="AA364" i="5"/>
  <c r="X364" i="5"/>
  <c r="W364" i="5"/>
  <c r="U364" i="5"/>
  <c r="R364" i="5"/>
  <c r="N364" i="5"/>
  <c r="L364" i="5"/>
  <c r="H364" i="5"/>
  <c r="I364" i="5" s="1"/>
  <c r="F364" i="5"/>
  <c r="C364" i="5"/>
  <c r="AD363" i="5"/>
  <c r="AC363" i="5"/>
  <c r="AA363" i="5"/>
  <c r="X363" i="5"/>
  <c r="W363" i="5"/>
  <c r="U363" i="5"/>
  <c r="R363" i="5"/>
  <c r="O363" i="5"/>
  <c r="N363" i="5"/>
  <c r="L363" i="5"/>
  <c r="H363" i="5"/>
  <c r="I363" i="5" s="1"/>
  <c r="F363" i="5"/>
  <c r="C363" i="5"/>
  <c r="AC362" i="5"/>
  <c r="AD362" i="5" s="1"/>
  <c r="AA362" i="5"/>
  <c r="W362" i="5"/>
  <c r="U362" i="5"/>
  <c r="R362" i="5"/>
  <c r="O362" i="5"/>
  <c r="N362" i="5"/>
  <c r="L362" i="5"/>
  <c r="I362" i="5"/>
  <c r="H362" i="5"/>
  <c r="F362" i="5"/>
  <c r="C362" i="5"/>
  <c r="AD361" i="5"/>
  <c r="AC361" i="5"/>
  <c r="AA361" i="5"/>
  <c r="W361" i="5"/>
  <c r="X361" i="5" s="1"/>
  <c r="U361" i="5"/>
  <c r="R361" i="5"/>
  <c r="N361" i="5"/>
  <c r="O361" i="5" s="1"/>
  <c r="L361" i="5"/>
  <c r="H361" i="5"/>
  <c r="I361" i="5" s="1"/>
  <c r="F361" i="5"/>
  <c r="C361" i="5"/>
  <c r="AC360" i="5"/>
  <c r="AD360" i="5" s="1"/>
  <c r="AA360" i="5"/>
  <c r="X360" i="5"/>
  <c r="W360" i="5"/>
  <c r="U360" i="5"/>
  <c r="R360" i="5"/>
  <c r="N360" i="5"/>
  <c r="L360" i="5"/>
  <c r="H360" i="5"/>
  <c r="I360" i="5" s="1"/>
  <c r="F360" i="5"/>
  <c r="C360" i="5"/>
  <c r="Z358" i="5"/>
  <c r="AA358" i="5" s="1"/>
  <c r="W358" i="5"/>
  <c r="X358" i="5" s="1"/>
  <c r="T358" i="5"/>
  <c r="U358" i="5" s="1"/>
  <c r="R358" i="5"/>
  <c r="Q358" i="5"/>
  <c r="AC358" i="5" s="1"/>
  <c r="AD358" i="5" s="1"/>
  <c r="N358" i="5"/>
  <c r="O358" i="5" s="1"/>
  <c r="K358" i="5"/>
  <c r="L358" i="5" s="1"/>
  <c r="F358" i="5"/>
  <c r="E358" i="5"/>
  <c r="B358" i="5"/>
  <c r="C358" i="5" s="1"/>
  <c r="AC357" i="5"/>
  <c r="AD357" i="5" s="1"/>
  <c r="AA357" i="5"/>
  <c r="X357" i="5"/>
  <c r="W357" i="5"/>
  <c r="U357" i="5"/>
  <c r="R357" i="5"/>
  <c r="O357" i="5"/>
  <c r="N357" i="5"/>
  <c r="L357" i="5"/>
  <c r="H357" i="5"/>
  <c r="I357" i="5" s="1"/>
  <c r="F357" i="5"/>
  <c r="C357" i="5"/>
  <c r="AC356" i="5"/>
  <c r="AD356" i="5" s="1"/>
  <c r="AA356" i="5"/>
  <c r="X356" i="5"/>
  <c r="W356" i="5"/>
  <c r="U356" i="5"/>
  <c r="R356" i="5"/>
  <c r="N356" i="5"/>
  <c r="L356" i="5"/>
  <c r="I356" i="5"/>
  <c r="H356" i="5"/>
  <c r="F356" i="5"/>
  <c r="C356" i="5"/>
  <c r="AD355" i="5"/>
  <c r="AC355" i="5"/>
  <c r="AA355" i="5"/>
  <c r="W355" i="5"/>
  <c r="X355" i="5" s="1"/>
  <c r="U355" i="5"/>
  <c r="R355" i="5"/>
  <c r="N355" i="5"/>
  <c r="O355" i="5" s="1"/>
  <c r="L355" i="5"/>
  <c r="H355" i="5"/>
  <c r="I355" i="5" s="1"/>
  <c r="F355" i="5"/>
  <c r="C355" i="5"/>
  <c r="AC354" i="5"/>
  <c r="AD354" i="5" s="1"/>
  <c r="AA354" i="5"/>
  <c r="W354" i="5"/>
  <c r="U354" i="5"/>
  <c r="R354" i="5"/>
  <c r="O354" i="5"/>
  <c r="N354" i="5"/>
  <c r="L354" i="5"/>
  <c r="I354" i="5"/>
  <c r="H354" i="5"/>
  <c r="F354" i="5"/>
  <c r="C354" i="5"/>
  <c r="AC353" i="5"/>
  <c r="AD353" i="5" s="1"/>
  <c r="AA353" i="5"/>
  <c r="X353" i="5"/>
  <c r="W353" i="5"/>
  <c r="U353" i="5"/>
  <c r="R353" i="5"/>
  <c r="O353" i="5"/>
  <c r="N353" i="5"/>
  <c r="L353" i="5"/>
  <c r="H353" i="5"/>
  <c r="I353" i="5" s="1"/>
  <c r="F353" i="5"/>
  <c r="C353" i="5"/>
  <c r="AC352" i="5"/>
  <c r="AD352" i="5" s="1"/>
  <c r="AA352" i="5"/>
  <c r="X352" i="5"/>
  <c r="W352" i="5"/>
  <c r="U352" i="5"/>
  <c r="R352" i="5"/>
  <c r="N352" i="5"/>
  <c r="L352" i="5"/>
  <c r="I352" i="5"/>
  <c r="H352" i="5"/>
  <c r="F352" i="5"/>
  <c r="C352" i="5"/>
  <c r="AD351" i="5"/>
  <c r="AC351" i="5"/>
  <c r="AA351" i="5"/>
  <c r="X351" i="5"/>
  <c r="W351" i="5"/>
  <c r="U351" i="5"/>
  <c r="R351" i="5"/>
  <c r="N351" i="5"/>
  <c r="O351" i="5" s="1"/>
  <c r="L351" i="5"/>
  <c r="H351" i="5"/>
  <c r="I351" i="5" s="1"/>
  <c r="F351" i="5"/>
  <c r="C351" i="5"/>
  <c r="AC350" i="5"/>
  <c r="AD350" i="5" s="1"/>
  <c r="AA350" i="5"/>
  <c r="W350" i="5"/>
  <c r="U350" i="5"/>
  <c r="R350" i="5"/>
  <c r="O350" i="5"/>
  <c r="N350" i="5"/>
  <c r="L350" i="5"/>
  <c r="I350" i="5"/>
  <c r="H350" i="5"/>
  <c r="F350" i="5"/>
  <c r="C350" i="5"/>
  <c r="AC349" i="5"/>
  <c r="AD349" i="5" s="1"/>
  <c r="AA349" i="5"/>
  <c r="X349" i="5"/>
  <c r="W349" i="5"/>
  <c r="U349" i="5"/>
  <c r="R349" i="5"/>
  <c r="O349" i="5"/>
  <c r="N349" i="5"/>
  <c r="L349" i="5"/>
  <c r="H349" i="5"/>
  <c r="I349" i="5" s="1"/>
  <c r="F349" i="5"/>
  <c r="C349" i="5"/>
  <c r="AC347" i="5"/>
  <c r="AD347" i="5" s="1"/>
  <c r="AA347" i="5"/>
  <c r="X347" i="5"/>
  <c r="W347" i="5"/>
  <c r="U347" i="5"/>
  <c r="R347" i="5"/>
  <c r="N347" i="5"/>
  <c r="L347" i="5"/>
  <c r="I347" i="5"/>
  <c r="H347" i="5"/>
  <c r="F347" i="5"/>
  <c r="C347" i="5"/>
  <c r="Z344" i="5"/>
  <c r="AA344" i="5" s="1"/>
  <c r="T344" i="5"/>
  <c r="U344" i="5" s="1"/>
  <c r="Q344" i="5"/>
  <c r="L344" i="5"/>
  <c r="K344" i="5"/>
  <c r="E344" i="5"/>
  <c r="F344" i="5" s="1"/>
  <c r="B344" i="5"/>
  <c r="C344" i="5" s="1"/>
  <c r="Z343" i="5"/>
  <c r="AA343" i="5" s="1"/>
  <c r="T343" i="5"/>
  <c r="U343" i="5" s="1"/>
  <c r="R343" i="5"/>
  <c r="Q343" i="5"/>
  <c r="AC343" i="5" s="1"/>
  <c r="AD343" i="5" s="1"/>
  <c r="K343" i="5"/>
  <c r="N343" i="5" s="1"/>
  <c r="O343" i="5" s="1"/>
  <c r="H343" i="5"/>
  <c r="I343" i="5" s="1"/>
  <c r="F343" i="5"/>
  <c r="E343" i="5"/>
  <c r="B343" i="5"/>
  <c r="C343" i="5" s="1"/>
  <c r="Z342" i="5"/>
  <c r="AA342" i="5" s="1"/>
  <c r="T342" i="5"/>
  <c r="U342" i="5" s="1"/>
  <c r="Q342" i="5"/>
  <c r="N342" i="5"/>
  <c r="O342" i="5" s="1"/>
  <c r="L342" i="5"/>
  <c r="K342" i="5"/>
  <c r="E342" i="5"/>
  <c r="B342" i="5"/>
  <c r="C342" i="5" s="1"/>
  <c r="AD341" i="5"/>
  <c r="AC341" i="5"/>
  <c r="AA341" i="5"/>
  <c r="W341" i="5"/>
  <c r="X341" i="5" s="1"/>
  <c r="U341" i="5"/>
  <c r="R341" i="5"/>
  <c r="N341" i="5"/>
  <c r="O341" i="5" s="1"/>
  <c r="L341" i="5"/>
  <c r="H341" i="5"/>
  <c r="I341" i="5" s="1"/>
  <c r="F341" i="5"/>
  <c r="C341" i="5"/>
  <c r="AC340" i="5"/>
  <c r="AD340" i="5" s="1"/>
  <c r="AA340" i="5"/>
  <c r="W340" i="5"/>
  <c r="U340" i="5"/>
  <c r="R340" i="5"/>
  <c r="O340" i="5"/>
  <c r="N340" i="5"/>
  <c r="L340" i="5"/>
  <c r="I340" i="5"/>
  <c r="H340" i="5"/>
  <c r="F340" i="5"/>
  <c r="C340" i="5"/>
  <c r="AC339" i="5"/>
  <c r="AD339" i="5" s="1"/>
  <c r="AA339" i="5"/>
  <c r="W339" i="5"/>
  <c r="X339" i="5" s="1"/>
  <c r="U339" i="5"/>
  <c r="R339" i="5"/>
  <c r="O339" i="5"/>
  <c r="N339" i="5"/>
  <c r="L339" i="5"/>
  <c r="H339" i="5"/>
  <c r="I339" i="5" s="1"/>
  <c r="F339" i="5"/>
  <c r="C339" i="5"/>
  <c r="AC338" i="5"/>
  <c r="AD338" i="5" s="1"/>
  <c r="AA338" i="5"/>
  <c r="X338" i="5"/>
  <c r="W338" i="5"/>
  <c r="U338" i="5"/>
  <c r="R338" i="5"/>
  <c r="N338" i="5"/>
  <c r="L338" i="5"/>
  <c r="I338" i="5"/>
  <c r="H338" i="5"/>
  <c r="F338" i="5"/>
  <c r="C338" i="5"/>
  <c r="AD337" i="5"/>
  <c r="AC337" i="5"/>
  <c r="AA337" i="5"/>
  <c r="W337" i="5"/>
  <c r="X337" i="5" s="1"/>
  <c r="U337" i="5"/>
  <c r="R337" i="5"/>
  <c r="N337" i="5"/>
  <c r="O337" i="5" s="1"/>
  <c r="L337" i="5"/>
  <c r="H337" i="5"/>
  <c r="I337" i="5" s="1"/>
  <c r="F337" i="5"/>
  <c r="C337" i="5"/>
  <c r="AC335" i="5"/>
  <c r="AD335" i="5" s="1"/>
  <c r="AA335" i="5"/>
  <c r="W335" i="5"/>
  <c r="U335" i="5"/>
  <c r="R335" i="5"/>
  <c r="O335" i="5"/>
  <c r="N335" i="5"/>
  <c r="L335" i="5"/>
  <c r="I335" i="5"/>
  <c r="H335" i="5"/>
  <c r="F335" i="5"/>
  <c r="C335" i="5"/>
  <c r="AC334" i="5"/>
  <c r="AD334" i="5" s="1"/>
  <c r="AA334" i="5"/>
  <c r="X334" i="5"/>
  <c r="W334" i="5"/>
  <c r="U334" i="5"/>
  <c r="R334" i="5"/>
  <c r="O334" i="5"/>
  <c r="N334" i="5"/>
  <c r="L334" i="5"/>
  <c r="H334" i="5"/>
  <c r="I334" i="5" s="1"/>
  <c r="F334" i="5"/>
  <c r="C334" i="5"/>
  <c r="AC333" i="5"/>
  <c r="AD333" i="5" s="1"/>
  <c r="AA333" i="5"/>
  <c r="X333" i="5"/>
  <c r="W333" i="5"/>
  <c r="U333" i="5"/>
  <c r="R333" i="5"/>
  <c r="N333" i="5"/>
  <c r="L333" i="5"/>
  <c r="I333" i="5"/>
  <c r="H333" i="5"/>
  <c r="F333" i="5"/>
  <c r="C333" i="5"/>
  <c r="AD332" i="5"/>
  <c r="AC332" i="5"/>
  <c r="AA332" i="5"/>
  <c r="W332" i="5"/>
  <c r="X332" i="5" s="1"/>
  <c r="U332" i="5"/>
  <c r="R332" i="5"/>
  <c r="N332" i="5"/>
  <c r="O332" i="5" s="1"/>
  <c r="L332" i="5"/>
  <c r="H332" i="5"/>
  <c r="I332" i="5" s="1"/>
  <c r="F332" i="5"/>
  <c r="C332" i="5"/>
  <c r="AC331" i="5"/>
  <c r="AD331" i="5" s="1"/>
  <c r="AA331" i="5"/>
  <c r="W331" i="5"/>
  <c r="U331" i="5"/>
  <c r="R331" i="5"/>
  <c r="O331" i="5"/>
  <c r="N331" i="5"/>
  <c r="L331" i="5"/>
  <c r="I331" i="5"/>
  <c r="H331" i="5"/>
  <c r="F331" i="5"/>
  <c r="C331" i="5"/>
  <c r="AC330" i="5"/>
  <c r="AD330" i="5" s="1"/>
  <c r="AA330" i="5"/>
  <c r="W330" i="5"/>
  <c r="X330" i="5" s="1"/>
  <c r="U330" i="5"/>
  <c r="R330" i="5"/>
  <c r="N330" i="5"/>
  <c r="O330" i="5" s="1"/>
  <c r="L330" i="5"/>
  <c r="H330" i="5"/>
  <c r="I330" i="5" s="1"/>
  <c r="F330" i="5"/>
  <c r="C330" i="5"/>
  <c r="AC329" i="5"/>
  <c r="AD329" i="5" s="1"/>
  <c r="AA329" i="5"/>
  <c r="X329" i="5"/>
  <c r="W329" i="5"/>
  <c r="U329" i="5"/>
  <c r="R329" i="5"/>
  <c r="N329" i="5"/>
  <c r="L329" i="5"/>
  <c r="I329" i="5"/>
  <c r="H329" i="5"/>
  <c r="F329" i="5"/>
  <c r="C329" i="5"/>
  <c r="AD328" i="5"/>
  <c r="AC328" i="5"/>
  <c r="AA328" i="5"/>
  <c r="W328" i="5"/>
  <c r="X328" i="5" s="1"/>
  <c r="U328" i="5"/>
  <c r="R328" i="5"/>
  <c r="N328" i="5"/>
  <c r="O328" i="5" s="1"/>
  <c r="L328" i="5"/>
  <c r="H328" i="5"/>
  <c r="I328" i="5" s="1"/>
  <c r="F328" i="5"/>
  <c r="C328" i="5"/>
  <c r="AC325" i="5"/>
  <c r="AD325" i="5" s="1"/>
  <c r="AA325" i="5"/>
  <c r="Z325" i="5"/>
  <c r="W325" i="5"/>
  <c r="X325" i="5" s="1"/>
  <c r="T325" i="5"/>
  <c r="U325" i="5" s="1"/>
  <c r="Q325" i="5"/>
  <c r="R325" i="5" s="1"/>
  <c r="K325" i="5"/>
  <c r="L325" i="5" s="1"/>
  <c r="E325" i="5"/>
  <c r="C325" i="5"/>
  <c r="B325" i="5"/>
  <c r="Z324" i="5"/>
  <c r="AC324" i="5" s="1"/>
  <c r="AD324" i="5" s="1"/>
  <c r="W324" i="5"/>
  <c r="X324" i="5" s="1"/>
  <c r="U324" i="5"/>
  <c r="T324" i="5"/>
  <c r="Q324" i="5"/>
  <c r="R324" i="5" s="1"/>
  <c r="K324" i="5"/>
  <c r="L324" i="5" s="1"/>
  <c r="E324" i="5"/>
  <c r="F324" i="5" s="1"/>
  <c r="B324" i="5"/>
  <c r="AC323" i="5"/>
  <c r="AD323" i="5" s="1"/>
  <c r="AA323" i="5"/>
  <c r="W323" i="5"/>
  <c r="U323" i="5"/>
  <c r="R323" i="5"/>
  <c r="O323" i="5"/>
  <c r="N323" i="5"/>
  <c r="L323" i="5"/>
  <c r="I323" i="5"/>
  <c r="H323" i="5"/>
  <c r="F323" i="5"/>
  <c r="C323" i="5"/>
  <c r="AD322" i="5"/>
  <c r="AC322" i="5"/>
  <c r="AA322" i="5"/>
  <c r="X322" i="5"/>
  <c r="W322" i="5"/>
  <c r="U322" i="5"/>
  <c r="R322" i="5"/>
  <c r="N322" i="5"/>
  <c r="O322" i="5" s="1"/>
  <c r="L322" i="5"/>
  <c r="H322" i="5"/>
  <c r="I322" i="5" s="1"/>
  <c r="F322" i="5"/>
  <c r="C322" i="5"/>
  <c r="AC321" i="5"/>
  <c r="AD321" i="5" s="1"/>
  <c r="AA321" i="5"/>
  <c r="X321" i="5"/>
  <c r="W321" i="5"/>
  <c r="U321" i="5"/>
  <c r="R321" i="5"/>
  <c r="N321" i="5"/>
  <c r="L321" i="5"/>
  <c r="I321" i="5"/>
  <c r="H321" i="5"/>
  <c r="F321" i="5"/>
  <c r="C321" i="5"/>
  <c r="AD320" i="5"/>
  <c r="AC320" i="5"/>
  <c r="AA320" i="5"/>
  <c r="W320" i="5"/>
  <c r="X320" i="5" s="1"/>
  <c r="U320" i="5"/>
  <c r="R320" i="5"/>
  <c r="O320" i="5"/>
  <c r="N320" i="5"/>
  <c r="L320" i="5"/>
  <c r="H320" i="5"/>
  <c r="I320" i="5" s="1"/>
  <c r="F320" i="5"/>
  <c r="C320" i="5"/>
  <c r="AC319" i="5"/>
  <c r="AD319" i="5" s="1"/>
  <c r="AA319" i="5"/>
  <c r="W319" i="5"/>
  <c r="U319" i="5"/>
  <c r="R319" i="5"/>
  <c r="O319" i="5"/>
  <c r="N319" i="5"/>
  <c r="L319" i="5"/>
  <c r="I319" i="5"/>
  <c r="H319" i="5"/>
  <c r="F319" i="5"/>
  <c r="C319" i="5"/>
  <c r="AC318" i="5"/>
  <c r="AD318" i="5" s="1"/>
  <c r="AA318" i="5"/>
  <c r="X318" i="5"/>
  <c r="W318" i="5"/>
  <c r="U318" i="5"/>
  <c r="R318" i="5"/>
  <c r="O318" i="5"/>
  <c r="N318" i="5"/>
  <c r="L318" i="5"/>
  <c r="H318" i="5"/>
  <c r="I318" i="5" s="1"/>
  <c r="F318" i="5"/>
  <c r="C318" i="5"/>
  <c r="AC317" i="5"/>
  <c r="AD317" i="5" s="1"/>
  <c r="AA317" i="5"/>
  <c r="X317" i="5"/>
  <c r="W317" i="5"/>
  <c r="U317" i="5"/>
  <c r="R317" i="5"/>
  <c r="N317" i="5"/>
  <c r="L317" i="5"/>
  <c r="H317" i="5"/>
  <c r="I317" i="5" s="1"/>
  <c r="F317" i="5"/>
  <c r="C317" i="5"/>
  <c r="AD316" i="5"/>
  <c r="AC316" i="5"/>
  <c r="AA316" i="5"/>
  <c r="W316" i="5"/>
  <c r="X316" i="5" s="1"/>
  <c r="U316" i="5"/>
  <c r="R316" i="5"/>
  <c r="N316" i="5"/>
  <c r="O316" i="5" s="1"/>
  <c r="L316" i="5"/>
  <c r="H316" i="5"/>
  <c r="I316" i="5" s="1"/>
  <c r="F316" i="5"/>
  <c r="C316" i="5"/>
  <c r="AC315" i="5"/>
  <c r="AD315" i="5" s="1"/>
  <c r="AA315" i="5"/>
  <c r="W315" i="5"/>
  <c r="U315" i="5"/>
  <c r="R315" i="5"/>
  <c r="O315" i="5"/>
  <c r="N315" i="5"/>
  <c r="L315" i="5"/>
  <c r="I315" i="5"/>
  <c r="H315" i="5"/>
  <c r="F315" i="5"/>
  <c r="C315" i="5"/>
  <c r="AC314" i="5"/>
  <c r="AD314" i="5" s="1"/>
  <c r="AA314" i="5"/>
  <c r="W314" i="5"/>
  <c r="X314" i="5" s="1"/>
  <c r="U314" i="5"/>
  <c r="R314" i="5"/>
  <c r="O314" i="5"/>
  <c r="N314" i="5"/>
  <c r="L314" i="5"/>
  <c r="H314" i="5"/>
  <c r="I314" i="5" s="1"/>
  <c r="F314" i="5"/>
  <c r="C314" i="5"/>
  <c r="AC313" i="5"/>
  <c r="AD313" i="5" s="1"/>
  <c r="AA313" i="5"/>
  <c r="X313" i="5"/>
  <c r="W313" i="5"/>
  <c r="U313" i="5"/>
  <c r="R313" i="5"/>
  <c r="N313" i="5"/>
  <c r="L313" i="5"/>
  <c r="I313" i="5"/>
  <c r="H313" i="5"/>
  <c r="F313" i="5"/>
  <c r="C313" i="5"/>
  <c r="AD312" i="5"/>
  <c r="AC312" i="5"/>
  <c r="AA312" i="5"/>
  <c r="W312" i="5"/>
  <c r="X312" i="5" s="1"/>
  <c r="U312" i="5"/>
  <c r="R312" i="5"/>
  <c r="N312" i="5"/>
  <c r="O312" i="5" s="1"/>
  <c r="L312" i="5"/>
  <c r="H312" i="5"/>
  <c r="I312" i="5" s="1"/>
  <c r="F312" i="5"/>
  <c r="C312" i="5"/>
  <c r="AC311" i="5"/>
  <c r="AD311" i="5" s="1"/>
  <c r="AA311" i="5"/>
  <c r="W311" i="5"/>
  <c r="U311" i="5"/>
  <c r="R311" i="5"/>
  <c r="O311" i="5"/>
  <c r="N311" i="5"/>
  <c r="L311" i="5"/>
  <c r="I311" i="5"/>
  <c r="H311" i="5"/>
  <c r="F311" i="5"/>
  <c r="C311" i="5"/>
  <c r="AC310" i="5"/>
  <c r="AD310" i="5" s="1"/>
  <c r="AA310" i="5"/>
  <c r="X310" i="5"/>
  <c r="W310" i="5"/>
  <c r="U310" i="5"/>
  <c r="R310" i="5"/>
  <c r="O310" i="5"/>
  <c r="N310" i="5"/>
  <c r="L310" i="5"/>
  <c r="H310" i="5"/>
  <c r="I310" i="5" s="1"/>
  <c r="F310" i="5"/>
  <c r="C310" i="5"/>
  <c r="AC309" i="5"/>
  <c r="AD309" i="5" s="1"/>
  <c r="AA309" i="5"/>
  <c r="X309" i="5"/>
  <c r="W309" i="5"/>
  <c r="U309" i="5"/>
  <c r="R309" i="5"/>
  <c r="N309" i="5"/>
  <c r="L309" i="5"/>
  <c r="I309" i="5"/>
  <c r="H309" i="5"/>
  <c r="F309" i="5"/>
  <c r="C309" i="5"/>
  <c r="AD308" i="5"/>
  <c r="AC308" i="5"/>
  <c r="AA308" i="5"/>
  <c r="W308" i="5"/>
  <c r="X308" i="5" s="1"/>
  <c r="U308" i="5"/>
  <c r="R308" i="5"/>
  <c r="N308" i="5"/>
  <c r="O308" i="5" s="1"/>
  <c r="L308" i="5"/>
  <c r="H308" i="5"/>
  <c r="I308" i="5" s="1"/>
  <c r="F308" i="5"/>
  <c r="C308" i="5"/>
  <c r="AC307" i="5"/>
  <c r="AD307" i="5" s="1"/>
  <c r="AA307" i="5"/>
  <c r="W307" i="5"/>
  <c r="U307" i="5"/>
  <c r="R307" i="5"/>
  <c r="O307" i="5"/>
  <c r="N307" i="5"/>
  <c r="L307" i="5"/>
  <c r="I307" i="5"/>
  <c r="H307" i="5"/>
  <c r="F307" i="5"/>
  <c r="C307" i="5"/>
  <c r="AC306" i="5"/>
  <c r="AD306" i="5" s="1"/>
  <c r="AA306" i="5"/>
  <c r="X306" i="5"/>
  <c r="W306" i="5"/>
  <c r="U306" i="5"/>
  <c r="R306" i="5"/>
  <c r="N306" i="5"/>
  <c r="O306" i="5" s="1"/>
  <c r="L306" i="5"/>
  <c r="H306" i="5"/>
  <c r="I306" i="5" s="1"/>
  <c r="F306" i="5"/>
  <c r="C306" i="5"/>
  <c r="AC305" i="5"/>
  <c r="AD305" i="5" s="1"/>
  <c r="AA305" i="5"/>
  <c r="X305" i="5"/>
  <c r="W305" i="5"/>
  <c r="U305" i="5"/>
  <c r="R305" i="5"/>
  <c r="N305" i="5"/>
  <c r="L305" i="5"/>
  <c r="I305" i="5"/>
  <c r="H305" i="5"/>
  <c r="F305" i="5"/>
  <c r="C305" i="5"/>
  <c r="AD304" i="5"/>
  <c r="AC304" i="5"/>
  <c r="AA304" i="5"/>
  <c r="W304" i="5"/>
  <c r="X304" i="5" s="1"/>
  <c r="U304" i="5"/>
  <c r="R304" i="5"/>
  <c r="N304" i="5"/>
  <c r="O304" i="5" s="1"/>
  <c r="L304" i="5"/>
  <c r="H304" i="5"/>
  <c r="I304" i="5" s="1"/>
  <c r="F304" i="5"/>
  <c r="C304" i="5"/>
  <c r="AC303" i="5"/>
  <c r="AD303" i="5" s="1"/>
  <c r="AA303" i="5"/>
  <c r="W303" i="5"/>
  <c r="U303" i="5"/>
  <c r="R303" i="5"/>
  <c r="O303" i="5"/>
  <c r="N303" i="5"/>
  <c r="L303" i="5"/>
  <c r="I303" i="5"/>
  <c r="H303" i="5"/>
  <c r="F303" i="5"/>
  <c r="C303" i="5"/>
  <c r="AC302" i="5"/>
  <c r="AD302" i="5" s="1"/>
  <c r="AA302" i="5"/>
  <c r="X302" i="5"/>
  <c r="W302" i="5"/>
  <c r="U302" i="5"/>
  <c r="R302" i="5"/>
  <c r="O302" i="5"/>
  <c r="N302" i="5"/>
  <c r="L302" i="5"/>
  <c r="H302" i="5"/>
  <c r="I302" i="5" s="1"/>
  <c r="F302" i="5"/>
  <c r="C302" i="5"/>
  <c r="AC301" i="5"/>
  <c r="AD301" i="5" s="1"/>
  <c r="AA301" i="5"/>
  <c r="X301" i="5"/>
  <c r="W301" i="5"/>
  <c r="U301" i="5"/>
  <c r="R301" i="5"/>
  <c r="N301" i="5"/>
  <c r="L301" i="5"/>
  <c r="H301" i="5"/>
  <c r="I301" i="5" s="1"/>
  <c r="F301" i="5"/>
  <c r="C301" i="5"/>
  <c r="AD300" i="5"/>
  <c r="AC300" i="5"/>
  <c r="AA300" i="5"/>
  <c r="W300" i="5"/>
  <c r="X300" i="5" s="1"/>
  <c r="U300" i="5"/>
  <c r="R300" i="5"/>
  <c r="N300" i="5"/>
  <c r="O300" i="5" s="1"/>
  <c r="L300" i="5"/>
  <c r="H300" i="5"/>
  <c r="I300" i="5" s="1"/>
  <c r="F300" i="5"/>
  <c r="C300" i="5"/>
  <c r="AC299" i="5"/>
  <c r="AD299" i="5" s="1"/>
  <c r="AA299" i="5"/>
  <c r="W299" i="5"/>
  <c r="U299" i="5"/>
  <c r="R299" i="5"/>
  <c r="O299" i="5"/>
  <c r="N299" i="5"/>
  <c r="L299" i="5"/>
  <c r="I299" i="5"/>
  <c r="H299" i="5"/>
  <c r="F299" i="5"/>
  <c r="C299" i="5"/>
  <c r="AC298" i="5"/>
  <c r="AD298" i="5" s="1"/>
  <c r="AA298" i="5"/>
  <c r="W298" i="5"/>
  <c r="X298" i="5" s="1"/>
  <c r="U298" i="5"/>
  <c r="R298" i="5"/>
  <c r="O298" i="5"/>
  <c r="N298" i="5"/>
  <c r="L298" i="5"/>
  <c r="H298" i="5"/>
  <c r="I298" i="5" s="1"/>
  <c r="F298" i="5"/>
  <c r="C298" i="5"/>
  <c r="AC297" i="5"/>
  <c r="AD297" i="5" s="1"/>
  <c r="AA297" i="5"/>
  <c r="X297" i="5"/>
  <c r="W297" i="5"/>
  <c r="U297" i="5"/>
  <c r="R297" i="5"/>
  <c r="N297" i="5"/>
  <c r="L297" i="5"/>
  <c r="I297" i="5"/>
  <c r="H297" i="5"/>
  <c r="F297" i="5"/>
  <c r="C297" i="5"/>
  <c r="Z295" i="5"/>
  <c r="AA295" i="5" s="1"/>
  <c r="T295" i="5"/>
  <c r="U295" i="5" s="1"/>
  <c r="R295" i="5"/>
  <c r="Q295" i="5"/>
  <c r="AC295" i="5" s="1"/>
  <c r="AD295" i="5" s="1"/>
  <c r="K295" i="5"/>
  <c r="L295" i="5" s="1"/>
  <c r="F295" i="5"/>
  <c r="E295" i="5"/>
  <c r="B295" i="5"/>
  <c r="C295" i="5" s="1"/>
  <c r="AD294" i="5"/>
  <c r="AC294" i="5"/>
  <c r="AA294" i="5"/>
  <c r="W294" i="5"/>
  <c r="X294" i="5" s="1"/>
  <c r="U294" i="5"/>
  <c r="R294" i="5"/>
  <c r="N294" i="5"/>
  <c r="O294" i="5" s="1"/>
  <c r="L294" i="5"/>
  <c r="H294" i="5"/>
  <c r="I294" i="5" s="1"/>
  <c r="F294" i="5"/>
  <c r="C294" i="5"/>
  <c r="AC293" i="5"/>
  <c r="AD293" i="5" s="1"/>
  <c r="AA293" i="5"/>
  <c r="X293" i="5"/>
  <c r="W293" i="5"/>
  <c r="U293" i="5"/>
  <c r="R293" i="5"/>
  <c r="N293" i="5"/>
  <c r="L293" i="5"/>
  <c r="H293" i="5"/>
  <c r="I293" i="5" s="1"/>
  <c r="F293" i="5"/>
  <c r="C293" i="5"/>
  <c r="AD292" i="5"/>
  <c r="AC292" i="5"/>
  <c r="AA292" i="5"/>
  <c r="W292" i="5"/>
  <c r="X292" i="5" s="1"/>
  <c r="U292" i="5"/>
  <c r="R292" i="5"/>
  <c r="O292" i="5"/>
  <c r="N292" i="5"/>
  <c r="L292" i="5"/>
  <c r="H292" i="5"/>
  <c r="I292" i="5" s="1"/>
  <c r="F292" i="5"/>
  <c r="C292" i="5"/>
  <c r="AC291" i="5"/>
  <c r="AD291" i="5" s="1"/>
  <c r="AA291" i="5"/>
  <c r="W291" i="5"/>
  <c r="U291" i="5"/>
  <c r="R291" i="5"/>
  <c r="O291" i="5"/>
  <c r="N291" i="5"/>
  <c r="L291" i="5"/>
  <c r="I291" i="5"/>
  <c r="H291" i="5"/>
  <c r="F291" i="5"/>
  <c r="C291" i="5"/>
  <c r="AC290" i="5"/>
  <c r="AD290" i="5" s="1"/>
  <c r="AA290" i="5"/>
  <c r="W290" i="5"/>
  <c r="X290" i="5" s="1"/>
  <c r="U290" i="5"/>
  <c r="R290" i="5"/>
  <c r="N290" i="5"/>
  <c r="O290" i="5" s="1"/>
  <c r="L290" i="5"/>
  <c r="H290" i="5"/>
  <c r="I290" i="5" s="1"/>
  <c r="F290" i="5"/>
  <c r="C290" i="5"/>
  <c r="AC289" i="5"/>
  <c r="AD289" i="5" s="1"/>
  <c r="AA289" i="5"/>
  <c r="X289" i="5"/>
  <c r="W289" i="5"/>
  <c r="U289" i="5"/>
  <c r="R289" i="5"/>
  <c r="N289" i="5"/>
  <c r="L289" i="5"/>
  <c r="H289" i="5"/>
  <c r="I289" i="5" s="1"/>
  <c r="F289" i="5"/>
  <c r="C289" i="5"/>
  <c r="AD288" i="5"/>
  <c r="AC288" i="5"/>
  <c r="AA288" i="5"/>
  <c r="X288" i="5"/>
  <c r="W288" i="5"/>
  <c r="U288" i="5"/>
  <c r="R288" i="5"/>
  <c r="N288" i="5"/>
  <c r="O288" i="5" s="1"/>
  <c r="L288" i="5"/>
  <c r="H288" i="5"/>
  <c r="I288" i="5" s="1"/>
  <c r="F288" i="5"/>
  <c r="C288" i="5"/>
  <c r="AC287" i="5"/>
  <c r="AD287" i="5" s="1"/>
  <c r="AA287" i="5"/>
  <c r="W287" i="5"/>
  <c r="U287" i="5"/>
  <c r="R287" i="5"/>
  <c r="O287" i="5"/>
  <c r="N287" i="5"/>
  <c r="L287" i="5"/>
  <c r="I287" i="5"/>
  <c r="H287" i="5"/>
  <c r="F287" i="5"/>
  <c r="C287" i="5"/>
  <c r="AC286" i="5"/>
  <c r="AD286" i="5" s="1"/>
  <c r="AA286" i="5"/>
  <c r="W286" i="5"/>
  <c r="X286" i="5" s="1"/>
  <c r="U286" i="5"/>
  <c r="R286" i="5"/>
  <c r="N286" i="5"/>
  <c r="O286" i="5" s="1"/>
  <c r="L286" i="5"/>
  <c r="H286" i="5"/>
  <c r="I286" i="5" s="1"/>
  <c r="F286" i="5"/>
  <c r="C286" i="5"/>
  <c r="Z284" i="5"/>
  <c r="AA284" i="5" s="1"/>
  <c r="U284" i="5"/>
  <c r="T284" i="5"/>
  <c r="Q284" i="5"/>
  <c r="R284" i="5" s="1"/>
  <c r="K284" i="5"/>
  <c r="L284" i="5" s="1"/>
  <c r="E284" i="5"/>
  <c r="F284" i="5" s="1"/>
  <c r="B284" i="5"/>
  <c r="H284" i="5" s="1"/>
  <c r="I284" i="5" s="1"/>
  <c r="AC283" i="5"/>
  <c r="AD283" i="5" s="1"/>
  <c r="AA283" i="5"/>
  <c r="W283" i="5"/>
  <c r="U283" i="5"/>
  <c r="R283" i="5"/>
  <c r="O283" i="5"/>
  <c r="N283" i="5"/>
  <c r="L283" i="5"/>
  <c r="I283" i="5"/>
  <c r="H283" i="5"/>
  <c r="F283" i="5"/>
  <c r="C283" i="5"/>
  <c r="AC282" i="5"/>
  <c r="AD282" i="5" s="1"/>
  <c r="AA282" i="5"/>
  <c r="X282" i="5"/>
  <c r="W282" i="5"/>
  <c r="U282" i="5"/>
  <c r="R282" i="5"/>
  <c r="N282" i="5"/>
  <c r="O282" i="5" s="1"/>
  <c r="L282" i="5"/>
  <c r="H282" i="5"/>
  <c r="I282" i="5" s="1"/>
  <c r="F282" i="5"/>
  <c r="C282" i="5"/>
  <c r="AC281" i="5"/>
  <c r="AD281" i="5" s="1"/>
  <c r="AA281" i="5"/>
  <c r="X281" i="5"/>
  <c r="W281" i="5"/>
  <c r="U281" i="5"/>
  <c r="R281" i="5"/>
  <c r="N281" i="5"/>
  <c r="L281" i="5"/>
  <c r="I281" i="5"/>
  <c r="H281" i="5"/>
  <c r="F281" i="5"/>
  <c r="C281" i="5"/>
  <c r="AD280" i="5"/>
  <c r="AC280" i="5"/>
  <c r="AA280" i="5"/>
  <c r="W280" i="5"/>
  <c r="X280" i="5" s="1"/>
  <c r="U280" i="5"/>
  <c r="R280" i="5"/>
  <c r="N280" i="5"/>
  <c r="O280" i="5" s="1"/>
  <c r="L280" i="5"/>
  <c r="H280" i="5"/>
  <c r="I280" i="5" s="1"/>
  <c r="F280" i="5"/>
  <c r="C280" i="5"/>
  <c r="AC279" i="5"/>
  <c r="AD279" i="5" s="1"/>
  <c r="AA279" i="5"/>
  <c r="W279" i="5"/>
  <c r="U279" i="5"/>
  <c r="R279" i="5"/>
  <c r="O279" i="5"/>
  <c r="N279" i="5"/>
  <c r="L279" i="5"/>
  <c r="I279" i="5"/>
  <c r="H279" i="5"/>
  <c r="F279" i="5"/>
  <c r="C279" i="5"/>
  <c r="AC278" i="5"/>
  <c r="AD278" i="5" s="1"/>
  <c r="AA278" i="5"/>
  <c r="X278" i="5"/>
  <c r="W278" i="5"/>
  <c r="U278" i="5"/>
  <c r="R278" i="5"/>
  <c r="N278" i="5"/>
  <c r="O278" i="5" s="1"/>
  <c r="L278" i="5"/>
  <c r="H278" i="5"/>
  <c r="I278" i="5" s="1"/>
  <c r="F278" i="5"/>
  <c r="C278" i="5"/>
  <c r="AC277" i="5"/>
  <c r="AD277" i="5" s="1"/>
  <c r="AA277" i="5"/>
  <c r="X277" i="5"/>
  <c r="W277" i="5"/>
  <c r="U277" i="5"/>
  <c r="R277" i="5"/>
  <c r="N277" i="5"/>
  <c r="L277" i="5"/>
  <c r="I277" i="5"/>
  <c r="H277" i="5"/>
  <c r="F277" i="5"/>
  <c r="C277" i="5"/>
  <c r="AD276" i="5"/>
  <c r="AC276" i="5"/>
  <c r="AA276" i="5"/>
  <c r="W276" i="5"/>
  <c r="X276" i="5" s="1"/>
  <c r="U276" i="5"/>
  <c r="R276" i="5"/>
  <c r="N276" i="5"/>
  <c r="O276" i="5" s="1"/>
  <c r="L276" i="5"/>
  <c r="H276" i="5"/>
  <c r="I276" i="5" s="1"/>
  <c r="F276" i="5"/>
  <c r="C276" i="5"/>
  <c r="AC275" i="5"/>
  <c r="AD275" i="5" s="1"/>
  <c r="AA275" i="5"/>
  <c r="W275" i="5"/>
  <c r="U275" i="5"/>
  <c r="R275" i="5"/>
  <c r="O275" i="5"/>
  <c r="N275" i="5"/>
  <c r="L275" i="5"/>
  <c r="I275" i="5"/>
  <c r="H275" i="5"/>
  <c r="F275" i="5"/>
  <c r="C275" i="5"/>
  <c r="AC273" i="5"/>
  <c r="AD273" i="5" s="1"/>
  <c r="Z273" i="5"/>
  <c r="AA273" i="5" s="1"/>
  <c r="T273" i="5"/>
  <c r="U273" i="5" s="1"/>
  <c r="Q273" i="5"/>
  <c r="W273" i="5" s="1"/>
  <c r="X273" i="5" s="1"/>
  <c r="N273" i="5"/>
  <c r="O273" i="5" s="1"/>
  <c r="L273" i="5"/>
  <c r="K273" i="5"/>
  <c r="E273" i="5"/>
  <c r="F273" i="5" s="1"/>
  <c r="B273" i="5"/>
  <c r="C273" i="5" s="1"/>
  <c r="AD272" i="5"/>
  <c r="AC272" i="5"/>
  <c r="AA272" i="5"/>
  <c r="X272" i="5"/>
  <c r="W272" i="5"/>
  <c r="U272" i="5"/>
  <c r="R272" i="5"/>
  <c r="N272" i="5"/>
  <c r="O272" i="5" s="1"/>
  <c r="L272" i="5"/>
  <c r="H272" i="5"/>
  <c r="I272" i="5" s="1"/>
  <c r="F272" i="5"/>
  <c r="C272" i="5"/>
  <c r="AC271" i="5"/>
  <c r="AD271" i="5" s="1"/>
  <c r="AA271" i="5"/>
  <c r="W271" i="5"/>
  <c r="U271" i="5"/>
  <c r="R271" i="5"/>
  <c r="O271" i="5"/>
  <c r="N271" i="5"/>
  <c r="L271" i="5"/>
  <c r="I271" i="5"/>
  <c r="H271" i="5"/>
  <c r="F271" i="5"/>
  <c r="C271" i="5"/>
  <c r="AD270" i="5"/>
  <c r="AC270" i="5"/>
  <c r="AA270" i="5"/>
  <c r="W270" i="5"/>
  <c r="X270" i="5" s="1"/>
  <c r="U270" i="5"/>
  <c r="R270" i="5"/>
  <c r="N270" i="5"/>
  <c r="O270" i="5" s="1"/>
  <c r="L270" i="5"/>
  <c r="H270" i="5"/>
  <c r="I270" i="5" s="1"/>
  <c r="F270" i="5"/>
  <c r="C270" i="5"/>
  <c r="AC269" i="5"/>
  <c r="AD269" i="5" s="1"/>
  <c r="AA269" i="5"/>
  <c r="X269" i="5"/>
  <c r="W269" i="5"/>
  <c r="U269" i="5"/>
  <c r="R269" i="5"/>
  <c r="N269" i="5"/>
  <c r="L269" i="5"/>
  <c r="H269" i="5"/>
  <c r="I269" i="5" s="1"/>
  <c r="F269" i="5"/>
  <c r="C269" i="5"/>
  <c r="Z267" i="5"/>
  <c r="AA267" i="5" s="1"/>
  <c r="W267" i="5"/>
  <c r="X267" i="5" s="1"/>
  <c r="T267" i="5"/>
  <c r="U267" i="5" s="1"/>
  <c r="R267" i="5"/>
  <c r="Q267" i="5"/>
  <c r="K267" i="5"/>
  <c r="F267" i="5"/>
  <c r="E267" i="5"/>
  <c r="B267" i="5"/>
  <c r="C267" i="5" s="1"/>
  <c r="AC266" i="5"/>
  <c r="AD266" i="5" s="1"/>
  <c r="AA266" i="5"/>
  <c r="X266" i="5"/>
  <c r="W266" i="5"/>
  <c r="U266" i="5"/>
  <c r="R266" i="5"/>
  <c r="N266" i="5"/>
  <c r="O266" i="5" s="1"/>
  <c r="L266" i="5"/>
  <c r="H266" i="5"/>
  <c r="I266" i="5" s="1"/>
  <c r="F266" i="5"/>
  <c r="C266" i="5"/>
  <c r="AC265" i="5"/>
  <c r="AD265" i="5" s="1"/>
  <c r="AA265" i="5"/>
  <c r="X265" i="5"/>
  <c r="W265" i="5"/>
  <c r="U265" i="5"/>
  <c r="R265" i="5"/>
  <c r="N265" i="5"/>
  <c r="L265" i="5"/>
  <c r="I265" i="5"/>
  <c r="H265" i="5"/>
  <c r="F265" i="5"/>
  <c r="C265" i="5"/>
  <c r="Z263" i="5"/>
  <c r="AA263" i="5" s="1"/>
  <c r="T263" i="5"/>
  <c r="U263" i="5" s="1"/>
  <c r="R263" i="5"/>
  <c r="Q263" i="5"/>
  <c r="L263" i="5"/>
  <c r="K263" i="5"/>
  <c r="N263" i="5" s="1"/>
  <c r="O263" i="5" s="1"/>
  <c r="H263" i="5"/>
  <c r="I263" i="5" s="1"/>
  <c r="F263" i="5"/>
  <c r="E263" i="5"/>
  <c r="B263" i="5"/>
  <c r="C263" i="5" s="1"/>
  <c r="Z262" i="5"/>
  <c r="AA262" i="5" s="1"/>
  <c r="T262" i="5"/>
  <c r="U262" i="5" s="1"/>
  <c r="Q262" i="5"/>
  <c r="N262" i="5"/>
  <c r="O262" i="5" s="1"/>
  <c r="L262" i="5"/>
  <c r="K262" i="5"/>
  <c r="E262" i="5"/>
  <c r="B262" i="5"/>
  <c r="C262" i="5" s="1"/>
  <c r="AD261" i="5"/>
  <c r="AC261" i="5"/>
  <c r="AA261" i="5"/>
  <c r="W261" i="5"/>
  <c r="X261" i="5" s="1"/>
  <c r="U261" i="5"/>
  <c r="R261" i="5"/>
  <c r="N261" i="5"/>
  <c r="O261" i="5" s="1"/>
  <c r="L261" i="5"/>
  <c r="H261" i="5"/>
  <c r="I261" i="5" s="1"/>
  <c r="F261" i="5"/>
  <c r="C261" i="5"/>
  <c r="AC260" i="5"/>
  <c r="AD260" i="5" s="1"/>
  <c r="AA260" i="5"/>
  <c r="W260" i="5"/>
  <c r="U260" i="5"/>
  <c r="R260" i="5"/>
  <c r="O260" i="5"/>
  <c r="N260" i="5"/>
  <c r="L260" i="5"/>
  <c r="I260" i="5"/>
  <c r="H260" i="5"/>
  <c r="F260" i="5"/>
  <c r="C260" i="5"/>
  <c r="AC259" i="5"/>
  <c r="AD259" i="5" s="1"/>
  <c r="AA259" i="5"/>
  <c r="X259" i="5"/>
  <c r="W259" i="5"/>
  <c r="U259" i="5"/>
  <c r="R259" i="5"/>
  <c r="O259" i="5"/>
  <c r="N259" i="5"/>
  <c r="L259" i="5"/>
  <c r="H259" i="5"/>
  <c r="I259" i="5" s="1"/>
  <c r="F259" i="5"/>
  <c r="C259" i="5"/>
  <c r="AC258" i="5"/>
  <c r="AD258" i="5" s="1"/>
  <c r="AA258" i="5"/>
  <c r="X258" i="5"/>
  <c r="W258" i="5"/>
  <c r="U258" i="5"/>
  <c r="R258" i="5"/>
  <c r="N258" i="5"/>
  <c r="L258" i="5"/>
  <c r="I258" i="5"/>
  <c r="H258" i="5"/>
  <c r="F258" i="5"/>
  <c r="C258" i="5"/>
  <c r="AD257" i="5"/>
  <c r="AC257" i="5"/>
  <c r="AA257" i="5"/>
  <c r="W257" i="5"/>
  <c r="X257" i="5" s="1"/>
  <c r="U257" i="5"/>
  <c r="R257" i="5"/>
  <c r="N257" i="5"/>
  <c r="O257" i="5" s="1"/>
  <c r="L257" i="5"/>
  <c r="H257" i="5"/>
  <c r="I257" i="5" s="1"/>
  <c r="F257" i="5"/>
  <c r="C257" i="5"/>
  <c r="AC256" i="5"/>
  <c r="AD256" i="5" s="1"/>
  <c r="AA256" i="5"/>
  <c r="W256" i="5"/>
  <c r="U256" i="5"/>
  <c r="R256" i="5"/>
  <c r="O256" i="5"/>
  <c r="N256" i="5"/>
  <c r="L256" i="5"/>
  <c r="I256" i="5"/>
  <c r="H256" i="5"/>
  <c r="F256" i="5"/>
  <c r="C256" i="5"/>
  <c r="AC255" i="5"/>
  <c r="AD255" i="5" s="1"/>
  <c r="AA255" i="5"/>
  <c r="X255" i="5"/>
  <c r="W255" i="5"/>
  <c r="U255" i="5"/>
  <c r="R255" i="5"/>
  <c r="N255" i="5"/>
  <c r="O255" i="5" s="1"/>
  <c r="L255" i="5"/>
  <c r="H255" i="5"/>
  <c r="I255" i="5" s="1"/>
  <c r="F255" i="5"/>
  <c r="C255" i="5"/>
  <c r="AC254" i="5"/>
  <c r="AD254" i="5" s="1"/>
  <c r="AA254" i="5"/>
  <c r="X254" i="5"/>
  <c r="W254" i="5"/>
  <c r="U254" i="5"/>
  <c r="R254" i="5"/>
  <c r="N254" i="5"/>
  <c r="L254" i="5"/>
  <c r="I254" i="5"/>
  <c r="H254" i="5"/>
  <c r="F254" i="5"/>
  <c r="C254" i="5"/>
  <c r="AD253" i="5"/>
  <c r="AC253" i="5"/>
  <c r="AA253" i="5"/>
  <c r="W253" i="5"/>
  <c r="X253" i="5" s="1"/>
  <c r="U253" i="5"/>
  <c r="R253" i="5"/>
  <c r="N253" i="5"/>
  <c r="O253" i="5" s="1"/>
  <c r="L253" i="5"/>
  <c r="H253" i="5"/>
  <c r="I253" i="5" s="1"/>
  <c r="F253" i="5"/>
  <c r="C253" i="5"/>
  <c r="AC252" i="5"/>
  <c r="AD252" i="5" s="1"/>
  <c r="AA252" i="5"/>
  <c r="W252" i="5"/>
  <c r="U252" i="5"/>
  <c r="R252" i="5"/>
  <c r="O252" i="5"/>
  <c r="N252" i="5"/>
  <c r="L252" i="5"/>
  <c r="I252" i="5"/>
  <c r="H252" i="5"/>
  <c r="F252" i="5"/>
  <c r="C252" i="5"/>
  <c r="AC251" i="5"/>
  <c r="AD251" i="5" s="1"/>
  <c r="AA251" i="5"/>
  <c r="X251" i="5"/>
  <c r="W251" i="5"/>
  <c r="U251" i="5"/>
  <c r="R251" i="5"/>
  <c r="O251" i="5"/>
  <c r="N251" i="5"/>
  <c r="L251" i="5"/>
  <c r="H251" i="5"/>
  <c r="I251" i="5" s="1"/>
  <c r="F251" i="5"/>
  <c r="C251" i="5"/>
  <c r="AC250" i="5"/>
  <c r="AD250" i="5" s="1"/>
  <c r="AA250" i="5"/>
  <c r="X250" i="5"/>
  <c r="W250" i="5"/>
  <c r="U250" i="5"/>
  <c r="R250" i="5"/>
  <c r="N250" i="5"/>
  <c r="L250" i="5"/>
  <c r="H250" i="5"/>
  <c r="I250" i="5" s="1"/>
  <c r="F250" i="5"/>
  <c r="C250" i="5"/>
  <c r="AD249" i="5"/>
  <c r="AC249" i="5"/>
  <c r="AA249" i="5"/>
  <c r="W249" i="5"/>
  <c r="X249" i="5" s="1"/>
  <c r="U249" i="5"/>
  <c r="R249" i="5"/>
  <c r="N249" i="5"/>
  <c r="O249" i="5" s="1"/>
  <c r="L249" i="5"/>
  <c r="H249" i="5"/>
  <c r="I249" i="5" s="1"/>
  <c r="F249" i="5"/>
  <c r="C249" i="5"/>
  <c r="AC248" i="5"/>
  <c r="AD248" i="5" s="1"/>
  <c r="AA248" i="5"/>
  <c r="W248" i="5"/>
  <c r="U248" i="5"/>
  <c r="R248" i="5"/>
  <c r="O248" i="5"/>
  <c r="N248" i="5"/>
  <c r="L248" i="5"/>
  <c r="I248" i="5"/>
  <c r="H248" i="5"/>
  <c r="F248" i="5"/>
  <c r="C248" i="5"/>
  <c r="AC247" i="5"/>
  <c r="AD247" i="5" s="1"/>
  <c r="AA247" i="5"/>
  <c r="W247" i="5"/>
  <c r="X247" i="5" s="1"/>
  <c r="U247" i="5"/>
  <c r="R247" i="5"/>
  <c r="O247" i="5"/>
  <c r="N247" i="5"/>
  <c r="L247" i="5"/>
  <c r="H247" i="5"/>
  <c r="I247" i="5" s="1"/>
  <c r="F247" i="5"/>
  <c r="C247" i="5"/>
  <c r="AC246" i="5"/>
  <c r="AD246" i="5" s="1"/>
  <c r="AA246" i="5"/>
  <c r="X246" i="5"/>
  <c r="W246" i="5"/>
  <c r="U246" i="5"/>
  <c r="R246" i="5"/>
  <c r="N246" i="5"/>
  <c r="L246" i="5"/>
  <c r="I246" i="5"/>
  <c r="H246" i="5"/>
  <c r="F246" i="5"/>
  <c r="C246" i="5"/>
  <c r="AD245" i="5"/>
  <c r="AC245" i="5"/>
  <c r="AA245" i="5"/>
  <c r="W245" i="5"/>
  <c r="X245" i="5" s="1"/>
  <c r="U245" i="5"/>
  <c r="R245" i="5"/>
  <c r="N245" i="5"/>
  <c r="O245" i="5" s="1"/>
  <c r="L245" i="5"/>
  <c r="H245" i="5"/>
  <c r="I245" i="5" s="1"/>
  <c r="F245" i="5"/>
  <c r="C245" i="5"/>
  <c r="AC244" i="5"/>
  <c r="AD244" i="5" s="1"/>
  <c r="AA244" i="5"/>
  <c r="W244" i="5"/>
  <c r="U244" i="5"/>
  <c r="R244" i="5"/>
  <c r="O244" i="5"/>
  <c r="N244" i="5"/>
  <c r="L244" i="5"/>
  <c r="I244" i="5"/>
  <c r="H244" i="5"/>
  <c r="F244" i="5"/>
  <c r="C244" i="5"/>
  <c r="AC243" i="5"/>
  <c r="AD243" i="5" s="1"/>
  <c r="AA243" i="5"/>
  <c r="X243" i="5"/>
  <c r="W243" i="5"/>
  <c r="U243" i="5"/>
  <c r="R243" i="5"/>
  <c r="O243" i="5"/>
  <c r="N243" i="5"/>
  <c r="L243" i="5"/>
  <c r="H243" i="5"/>
  <c r="I243" i="5" s="1"/>
  <c r="F243" i="5"/>
  <c r="C243" i="5"/>
  <c r="AC242" i="5"/>
  <c r="AD242" i="5" s="1"/>
  <c r="AA242" i="5"/>
  <c r="X242" i="5"/>
  <c r="W242" i="5"/>
  <c r="U242" i="5"/>
  <c r="R242" i="5"/>
  <c r="N242" i="5"/>
  <c r="L242" i="5"/>
  <c r="I242" i="5"/>
  <c r="H242" i="5"/>
  <c r="F242" i="5"/>
  <c r="C242" i="5"/>
  <c r="AD241" i="5"/>
  <c r="AC241" i="5"/>
  <c r="AA241" i="5"/>
  <c r="W241" i="5"/>
  <c r="X241" i="5" s="1"/>
  <c r="U241" i="5"/>
  <c r="R241" i="5"/>
  <c r="N241" i="5"/>
  <c r="O241" i="5" s="1"/>
  <c r="L241" i="5"/>
  <c r="H241" i="5"/>
  <c r="I241" i="5" s="1"/>
  <c r="F241" i="5"/>
  <c r="C241" i="5"/>
  <c r="AC240" i="5"/>
  <c r="AD240" i="5" s="1"/>
  <c r="AA240" i="5"/>
  <c r="W240" i="5"/>
  <c r="U240" i="5"/>
  <c r="R240" i="5"/>
  <c r="O240" i="5"/>
  <c r="N240" i="5"/>
  <c r="L240" i="5"/>
  <c r="I240" i="5"/>
  <c r="H240" i="5"/>
  <c r="F240" i="5"/>
  <c r="C240" i="5"/>
  <c r="AC238" i="5"/>
  <c r="AD238" i="5" s="1"/>
  <c r="AA238" i="5"/>
  <c r="X238" i="5"/>
  <c r="W238" i="5"/>
  <c r="U238" i="5"/>
  <c r="R238" i="5"/>
  <c r="O238" i="5"/>
  <c r="N238" i="5"/>
  <c r="L238" i="5"/>
  <c r="H238" i="5"/>
  <c r="I238" i="5" s="1"/>
  <c r="F238" i="5"/>
  <c r="C238" i="5"/>
  <c r="Z236" i="5"/>
  <c r="AA236" i="5" s="1"/>
  <c r="U236" i="5"/>
  <c r="T236" i="5"/>
  <c r="Q236" i="5"/>
  <c r="K236" i="5"/>
  <c r="L236" i="5" s="1"/>
  <c r="E236" i="5"/>
  <c r="F236" i="5" s="1"/>
  <c r="C236" i="5"/>
  <c r="B236" i="5"/>
  <c r="H236" i="5" s="1"/>
  <c r="I236" i="5" s="1"/>
  <c r="AC235" i="5"/>
  <c r="AD235" i="5" s="1"/>
  <c r="AA235" i="5"/>
  <c r="W235" i="5"/>
  <c r="U235" i="5"/>
  <c r="R235" i="5"/>
  <c r="O235" i="5"/>
  <c r="N235" i="5"/>
  <c r="L235" i="5"/>
  <c r="I235" i="5"/>
  <c r="H235" i="5"/>
  <c r="F235" i="5"/>
  <c r="C235" i="5"/>
  <c r="AC234" i="5"/>
  <c r="AD234" i="5" s="1"/>
  <c r="AA234" i="5"/>
  <c r="W234" i="5"/>
  <c r="X234" i="5" s="1"/>
  <c r="U234" i="5"/>
  <c r="R234" i="5"/>
  <c r="N234" i="5"/>
  <c r="O234" i="5" s="1"/>
  <c r="L234" i="5"/>
  <c r="H234" i="5"/>
  <c r="I234" i="5" s="1"/>
  <c r="F234" i="5"/>
  <c r="C234" i="5"/>
  <c r="AC233" i="5"/>
  <c r="AD233" i="5" s="1"/>
  <c r="AA233" i="5"/>
  <c r="X233" i="5"/>
  <c r="W233" i="5"/>
  <c r="U233" i="5"/>
  <c r="R233" i="5"/>
  <c r="N233" i="5"/>
  <c r="L233" i="5"/>
  <c r="H233" i="5"/>
  <c r="I233" i="5" s="1"/>
  <c r="F233" i="5"/>
  <c r="C233" i="5"/>
  <c r="AD232" i="5"/>
  <c r="AC232" i="5"/>
  <c r="AA232" i="5"/>
  <c r="X232" i="5"/>
  <c r="W232" i="5"/>
  <c r="U232" i="5"/>
  <c r="R232" i="5"/>
  <c r="N232" i="5"/>
  <c r="O232" i="5" s="1"/>
  <c r="L232" i="5"/>
  <c r="H232" i="5"/>
  <c r="I232" i="5" s="1"/>
  <c r="F232" i="5"/>
  <c r="C232" i="5"/>
  <c r="AC231" i="5"/>
  <c r="AD231" i="5" s="1"/>
  <c r="AA231" i="5"/>
  <c r="W231" i="5"/>
  <c r="U231" i="5"/>
  <c r="R231" i="5"/>
  <c r="O231" i="5"/>
  <c r="N231" i="5"/>
  <c r="L231" i="5"/>
  <c r="I231" i="5"/>
  <c r="H231" i="5"/>
  <c r="F231" i="5"/>
  <c r="C231" i="5"/>
  <c r="AC230" i="5"/>
  <c r="AD230" i="5" s="1"/>
  <c r="AA230" i="5"/>
  <c r="W230" i="5"/>
  <c r="X230" i="5" s="1"/>
  <c r="U230" i="5"/>
  <c r="R230" i="5"/>
  <c r="N230" i="5"/>
  <c r="O230" i="5" s="1"/>
  <c r="L230" i="5"/>
  <c r="H230" i="5"/>
  <c r="I230" i="5" s="1"/>
  <c r="F230" i="5"/>
  <c r="C230" i="5"/>
  <c r="AC229" i="5"/>
  <c r="AD229" i="5" s="1"/>
  <c r="AA229" i="5"/>
  <c r="X229" i="5"/>
  <c r="W229" i="5"/>
  <c r="U229" i="5"/>
  <c r="R229" i="5"/>
  <c r="N229" i="5"/>
  <c r="L229" i="5"/>
  <c r="H229" i="5"/>
  <c r="I229" i="5" s="1"/>
  <c r="F229" i="5"/>
  <c r="C229" i="5"/>
  <c r="Z227" i="5"/>
  <c r="AA227" i="5" s="1"/>
  <c r="W227" i="5"/>
  <c r="X227" i="5" s="1"/>
  <c r="T227" i="5"/>
  <c r="U227" i="5" s="1"/>
  <c r="R227" i="5"/>
  <c r="Q227" i="5"/>
  <c r="K227" i="5"/>
  <c r="L227" i="5" s="1"/>
  <c r="F227" i="5"/>
  <c r="E227" i="5"/>
  <c r="B227" i="5"/>
  <c r="C227" i="5" s="1"/>
  <c r="AC226" i="5"/>
  <c r="AD226" i="5" s="1"/>
  <c r="AA226" i="5"/>
  <c r="X226" i="5"/>
  <c r="W226" i="5"/>
  <c r="U226" i="5"/>
  <c r="R226" i="5"/>
  <c r="O226" i="5"/>
  <c r="N226" i="5"/>
  <c r="L226" i="5"/>
  <c r="H226" i="5"/>
  <c r="I226" i="5" s="1"/>
  <c r="F226" i="5"/>
  <c r="C226" i="5"/>
  <c r="AC225" i="5"/>
  <c r="AD225" i="5" s="1"/>
  <c r="AA225" i="5"/>
  <c r="X225" i="5"/>
  <c r="W225" i="5"/>
  <c r="U225" i="5"/>
  <c r="R225" i="5"/>
  <c r="N225" i="5"/>
  <c r="L225" i="5"/>
  <c r="I225" i="5"/>
  <c r="H225" i="5"/>
  <c r="F225" i="5"/>
  <c r="C225" i="5"/>
  <c r="AD224" i="5"/>
  <c r="AC224" i="5"/>
  <c r="AA224" i="5"/>
  <c r="W224" i="5"/>
  <c r="X224" i="5" s="1"/>
  <c r="U224" i="5"/>
  <c r="R224" i="5"/>
  <c r="N224" i="5"/>
  <c r="O224" i="5" s="1"/>
  <c r="L224" i="5"/>
  <c r="H224" i="5"/>
  <c r="I224" i="5" s="1"/>
  <c r="F224" i="5"/>
  <c r="C224" i="5"/>
  <c r="AC223" i="5"/>
  <c r="AD223" i="5" s="1"/>
  <c r="AA223" i="5"/>
  <c r="W223" i="5"/>
  <c r="U223" i="5"/>
  <c r="R223" i="5"/>
  <c r="O223" i="5"/>
  <c r="N223" i="5"/>
  <c r="L223" i="5"/>
  <c r="I223" i="5"/>
  <c r="H223" i="5"/>
  <c r="F223" i="5"/>
  <c r="C223" i="5"/>
  <c r="AC222" i="5"/>
  <c r="AD222" i="5" s="1"/>
  <c r="AA222" i="5"/>
  <c r="X222" i="5"/>
  <c r="W222" i="5"/>
  <c r="U222" i="5"/>
  <c r="R222" i="5"/>
  <c r="N222" i="5"/>
  <c r="O222" i="5" s="1"/>
  <c r="L222" i="5"/>
  <c r="H222" i="5"/>
  <c r="I222" i="5" s="1"/>
  <c r="F222" i="5"/>
  <c r="C222" i="5"/>
  <c r="AC221" i="5"/>
  <c r="AD221" i="5" s="1"/>
  <c r="AA221" i="5"/>
  <c r="X221" i="5"/>
  <c r="W221" i="5"/>
  <c r="U221" i="5"/>
  <c r="R221" i="5"/>
  <c r="N221" i="5"/>
  <c r="L221" i="5"/>
  <c r="I221" i="5"/>
  <c r="H221" i="5"/>
  <c r="F221" i="5"/>
  <c r="C221" i="5"/>
  <c r="AD220" i="5"/>
  <c r="AC220" i="5"/>
  <c r="AA220" i="5"/>
  <c r="W220" i="5"/>
  <c r="X220" i="5" s="1"/>
  <c r="U220" i="5"/>
  <c r="R220" i="5"/>
  <c r="N220" i="5"/>
  <c r="O220" i="5" s="1"/>
  <c r="L220" i="5"/>
  <c r="H220" i="5"/>
  <c r="I220" i="5" s="1"/>
  <c r="F220" i="5"/>
  <c r="C220" i="5"/>
  <c r="AC219" i="5"/>
  <c r="AD219" i="5" s="1"/>
  <c r="AA219" i="5"/>
  <c r="W219" i="5"/>
  <c r="U219" i="5"/>
  <c r="R219" i="5"/>
  <c r="O219" i="5"/>
  <c r="N219" i="5"/>
  <c r="L219" i="5"/>
  <c r="I219" i="5"/>
  <c r="H219" i="5"/>
  <c r="F219" i="5"/>
  <c r="C219" i="5"/>
  <c r="Z218" i="5"/>
  <c r="AA218" i="5" s="1"/>
  <c r="T218" i="5"/>
  <c r="U218" i="5" s="1"/>
  <c r="Q218" i="5"/>
  <c r="R218" i="5" s="1"/>
  <c r="L218" i="5"/>
  <c r="K218" i="5"/>
  <c r="E218" i="5"/>
  <c r="F218" i="5" s="1"/>
  <c r="B218" i="5"/>
  <c r="AD217" i="5"/>
  <c r="AC217" i="5"/>
  <c r="AA217" i="5"/>
  <c r="X217" i="5"/>
  <c r="W217" i="5"/>
  <c r="U217" i="5"/>
  <c r="R217" i="5"/>
  <c r="O217" i="5"/>
  <c r="N217" i="5"/>
  <c r="L217" i="5"/>
  <c r="H217" i="5"/>
  <c r="I217" i="5" s="1"/>
  <c r="F217" i="5"/>
  <c r="C217" i="5"/>
  <c r="AC216" i="5"/>
  <c r="AD216" i="5" s="1"/>
  <c r="AA216" i="5"/>
  <c r="W216" i="5"/>
  <c r="U216" i="5"/>
  <c r="R216" i="5"/>
  <c r="O216" i="5"/>
  <c r="N216" i="5"/>
  <c r="L216" i="5"/>
  <c r="I216" i="5"/>
  <c r="H216" i="5"/>
  <c r="F216" i="5"/>
  <c r="C216" i="5"/>
  <c r="AD215" i="5"/>
  <c r="AC215" i="5"/>
  <c r="AA215" i="5"/>
  <c r="W215" i="5"/>
  <c r="X215" i="5" s="1"/>
  <c r="U215" i="5"/>
  <c r="R215" i="5"/>
  <c r="O215" i="5"/>
  <c r="N215" i="5"/>
  <c r="L215" i="5"/>
  <c r="H215" i="5"/>
  <c r="I215" i="5" s="1"/>
  <c r="F215" i="5"/>
  <c r="C215" i="5"/>
  <c r="AC214" i="5"/>
  <c r="AD214" i="5" s="1"/>
  <c r="AA214" i="5"/>
  <c r="X214" i="5"/>
  <c r="W214" i="5"/>
  <c r="U214" i="5"/>
  <c r="R214" i="5"/>
  <c r="N214" i="5"/>
  <c r="L214" i="5"/>
  <c r="I214" i="5"/>
  <c r="H214" i="5"/>
  <c r="F214" i="5"/>
  <c r="C214" i="5"/>
  <c r="AD213" i="5"/>
  <c r="AC213" i="5"/>
  <c r="AA213" i="5"/>
  <c r="W213" i="5"/>
  <c r="X213" i="5" s="1"/>
  <c r="U213" i="5"/>
  <c r="R213" i="5"/>
  <c r="O213" i="5"/>
  <c r="N213" i="5"/>
  <c r="L213" i="5"/>
  <c r="H213" i="5"/>
  <c r="I213" i="5" s="1"/>
  <c r="F213" i="5"/>
  <c r="C213" i="5"/>
  <c r="AC211" i="5"/>
  <c r="AD211" i="5" s="1"/>
  <c r="AA211" i="5"/>
  <c r="W211" i="5"/>
  <c r="U211" i="5"/>
  <c r="R211" i="5"/>
  <c r="O211" i="5"/>
  <c r="N211" i="5"/>
  <c r="L211" i="5"/>
  <c r="I211" i="5"/>
  <c r="H211" i="5"/>
  <c r="F211" i="5"/>
  <c r="C211" i="5"/>
  <c r="Z209" i="5"/>
  <c r="AA209" i="5" s="1"/>
  <c r="T209" i="5"/>
  <c r="U209" i="5" s="1"/>
  <c r="Q209" i="5"/>
  <c r="L209" i="5"/>
  <c r="K209" i="5"/>
  <c r="E209" i="5"/>
  <c r="F209" i="5" s="1"/>
  <c r="B209" i="5"/>
  <c r="AD208" i="5"/>
  <c r="AC208" i="5"/>
  <c r="AA208" i="5"/>
  <c r="W208" i="5"/>
  <c r="X208" i="5" s="1"/>
  <c r="U208" i="5"/>
  <c r="R208" i="5"/>
  <c r="N208" i="5"/>
  <c r="O208" i="5" s="1"/>
  <c r="L208" i="5"/>
  <c r="H208" i="5"/>
  <c r="I208" i="5" s="1"/>
  <c r="F208" i="5"/>
  <c r="C208" i="5"/>
  <c r="AC207" i="5"/>
  <c r="AD207" i="5" s="1"/>
  <c r="AA207" i="5"/>
  <c r="W207" i="5"/>
  <c r="U207" i="5"/>
  <c r="R207" i="5"/>
  <c r="O207" i="5"/>
  <c r="N207" i="5"/>
  <c r="L207" i="5"/>
  <c r="I207" i="5"/>
  <c r="H207" i="5"/>
  <c r="F207" i="5"/>
  <c r="C207" i="5"/>
  <c r="AD206" i="5"/>
  <c r="AC206" i="5"/>
  <c r="AA206" i="5"/>
  <c r="W206" i="5"/>
  <c r="X206" i="5" s="1"/>
  <c r="U206" i="5"/>
  <c r="R206" i="5"/>
  <c r="O206" i="5"/>
  <c r="N206" i="5"/>
  <c r="L206" i="5"/>
  <c r="H206" i="5"/>
  <c r="I206" i="5" s="1"/>
  <c r="F206" i="5"/>
  <c r="C206" i="5"/>
  <c r="AC205" i="5"/>
  <c r="AD205" i="5" s="1"/>
  <c r="AA205" i="5"/>
  <c r="X205" i="5"/>
  <c r="W205" i="5"/>
  <c r="U205" i="5"/>
  <c r="R205" i="5"/>
  <c r="N205" i="5"/>
  <c r="L205" i="5"/>
  <c r="H205" i="5"/>
  <c r="I205" i="5" s="1"/>
  <c r="F205" i="5"/>
  <c r="C205" i="5"/>
  <c r="AD204" i="5"/>
  <c r="AC204" i="5"/>
  <c r="AA204" i="5"/>
  <c r="X204" i="5"/>
  <c r="W204" i="5"/>
  <c r="U204" i="5"/>
  <c r="R204" i="5"/>
  <c r="O204" i="5"/>
  <c r="N204" i="5"/>
  <c r="L204" i="5"/>
  <c r="H204" i="5"/>
  <c r="I204" i="5" s="1"/>
  <c r="F204" i="5"/>
  <c r="C204" i="5"/>
  <c r="AC203" i="5"/>
  <c r="AD203" i="5" s="1"/>
  <c r="AA203" i="5"/>
  <c r="W203" i="5"/>
  <c r="U203" i="5"/>
  <c r="R203" i="5"/>
  <c r="O203" i="5"/>
  <c r="N203" i="5"/>
  <c r="L203" i="5"/>
  <c r="I203" i="5"/>
  <c r="H203" i="5"/>
  <c r="F203" i="5"/>
  <c r="C203" i="5"/>
  <c r="AC202" i="5"/>
  <c r="AD202" i="5" s="1"/>
  <c r="AA202" i="5"/>
  <c r="X202" i="5"/>
  <c r="W202" i="5"/>
  <c r="U202" i="5"/>
  <c r="R202" i="5"/>
  <c r="O202" i="5"/>
  <c r="N202" i="5"/>
  <c r="L202" i="5"/>
  <c r="H202" i="5"/>
  <c r="I202" i="5" s="1"/>
  <c r="F202" i="5"/>
  <c r="C202" i="5"/>
  <c r="AC201" i="5"/>
  <c r="AD201" i="5" s="1"/>
  <c r="AA201" i="5"/>
  <c r="X201" i="5"/>
  <c r="W201" i="5"/>
  <c r="U201" i="5"/>
  <c r="R201" i="5"/>
  <c r="N201" i="5"/>
  <c r="L201" i="5"/>
  <c r="I201" i="5"/>
  <c r="H201" i="5"/>
  <c r="F201" i="5"/>
  <c r="C201" i="5"/>
  <c r="K198" i="5"/>
  <c r="Z197" i="5"/>
  <c r="AA197" i="5" s="1"/>
  <c r="T197" i="5"/>
  <c r="U197" i="5" s="1"/>
  <c r="Q197" i="5"/>
  <c r="N197" i="5"/>
  <c r="O197" i="5" s="1"/>
  <c r="L197" i="5"/>
  <c r="K197" i="5"/>
  <c r="E197" i="5"/>
  <c r="F197" i="5" s="1"/>
  <c r="B197" i="5"/>
  <c r="Z196" i="5"/>
  <c r="AA196" i="5" s="1"/>
  <c r="X196" i="5"/>
  <c r="W196" i="5"/>
  <c r="T196" i="5"/>
  <c r="U196" i="5" s="1"/>
  <c r="R196" i="5"/>
  <c r="Q196" i="5"/>
  <c r="AC196" i="5" s="1"/>
  <c r="AD196" i="5" s="1"/>
  <c r="K196" i="5"/>
  <c r="N196" i="5" s="1"/>
  <c r="O196" i="5" s="1"/>
  <c r="H196" i="5"/>
  <c r="I196" i="5" s="1"/>
  <c r="F196" i="5"/>
  <c r="E196" i="5"/>
  <c r="B196" i="5"/>
  <c r="C196" i="5" s="1"/>
  <c r="AD195" i="5"/>
  <c r="AC195" i="5"/>
  <c r="AA195" i="5"/>
  <c r="W195" i="5"/>
  <c r="X195" i="5" s="1"/>
  <c r="U195" i="5"/>
  <c r="R195" i="5"/>
  <c r="N195" i="5"/>
  <c r="O195" i="5" s="1"/>
  <c r="L195" i="5"/>
  <c r="H195" i="5"/>
  <c r="I195" i="5" s="1"/>
  <c r="F195" i="5"/>
  <c r="C195" i="5"/>
  <c r="AC194" i="5"/>
  <c r="AD194" i="5" s="1"/>
  <c r="AA194" i="5"/>
  <c r="X194" i="5"/>
  <c r="W194" i="5"/>
  <c r="U194" i="5"/>
  <c r="R194" i="5"/>
  <c r="N194" i="5"/>
  <c r="L194" i="5"/>
  <c r="I194" i="5"/>
  <c r="H194" i="5"/>
  <c r="F194" i="5"/>
  <c r="C194" i="5"/>
  <c r="Z193" i="5"/>
  <c r="AA193" i="5" s="1"/>
  <c r="W193" i="5"/>
  <c r="X193" i="5" s="1"/>
  <c r="T193" i="5"/>
  <c r="U193" i="5" s="1"/>
  <c r="R193" i="5"/>
  <c r="Q193" i="5"/>
  <c r="N193" i="5"/>
  <c r="O193" i="5" s="1"/>
  <c r="K193" i="5"/>
  <c r="L193" i="5" s="1"/>
  <c r="H193" i="5"/>
  <c r="I193" i="5" s="1"/>
  <c r="F193" i="5"/>
  <c r="E193" i="5"/>
  <c r="B193" i="5"/>
  <c r="C193" i="5" s="1"/>
  <c r="AC192" i="5"/>
  <c r="AD192" i="5" s="1"/>
  <c r="AA192" i="5"/>
  <c r="W192" i="5"/>
  <c r="X192" i="5" s="1"/>
  <c r="U192" i="5"/>
  <c r="R192" i="5"/>
  <c r="O192" i="5"/>
  <c r="N192" i="5"/>
  <c r="L192" i="5"/>
  <c r="H192" i="5"/>
  <c r="I192" i="5" s="1"/>
  <c r="F192" i="5"/>
  <c r="C192" i="5"/>
  <c r="AC191" i="5"/>
  <c r="AD191" i="5" s="1"/>
  <c r="AA191" i="5"/>
  <c r="X191" i="5"/>
  <c r="W191" i="5"/>
  <c r="U191" i="5"/>
  <c r="R191" i="5"/>
  <c r="N191" i="5"/>
  <c r="L191" i="5"/>
  <c r="I191" i="5"/>
  <c r="H191" i="5"/>
  <c r="F191" i="5"/>
  <c r="C191" i="5"/>
  <c r="AD190" i="5"/>
  <c r="AC190" i="5"/>
  <c r="AA190" i="5"/>
  <c r="X190" i="5"/>
  <c r="W190" i="5"/>
  <c r="U190" i="5"/>
  <c r="R190" i="5"/>
  <c r="N190" i="5"/>
  <c r="O190" i="5" s="1"/>
  <c r="L190" i="5"/>
  <c r="H190" i="5"/>
  <c r="I190" i="5" s="1"/>
  <c r="F190" i="5"/>
  <c r="C190" i="5"/>
  <c r="AC189" i="5"/>
  <c r="AD189" i="5" s="1"/>
  <c r="AA189" i="5"/>
  <c r="W189" i="5"/>
  <c r="U189" i="5"/>
  <c r="R189" i="5"/>
  <c r="O189" i="5"/>
  <c r="N189" i="5"/>
  <c r="L189" i="5"/>
  <c r="I189" i="5"/>
  <c r="H189" i="5"/>
  <c r="F189" i="5"/>
  <c r="C189" i="5"/>
  <c r="AC188" i="5"/>
  <c r="AD188" i="5" s="1"/>
  <c r="AA188" i="5"/>
  <c r="X188" i="5"/>
  <c r="W188" i="5"/>
  <c r="U188" i="5"/>
  <c r="R188" i="5"/>
  <c r="N188" i="5"/>
  <c r="O188" i="5" s="1"/>
  <c r="L188" i="5"/>
  <c r="H188" i="5"/>
  <c r="I188" i="5" s="1"/>
  <c r="F188" i="5"/>
  <c r="C188" i="5"/>
  <c r="AC187" i="5"/>
  <c r="AD187" i="5" s="1"/>
  <c r="AA187" i="5"/>
  <c r="X187" i="5"/>
  <c r="W187" i="5"/>
  <c r="U187" i="5"/>
  <c r="R187" i="5"/>
  <c r="N187" i="5"/>
  <c r="L187" i="5"/>
  <c r="I187" i="5"/>
  <c r="H187" i="5"/>
  <c r="F187" i="5"/>
  <c r="C187" i="5"/>
  <c r="AD186" i="5"/>
  <c r="AC186" i="5"/>
  <c r="AA186" i="5"/>
  <c r="X186" i="5"/>
  <c r="W186" i="5"/>
  <c r="U186" i="5"/>
  <c r="R186" i="5"/>
  <c r="N186" i="5"/>
  <c r="O186" i="5" s="1"/>
  <c r="L186" i="5"/>
  <c r="H186" i="5"/>
  <c r="I186" i="5" s="1"/>
  <c r="F186" i="5"/>
  <c r="C186" i="5"/>
  <c r="AC184" i="5"/>
  <c r="AD184" i="5" s="1"/>
  <c r="AA184" i="5"/>
  <c r="W184" i="5"/>
  <c r="U184" i="5"/>
  <c r="R184" i="5"/>
  <c r="O184" i="5"/>
  <c r="N184" i="5"/>
  <c r="L184" i="5"/>
  <c r="I184" i="5"/>
  <c r="H184" i="5"/>
  <c r="F184" i="5"/>
  <c r="C184" i="5"/>
  <c r="AC183" i="5"/>
  <c r="AD183" i="5" s="1"/>
  <c r="AA183" i="5"/>
  <c r="X183" i="5"/>
  <c r="W183" i="5"/>
  <c r="U183" i="5"/>
  <c r="R183" i="5"/>
  <c r="O183" i="5"/>
  <c r="N183" i="5"/>
  <c r="L183" i="5"/>
  <c r="H183" i="5"/>
  <c r="I183" i="5" s="1"/>
  <c r="F183" i="5"/>
  <c r="C183" i="5"/>
  <c r="Z182" i="5"/>
  <c r="AC182" i="5" s="1"/>
  <c r="AD182" i="5" s="1"/>
  <c r="W182" i="5"/>
  <c r="X182" i="5" s="1"/>
  <c r="U182" i="5"/>
  <c r="T182" i="5"/>
  <c r="Q182" i="5"/>
  <c r="R182" i="5" s="1"/>
  <c r="K182" i="5"/>
  <c r="L182" i="5" s="1"/>
  <c r="E182" i="5"/>
  <c r="F182" i="5" s="1"/>
  <c r="C182" i="5"/>
  <c r="B182" i="5"/>
  <c r="AC181" i="5"/>
  <c r="AD181" i="5" s="1"/>
  <c r="AA181" i="5"/>
  <c r="W181" i="5"/>
  <c r="U181" i="5"/>
  <c r="R181" i="5"/>
  <c r="O181" i="5"/>
  <c r="N181" i="5"/>
  <c r="L181" i="5"/>
  <c r="I181" i="5"/>
  <c r="H181" i="5"/>
  <c r="F181" i="5"/>
  <c r="C181" i="5"/>
  <c r="AC180" i="5"/>
  <c r="AD180" i="5" s="1"/>
  <c r="AA180" i="5"/>
  <c r="X180" i="5"/>
  <c r="W180" i="5"/>
  <c r="U180" i="5"/>
  <c r="R180" i="5"/>
  <c r="N180" i="5"/>
  <c r="O180" i="5" s="1"/>
  <c r="L180" i="5"/>
  <c r="H180" i="5"/>
  <c r="I180" i="5" s="1"/>
  <c r="F180" i="5"/>
  <c r="C180" i="5"/>
  <c r="AC179" i="5"/>
  <c r="AD179" i="5" s="1"/>
  <c r="AA179" i="5"/>
  <c r="X179" i="5"/>
  <c r="W179" i="5"/>
  <c r="U179" i="5"/>
  <c r="R179" i="5"/>
  <c r="N179" i="5"/>
  <c r="L179" i="5"/>
  <c r="H179" i="5"/>
  <c r="I179" i="5" s="1"/>
  <c r="F179" i="5"/>
  <c r="C179" i="5"/>
  <c r="AD178" i="5"/>
  <c r="AC178" i="5"/>
  <c r="AA178" i="5"/>
  <c r="X178" i="5"/>
  <c r="W178" i="5"/>
  <c r="U178" i="5"/>
  <c r="R178" i="5"/>
  <c r="N178" i="5"/>
  <c r="O178" i="5" s="1"/>
  <c r="L178" i="5"/>
  <c r="H178" i="5"/>
  <c r="I178" i="5" s="1"/>
  <c r="F178" i="5"/>
  <c r="C178" i="5"/>
  <c r="AC177" i="5"/>
  <c r="AD177" i="5" s="1"/>
  <c r="AA177" i="5"/>
  <c r="W177" i="5"/>
  <c r="U177" i="5"/>
  <c r="R177" i="5"/>
  <c r="O177" i="5"/>
  <c r="N177" i="5"/>
  <c r="L177" i="5"/>
  <c r="I177" i="5"/>
  <c r="H177" i="5"/>
  <c r="F177" i="5"/>
  <c r="C177" i="5"/>
  <c r="AD175" i="5"/>
  <c r="AC175" i="5"/>
  <c r="AA175" i="5"/>
  <c r="W175" i="5"/>
  <c r="X175" i="5" s="1"/>
  <c r="U175" i="5"/>
  <c r="R175" i="5"/>
  <c r="N175" i="5"/>
  <c r="O175" i="5" s="1"/>
  <c r="L175" i="5"/>
  <c r="H175" i="5"/>
  <c r="I175" i="5" s="1"/>
  <c r="F175" i="5"/>
  <c r="C175" i="5"/>
  <c r="Z172" i="5"/>
  <c r="AA172" i="5" s="1"/>
  <c r="K172" i="5"/>
  <c r="L172" i="5" s="1"/>
  <c r="AA171" i="5"/>
  <c r="Z171" i="5"/>
  <c r="W171" i="5"/>
  <c r="X171" i="5" s="1"/>
  <c r="U171" i="5"/>
  <c r="T171" i="5"/>
  <c r="Q171" i="5"/>
  <c r="K171" i="5"/>
  <c r="L171" i="5" s="1"/>
  <c r="E171" i="5"/>
  <c r="F171" i="5" s="1"/>
  <c r="C171" i="5"/>
  <c r="B171" i="5"/>
  <c r="N171" i="5" s="1"/>
  <c r="O171" i="5" s="1"/>
  <c r="AA170" i="5"/>
  <c r="Z170" i="5"/>
  <c r="U170" i="5"/>
  <c r="T170" i="5"/>
  <c r="Q170" i="5"/>
  <c r="AC170" i="5" s="1"/>
  <c r="AD170" i="5" s="1"/>
  <c r="N170" i="5"/>
  <c r="O170" i="5" s="1"/>
  <c r="K170" i="5"/>
  <c r="L170" i="5" s="1"/>
  <c r="E170" i="5"/>
  <c r="F170" i="5" s="1"/>
  <c r="C170" i="5"/>
  <c r="B170" i="5"/>
  <c r="H170" i="5" s="1"/>
  <c r="I170" i="5" s="1"/>
  <c r="AC169" i="5"/>
  <c r="AD169" i="5" s="1"/>
  <c r="AA169" i="5"/>
  <c r="X169" i="5"/>
  <c r="W169" i="5"/>
  <c r="U169" i="5"/>
  <c r="R169" i="5"/>
  <c r="O169" i="5"/>
  <c r="N169" i="5"/>
  <c r="L169" i="5"/>
  <c r="I169" i="5"/>
  <c r="H169" i="5"/>
  <c r="F169" i="5"/>
  <c r="C169" i="5"/>
  <c r="AC168" i="5"/>
  <c r="AD168" i="5" s="1"/>
  <c r="AA168" i="5"/>
  <c r="W168" i="5"/>
  <c r="X168" i="5" s="1"/>
  <c r="U168" i="5"/>
  <c r="R168" i="5"/>
  <c r="O168" i="5"/>
  <c r="N168" i="5"/>
  <c r="L168" i="5"/>
  <c r="H168" i="5"/>
  <c r="I168" i="5" s="1"/>
  <c r="F168" i="5"/>
  <c r="C168" i="5"/>
  <c r="AC167" i="5"/>
  <c r="AD167" i="5" s="1"/>
  <c r="AA167" i="5"/>
  <c r="X167" i="5"/>
  <c r="W167" i="5"/>
  <c r="U167" i="5"/>
  <c r="R167" i="5"/>
  <c r="O167" i="5"/>
  <c r="N167" i="5"/>
  <c r="L167" i="5"/>
  <c r="I167" i="5"/>
  <c r="H167" i="5"/>
  <c r="F167" i="5"/>
  <c r="C167" i="5"/>
  <c r="Z166" i="5"/>
  <c r="AA166" i="5" s="1"/>
  <c r="W166" i="5"/>
  <c r="X166" i="5" s="1"/>
  <c r="T166" i="5"/>
  <c r="U166" i="5" s="1"/>
  <c r="R166" i="5"/>
  <c r="Q166" i="5"/>
  <c r="N166" i="5"/>
  <c r="O166" i="5" s="1"/>
  <c r="L166" i="5"/>
  <c r="K166" i="5"/>
  <c r="H166" i="5"/>
  <c r="I166" i="5" s="1"/>
  <c r="F166" i="5"/>
  <c r="E166" i="5"/>
  <c r="B166" i="5"/>
  <c r="C166" i="5" s="1"/>
  <c r="AC165" i="5"/>
  <c r="AD165" i="5" s="1"/>
  <c r="AA165" i="5"/>
  <c r="X165" i="5"/>
  <c r="W165" i="5"/>
  <c r="U165" i="5"/>
  <c r="R165" i="5"/>
  <c r="O165" i="5"/>
  <c r="N165" i="5"/>
  <c r="L165" i="5"/>
  <c r="H165" i="5"/>
  <c r="I165" i="5" s="1"/>
  <c r="F165" i="5"/>
  <c r="C165" i="5"/>
  <c r="AC164" i="5"/>
  <c r="AD164" i="5" s="1"/>
  <c r="AA164" i="5"/>
  <c r="X164" i="5"/>
  <c r="W164" i="5"/>
  <c r="U164" i="5"/>
  <c r="R164" i="5"/>
  <c r="O164" i="5"/>
  <c r="N164" i="5"/>
  <c r="L164" i="5"/>
  <c r="I164" i="5"/>
  <c r="H164" i="5"/>
  <c r="F164" i="5"/>
  <c r="C164" i="5"/>
  <c r="AD163" i="5"/>
  <c r="AC163" i="5"/>
  <c r="AA163" i="5"/>
  <c r="X163" i="5"/>
  <c r="W163" i="5"/>
  <c r="U163" i="5"/>
  <c r="R163" i="5"/>
  <c r="O163" i="5"/>
  <c r="N163" i="5"/>
  <c r="L163" i="5"/>
  <c r="H163" i="5"/>
  <c r="I163" i="5" s="1"/>
  <c r="F163" i="5"/>
  <c r="C163" i="5"/>
  <c r="AC162" i="5"/>
  <c r="AD162" i="5" s="1"/>
  <c r="AA162" i="5"/>
  <c r="X162" i="5"/>
  <c r="W162" i="5"/>
  <c r="U162" i="5"/>
  <c r="R162" i="5"/>
  <c r="O162" i="5"/>
  <c r="N162" i="5"/>
  <c r="L162" i="5"/>
  <c r="I162" i="5"/>
  <c r="H162" i="5"/>
  <c r="F162" i="5"/>
  <c r="C162" i="5"/>
  <c r="AC161" i="5"/>
  <c r="AD161" i="5" s="1"/>
  <c r="AA161" i="5"/>
  <c r="W161" i="5"/>
  <c r="X161" i="5" s="1"/>
  <c r="U161" i="5"/>
  <c r="R161" i="5"/>
  <c r="O161" i="5"/>
  <c r="N161" i="5"/>
  <c r="L161" i="5"/>
  <c r="H161" i="5"/>
  <c r="I161" i="5" s="1"/>
  <c r="F161" i="5"/>
  <c r="C161" i="5"/>
  <c r="AC160" i="5"/>
  <c r="AD160" i="5" s="1"/>
  <c r="AA160" i="5"/>
  <c r="X160" i="5"/>
  <c r="W160" i="5"/>
  <c r="U160" i="5"/>
  <c r="R160" i="5"/>
  <c r="O160" i="5"/>
  <c r="N160" i="5"/>
  <c r="L160" i="5"/>
  <c r="I160" i="5"/>
  <c r="H160" i="5"/>
  <c r="F160" i="5"/>
  <c r="C160" i="5"/>
  <c r="Z158" i="5"/>
  <c r="AA158" i="5" s="1"/>
  <c r="W158" i="5"/>
  <c r="X158" i="5" s="1"/>
  <c r="T158" i="5"/>
  <c r="U158" i="5" s="1"/>
  <c r="R158" i="5"/>
  <c r="Q158" i="5"/>
  <c r="AC158" i="5" s="1"/>
  <c r="AD158" i="5" s="1"/>
  <c r="L158" i="5"/>
  <c r="K158" i="5"/>
  <c r="F158" i="5"/>
  <c r="E158" i="5"/>
  <c r="B158" i="5"/>
  <c r="N158" i="5" s="1"/>
  <c r="O158" i="5" s="1"/>
  <c r="AC157" i="5"/>
  <c r="AD157" i="5" s="1"/>
  <c r="AA157" i="5"/>
  <c r="W157" i="5"/>
  <c r="X157" i="5" s="1"/>
  <c r="U157" i="5"/>
  <c r="R157" i="5"/>
  <c r="O157" i="5"/>
  <c r="N157" i="5"/>
  <c r="L157" i="5"/>
  <c r="H157" i="5"/>
  <c r="I157" i="5" s="1"/>
  <c r="F157" i="5"/>
  <c r="C157" i="5"/>
  <c r="AC156" i="5"/>
  <c r="AD156" i="5" s="1"/>
  <c r="AA156" i="5"/>
  <c r="X156" i="5"/>
  <c r="W156" i="5"/>
  <c r="U156" i="5"/>
  <c r="R156" i="5"/>
  <c r="O156" i="5"/>
  <c r="N156" i="5"/>
  <c r="L156" i="5"/>
  <c r="H156" i="5"/>
  <c r="I156" i="5" s="1"/>
  <c r="F156" i="5"/>
  <c r="C156" i="5"/>
  <c r="AD155" i="5"/>
  <c r="AC155" i="5"/>
  <c r="AA155" i="5"/>
  <c r="W155" i="5"/>
  <c r="X155" i="5" s="1"/>
  <c r="U155" i="5"/>
  <c r="R155" i="5"/>
  <c r="O155" i="5"/>
  <c r="N155" i="5"/>
  <c r="L155" i="5"/>
  <c r="H155" i="5"/>
  <c r="I155" i="5" s="1"/>
  <c r="F155" i="5"/>
  <c r="C155" i="5"/>
  <c r="AC154" i="5"/>
  <c r="AD154" i="5" s="1"/>
  <c r="AA154" i="5"/>
  <c r="X154" i="5"/>
  <c r="W154" i="5"/>
  <c r="U154" i="5"/>
  <c r="R154" i="5"/>
  <c r="O154" i="5"/>
  <c r="N154" i="5"/>
  <c r="L154" i="5"/>
  <c r="I154" i="5"/>
  <c r="H154" i="5"/>
  <c r="F154" i="5"/>
  <c r="C154" i="5"/>
  <c r="AC153" i="5"/>
  <c r="AD153" i="5" s="1"/>
  <c r="AA153" i="5"/>
  <c r="W153" i="5"/>
  <c r="X153" i="5" s="1"/>
  <c r="U153" i="5"/>
  <c r="R153" i="5"/>
  <c r="N153" i="5"/>
  <c r="O153" i="5" s="1"/>
  <c r="L153" i="5"/>
  <c r="H153" i="5"/>
  <c r="I153" i="5" s="1"/>
  <c r="F153" i="5"/>
  <c r="C153" i="5"/>
  <c r="AC151" i="5"/>
  <c r="AD151" i="5" s="1"/>
  <c r="AA151" i="5"/>
  <c r="X151" i="5"/>
  <c r="W151" i="5"/>
  <c r="U151" i="5"/>
  <c r="R151" i="5"/>
  <c r="O151" i="5"/>
  <c r="N151" i="5"/>
  <c r="L151" i="5"/>
  <c r="I151" i="5"/>
  <c r="H151" i="5"/>
  <c r="F151" i="5"/>
  <c r="C151" i="5"/>
  <c r="Z149" i="5"/>
  <c r="AA149" i="5" s="1"/>
  <c r="W149" i="5"/>
  <c r="X149" i="5" s="1"/>
  <c r="T149" i="5"/>
  <c r="U149" i="5" s="1"/>
  <c r="R149" i="5"/>
  <c r="Q149" i="5"/>
  <c r="N149" i="5"/>
  <c r="O149" i="5" s="1"/>
  <c r="L149" i="5"/>
  <c r="K149" i="5"/>
  <c r="H149" i="5"/>
  <c r="I149" i="5" s="1"/>
  <c r="F149" i="5"/>
  <c r="E149" i="5"/>
  <c r="B149" i="5"/>
  <c r="C149" i="5" s="1"/>
  <c r="AC148" i="5"/>
  <c r="AD148" i="5" s="1"/>
  <c r="Z148" i="5"/>
  <c r="AA148" i="5" s="1"/>
  <c r="T148" i="5"/>
  <c r="U148" i="5" s="1"/>
  <c r="R148" i="5"/>
  <c r="Q148" i="5"/>
  <c r="L148" i="5"/>
  <c r="K148" i="5"/>
  <c r="H148" i="5"/>
  <c r="I148" i="5" s="1"/>
  <c r="F148" i="5"/>
  <c r="E148" i="5"/>
  <c r="B148" i="5"/>
  <c r="AD147" i="5"/>
  <c r="AC147" i="5"/>
  <c r="AA147" i="5"/>
  <c r="W147" i="5"/>
  <c r="X147" i="5" s="1"/>
  <c r="U147" i="5"/>
  <c r="R147" i="5"/>
  <c r="O147" i="5"/>
  <c r="N147" i="5"/>
  <c r="L147" i="5"/>
  <c r="H147" i="5"/>
  <c r="I147" i="5" s="1"/>
  <c r="F147" i="5"/>
  <c r="C147" i="5"/>
  <c r="AC146" i="5"/>
  <c r="AD146" i="5" s="1"/>
  <c r="AA146" i="5"/>
  <c r="X146" i="5"/>
  <c r="W146" i="5"/>
  <c r="U146" i="5"/>
  <c r="R146" i="5"/>
  <c r="O146" i="5"/>
  <c r="N146" i="5"/>
  <c r="L146" i="5"/>
  <c r="I146" i="5"/>
  <c r="H146" i="5"/>
  <c r="F146" i="5"/>
  <c r="C146" i="5"/>
  <c r="AC145" i="5"/>
  <c r="AD145" i="5" s="1"/>
  <c r="AA145" i="5"/>
  <c r="X145" i="5"/>
  <c r="W145" i="5"/>
  <c r="U145" i="5"/>
  <c r="R145" i="5"/>
  <c r="N145" i="5"/>
  <c r="O145" i="5" s="1"/>
  <c r="L145" i="5"/>
  <c r="H145" i="5"/>
  <c r="I145" i="5" s="1"/>
  <c r="F145" i="5"/>
  <c r="C145" i="5"/>
  <c r="AC144" i="5"/>
  <c r="AD144" i="5" s="1"/>
  <c r="AA144" i="5"/>
  <c r="X144" i="5"/>
  <c r="W144" i="5"/>
  <c r="U144" i="5"/>
  <c r="R144" i="5"/>
  <c r="O144" i="5"/>
  <c r="N144" i="5"/>
  <c r="L144" i="5"/>
  <c r="I144" i="5"/>
  <c r="H144" i="5"/>
  <c r="F144" i="5"/>
  <c r="C144" i="5"/>
  <c r="AD143" i="5"/>
  <c r="AC143" i="5"/>
  <c r="AA143" i="5"/>
  <c r="X143" i="5"/>
  <c r="W143" i="5"/>
  <c r="U143" i="5"/>
  <c r="R143" i="5"/>
  <c r="O143" i="5"/>
  <c r="N143" i="5"/>
  <c r="L143" i="5"/>
  <c r="H143" i="5"/>
  <c r="I143" i="5" s="1"/>
  <c r="F143" i="5"/>
  <c r="C143" i="5"/>
  <c r="AA141" i="5"/>
  <c r="Z141" i="5"/>
  <c r="W141" i="5"/>
  <c r="X141" i="5" s="1"/>
  <c r="U141" i="5"/>
  <c r="T141" i="5"/>
  <c r="Q141" i="5"/>
  <c r="K141" i="5"/>
  <c r="L141" i="5" s="1"/>
  <c r="H141" i="5"/>
  <c r="I141" i="5" s="1"/>
  <c r="E141" i="5"/>
  <c r="F141" i="5" s="1"/>
  <c r="C141" i="5"/>
  <c r="B141" i="5"/>
  <c r="N141" i="5" s="1"/>
  <c r="O141" i="5" s="1"/>
  <c r="AC140" i="5"/>
  <c r="AD140" i="5" s="1"/>
  <c r="AA140" i="5"/>
  <c r="X140" i="5"/>
  <c r="W140" i="5"/>
  <c r="U140" i="5"/>
  <c r="R140" i="5"/>
  <c r="O140" i="5"/>
  <c r="N140" i="5"/>
  <c r="L140" i="5"/>
  <c r="I140" i="5"/>
  <c r="H140" i="5"/>
  <c r="F140" i="5"/>
  <c r="C140" i="5"/>
  <c r="AD139" i="5"/>
  <c r="AC139" i="5"/>
  <c r="AA139" i="5"/>
  <c r="X139" i="5"/>
  <c r="W139" i="5"/>
  <c r="U139" i="5"/>
  <c r="R139" i="5"/>
  <c r="O139" i="5"/>
  <c r="N139" i="5"/>
  <c r="L139" i="5"/>
  <c r="H139" i="5"/>
  <c r="I139" i="5" s="1"/>
  <c r="F139" i="5"/>
  <c r="C139" i="5"/>
  <c r="AC138" i="5"/>
  <c r="AD138" i="5" s="1"/>
  <c r="AA138" i="5"/>
  <c r="X138" i="5"/>
  <c r="W138" i="5"/>
  <c r="U138" i="5"/>
  <c r="R138" i="5"/>
  <c r="O138" i="5"/>
  <c r="N138" i="5"/>
  <c r="L138" i="5"/>
  <c r="I138" i="5"/>
  <c r="H138" i="5"/>
  <c r="F138" i="5"/>
  <c r="C138" i="5"/>
  <c r="AD137" i="5"/>
  <c r="AC137" i="5"/>
  <c r="AA137" i="5"/>
  <c r="W137" i="5"/>
  <c r="X137" i="5" s="1"/>
  <c r="U137" i="5"/>
  <c r="R137" i="5"/>
  <c r="N137" i="5"/>
  <c r="O137" i="5" s="1"/>
  <c r="L137" i="5"/>
  <c r="H137" i="5"/>
  <c r="I137" i="5" s="1"/>
  <c r="F137" i="5"/>
  <c r="C137" i="5"/>
  <c r="AC136" i="5"/>
  <c r="AD136" i="5" s="1"/>
  <c r="AA136" i="5"/>
  <c r="X136" i="5"/>
  <c r="W136" i="5"/>
  <c r="U136" i="5"/>
  <c r="R136" i="5"/>
  <c r="O136" i="5"/>
  <c r="N136" i="5"/>
  <c r="L136" i="5"/>
  <c r="I136" i="5"/>
  <c r="H136" i="5"/>
  <c r="F136" i="5"/>
  <c r="C136" i="5"/>
  <c r="AD135" i="5"/>
  <c r="AC135" i="5"/>
  <c r="AA135" i="5"/>
  <c r="X135" i="5"/>
  <c r="W135" i="5"/>
  <c r="U135" i="5"/>
  <c r="R135" i="5"/>
  <c r="O135" i="5"/>
  <c r="N135" i="5"/>
  <c r="L135" i="5"/>
  <c r="H135" i="5"/>
  <c r="I135" i="5" s="1"/>
  <c r="F135" i="5"/>
  <c r="C135" i="5"/>
  <c r="AC134" i="5"/>
  <c r="AD134" i="5" s="1"/>
  <c r="AA134" i="5"/>
  <c r="X134" i="5"/>
  <c r="W134" i="5"/>
  <c r="U134" i="5"/>
  <c r="R134" i="5"/>
  <c r="O134" i="5"/>
  <c r="N134" i="5"/>
  <c r="L134" i="5"/>
  <c r="I134" i="5"/>
  <c r="H134" i="5"/>
  <c r="F134" i="5"/>
  <c r="C134" i="5"/>
  <c r="AC133" i="5"/>
  <c r="AD133" i="5" s="1"/>
  <c r="AA133" i="5"/>
  <c r="X133" i="5"/>
  <c r="W133" i="5"/>
  <c r="U133" i="5"/>
  <c r="R133" i="5"/>
  <c r="N133" i="5"/>
  <c r="O133" i="5" s="1"/>
  <c r="L133" i="5"/>
  <c r="H133" i="5"/>
  <c r="I133" i="5" s="1"/>
  <c r="F133" i="5"/>
  <c r="C133" i="5"/>
  <c r="AC132" i="5"/>
  <c r="AD132" i="5" s="1"/>
  <c r="AA132" i="5"/>
  <c r="X132" i="5"/>
  <c r="W132" i="5"/>
  <c r="U132" i="5"/>
  <c r="R132" i="5"/>
  <c r="O132" i="5"/>
  <c r="N132" i="5"/>
  <c r="L132" i="5"/>
  <c r="I132" i="5"/>
  <c r="H132" i="5"/>
  <c r="F132" i="5"/>
  <c r="C132" i="5"/>
  <c r="AD131" i="5"/>
  <c r="AC131" i="5"/>
  <c r="AA131" i="5"/>
  <c r="X131" i="5"/>
  <c r="W131" i="5"/>
  <c r="U131" i="5"/>
  <c r="R131" i="5"/>
  <c r="N131" i="5"/>
  <c r="O131" i="5" s="1"/>
  <c r="L131" i="5"/>
  <c r="H131" i="5"/>
  <c r="I131" i="5" s="1"/>
  <c r="F131" i="5"/>
  <c r="C131" i="5"/>
  <c r="AC130" i="5"/>
  <c r="AD130" i="5" s="1"/>
  <c r="AA130" i="5"/>
  <c r="X130" i="5"/>
  <c r="W130" i="5"/>
  <c r="U130" i="5"/>
  <c r="R130" i="5"/>
  <c r="O130" i="5"/>
  <c r="N130" i="5"/>
  <c r="L130" i="5"/>
  <c r="I130" i="5"/>
  <c r="H130" i="5"/>
  <c r="F130" i="5"/>
  <c r="C130" i="5"/>
  <c r="AD129" i="5"/>
  <c r="AC129" i="5"/>
  <c r="AA129" i="5"/>
  <c r="W129" i="5"/>
  <c r="X129" i="5" s="1"/>
  <c r="U129" i="5"/>
  <c r="R129" i="5"/>
  <c r="O129" i="5"/>
  <c r="N129" i="5"/>
  <c r="L129" i="5"/>
  <c r="H129" i="5"/>
  <c r="I129" i="5" s="1"/>
  <c r="F129" i="5"/>
  <c r="C129" i="5"/>
  <c r="AC127" i="5"/>
  <c r="AD127" i="5" s="1"/>
  <c r="AA127" i="5"/>
  <c r="X127" i="5"/>
  <c r="W127" i="5"/>
  <c r="U127" i="5"/>
  <c r="R127" i="5"/>
  <c r="O127" i="5"/>
  <c r="N127" i="5"/>
  <c r="L127" i="5"/>
  <c r="H127" i="5"/>
  <c r="I127" i="5" s="1"/>
  <c r="F127" i="5"/>
  <c r="C127" i="5"/>
  <c r="Z124" i="5"/>
  <c r="AA124" i="5" s="1"/>
  <c r="T124" i="5"/>
  <c r="R124" i="5"/>
  <c r="Q124" i="5"/>
  <c r="AC124" i="5" s="1"/>
  <c r="AD124" i="5" s="1"/>
  <c r="L124" i="5"/>
  <c r="K124" i="5"/>
  <c r="E124" i="5"/>
  <c r="E172" i="5" s="1"/>
  <c r="B124" i="5"/>
  <c r="N124" i="5" s="1"/>
  <c r="O124" i="5" s="1"/>
  <c r="AD123" i="5"/>
  <c r="AC123" i="5"/>
  <c r="AA123" i="5"/>
  <c r="W123" i="5"/>
  <c r="X123" i="5" s="1"/>
  <c r="U123" i="5"/>
  <c r="R123" i="5"/>
  <c r="N123" i="5"/>
  <c r="O123" i="5" s="1"/>
  <c r="L123" i="5"/>
  <c r="H123" i="5"/>
  <c r="I123" i="5" s="1"/>
  <c r="F123" i="5"/>
  <c r="C123" i="5"/>
  <c r="AC122" i="5"/>
  <c r="AD122" i="5" s="1"/>
  <c r="Z122" i="5"/>
  <c r="AA122" i="5" s="1"/>
  <c r="W122" i="5"/>
  <c r="X122" i="5" s="1"/>
  <c r="U122" i="5"/>
  <c r="T122" i="5"/>
  <c r="Q122" i="5"/>
  <c r="R122" i="5" s="1"/>
  <c r="K122" i="5"/>
  <c r="L122" i="5" s="1"/>
  <c r="E122" i="5"/>
  <c r="F122" i="5" s="1"/>
  <c r="C122" i="5"/>
  <c r="B122" i="5"/>
  <c r="AC121" i="5"/>
  <c r="AD121" i="5" s="1"/>
  <c r="AA121" i="5"/>
  <c r="X121" i="5"/>
  <c r="W121" i="5"/>
  <c r="U121" i="5"/>
  <c r="R121" i="5"/>
  <c r="O121" i="5"/>
  <c r="N121" i="5"/>
  <c r="L121" i="5"/>
  <c r="H121" i="5"/>
  <c r="I121" i="5" s="1"/>
  <c r="F121" i="5"/>
  <c r="C121" i="5"/>
  <c r="AD120" i="5"/>
  <c r="AC120" i="5"/>
  <c r="AA120" i="5"/>
  <c r="W120" i="5"/>
  <c r="X120" i="5" s="1"/>
  <c r="U120" i="5"/>
  <c r="R120" i="5"/>
  <c r="N120" i="5"/>
  <c r="O120" i="5" s="1"/>
  <c r="L120" i="5"/>
  <c r="H120" i="5"/>
  <c r="I120" i="5" s="1"/>
  <c r="F120" i="5"/>
  <c r="C120" i="5"/>
  <c r="AC119" i="5"/>
  <c r="AD119" i="5" s="1"/>
  <c r="AA119" i="5"/>
  <c r="X119" i="5"/>
  <c r="W119" i="5"/>
  <c r="U119" i="5"/>
  <c r="R119" i="5"/>
  <c r="O119" i="5"/>
  <c r="N119" i="5"/>
  <c r="L119" i="5"/>
  <c r="I119" i="5"/>
  <c r="H119" i="5"/>
  <c r="F119" i="5"/>
  <c r="C119" i="5"/>
  <c r="Z118" i="5"/>
  <c r="W118" i="5"/>
  <c r="X118" i="5" s="1"/>
  <c r="T118" i="5"/>
  <c r="U118" i="5" s="1"/>
  <c r="R118" i="5"/>
  <c r="Q118" i="5"/>
  <c r="K118" i="5"/>
  <c r="L118" i="5" s="1"/>
  <c r="H118" i="5"/>
  <c r="I118" i="5" s="1"/>
  <c r="F118" i="5"/>
  <c r="E118" i="5"/>
  <c r="B118" i="5"/>
  <c r="AD117" i="5"/>
  <c r="AC117" i="5"/>
  <c r="AA117" i="5"/>
  <c r="W117" i="5"/>
  <c r="X117" i="5" s="1"/>
  <c r="U117" i="5"/>
  <c r="R117" i="5"/>
  <c r="O117" i="5"/>
  <c r="N117" i="5"/>
  <c r="L117" i="5"/>
  <c r="H117" i="5"/>
  <c r="I117" i="5" s="1"/>
  <c r="F117" i="5"/>
  <c r="C117" i="5"/>
  <c r="AC116" i="5"/>
  <c r="AD116" i="5" s="1"/>
  <c r="AA116" i="5"/>
  <c r="X116" i="5"/>
  <c r="W116" i="5"/>
  <c r="U116" i="5"/>
  <c r="R116" i="5"/>
  <c r="O116" i="5"/>
  <c r="N116" i="5"/>
  <c r="L116" i="5"/>
  <c r="H116" i="5"/>
  <c r="I116" i="5" s="1"/>
  <c r="F116" i="5"/>
  <c r="C116" i="5"/>
  <c r="AC115" i="5"/>
  <c r="AD115" i="5" s="1"/>
  <c r="AA115" i="5"/>
  <c r="X115" i="5"/>
  <c r="W115" i="5"/>
  <c r="U115" i="5"/>
  <c r="R115" i="5"/>
  <c r="N115" i="5"/>
  <c r="O115" i="5" s="1"/>
  <c r="L115" i="5"/>
  <c r="H115" i="5"/>
  <c r="I115" i="5" s="1"/>
  <c r="F115" i="5"/>
  <c r="C115" i="5"/>
  <c r="AC114" i="5"/>
  <c r="AD114" i="5" s="1"/>
  <c r="AA114" i="5"/>
  <c r="X114" i="5"/>
  <c r="W114" i="5"/>
  <c r="U114" i="5"/>
  <c r="R114" i="5"/>
  <c r="O114" i="5"/>
  <c r="N114" i="5"/>
  <c r="L114" i="5"/>
  <c r="I114" i="5"/>
  <c r="H114" i="5"/>
  <c r="F114" i="5"/>
  <c r="C114" i="5"/>
  <c r="AC113" i="5"/>
  <c r="AD113" i="5" s="1"/>
  <c r="AA113" i="5"/>
  <c r="X113" i="5"/>
  <c r="W113" i="5"/>
  <c r="U113" i="5"/>
  <c r="R113" i="5"/>
  <c r="O113" i="5"/>
  <c r="N113" i="5"/>
  <c r="L113" i="5"/>
  <c r="H113" i="5"/>
  <c r="I113" i="5" s="1"/>
  <c r="F113" i="5"/>
  <c r="C113" i="5"/>
  <c r="AC112" i="5"/>
  <c r="AD112" i="5" s="1"/>
  <c r="AA112" i="5"/>
  <c r="X112" i="5"/>
  <c r="W112" i="5"/>
  <c r="U112" i="5"/>
  <c r="R112" i="5"/>
  <c r="O112" i="5"/>
  <c r="N112" i="5"/>
  <c r="L112" i="5"/>
  <c r="H112" i="5"/>
  <c r="I112" i="5" s="1"/>
  <c r="F112" i="5"/>
  <c r="C112" i="5"/>
  <c r="AC111" i="5"/>
  <c r="AD111" i="5" s="1"/>
  <c r="AA111" i="5"/>
  <c r="W111" i="5"/>
  <c r="X111" i="5" s="1"/>
  <c r="U111" i="5"/>
  <c r="R111" i="5"/>
  <c r="O111" i="5"/>
  <c r="N111" i="5"/>
  <c r="L111" i="5"/>
  <c r="H111" i="5"/>
  <c r="I111" i="5" s="1"/>
  <c r="F111" i="5"/>
  <c r="C111" i="5"/>
  <c r="AC110" i="5"/>
  <c r="AD110" i="5" s="1"/>
  <c r="AA110" i="5"/>
  <c r="X110" i="5"/>
  <c r="W110" i="5"/>
  <c r="U110" i="5"/>
  <c r="R110" i="5"/>
  <c r="O110" i="5"/>
  <c r="N110" i="5"/>
  <c r="L110" i="5"/>
  <c r="I110" i="5"/>
  <c r="H110" i="5"/>
  <c r="F110" i="5"/>
  <c r="C110" i="5"/>
  <c r="AD109" i="5"/>
  <c r="AC109" i="5"/>
  <c r="AA109" i="5"/>
  <c r="X109" i="5"/>
  <c r="W109" i="5"/>
  <c r="U109" i="5"/>
  <c r="R109" i="5"/>
  <c r="O109" i="5"/>
  <c r="N109" i="5"/>
  <c r="L109" i="5"/>
  <c r="H109" i="5"/>
  <c r="I109" i="5" s="1"/>
  <c r="F109" i="5"/>
  <c r="C109" i="5"/>
  <c r="AC108" i="5"/>
  <c r="AD108" i="5" s="1"/>
  <c r="AA108" i="5"/>
  <c r="X108" i="5"/>
  <c r="W108" i="5"/>
  <c r="U108" i="5"/>
  <c r="R108" i="5"/>
  <c r="O108" i="5"/>
  <c r="N108" i="5"/>
  <c r="L108" i="5"/>
  <c r="H108" i="5"/>
  <c r="I108" i="5" s="1"/>
  <c r="F108" i="5"/>
  <c r="C108" i="5"/>
  <c r="AC107" i="5"/>
  <c r="AD107" i="5" s="1"/>
  <c r="AA107" i="5"/>
  <c r="X107" i="5"/>
  <c r="W107" i="5"/>
  <c r="U107" i="5"/>
  <c r="R107" i="5"/>
  <c r="N107" i="5"/>
  <c r="O107" i="5" s="1"/>
  <c r="L107" i="5"/>
  <c r="H107" i="5"/>
  <c r="I107" i="5" s="1"/>
  <c r="F107" i="5"/>
  <c r="C107" i="5"/>
  <c r="AC106" i="5"/>
  <c r="AD106" i="5" s="1"/>
  <c r="AA106" i="5"/>
  <c r="X106" i="5"/>
  <c r="W106" i="5"/>
  <c r="U106" i="5"/>
  <c r="R106" i="5"/>
  <c r="O106" i="5"/>
  <c r="N106" i="5"/>
  <c r="L106" i="5"/>
  <c r="I106" i="5"/>
  <c r="H106" i="5"/>
  <c r="F106" i="5"/>
  <c r="C106" i="5"/>
  <c r="AC105" i="5"/>
  <c r="AD105" i="5" s="1"/>
  <c r="AA105" i="5"/>
  <c r="X105" i="5"/>
  <c r="W105" i="5"/>
  <c r="U105" i="5"/>
  <c r="R105" i="5"/>
  <c r="O105" i="5"/>
  <c r="N105" i="5"/>
  <c r="L105" i="5"/>
  <c r="H105" i="5"/>
  <c r="I105" i="5" s="1"/>
  <c r="F105" i="5"/>
  <c r="C105" i="5"/>
  <c r="AC104" i="5"/>
  <c r="AD104" i="5" s="1"/>
  <c r="AA104" i="5"/>
  <c r="X104" i="5"/>
  <c r="W104" i="5"/>
  <c r="U104" i="5"/>
  <c r="R104" i="5"/>
  <c r="O104" i="5"/>
  <c r="N104" i="5"/>
  <c r="L104" i="5"/>
  <c r="H104" i="5"/>
  <c r="I104" i="5" s="1"/>
  <c r="F104" i="5"/>
  <c r="C104" i="5"/>
  <c r="AD103" i="5"/>
  <c r="AC103" i="5"/>
  <c r="AA103" i="5"/>
  <c r="W103" i="5"/>
  <c r="X103" i="5" s="1"/>
  <c r="U103" i="5"/>
  <c r="R103" i="5"/>
  <c r="O103" i="5"/>
  <c r="N103" i="5"/>
  <c r="L103" i="5"/>
  <c r="H103" i="5"/>
  <c r="I103" i="5" s="1"/>
  <c r="F103" i="5"/>
  <c r="C103" i="5"/>
  <c r="AC102" i="5"/>
  <c r="AD102" i="5" s="1"/>
  <c r="AA102" i="5"/>
  <c r="X102" i="5"/>
  <c r="W102" i="5"/>
  <c r="U102" i="5"/>
  <c r="R102" i="5"/>
  <c r="O102" i="5"/>
  <c r="N102" i="5"/>
  <c r="L102" i="5"/>
  <c r="I102" i="5"/>
  <c r="H102" i="5"/>
  <c r="F102" i="5"/>
  <c r="C102" i="5"/>
  <c r="AD101" i="5"/>
  <c r="AC101" i="5"/>
  <c r="AA101" i="5"/>
  <c r="W101" i="5"/>
  <c r="X101" i="5" s="1"/>
  <c r="U101" i="5"/>
  <c r="R101" i="5"/>
  <c r="O101" i="5"/>
  <c r="N101" i="5"/>
  <c r="L101" i="5"/>
  <c r="H101" i="5"/>
  <c r="I101" i="5" s="1"/>
  <c r="F101" i="5"/>
  <c r="C101" i="5"/>
  <c r="AC100" i="5"/>
  <c r="AD100" i="5" s="1"/>
  <c r="AA100" i="5"/>
  <c r="X100" i="5"/>
  <c r="W100" i="5"/>
  <c r="U100" i="5"/>
  <c r="R100" i="5"/>
  <c r="O100" i="5"/>
  <c r="N100" i="5"/>
  <c r="L100" i="5"/>
  <c r="H100" i="5"/>
  <c r="I100" i="5" s="1"/>
  <c r="F100" i="5"/>
  <c r="C100" i="5"/>
  <c r="AC99" i="5"/>
  <c r="AD99" i="5" s="1"/>
  <c r="AA99" i="5"/>
  <c r="X99" i="5"/>
  <c r="W99" i="5"/>
  <c r="U99" i="5"/>
  <c r="R99" i="5"/>
  <c r="N99" i="5"/>
  <c r="O99" i="5" s="1"/>
  <c r="L99" i="5"/>
  <c r="H99" i="5"/>
  <c r="I99" i="5" s="1"/>
  <c r="F99" i="5"/>
  <c r="C99" i="5"/>
  <c r="AC98" i="5"/>
  <c r="AD98" i="5" s="1"/>
  <c r="AA98" i="5"/>
  <c r="X98" i="5"/>
  <c r="W98" i="5"/>
  <c r="U98" i="5"/>
  <c r="R98" i="5"/>
  <c r="O98" i="5"/>
  <c r="N98" i="5"/>
  <c r="L98" i="5"/>
  <c r="I98" i="5"/>
  <c r="H98" i="5"/>
  <c r="F98" i="5"/>
  <c r="C98" i="5"/>
  <c r="AC97" i="5"/>
  <c r="AD97" i="5" s="1"/>
  <c r="AA97" i="5"/>
  <c r="X97" i="5"/>
  <c r="W97" i="5"/>
  <c r="U97" i="5"/>
  <c r="R97" i="5"/>
  <c r="O97" i="5"/>
  <c r="N97" i="5"/>
  <c r="L97" i="5"/>
  <c r="H97" i="5"/>
  <c r="I97" i="5" s="1"/>
  <c r="F97" i="5"/>
  <c r="C97" i="5"/>
  <c r="AC96" i="5"/>
  <c r="AD96" i="5" s="1"/>
  <c r="AA96" i="5"/>
  <c r="X96" i="5"/>
  <c r="W96" i="5"/>
  <c r="U96" i="5"/>
  <c r="R96" i="5"/>
  <c r="O96" i="5"/>
  <c r="N96" i="5"/>
  <c r="L96" i="5"/>
  <c r="H96" i="5"/>
  <c r="I96" i="5" s="1"/>
  <c r="F96" i="5"/>
  <c r="C96" i="5"/>
  <c r="AC95" i="5"/>
  <c r="AD95" i="5" s="1"/>
  <c r="AA95" i="5"/>
  <c r="W95" i="5"/>
  <c r="X95" i="5" s="1"/>
  <c r="U95" i="5"/>
  <c r="R95" i="5"/>
  <c r="O95" i="5"/>
  <c r="N95" i="5"/>
  <c r="L95" i="5"/>
  <c r="H95" i="5"/>
  <c r="I95" i="5" s="1"/>
  <c r="F95" i="5"/>
  <c r="C95" i="5"/>
  <c r="AC94" i="5"/>
  <c r="AD94" i="5" s="1"/>
  <c r="AA94" i="5"/>
  <c r="X94" i="5"/>
  <c r="W94" i="5"/>
  <c r="U94" i="5"/>
  <c r="R94" i="5"/>
  <c r="O94" i="5"/>
  <c r="N94" i="5"/>
  <c r="L94" i="5"/>
  <c r="H94" i="5"/>
  <c r="I94" i="5" s="1"/>
  <c r="F94" i="5"/>
  <c r="C94" i="5"/>
  <c r="AD92" i="5"/>
  <c r="AC92" i="5"/>
  <c r="AA92" i="5"/>
  <c r="X92" i="5"/>
  <c r="W92" i="5"/>
  <c r="U92" i="5"/>
  <c r="R92" i="5"/>
  <c r="O92" i="5"/>
  <c r="N92" i="5"/>
  <c r="L92" i="5"/>
  <c r="H92" i="5"/>
  <c r="I92" i="5" s="1"/>
  <c r="F92" i="5"/>
  <c r="C92" i="5"/>
  <c r="AC91" i="5"/>
  <c r="AD91" i="5" s="1"/>
  <c r="AA91" i="5"/>
  <c r="X91" i="5"/>
  <c r="W91" i="5"/>
  <c r="U91" i="5"/>
  <c r="R91" i="5"/>
  <c r="O91" i="5"/>
  <c r="N91" i="5"/>
  <c r="L91" i="5"/>
  <c r="H91" i="5"/>
  <c r="I91" i="5" s="1"/>
  <c r="F91" i="5"/>
  <c r="C91" i="5"/>
  <c r="AC90" i="5"/>
  <c r="AD90" i="5" s="1"/>
  <c r="AA90" i="5"/>
  <c r="W90" i="5"/>
  <c r="X90" i="5" s="1"/>
  <c r="U90" i="5"/>
  <c r="R90" i="5"/>
  <c r="N90" i="5"/>
  <c r="O90" i="5" s="1"/>
  <c r="L90" i="5"/>
  <c r="H90" i="5"/>
  <c r="I90" i="5" s="1"/>
  <c r="F90" i="5"/>
  <c r="C90" i="5"/>
  <c r="AC89" i="5"/>
  <c r="AD89" i="5" s="1"/>
  <c r="AA89" i="5"/>
  <c r="X89" i="5"/>
  <c r="W89" i="5"/>
  <c r="U89" i="5"/>
  <c r="R89" i="5"/>
  <c r="O89" i="5"/>
  <c r="N89" i="5"/>
  <c r="L89" i="5"/>
  <c r="I89" i="5"/>
  <c r="H89" i="5"/>
  <c r="F89" i="5"/>
  <c r="C89" i="5"/>
  <c r="AC88" i="5"/>
  <c r="AD88" i="5" s="1"/>
  <c r="Z88" i="5"/>
  <c r="AA88" i="5" s="1"/>
  <c r="T88" i="5"/>
  <c r="U88" i="5" s="1"/>
  <c r="Q88" i="5"/>
  <c r="N88" i="5"/>
  <c r="O88" i="5" s="1"/>
  <c r="L88" i="5"/>
  <c r="K88" i="5"/>
  <c r="H88" i="5"/>
  <c r="I88" i="5" s="1"/>
  <c r="F88" i="5"/>
  <c r="E88" i="5"/>
  <c r="B88" i="5"/>
  <c r="C88" i="5" s="1"/>
  <c r="AC87" i="5"/>
  <c r="AD87" i="5" s="1"/>
  <c r="AA87" i="5"/>
  <c r="W87" i="5"/>
  <c r="X87" i="5" s="1"/>
  <c r="U87" i="5"/>
  <c r="R87" i="5"/>
  <c r="N87" i="5"/>
  <c r="O87" i="5" s="1"/>
  <c r="L87" i="5"/>
  <c r="H87" i="5"/>
  <c r="I87" i="5" s="1"/>
  <c r="F87" i="5"/>
  <c r="C87" i="5"/>
  <c r="AC86" i="5"/>
  <c r="AD86" i="5" s="1"/>
  <c r="AA86" i="5"/>
  <c r="X86" i="5"/>
  <c r="W86" i="5"/>
  <c r="U86" i="5"/>
  <c r="R86" i="5"/>
  <c r="O86" i="5"/>
  <c r="N86" i="5"/>
  <c r="L86" i="5"/>
  <c r="H86" i="5"/>
  <c r="I86" i="5" s="1"/>
  <c r="F86" i="5"/>
  <c r="C86" i="5"/>
  <c r="AC85" i="5"/>
  <c r="AD85" i="5" s="1"/>
  <c r="AA85" i="5"/>
  <c r="X85" i="5"/>
  <c r="W85" i="5"/>
  <c r="U85" i="5"/>
  <c r="R85" i="5"/>
  <c r="N85" i="5"/>
  <c r="O85" i="5" s="1"/>
  <c r="L85" i="5"/>
  <c r="H85" i="5"/>
  <c r="I85" i="5" s="1"/>
  <c r="F85" i="5"/>
  <c r="C85" i="5"/>
  <c r="AC84" i="5"/>
  <c r="AD84" i="5" s="1"/>
  <c r="AA84" i="5"/>
  <c r="X84" i="5"/>
  <c r="W84" i="5"/>
  <c r="U84" i="5"/>
  <c r="R84" i="5"/>
  <c r="O84" i="5"/>
  <c r="N84" i="5"/>
  <c r="L84" i="5"/>
  <c r="I84" i="5"/>
  <c r="H84" i="5"/>
  <c r="F84" i="5"/>
  <c r="C84" i="5"/>
  <c r="AD83" i="5"/>
  <c r="AC83" i="5"/>
  <c r="AA83" i="5"/>
  <c r="W83" i="5"/>
  <c r="X83" i="5" s="1"/>
  <c r="U83" i="5"/>
  <c r="R83" i="5"/>
  <c r="N83" i="5"/>
  <c r="O83" i="5" s="1"/>
  <c r="L83" i="5"/>
  <c r="H83" i="5"/>
  <c r="I83" i="5" s="1"/>
  <c r="F83" i="5"/>
  <c r="C83" i="5"/>
  <c r="AC82" i="5"/>
  <c r="AD82" i="5" s="1"/>
  <c r="AA82" i="5"/>
  <c r="X82" i="5"/>
  <c r="W82" i="5"/>
  <c r="U82" i="5"/>
  <c r="R82" i="5"/>
  <c r="O82" i="5"/>
  <c r="N82" i="5"/>
  <c r="L82" i="5"/>
  <c r="H82" i="5"/>
  <c r="I82" i="5" s="1"/>
  <c r="F82" i="5"/>
  <c r="C82" i="5"/>
  <c r="AC81" i="5"/>
  <c r="AD81" i="5" s="1"/>
  <c r="AA81" i="5"/>
  <c r="W81" i="5"/>
  <c r="X81" i="5" s="1"/>
  <c r="U81" i="5"/>
  <c r="R81" i="5"/>
  <c r="O81" i="5"/>
  <c r="N81" i="5"/>
  <c r="L81" i="5"/>
  <c r="H81" i="5"/>
  <c r="I81" i="5" s="1"/>
  <c r="F81" i="5"/>
  <c r="C81" i="5"/>
  <c r="AC80" i="5"/>
  <c r="AD80" i="5" s="1"/>
  <c r="AA80" i="5"/>
  <c r="X80" i="5"/>
  <c r="W80" i="5"/>
  <c r="U80" i="5"/>
  <c r="R80" i="5"/>
  <c r="O80" i="5"/>
  <c r="N80" i="5"/>
  <c r="L80" i="5"/>
  <c r="I80" i="5"/>
  <c r="H80" i="5"/>
  <c r="F80" i="5"/>
  <c r="C80" i="5"/>
  <c r="AD79" i="5"/>
  <c r="AC79" i="5"/>
  <c r="AA79" i="5"/>
  <c r="W79" i="5"/>
  <c r="X79" i="5" s="1"/>
  <c r="U79" i="5"/>
  <c r="R79" i="5"/>
  <c r="N79" i="5"/>
  <c r="O79" i="5" s="1"/>
  <c r="L79" i="5"/>
  <c r="H79" i="5"/>
  <c r="I79" i="5" s="1"/>
  <c r="F79" i="5"/>
  <c r="C79" i="5"/>
  <c r="AC78" i="5"/>
  <c r="AD78" i="5" s="1"/>
  <c r="AA78" i="5"/>
  <c r="X78" i="5"/>
  <c r="W78" i="5"/>
  <c r="U78" i="5"/>
  <c r="R78" i="5"/>
  <c r="O78" i="5"/>
  <c r="N78" i="5"/>
  <c r="L78" i="5"/>
  <c r="H78" i="5"/>
  <c r="I78" i="5" s="1"/>
  <c r="F78" i="5"/>
  <c r="C78" i="5"/>
  <c r="AD77" i="5"/>
  <c r="AC77" i="5"/>
  <c r="AA77" i="5"/>
  <c r="X77" i="5"/>
  <c r="W77" i="5"/>
  <c r="U77" i="5"/>
  <c r="R77" i="5"/>
  <c r="N77" i="5"/>
  <c r="O77" i="5" s="1"/>
  <c r="L77" i="5"/>
  <c r="H77" i="5"/>
  <c r="I77" i="5" s="1"/>
  <c r="F77" i="5"/>
  <c r="C77" i="5"/>
  <c r="AC76" i="5"/>
  <c r="AD76" i="5" s="1"/>
  <c r="AA76" i="5"/>
  <c r="X76" i="5"/>
  <c r="W76" i="5"/>
  <c r="U76" i="5"/>
  <c r="R76" i="5"/>
  <c r="O76" i="5"/>
  <c r="N76" i="5"/>
  <c r="L76" i="5"/>
  <c r="I76" i="5"/>
  <c r="H76" i="5"/>
  <c r="F76" i="5"/>
  <c r="C76" i="5"/>
  <c r="AD75" i="5"/>
  <c r="AC75" i="5"/>
  <c r="AA75" i="5"/>
  <c r="X75" i="5"/>
  <c r="W75" i="5"/>
  <c r="U75" i="5"/>
  <c r="R75" i="5"/>
  <c r="N75" i="5"/>
  <c r="O75" i="5" s="1"/>
  <c r="L75" i="5"/>
  <c r="H75" i="5"/>
  <c r="I75" i="5" s="1"/>
  <c r="F75" i="5"/>
  <c r="C75" i="5"/>
  <c r="AA73" i="5"/>
  <c r="Z73" i="5"/>
  <c r="U73" i="5"/>
  <c r="T73" i="5"/>
  <c r="Q73" i="5"/>
  <c r="K73" i="5"/>
  <c r="L73" i="5" s="1"/>
  <c r="H73" i="5"/>
  <c r="I73" i="5" s="1"/>
  <c r="E73" i="5"/>
  <c r="F73" i="5" s="1"/>
  <c r="B73" i="5"/>
  <c r="C73" i="5" s="1"/>
  <c r="AC72" i="5"/>
  <c r="AD72" i="5" s="1"/>
  <c r="AA72" i="5"/>
  <c r="X72" i="5"/>
  <c r="W72" i="5"/>
  <c r="U72" i="5"/>
  <c r="R72" i="5"/>
  <c r="O72" i="5"/>
  <c r="N72" i="5"/>
  <c r="L72" i="5"/>
  <c r="I72" i="5"/>
  <c r="H72" i="5"/>
  <c r="F72" i="5"/>
  <c r="C72" i="5"/>
  <c r="AD71" i="5"/>
  <c r="AC71" i="5"/>
  <c r="AA71" i="5"/>
  <c r="X71" i="5"/>
  <c r="W71" i="5"/>
  <c r="U71" i="5"/>
  <c r="R71" i="5"/>
  <c r="N71" i="5"/>
  <c r="O71" i="5" s="1"/>
  <c r="L71" i="5"/>
  <c r="H71" i="5"/>
  <c r="I71" i="5" s="1"/>
  <c r="F71" i="5"/>
  <c r="C71" i="5"/>
  <c r="AC70" i="5"/>
  <c r="AD70" i="5" s="1"/>
  <c r="AA70" i="5"/>
  <c r="X70" i="5"/>
  <c r="W70" i="5"/>
  <c r="U70" i="5"/>
  <c r="R70" i="5"/>
  <c r="O70" i="5"/>
  <c r="N70" i="5"/>
  <c r="L70" i="5"/>
  <c r="I70" i="5"/>
  <c r="H70" i="5"/>
  <c r="F70" i="5"/>
  <c r="C70" i="5"/>
  <c r="AC69" i="5"/>
  <c r="AD69" i="5" s="1"/>
  <c r="AA69" i="5"/>
  <c r="W69" i="5"/>
  <c r="X69" i="5" s="1"/>
  <c r="U69" i="5"/>
  <c r="R69" i="5"/>
  <c r="N69" i="5"/>
  <c r="O69" i="5" s="1"/>
  <c r="L69" i="5"/>
  <c r="H69" i="5"/>
  <c r="I69" i="5" s="1"/>
  <c r="F69" i="5"/>
  <c r="C69" i="5"/>
  <c r="AC68" i="5"/>
  <c r="AD68" i="5" s="1"/>
  <c r="AA68" i="5"/>
  <c r="X68" i="5"/>
  <c r="W68" i="5"/>
  <c r="U68" i="5"/>
  <c r="R68" i="5"/>
  <c r="O68" i="5"/>
  <c r="N68" i="5"/>
  <c r="L68" i="5"/>
  <c r="I68" i="5"/>
  <c r="H68" i="5"/>
  <c r="F68" i="5"/>
  <c r="C68" i="5"/>
  <c r="AD67" i="5"/>
  <c r="AC67" i="5"/>
  <c r="AA67" i="5"/>
  <c r="X67" i="5"/>
  <c r="W67" i="5"/>
  <c r="U67" i="5"/>
  <c r="R67" i="5"/>
  <c r="N67" i="5"/>
  <c r="O67" i="5" s="1"/>
  <c r="L67" i="5"/>
  <c r="H67" i="5"/>
  <c r="I67" i="5" s="1"/>
  <c r="F67" i="5"/>
  <c r="C67" i="5"/>
  <c r="AC66" i="5"/>
  <c r="AD66" i="5" s="1"/>
  <c r="AA66" i="5"/>
  <c r="X66" i="5"/>
  <c r="W66" i="5"/>
  <c r="U66" i="5"/>
  <c r="R66" i="5"/>
  <c r="O66" i="5"/>
  <c r="N66" i="5"/>
  <c r="L66" i="5"/>
  <c r="H66" i="5"/>
  <c r="I66" i="5" s="1"/>
  <c r="F66" i="5"/>
  <c r="C66" i="5"/>
  <c r="AC65" i="5"/>
  <c r="AD65" i="5" s="1"/>
  <c r="AA65" i="5"/>
  <c r="W65" i="5"/>
  <c r="X65" i="5" s="1"/>
  <c r="U65" i="5"/>
  <c r="R65" i="5"/>
  <c r="O65" i="5"/>
  <c r="N65" i="5"/>
  <c r="L65" i="5"/>
  <c r="H65" i="5"/>
  <c r="I65" i="5" s="1"/>
  <c r="F65" i="5"/>
  <c r="C65" i="5"/>
  <c r="AC64" i="5"/>
  <c r="AD64" i="5" s="1"/>
  <c r="AA64" i="5"/>
  <c r="X64" i="5"/>
  <c r="W64" i="5"/>
  <c r="U64" i="5"/>
  <c r="R64" i="5"/>
  <c r="O64" i="5"/>
  <c r="N64" i="5"/>
  <c r="L64" i="5"/>
  <c r="H64" i="5"/>
  <c r="I64" i="5" s="1"/>
  <c r="F64" i="5"/>
  <c r="C64" i="5"/>
  <c r="Z62" i="5"/>
  <c r="AA62" i="5" s="1"/>
  <c r="T62" i="5"/>
  <c r="U62" i="5" s="1"/>
  <c r="Q62" i="5"/>
  <c r="K62" i="5"/>
  <c r="H62" i="5"/>
  <c r="I62" i="5" s="1"/>
  <c r="F62" i="5"/>
  <c r="E62" i="5"/>
  <c r="B62" i="5"/>
  <c r="C62" i="5" s="1"/>
  <c r="AD61" i="5"/>
  <c r="AC61" i="5"/>
  <c r="Z61" i="5"/>
  <c r="AA61" i="5" s="1"/>
  <c r="X61" i="5"/>
  <c r="W61" i="5"/>
  <c r="T61" i="5"/>
  <c r="U61" i="5" s="1"/>
  <c r="Q61" i="5"/>
  <c r="R61" i="5" s="1"/>
  <c r="N61" i="5"/>
  <c r="O61" i="5" s="1"/>
  <c r="L61" i="5"/>
  <c r="K61" i="5"/>
  <c r="H61" i="5"/>
  <c r="I61" i="5" s="1"/>
  <c r="F61" i="5"/>
  <c r="E61" i="5"/>
  <c r="B61" i="5"/>
  <c r="C61" i="5" s="1"/>
  <c r="AC60" i="5"/>
  <c r="AD60" i="5" s="1"/>
  <c r="AA60" i="5"/>
  <c r="W60" i="5"/>
  <c r="X60" i="5" s="1"/>
  <c r="U60" i="5"/>
  <c r="R60" i="5"/>
  <c r="O60" i="5"/>
  <c r="N60" i="5"/>
  <c r="L60" i="5"/>
  <c r="H60" i="5"/>
  <c r="I60" i="5" s="1"/>
  <c r="F60" i="5"/>
  <c r="C60" i="5"/>
  <c r="AC59" i="5"/>
  <c r="AD59" i="5" s="1"/>
  <c r="AA59" i="5"/>
  <c r="X59" i="5"/>
  <c r="W59" i="5"/>
  <c r="U59" i="5"/>
  <c r="R59" i="5"/>
  <c r="O59" i="5"/>
  <c r="N59" i="5"/>
  <c r="L59" i="5"/>
  <c r="I59" i="5"/>
  <c r="H59" i="5"/>
  <c r="F59" i="5"/>
  <c r="C59" i="5"/>
  <c r="AD58" i="5"/>
  <c r="AC58" i="5"/>
  <c r="AA58" i="5"/>
  <c r="X58" i="5"/>
  <c r="W58" i="5"/>
  <c r="U58" i="5"/>
  <c r="R58" i="5"/>
  <c r="N58" i="5"/>
  <c r="O58" i="5" s="1"/>
  <c r="L58" i="5"/>
  <c r="H58" i="5"/>
  <c r="I58" i="5" s="1"/>
  <c r="F58" i="5"/>
  <c r="C58" i="5"/>
  <c r="AC57" i="5"/>
  <c r="AD57" i="5" s="1"/>
  <c r="AA57" i="5"/>
  <c r="X57" i="5"/>
  <c r="W57" i="5"/>
  <c r="U57" i="5"/>
  <c r="R57" i="5"/>
  <c r="O57" i="5"/>
  <c r="N57" i="5"/>
  <c r="L57" i="5"/>
  <c r="H57" i="5"/>
  <c r="I57" i="5" s="1"/>
  <c r="F57" i="5"/>
  <c r="C57" i="5"/>
  <c r="AC56" i="5"/>
  <c r="AD56" i="5" s="1"/>
  <c r="AA56" i="5"/>
  <c r="X56" i="5"/>
  <c r="W56" i="5"/>
  <c r="U56" i="5"/>
  <c r="R56" i="5"/>
  <c r="N56" i="5"/>
  <c r="O56" i="5" s="1"/>
  <c r="L56" i="5"/>
  <c r="H56" i="5"/>
  <c r="I56" i="5" s="1"/>
  <c r="F56" i="5"/>
  <c r="C56" i="5"/>
  <c r="AC55" i="5"/>
  <c r="AD55" i="5" s="1"/>
  <c r="AA55" i="5"/>
  <c r="X55" i="5"/>
  <c r="W55" i="5"/>
  <c r="U55" i="5"/>
  <c r="R55" i="5"/>
  <c r="O55" i="5"/>
  <c r="N55" i="5"/>
  <c r="L55" i="5"/>
  <c r="I55" i="5"/>
  <c r="H55" i="5"/>
  <c r="F55" i="5"/>
  <c r="C55" i="5"/>
  <c r="AD54" i="5"/>
  <c r="AC54" i="5"/>
  <c r="AA54" i="5"/>
  <c r="W54" i="5"/>
  <c r="X54" i="5" s="1"/>
  <c r="U54" i="5"/>
  <c r="R54" i="5"/>
  <c r="O54" i="5"/>
  <c r="N54" i="5"/>
  <c r="L54" i="5"/>
  <c r="H54" i="5"/>
  <c r="I54" i="5" s="1"/>
  <c r="F54" i="5"/>
  <c r="C54" i="5"/>
  <c r="AC53" i="5"/>
  <c r="AD53" i="5" s="1"/>
  <c r="AA53" i="5"/>
  <c r="X53" i="5"/>
  <c r="W53" i="5"/>
  <c r="U53" i="5"/>
  <c r="R53" i="5"/>
  <c r="O53" i="5"/>
  <c r="N53" i="5"/>
  <c r="L53" i="5"/>
  <c r="H53" i="5"/>
  <c r="I53" i="5" s="1"/>
  <c r="F53" i="5"/>
  <c r="C53" i="5"/>
  <c r="AD52" i="5"/>
  <c r="AC52" i="5"/>
  <c r="AA52" i="5"/>
  <c r="W52" i="5"/>
  <c r="X52" i="5" s="1"/>
  <c r="U52" i="5"/>
  <c r="R52" i="5"/>
  <c r="O52" i="5"/>
  <c r="N52" i="5"/>
  <c r="L52" i="5"/>
  <c r="H52" i="5"/>
  <c r="I52" i="5" s="1"/>
  <c r="F52" i="5"/>
  <c r="C52" i="5"/>
  <c r="AC51" i="5"/>
  <c r="AD51" i="5" s="1"/>
  <c r="AA51" i="5"/>
  <c r="X51" i="5"/>
  <c r="W51" i="5"/>
  <c r="U51" i="5"/>
  <c r="R51" i="5"/>
  <c r="O51" i="5"/>
  <c r="N51" i="5"/>
  <c r="L51" i="5"/>
  <c r="I51" i="5"/>
  <c r="H51" i="5"/>
  <c r="F51" i="5"/>
  <c r="C51" i="5"/>
  <c r="AD50" i="5"/>
  <c r="AC50" i="5"/>
  <c r="AA50" i="5"/>
  <c r="W50" i="5"/>
  <c r="X50" i="5" s="1"/>
  <c r="U50" i="5"/>
  <c r="R50" i="5"/>
  <c r="O50" i="5"/>
  <c r="N50" i="5"/>
  <c r="L50" i="5"/>
  <c r="H50" i="5"/>
  <c r="I50" i="5" s="1"/>
  <c r="F50" i="5"/>
  <c r="C50" i="5"/>
  <c r="AC49" i="5"/>
  <c r="AD49" i="5" s="1"/>
  <c r="AA49" i="5"/>
  <c r="X49" i="5"/>
  <c r="W49" i="5"/>
  <c r="U49" i="5"/>
  <c r="R49" i="5"/>
  <c r="O49" i="5"/>
  <c r="N49" i="5"/>
  <c r="L49" i="5"/>
  <c r="H49" i="5"/>
  <c r="I49" i="5" s="1"/>
  <c r="F49" i="5"/>
  <c r="C49" i="5"/>
  <c r="AC48" i="5"/>
  <c r="AD48" i="5" s="1"/>
  <c r="AA48" i="5"/>
  <c r="X48" i="5"/>
  <c r="W48" i="5"/>
  <c r="U48" i="5"/>
  <c r="R48" i="5"/>
  <c r="N48" i="5"/>
  <c r="O48" i="5" s="1"/>
  <c r="L48" i="5"/>
  <c r="H48" i="5"/>
  <c r="I48" i="5" s="1"/>
  <c r="F48" i="5"/>
  <c r="C48" i="5"/>
  <c r="AC47" i="5"/>
  <c r="AD47" i="5" s="1"/>
  <c r="AA47" i="5"/>
  <c r="X47" i="5"/>
  <c r="W47" i="5"/>
  <c r="U47" i="5"/>
  <c r="R47" i="5"/>
  <c r="O47" i="5"/>
  <c r="N47" i="5"/>
  <c r="L47" i="5"/>
  <c r="I47" i="5"/>
  <c r="H47" i="5"/>
  <c r="F47" i="5"/>
  <c r="C47" i="5"/>
  <c r="AD46" i="5"/>
  <c r="AC46" i="5"/>
  <c r="AA46" i="5"/>
  <c r="W46" i="5"/>
  <c r="X46" i="5" s="1"/>
  <c r="U46" i="5"/>
  <c r="R46" i="5"/>
  <c r="N46" i="5"/>
  <c r="O46" i="5" s="1"/>
  <c r="L46" i="5"/>
  <c r="H46" i="5"/>
  <c r="I46" i="5" s="1"/>
  <c r="F46" i="5"/>
  <c r="C46" i="5"/>
  <c r="AC44" i="5"/>
  <c r="AD44" i="5" s="1"/>
  <c r="AA44" i="5"/>
  <c r="X44" i="5"/>
  <c r="W44" i="5"/>
  <c r="U44" i="5"/>
  <c r="R44" i="5"/>
  <c r="O44" i="5"/>
  <c r="N44" i="5"/>
  <c r="L44" i="5"/>
  <c r="H44" i="5"/>
  <c r="I44" i="5" s="1"/>
  <c r="F44" i="5"/>
  <c r="C44" i="5"/>
  <c r="AD43" i="5"/>
  <c r="AC43" i="5"/>
  <c r="AA43" i="5"/>
  <c r="W43" i="5"/>
  <c r="X43" i="5" s="1"/>
  <c r="U43" i="5"/>
  <c r="R43" i="5"/>
  <c r="N43" i="5"/>
  <c r="O43" i="5" s="1"/>
  <c r="L43" i="5"/>
  <c r="H43" i="5"/>
  <c r="I43" i="5" s="1"/>
  <c r="F43" i="5"/>
  <c r="C43" i="5"/>
  <c r="AC42" i="5"/>
  <c r="AD42" i="5" s="1"/>
  <c r="AA42" i="5"/>
  <c r="X42" i="5"/>
  <c r="W42" i="5"/>
  <c r="U42" i="5"/>
  <c r="R42" i="5"/>
  <c r="N42" i="5"/>
  <c r="O42" i="5" s="1"/>
  <c r="L42" i="5"/>
  <c r="H42" i="5"/>
  <c r="I42" i="5" s="1"/>
  <c r="F42" i="5"/>
  <c r="C42" i="5"/>
  <c r="AC40" i="5"/>
  <c r="AD40" i="5" s="1"/>
  <c r="Z40" i="5"/>
  <c r="AA40" i="5" s="1"/>
  <c r="T40" i="5"/>
  <c r="U40" i="5" s="1"/>
  <c r="R40" i="5"/>
  <c r="Q40" i="5"/>
  <c r="K40" i="5"/>
  <c r="L40" i="5" s="1"/>
  <c r="H40" i="5"/>
  <c r="I40" i="5" s="1"/>
  <c r="E40" i="5"/>
  <c r="F40" i="5" s="1"/>
  <c r="B40" i="5"/>
  <c r="C40" i="5" s="1"/>
  <c r="AD39" i="5"/>
  <c r="AC39" i="5"/>
  <c r="AA39" i="5"/>
  <c r="W39" i="5"/>
  <c r="X39" i="5" s="1"/>
  <c r="U39" i="5"/>
  <c r="R39" i="5"/>
  <c r="O39" i="5"/>
  <c r="N39" i="5"/>
  <c r="L39" i="5"/>
  <c r="H39" i="5"/>
  <c r="I39" i="5" s="1"/>
  <c r="F39" i="5"/>
  <c r="C39" i="5"/>
  <c r="AD38" i="5"/>
  <c r="AC38" i="5"/>
  <c r="AA38" i="5"/>
  <c r="X38" i="5"/>
  <c r="W38" i="5"/>
  <c r="U38" i="5"/>
  <c r="R38" i="5"/>
  <c r="O38" i="5"/>
  <c r="N38" i="5"/>
  <c r="L38" i="5"/>
  <c r="I38" i="5"/>
  <c r="H38" i="5"/>
  <c r="F38" i="5"/>
  <c r="C38" i="5"/>
  <c r="AC37" i="5"/>
  <c r="AD37" i="5" s="1"/>
  <c r="AA37" i="5"/>
  <c r="W37" i="5"/>
  <c r="X37" i="5" s="1"/>
  <c r="U37" i="5"/>
  <c r="R37" i="5"/>
  <c r="N37" i="5"/>
  <c r="O37" i="5" s="1"/>
  <c r="L37" i="5"/>
  <c r="I37" i="5"/>
  <c r="H37" i="5"/>
  <c r="F37" i="5"/>
  <c r="C37" i="5"/>
  <c r="AC36" i="5"/>
  <c r="AD36" i="5" s="1"/>
  <c r="AA36" i="5"/>
  <c r="W36" i="5"/>
  <c r="X36" i="5" s="1"/>
  <c r="U36" i="5"/>
  <c r="R36" i="5"/>
  <c r="O36" i="5"/>
  <c r="N36" i="5"/>
  <c r="L36" i="5"/>
  <c r="H36" i="5"/>
  <c r="I36" i="5" s="1"/>
  <c r="F36" i="5"/>
  <c r="C36" i="5"/>
  <c r="AC35" i="5"/>
  <c r="AD35" i="5" s="1"/>
  <c r="AA35" i="5"/>
  <c r="W35" i="5"/>
  <c r="X35" i="5" s="1"/>
  <c r="U35" i="5"/>
  <c r="R35" i="5"/>
  <c r="O35" i="5"/>
  <c r="N35" i="5"/>
  <c r="L35" i="5"/>
  <c r="H35" i="5"/>
  <c r="I35" i="5" s="1"/>
  <c r="F35" i="5"/>
  <c r="C35" i="5"/>
  <c r="AC34" i="5"/>
  <c r="AD34" i="5" s="1"/>
  <c r="AA34" i="5"/>
  <c r="X34" i="5"/>
  <c r="W34" i="5"/>
  <c r="U34" i="5"/>
  <c r="R34" i="5"/>
  <c r="O34" i="5"/>
  <c r="N34" i="5"/>
  <c r="L34" i="5"/>
  <c r="I34" i="5"/>
  <c r="H34" i="5"/>
  <c r="F34" i="5"/>
  <c r="C34" i="5"/>
  <c r="AC33" i="5"/>
  <c r="AD33" i="5" s="1"/>
  <c r="AA33" i="5"/>
  <c r="W33" i="5"/>
  <c r="X33" i="5" s="1"/>
  <c r="U33" i="5"/>
  <c r="R33" i="5"/>
  <c r="O33" i="5"/>
  <c r="N33" i="5"/>
  <c r="L33" i="5"/>
  <c r="H33" i="5"/>
  <c r="I33" i="5" s="1"/>
  <c r="F33" i="5"/>
  <c r="C33" i="5"/>
  <c r="AC32" i="5"/>
  <c r="AD32" i="5" s="1"/>
  <c r="AA32" i="5"/>
  <c r="W32" i="5"/>
  <c r="X32" i="5" s="1"/>
  <c r="U32" i="5"/>
  <c r="R32" i="5"/>
  <c r="O32" i="5"/>
  <c r="N32" i="5"/>
  <c r="L32" i="5"/>
  <c r="I32" i="5"/>
  <c r="H32" i="5"/>
  <c r="F32" i="5"/>
  <c r="C32" i="5"/>
  <c r="AC31" i="5"/>
  <c r="AD31" i="5" s="1"/>
  <c r="AA31" i="5"/>
  <c r="W31" i="5"/>
  <c r="X31" i="5" s="1"/>
  <c r="U31" i="5"/>
  <c r="R31" i="5"/>
  <c r="N31" i="5"/>
  <c r="O31" i="5" s="1"/>
  <c r="L31" i="5"/>
  <c r="H31" i="5"/>
  <c r="I31" i="5" s="1"/>
  <c r="F31" i="5"/>
  <c r="C31" i="5"/>
  <c r="Z29" i="5"/>
  <c r="AA29" i="5" s="1"/>
  <c r="T29" i="5"/>
  <c r="U29" i="5" s="1"/>
  <c r="Q29" i="5"/>
  <c r="AC29" i="5" s="1"/>
  <c r="AD29" i="5" s="1"/>
  <c r="K29" i="5"/>
  <c r="L29" i="5" s="1"/>
  <c r="E29" i="5"/>
  <c r="F29" i="5" s="1"/>
  <c r="C29" i="5"/>
  <c r="B29" i="5"/>
  <c r="AC28" i="5"/>
  <c r="AD28" i="5" s="1"/>
  <c r="AA28" i="5"/>
  <c r="X28" i="5"/>
  <c r="W28" i="5"/>
  <c r="U28" i="5"/>
  <c r="R28" i="5"/>
  <c r="O28" i="5"/>
  <c r="N28" i="5"/>
  <c r="L28" i="5"/>
  <c r="I28" i="5"/>
  <c r="H28" i="5"/>
  <c r="F28" i="5"/>
  <c r="C28" i="5"/>
  <c r="AC27" i="5"/>
  <c r="AD27" i="5" s="1"/>
  <c r="AA27" i="5"/>
  <c r="W27" i="5"/>
  <c r="X27" i="5" s="1"/>
  <c r="U27" i="5"/>
  <c r="R27" i="5"/>
  <c r="O27" i="5"/>
  <c r="N27" i="5"/>
  <c r="L27" i="5"/>
  <c r="H27" i="5"/>
  <c r="I27" i="5" s="1"/>
  <c r="F27" i="5"/>
  <c r="C27" i="5"/>
  <c r="AD26" i="5"/>
  <c r="AC26" i="5"/>
  <c r="AA26" i="5"/>
  <c r="X26" i="5"/>
  <c r="W26" i="5"/>
  <c r="U26" i="5"/>
  <c r="R26" i="5"/>
  <c r="O26" i="5"/>
  <c r="N26" i="5"/>
  <c r="L26" i="5"/>
  <c r="I26" i="5"/>
  <c r="H26" i="5"/>
  <c r="F26" i="5"/>
  <c r="C26" i="5"/>
  <c r="AC25" i="5"/>
  <c r="AD25" i="5" s="1"/>
  <c r="AA25" i="5"/>
  <c r="W25" i="5"/>
  <c r="X25" i="5" s="1"/>
  <c r="U25" i="5"/>
  <c r="R25" i="5"/>
  <c r="N25" i="5"/>
  <c r="O25" i="5" s="1"/>
  <c r="L25" i="5"/>
  <c r="I25" i="5"/>
  <c r="H25" i="5"/>
  <c r="F25" i="5"/>
  <c r="C25" i="5"/>
  <c r="AC24" i="5"/>
  <c r="AD24" i="5" s="1"/>
  <c r="AA24" i="5"/>
  <c r="X24" i="5"/>
  <c r="W24" i="5"/>
  <c r="U24" i="5"/>
  <c r="R24" i="5"/>
  <c r="N24" i="5"/>
  <c r="O24" i="5" s="1"/>
  <c r="L24" i="5"/>
  <c r="I24" i="5"/>
  <c r="H24" i="5"/>
  <c r="F24" i="5"/>
  <c r="C24" i="5"/>
  <c r="AC23" i="5"/>
  <c r="AD23" i="5" s="1"/>
  <c r="AA23" i="5"/>
  <c r="W23" i="5"/>
  <c r="X23" i="5" s="1"/>
  <c r="U23" i="5"/>
  <c r="R23" i="5"/>
  <c r="O23" i="5"/>
  <c r="N23" i="5"/>
  <c r="L23" i="5"/>
  <c r="H23" i="5"/>
  <c r="I23" i="5" s="1"/>
  <c r="F23" i="5"/>
  <c r="C23" i="5"/>
  <c r="AD22" i="5"/>
  <c r="AC22" i="5"/>
  <c r="AA22" i="5"/>
  <c r="W22" i="5"/>
  <c r="X22" i="5" s="1"/>
  <c r="U22" i="5"/>
  <c r="R22" i="5"/>
  <c r="N22" i="5"/>
  <c r="O22" i="5" s="1"/>
  <c r="L22" i="5"/>
  <c r="H22" i="5"/>
  <c r="I22" i="5" s="1"/>
  <c r="F22" i="5"/>
  <c r="C22" i="5"/>
  <c r="AC21" i="5"/>
  <c r="AD21" i="5" s="1"/>
  <c r="AA21" i="5"/>
  <c r="X21" i="5"/>
  <c r="W21" i="5"/>
  <c r="U21" i="5"/>
  <c r="R21" i="5"/>
  <c r="N21" i="5"/>
  <c r="O21" i="5" s="1"/>
  <c r="L21" i="5"/>
  <c r="I21" i="5"/>
  <c r="H21" i="5"/>
  <c r="F21" i="5"/>
  <c r="C21" i="5"/>
  <c r="AC19" i="5"/>
  <c r="AD19" i="5" s="1"/>
  <c r="AA19" i="5"/>
  <c r="X19" i="5"/>
  <c r="W19" i="5"/>
  <c r="U19" i="5"/>
  <c r="R19" i="5"/>
  <c r="O19" i="5"/>
  <c r="N19" i="5"/>
  <c r="L19" i="5"/>
  <c r="H19" i="5"/>
  <c r="I19" i="5" s="1"/>
  <c r="F19" i="5"/>
  <c r="C19" i="5"/>
  <c r="AA18" i="5"/>
  <c r="Z18" i="5"/>
  <c r="W18" i="5"/>
  <c r="X18" i="5" s="1"/>
  <c r="T18" i="5"/>
  <c r="U18" i="5" s="1"/>
  <c r="Q18" i="5"/>
  <c r="N18" i="5"/>
  <c r="O18" i="5" s="1"/>
  <c r="K18" i="5"/>
  <c r="L18" i="5" s="1"/>
  <c r="E18" i="5"/>
  <c r="F18" i="5" s="1"/>
  <c r="C18" i="5"/>
  <c r="B18" i="5"/>
  <c r="AD17" i="5"/>
  <c r="AC17" i="5"/>
  <c r="AA17" i="5"/>
  <c r="X17" i="5"/>
  <c r="W17" i="5"/>
  <c r="U17" i="5"/>
  <c r="R17" i="5"/>
  <c r="N17" i="5"/>
  <c r="O17" i="5" s="1"/>
  <c r="L17" i="5"/>
  <c r="H17" i="5"/>
  <c r="I17" i="5" s="1"/>
  <c r="F17" i="5"/>
  <c r="C17" i="5"/>
  <c r="AD16" i="5"/>
  <c r="AC16" i="5"/>
  <c r="AA16" i="5"/>
  <c r="W16" i="5"/>
  <c r="X16" i="5" s="1"/>
  <c r="U16" i="5"/>
  <c r="R16" i="5"/>
  <c r="O16" i="5"/>
  <c r="N16" i="5"/>
  <c r="L16" i="5"/>
  <c r="I16" i="5"/>
  <c r="H16" i="5"/>
  <c r="F16" i="5"/>
  <c r="C16" i="5"/>
  <c r="AC15" i="5"/>
  <c r="AD15" i="5" s="1"/>
  <c r="AA15" i="5"/>
  <c r="X15" i="5"/>
  <c r="W15" i="5"/>
  <c r="U15" i="5"/>
  <c r="R15" i="5"/>
  <c r="O15" i="5"/>
  <c r="N15" i="5"/>
  <c r="L15" i="5"/>
  <c r="I15" i="5"/>
  <c r="H15" i="5"/>
  <c r="F15" i="5"/>
  <c r="C15" i="5"/>
  <c r="AC14" i="5"/>
  <c r="AD14" i="5" s="1"/>
  <c r="AA14" i="5"/>
  <c r="X14" i="5"/>
  <c r="W14" i="5"/>
  <c r="U14" i="5"/>
  <c r="R14" i="5"/>
  <c r="O14" i="5"/>
  <c r="N14" i="5"/>
  <c r="L14" i="5"/>
  <c r="H14" i="5"/>
  <c r="I14" i="5" s="1"/>
  <c r="F14" i="5"/>
  <c r="C14" i="5"/>
  <c r="AD13" i="5"/>
  <c r="AC13" i="5"/>
  <c r="AA13" i="5"/>
  <c r="X13" i="5"/>
  <c r="W13" i="5"/>
  <c r="U13" i="5"/>
  <c r="R13" i="5"/>
  <c r="N13" i="5"/>
  <c r="O13" i="5" s="1"/>
  <c r="L13" i="5"/>
  <c r="I13" i="5"/>
  <c r="H13" i="5"/>
  <c r="F13" i="5"/>
  <c r="C13" i="5"/>
  <c r="AD12" i="5"/>
  <c r="AC12" i="5"/>
  <c r="AA12" i="5"/>
  <c r="W12" i="5"/>
  <c r="X12" i="5" s="1"/>
  <c r="U12" i="5"/>
  <c r="R12" i="5"/>
  <c r="N12" i="5"/>
  <c r="O12" i="5" s="1"/>
  <c r="L12" i="5"/>
  <c r="I12" i="5"/>
  <c r="H12" i="5"/>
  <c r="F12" i="5"/>
  <c r="C12" i="5"/>
  <c r="AC11" i="5"/>
  <c r="AD11" i="5" s="1"/>
  <c r="AA11" i="5"/>
  <c r="W11" i="5"/>
  <c r="X11" i="5" s="1"/>
  <c r="U11" i="5"/>
  <c r="R11" i="5"/>
  <c r="O11" i="5"/>
  <c r="N11" i="5"/>
  <c r="L11" i="5"/>
  <c r="H11" i="5"/>
  <c r="I11" i="5" s="1"/>
  <c r="F11" i="5"/>
  <c r="C11" i="5"/>
  <c r="AC10" i="5"/>
  <c r="AD10" i="5" s="1"/>
  <c r="AA10" i="5"/>
  <c r="W10" i="5"/>
  <c r="X10" i="5" s="1"/>
  <c r="U10" i="5"/>
  <c r="R10" i="5"/>
  <c r="O10" i="5"/>
  <c r="N10" i="5"/>
  <c r="L10" i="5"/>
  <c r="H10" i="5"/>
  <c r="I10" i="5" s="1"/>
  <c r="F10" i="5"/>
  <c r="C10" i="5"/>
  <c r="AD8" i="5"/>
  <c r="AC8" i="5"/>
  <c r="AA8" i="5"/>
  <c r="X8" i="5"/>
  <c r="W8" i="5"/>
  <c r="U8" i="5"/>
  <c r="R8" i="5"/>
  <c r="N8" i="5"/>
  <c r="O8" i="5" s="1"/>
  <c r="L8" i="5"/>
  <c r="I8" i="5"/>
  <c r="H8" i="5"/>
  <c r="F8" i="5"/>
  <c r="C8" i="5"/>
  <c r="AC444" i="4"/>
  <c r="W444" i="4"/>
  <c r="N444" i="4"/>
  <c r="O423" i="4" s="1"/>
  <c r="H444" i="4"/>
  <c r="AC442" i="4"/>
  <c r="AD442" i="4" s="1"/>
  <c r="Z442" i="4"/>
  <c r="AA442" i="4" s="1"/>
  <c r="T442" i="4"/>
  <c r="U442" i="4" s="1"/>
  <c r="R442" i="4"/>
  <c r="Q442" i="4"/>
  <c r="K442" i="4"/>
  <c r="L442" i="4" s="1"/>
  <c r="H442" i="4"/>
  <c r="I442" i="4" s="1"/>
  <c r="E442" i="4"/>
  <c r="F442" i="4" s="1"/>
  <c r="B442" i="4"/>
  <c r="Z441" i="4"/>
  <c r="X441" i="4"/>
  <c r="W441" i="4"/>
  <c r="U441" i="4"/>
  <c r="T441" i="4"/>
  <c r="R441" i="4"/>
  <c r="Q441" i="4"/>
  <c r="K441" i="4"/>
  <c r="N441" i="4" s="1"/>
  <c r="I441" i="4"/>
  <c r="H441" i="4"/>
  <c r="E441" i="4"/>
  <c r="F441" i="4" s="1"/>
  <c r="B441" i="4"/>
  <c r="C441" i="4" s="1"/>
  <c r="AC440" i="4"/>
  <c r="AD440" i="4" s="1"/>
  <c r="AA440" i="4"/>
  <c r="W440" i="4"/>
  <c r="X440" i="4" s="1"/>
  <c r="U440" i="4"/>
  <c r="R440" i="4"/>
  <c r="N440" i="4"/>
  <c r="L440" i="4"/>
  <c r="H440" i="4"/>
  <c r="I440" i="4" s="1"/>
  <c r="F440" i="4"/>
  <c r="C440" i="4"/>
  <c r="AC439" i="4"/>
  <c r="AD439" i="4" s="1"/>
  <c r="AA439" i="4"/>
  <c r="W439" i="4"/>
  <c r="X439" i="4" s="1"/>
  <c r="U439" i="4"/>
  <c r="R439" i="4"/>
  <c r="N439" i="4"/>
  <c r="L439" i="4"/>
  <c r="H439" i="4"/>
  <c r="I439" i="4" s="1"/>
  <c r="F439" i="4"/>
  <c r="C439" i="4"/>
  <c r="AD438" i="4"/>
  <c r="AC438" i="4"/>
  <c r="AA438" i="4"/>
  <c r="W438" i="4"/>
  <c r="U438" i="4"/>
  <c r="R438" i="4"/>
  <c r="N438" i="4"/>
  <c r="O438" i="4" s="1"/>
  <c r="L438" i="4"/>
  <c r="H438" i="4"/>
  <c r="F438" i="4"/>
  <c r="C438" i="4"/>
  <c r="AC437" i="4"/>
  <c r="AD437" i="4" s="1"/>
  <c r="AA437" i="4"/>
  <c r="X437" i="4"/>
  <c r="W437" i="4"/>
  <c r="U437" i="4"/>
  <c r="R437" i="4"/>
  <c r="N437" i="4"/>
  <c r="L437" i="4"/>
  <c r="H437" i="4"/>
  <c r="I437" i="4" s="1"/>
  <c r="F437" i="4"/>
  <c r="C437" i="4"/>
  <c r="AD436" i="4"/>
  <c r="AC436" i="4"/>
  <c r="AA436" i="4"/>
  <c r="W436" i="4"/>
  <c r="X436" i="4" s="1"/>
  <c r="U436" i="4"/>
  <c r="R436" i="4"/>
  <c r="N436" i="4"/>
  <c r="L436" i="4"/>
  <c r="H436" i="4"/>
  <c r="I436" i="4" s="1"/>
  <c r="F436" i="4"/>
  <c r="C436" i="4"/>
  <c r="AC435" i="4"/>
  <c r="AD435" i="4" s="1"/>
  <c r="AA435" i="4"/>
  <c r="W435" i="4"/>
  <c r="U435" i="4"/>
  <c r="R435" i="4"/>
  <c r="N435" i="4"/>
  <c r="L435" i="4"/>
  <c r="H435" i="4"/>
  <c r="I435" i="4" s="1"/>
  <c r="F435" i="4"/>
  <c r="C435" i="4"/>
  <c r="AC434" i="4"/>
  <c r="AD434" i="4" s="1"/>
  <c r="AA434" i="4"/>
  <c r="X434" i="4"/>
  <c r="W434" i="4"/>
  <c r="U434" i="4"/>
  <c r="R434" i="4"/>
  <c r="N434" i="4"/>
  <c r="L434" i="4"/>
  <c r="H434" i="4"/>
  <c r="I434" i="4" s="1"/>
  <c r="F434" i="4"/>
  <c r="C434" i="4"/>
  <c r="AD433" i="4"/>
  <c r="AC433" i="4"/>
  <c r="AA433" i="4"/>
  <c r="X433" i="4"/>
  <c r="W433" i="4"/>
  <c r="U433" i="4"/>
  <c r="R433" i="4"/>
  <c r="N433" i="4"/>
  <c r="L433" i="4"/>
  <c r="H433" i="4"/>
  <c r="I433" i="4" s="1"/>
  <c r="F433" i="4"/>
  <c r="C433" i="4"/>
  <c r="AD432" i="4"/>
  <c r="AC432" i="4"/>
  <c r="AA432" i="4"/>
  <c r="W432" i="4"/>
  <c r="X432" i="4" s="1"/>
  <c r="U432" i="4"/>
  <c r="R432" i="4"/>
  <c r="O432" i="4"/>
  <c r="N432" i="4"/>
  <c r="L432" i="4"/>
  <c r="H432" i="4"/>
  <c r="F432" i="4"/>
  <c r="C432" i="4"/>
  <c r="Z429" i="4"/>
  <c r="AA429" i="4" s="1"/>
  <c r="T429" i="4"/>
  <c r="U429" i="4" s="1"/>
  <c r="Q429" i="4"/>
  <c r="AC429" i="4" s="1"/>
  <c r="AD429" i="4" s="1"/>
  <c r="N429" i="4"/>
  <c r="L429" i="4"/>
  <c r="K429" i="4"/>
  <c r="E429" i="4"/>
  <c r="F429" i="4" s="1"/>
  <c r="C429" i="4"/>
  <c r="B429" i="4"/>
  <c r="H429" i="4" s="1"/>
  <c r="I429" i="4" s="1"/>
  <c r="AC428" i="4"/>
  <c r="AD428" i="4" s="1"/>
  <c r="Z428" i="4"/>
  <c r="AA428" i="4" s="1"/>
  <c r="T428" i="4"/>
  <c r="U428" i="4" s="1"/>
  <c r="Q428" i="4"/>
  <c r="R428" i="4" s="1"/>
  <c r="K428" i="4"/>
  <c r="L428" i="4" s="1"/>
  <c r="E428" i="4"/>
  <c r="F428" i="4" s="1"/>
  <c r="B428" i="4"/>
  <c r="AC427" i="4"/>
  <c r="AD427" i="4" s="1"/>
  <c r="AA427" i="4"/>
  <c r="W427" i="4"/>
  <c r="X427" i="4" s="1"/>
  <c r="U427" i="4"/>
  <c r="R427" i="4"/>
  <c r="N427" i="4"/>
  <c r="L427" i="4"/>
  <c r="H427" i="4"/>
  <c r="F427" i="4"/>
  <c r="C427" i="4"/>
  <c r="AC426" i="4"/>
  <c r="AD426" i="4" s="1"/>
  <c r="AA426" i="4"/>
  <c r="W426" i="4"/>
  <c r="X426" i="4" s="1"/>
  <c r="U426" i="4"/>
  <c r="R426" i="4"/>
  <c r="N426" i="4"/>
  <c r="O426" i="4" s="1"/>
  <c r="L426" i="4"/>
  <c r="H426" i="4"/>
  <c r="I426" i="4" s="1"/>
  <c r="F426" i="4"/>
  <c r="C426" i="4"/>
  <c r="AC425" i="4"/>
  <c r="AD425" i="4" s="1"/>
  <c r="AA425" i="4"/>
  <c r="X425" i="4"/>
  <c r="W425" i="4"/>
  <c r="U425" i="4"/>
  <c r="R425" i="4"/>
  <c r="N425" i="4"/>
  <c r="L425" i="4"/>
  <c r="I425" i="4"/>
  <c r="H425" i="4"/>
  <c r="F425" i="4"/>
  <c r="C425" i="4"/>
  <c r="AC424" i="4"/>
  <c r="AD424" i="4" s="1"/>
  <c r="AA424" i="4"/>
  <c r="W424" i="4"/>
  <c r="X424" i="4" s="1"/>
  <c r="U424" i="4"/>
  <c r="R424" i="4"/>
  <c r="N424" i="4"/>
  <c r="L424" i="4"/>
  <c r="H424" i="4"/>
  <c r="I424" i="4" s="1"/>
  <c r="F424" i="4"/>
  <c r="C424" i="4"/>
  <c r="AC423" i="4"/>
  <c r="AD423" i="4" s="1"/>
  <c r="AA423" i="4"/>
  <c r="W423" i="4"/>
  <c r="U423" i="4"/>
  <c r="R423" i="4"/>
  <c r="N423" i="4"/>
  <c r="L423" i="4"/>
  <c r="I423" i="4"/>
  <c r="H423" i="4"/>
  <c r="F423" i="4"/>
  <c r="C423" i="4"/>
  <c r="AC422" i="4"/>
  <c r="AD422" i="4" s="1"/>
  <c r="AA422" i="4"/>
  <c r="W422" i="4"/>
  <c r="X422" i="4" s="1"/>
  <c r="U422" i="4"/>
  <c r="R422" i="4"/>
  <c r="N422" i="4"/>
  <c r="L422" i="4"/>
  <c r="H422" i="4"/>
  <c r="I422" i="4" s="1"/>
  <c r="F422" i="4"/>
  <c r="C422" i="4"/>
  <c r="AC421" i="4"/>
  <c r="AD421" i="4" s="1"/>
  <c r="AA421" i="4"/>
  <c r="W421" i="4"/>
  <c r="U421" i="4"/>
  <c r="R421" i="4"/>
  <c r="O421" i="4"/>
  <c r="N421" i="4"/>
  <c r="L421" i="4"/>
  <c r="H421" i="4"/>
  <c r="I421" i="4" s="1"/>
  <c r="F421" i="4"/>
  <c r="C421" i="4"/>
  <c r="AC420" i="4"/>
  <c r="AD420" i="4" s="1"/>
  <c r="AA420" i="4"/>
  <c r="W420" i="4"/>
  <c r="U420" i="4"/>
  <c r="R420" i="4"/>
  <c r="N420" i="4"/>
  <c r="O420" i="4" s="1"/>
  <c r="L420" i="4"/>
  <c r="H420" i="4"/>
  <c r="I420" i="4" s="1"/>
  <c r="F420" i="4"/>
  <c r="C420" i="4"/>
  <c r="AC419" i="4"/>
  <c r="AD419" i="4" s="1"/>
  <c r="AA419" i="4"/>
  <c r="W419" i="4"/>
  <c r="X419" i="4" s="1"/>
  <c r="U419" i="4"/>
  <c r="R419" i="4"/>
  <c r="N419" i="4"/>
  <c r="L419" i="4"/>
  <c r="H419" i="4"/>
  <c r="I419" i="4" s="1"/>
  <c r="F419" i="4"/>
  <c r="C419" i="4"/>
  <c r="AD418" i="4"/>
  <c r="AC418" i="4"/>
  <c r="AA418" i="4"/>
  <c r="W418" i="4"/>
  <c r="X418" i="4" s="1"/>
  <c r="U418" i="4"/>
  <c r="R418" i="4"/>
  <c r="N418" i="4"/>
  <c r="L418" i="4"/>
  <c r="H418" i="4"/>
  <c r="F418" i="4"/>
  <c r="C418" i="4"/>
  <c r="AC417" i="4"/>
  <c r="AD417" i="4" s="1"/>
  <c r="AA417" i="4"/>
  <c r="W417" i="4"/>
  <c r="U417" i="4"/>
  <c r="R417" i="4"/>
  <c r="O417" i="4"/>
  <c r="N417" i="4"/>
  <c r="L417" i="4"/>
  <c r="H417" i="4"/>
  <c r="I417" i="4" s="1"/>
  <c r="F417" i="4"/>
  <c r="C417" i="4"/>
  <c r="AC416" i="4"/>
  <c r="AD416" i="4" s="1"/>
  <c r="AA416" i="4"/>
  <c r="X416" i="4"/>
  <c r="W416" i="4"/>
  <c r="U416" i="4"/>
  <c r="R416" i="4"/>
  <c r="N416" i="4"/>
  <c r="O416" i="4" s="1"/>
  <c r="L416" i="4"/>
  <c r="H416" i="4"/>
  <c r="I416" i="4" s="1"/>
  <c r="F416" i="4"/>
  <c r="C416" i="4"/>
  <c r="AC415" i="4"/>
  <c r="AD415" i="4" s="1"/>
  <c r="AA415" i="4"/>
  <c r="X415" i="4"/>
  <c r="W415" i="4"/>
  <c r="U415" i="4"/>
  <c r="R415" i="4"/>
  <c r="N415" i="4"/>
  <c r="L415" i="4"/>
  <c r="H415" i="4"/>
  <c r="I415" i="4" s="1"/>
  <c r="F415" i="4"/>
  <c r="C415" i="4"/>
  <c r="AD414" i="4"/>
  <c r="AC414" i="4"/>
  <c r="AA414" i="4"/>
  <c r="W414" i="4"/>
  <c r="X414" i="4" s="1"/>
  <c r="U414" i="4"/>
  <c r="R414" i="4"/>
  <c r="N414" i="4"/>
  <c r="O414" i="4" s="1"/>
  <c r="L414" i="4"/>
  <c r="H414" i="4"/>
  <c r="F414" i="4"/>
  <c r="C414" i="4"/>
  <c r="AC413" i="4"/>
  <c r="AD413" i="4" s="1"/>
  <c r="AA413" i="4"/>
  <c r="X413" i="4"/>
  <c r="W413" i="4"/>
  <c r="U413" i="4"/>
  <c r="R413" i="4"/>
  <c r="N413" i="4"/>
  <c r="L413" i="4"/>
  <c r="I413" i="4"/>
  <c r="H413" i="4"/>
  <c r="F413" i="4"/>
  <c r="C413" i="4"/>
  <c r="AC412" i="4"/>
  <c r="AD412" i="4" s="1"/>
  <c r="AA412" i="4"/>
  <c r="W412" i="4"/>
  <c r="X412" i="4" s="1"/>
  <c r="U412" i="4"/>
  <c r="R412" i="4"/>
  <c r="N412" i="4"/>
  <c r="L412" i="4"/>
  <c r="H412" i="4"/>
  <c r="I412" i="4" s="1"/>
  <c r="F412" i="4"/>
  <c r="C412" i="4"/>
  <c r="AC411" i="4"/>
  <c r="AD411" i="4" s="1"/>
  <c r="AA411" i="4"/>
  <c r="W411" i="4"/>
  <c r="X411" i="4" s="1"/>
  <c r="U411" i="4"/>
  <c r="R411" i="4"/>
  <c r="O411" i="4"/>
  <c r="N411" i="4"/>
  <c r="L411" i="4"/>
  <c r="H411" i="4"/>
  <c r="F411" i="4"/>
  <c r="C411" i="4"/>
  <c r="AC410" i="4"/>
  <c r="AD410" i="4" s="1"/>
  <c r="AA410" i="4"/>
  <c r="W410" i="4"/>
  <c r="X410" i="4" s="1"/>
  <c r="U410" i="4"/>
  <c r="R410" i="4"/>
  <c r="N410" i="4"/>
  <c r="O410" i="4" s="1"/>
  <c r="L410" i="4"/>
  <c r="H410" i="4"/>
  <c r="I410" i="4" s="1"/>
  <c r="F410" i="4"/>
  <c r="C410" i="4"/>
  <c r="AC409" i="4"/>
  <c r="AD409" i="4" s="1"/>
  <c r="AA409" i="4"/>
  <c r="X409" i="4"/>
  <c r="W409" i="4"/>
  <c r="U409" i="4"/>
  <c r="R409" i="4"/>
  <c r="N409" i="4"/>
  <c r="L409" i="4"/>
  <c r="H409" i="4"/>
  <c r="I409" i="4" s="1"/>
  <c r="F409" i="4"/>
  <c r="C409" i="4"/>
  <c r="AC408" i="4"/>
  <c r="AD408" i="4" s="1"/>
  <c r="AA408" i="4"/>
  <c r="W408" i="4"/>
  <c r="X408" i="4" s="1"/>
  <c r="U408" i="4"/>
  <c r="R408" i="4"/>
  <c r="O408" i="4"/>
  <c r="N408" i="4"/>
  <c r="L408" i="4"/>
  <c r="H408" i="4"/>
  <c r="I408" i="4" s="1"/>
  <c r="F408" i="4"/>
  <c r="C408" i="4"/>
  <c r="AC407" i="4"/>
  <c r="AD407" i="4" s="1"/>
  <c r="AA407" i="4"/>
  <c r="W407" i="4"/>
  <c r="X407" i="4" s="1"/>
  <c r="U407" i="4"/>
  <c r="R407" i="4"/>
  <c r="N407" i="4"/>
  <c r="O407" i="4" s="1"/>
  <c r="L407" i="4"/>
  <c r="I407" i="4"/>
  <c r="H407" i="4"/>
  <c r="F407" i="4"/>
  <c r="C407" i="4"/>
  <c r="AD403" i="4"/>
  <c r="AA403" i="4"/>
  <c r="Z403" i="4"/>
  <c r="W403" i="4"/>
  <c r="X403" i="4" s="1"/>
  <c r="T403" i="4"/>
  <c r="U403" i="4" s="1"/>
  <c r="R403" i="4"/>
  <c r="Q403" i="4"/>
  <c r="AC403" i="4" s="1"/>
  <c r="K403" i="4"/>
  <c r="L403" i="4" s="1"/>
  <c r="H403" i="4"/>
  <c r="I403" i="4" s="1"/>
  <c r="F403" i="4"/>
  <c r="E403" i="4"/>
  <c r="C403" i="4"/>
  <c r="B403" i="4"/>
  <c r="AC402" i="4"/>
  <c r="AD402" i="4" s="1"/>
  <c r="AA402" i="4"/>
  <c r="W402" i="4"/>
  <c r="X402" i="4" s="1"/>
  <c r="U402" i="4"/>
  <c r="R402" i="4"/>
  <c r="N402" i="4"/>
  <c r="O402" i="4" s="1"/>
  <c r="L402" i="4"/>
  <c r="H402" i="4"/>
  <c r="I402" i="4" s="1"/>
  <c r="F402" i="4"/>
  <c r="C402" i="4"/>
  <c r="AD401" i="4"/>
  <c r="AC401" i="4"/>
  <c r="AA401" i="4"/>
  <c r="W401" i="4"/>
  <c r="X401" i="4" s="1"/>
  <c r="U401" i="4"/>
  <c r="R401" i="4"/>
  <c r="N401" i="4"/>
  <c r="O401" i="4" s="1"/>
  <c r="L401" i="4"/>
  <c r="H401" i="4"/>
  <c r="I401" i="4" s="1"/>
  <c r="F401" i="4"/>
  <c r="C401" i="4"/>
  <c r="AD400" i="4"/>
  <c r="AC400" i="4"/>
  <c r="AA400" i="4"/>
  <c r="W400" i="4"/>
  <c r="X400" i="4" s="1"/>
  <c r="U400" i="4"/>
  <c r="R400" i="4"/>
  <c r="O400" i="4"/>
  <c r="N400" i="4"/>
  <c r="L400" i="4"/>
  <c r="H400" i="4"/>
  <c r="F400" i="4"/>
  <c r="C400" i="4"/>
  <c r="AD399" i="4"/>
  <c r="AC399" i="4"/>
  <c r="AA399" i="4"/>
  <c r="W399" i="4"/>
  <c r="X399" i="4" s="1"/>
  <c r="U399" i="4"/>
  <c r="R399" i="4"/>
  <c r="N399" i="4"/>
  <c r="O399" i="4" s="1"/>
  <c r="L399" i="4"/>
  <c r="I399" i="4"/>
  <c r="H399" i="4"/>
  <c r="F399" i="4"/>
  <c r="C399" i="4"/>
  <c r="AC398" i="4"/>
  <c r="AD398" i="4" s="1"/>
  <c r="AA398" i="4"/>
  <c r="W398" i="4"/>
  <c r="X398" i="4" s="1"/>
  <c r="U398" i="4"/>
  <c r="R398" i="4"/>
  <c r="N398" i="4"/>
  <c r="L398" i="4"/>
  <c r="I398" i="4"/>
  <c r="H398" i="4"/>
  <c r="F398" i="4"/>
  <c r="C398" i="4"/>
  <c r="AD397" i="4"/>
  <c r="AC397" i="4"/>
  <c r="AA397" i="4"/>
  <c r="W397" i="4"/>
  <c r="X397" i="4" s="1"/>
  <c r="U397" i="4"/>
  <c r="R397" i="4"/>
  <c r="N397" i="4"/>
  <c r="O397" i="4" s="1"/>
  <c r="L397" i="4"/>
  <c r="H397" i="4"/>
  <c r="I397" i="4" s="1"/>
  <c r="F397" i="4"/>
  <c r="C397" i="4"/>
  <c r="AD396" i="4"/>
  <c r="AA396" i="4"/>
  <c r="Z396" i="4"/>
  <c r="T396" i="4"/>
  <c r="W396" i="4" s="1"/>
  <c r="X396" i="4" s="1"/>
  <c r="R396" i="4"/>
  <c r="Q396" i="4"/>
  <c r="AC396" i="4" s="1"/>
  <c r="K396" i="4"/>
  <c r="L396" i="4" s="1"/>
  <c r="H396" i="4"/>
  <c r="I396" i="4" s="1"/>
  <c r="F396" i="4"/>
  <c r="E396" i="4"/>
  <c r="C396" i="4"/>
  <c r="B396" i="4"/>
  <c r="AC395" i="4"/>
  <c r="AD395" i="4" s="1"/>
  <c r="AA395" i="4"/>
  <c r="W395" i="4"/>
  <c r="X395" i="4" s="1"/>
  <c r="U395" i="4"/>
  <c r="R395" i="4"/>
  <c r="N395" i="4"/>
  <c r="O395" i="4" s="1"/>
  <c r="L395" i="4"/>
  <c r="H395" i="4"/>
  <c r="I395" i="4" s="1"/>
  <c r="F395" i="4"/>
  <c r="C395" i="4"/>
  <c r="AD394" i="4"/>
  <c r="AC394" i="4"/>
  <c r="AA394" i="4"/>
  <c r="W394" i="4"/>
  <c r="X394" i="4" s="1"/>
  <c r="U394" i="4"/>
  <c r="R394" i="4"/>
  <c r="N394" i="4"/>
  <c r="O394" i="4" s="1"/>
  <c r="L394" i="4"/>
  <c r="H394" i="4"/>
  <c r="I394" i="4" s="1"/>
  <c r="F394" i="4"/>
  <c r="C394" i="4"/>
  <c r="AD393" i="4"/>
  <c r="AA393" i="4"/>
  <c r="Z393" i="4"/>
  <c r="W393" i="4"/>
  <c r="X393" i="4" s="1"/>
  <c r="T393" i="4"/>
  <c r="U393" i="4" s="1"/>
  <c r="R393" i="4"/>
  <c r="Q393" i="4"/>
  <c r="AC393" i="4" s="1"/>
  <c r="K393" i="4"/>
  <c r="L393" i="4" s="1"/>
  <c r="I393" i="4"/>
  <c r="H393" i="4"/>
  <c r="F393" i="4"/>
  <c r="E393" i="4"/>
  <c r="C393" i="4"/>
  <c r="B393" i="4"/>
  <c r="N393" i="4" s="1"/>
  <c r="O393" i="4" s="1"/>
  <c r="AC392" i="4"/>
  <c r="AD392" i="4" s="1"/>
  <c r="AA392" i="4"/>
  <c r="X392" i="4"/>
  <c r="W392" i="4"/>
  <c r="U392" i="4"/>
  <c r="R392" i="4"/>
  <c r="N392" i="4"/>
  <c r="O392" i="4" s="1"/>
  <c r="L392" i="4"/>
  <c r="H392" i="4"/>
  <c r="I392" i="4" s="1"/>
  <c r="F392" i="4"/>
  <c r="C392" i="4"/>
  <c r="AD391" i="4"/>
  <c r="AC391" i="4"/>
  <c r="AA391" i="4"/>
  <c r="X391" i="4"/>
  <c r="W391" i="4"/>
  <c r="U391" i="4"/>
  <c r="R391" i="4"/>
  <c r="N391" i="4"/>
  <c r="L391" i="4"/>
  <c r="H391" i="4"/>
  <c r="I391" i="4" s="1"/>
  <c r="F391" i="4"/>
  <c r="C391" i="4"/>
  <c r="AD390" i="4"/>
  <c r="AC390" i="4"/>
  <c r="AA390" i="4"/>
  <c r="W390" i="4"/>
  <c r="X390" i="4" s="1"/>
  <c r="U390" i="4"/>
  <c r="R390" i="4"/>
  <c r="N390" i="4"/>
  <c r="O390" i="4" s="1"/>
  <c r="L390" i="4"/>
  <c r="H390" i="4"/>
  <c r="F390" i="4"/>
  <c r="C390" i="4"/>
  <c r="AD389" i="4"/>
  <c r="AC389" i="4"/>
  <c r="AA389" i="4"/>
  <c r="W389" i="4"/>
  <c r="X389" i="4" s="1"/>
  <c r="U389" i="4"/>
  <c r="R389" i="4"/>
  <c r="O389" i="4"/>
  <c r="N389" i="4"/>
  <c r="L389" i="4"/>
  <c r="I389" i="4"/>
  <c r="H389" i="4"/>
  <c r="F389" i="4"/>
  <c r="C389" i="4"/>
  <c r="AC388" i="4"/>
  <c r="AD388" i="4" s="1"/>
  <c r="AA388" i="4"/>
  <c r="W388" i="4"/>
  <c r="X388" i="4" s="1"/>
  <c r="U388" i="4"/>
  <c r="R388" i="4"/>
  <c r="N388" i="4"/>
  <c r="O388" i="4" s="1"/>
  <c r="L388" i="4"/>
  <c r="H388" i="4"/>
  <c r="I388" i="4" s="1"/>
  <c r="F388" i="4"/>
  <c r="C388" i="4"/>
  <c r="AD386" i="4"/>
  <c r="AC386" i="4"/>
  <c r="AA386" i="4"/>
  <c r="W386" i="4"/>
  <c r="X386" i="4" s="1"/>
  <c r="U386" i="4"/>
  <c r="R386" i="4"/>
  <c r="N386" i="4"/>
  <c r="O386" i="4" s="1"/>
  <c r="L386" i="4"/>
  <c r="H386" i="4"/>
  <c r="I386" i="4" s="1"/>
  <c r="F386" i="4"/>
  <c r="C386" i="4"/>
  <c r="AD385" i="4"/>
  <c r="AC385" i="4"/>
  <c r="AA385" i="4"/>
  <c r="W385" i="4"/>
  <c r="X385" i="4" s="1"/>
  <c r="U385" i="4"/>
  <c r="R385" i="4"/>
  <c r="O385" i="4"/>
  <c r="N385" i="4"/>
  <c r="L385" i="4"/>
  <c r="H385" i="4"/>
  <c r="F385" i="4"/>
  <c r="C385" i="4"/>
  <c r="AC383" i="4"/>
  <c r="AD383" i="4" s="1"/>
  <c r="AA383" i="4"/>
  <c r="W383" i="4"/>
  <c r="X383" i="4" s="1"/>
  <c r="U383" i="4"/>
  <c r="R383" i="4"/>
  <c r="N383" i="4"/>
  <c r="O383" i="4" s="1"/>
  <c r="L383" i="4"/>
  <c r="I383" i="4"/>
  <c r="H383" i="4"/>
  <c r="F383" i="4"/>
  <c r="C383" i="4"/>
  <c r="AC382" i="4"/>
  <c r="AD382" i="4" s="1"/>
  <c r="AA382" i="4"/>
  <c r="X382" i="4"/>
  <c r="W382" i="4"/>
  <c r="U382" i="4"/>
  <c r="R382" i="4"/>
  <c r="N382" i="4"/>
  <c r="L382" i="4"/>
  <c r="I382" i="4"/>
  <c r="H382" i="4"/>
  <c r="F382" i="4"/>
  <c r="C382" i="4"/>
  <c r="AD381" i="4"/>
  <c r="AC381" i="4"/>
  <c r="AA381" i="4"/>
  <c r="W381" i="4"/>
  <c r="X381" i="4" s="1"/>
  <c r="U381" i="4"/>
  <c r="R381" i="4"/>
  <c r="N381" i="4"/>
  <c r="O381" i="4" s="1"/>
  <c r="L381" i="4"/>
  <c r="H381" i="4"/>
  <c r="I381" i="4" s="1"/>
  <c r="F381" i="4"/>
  <c r="C381" i="4"/>
  <c r="AD380" i="4"/>
  <c r="AC380" i="4"/>
  <c r="AA380" i="4"/>
  <c r="W380" i="4"/>
  <c r="X380" i="4" s="1"/>
  <c r="U380" i="4"/>
  <c r="R380" i="4"/>
  <c r="N380" i="4"/>
  <c r="O380" i="4" s="1"/>
  <c r="L380" i="4"/>
  <c r="H380" i="4"/>
  <c r="F380" i="4"/>
  <c r="C380" i="4"/>
  <c r="AD379" i="4"/>
  <c r="AC379" i="4"/>
  <c r="AA379" i="4"/>
  <c r="W379" i="4"/>
  <c r="X379" i="4" s="1"/>
  <c r="U379" i="4"/>
  <c r="R379" i="4"/>
  <c r="O379" i="4"/>
  <c r="N379" i="4"/>
  <c r="L379" i="4"/>
  <c r="I379" i="4"/>
  <c r="H379" i="4"/>
  <c r="F379" i="4"/>
  <c r="C379" i="4"/>
  <c r="AC378" i="4"/>
  <c r="AD378" i="4" s="1"/>
  <c r="AA378" i="4"/>
  <c r="W378" i="4"/>
  <c r="X378" i="4" s="1"/>
  <c r="U378" i="4"/>
  <c r="R378" i="4"/>
  <c r="N378" i="4"/>
  <c r="L378" i="4"/>
  <c r="H378" i="4"/>
  <c r="I378" i="4" s="1"/>
  <c r="F378" i="4"/>
  <c r="C378" i="4"/>
  <c r="AD377" i="4"/>
  <c r="AC377" i="4"/>
  <c r="AA377" i="4"/>
  <c r="X377" i="4"/>
  <c r="W377" i="4"/>
  <c r="U377" i="4"/>
  <c r="R377" i="4"/>
  <c r="N377" i="4"/>
  <c r="O377" i="4" s="1"/>
  <c r="L377" i="4"/>
  <c r="H377" i="4"/>
  <c r="I377" i="4" s="1"/>
  <c r="F377" i="4"/>
  <c r="C377" i="4"/>
  <c r="AD376" i="4"/>
  <c r="AC376" i="4"/>
  <c r="AA376" i="4"/>
  <c r="W376" i="4"/>
  <c r="X376" i="4" s="1"/>
  <c r="U376" i="4"/>
  <c r="R376" i="4"/>
  <c r="N376" i="4"/>
  <c r="O376" i="4" s="1"/>
  <c r="L376" i="4"/>
  <c r="H376" i="4"/>
  <c r="F376" i="4"/>
  <c r="C376" i="4"/>
  <c r="AD375" i="4"/>
  <c r="AC375" i="4"/>
  <c r="AA375" i="4"/>
  <c r="W375" i="4"/>
  <c r="X375" i="4" s="1"/>
  <c r="U375" i="4"/>
  <c r="R375" i="4"/>
  <c r="N375" i="4"/>
  <c r="O375" i="4" s="1"/>
  <c r="L375" i="4"/>
  <c r="I375" i="4"/>
  <c r="H375" i="4"/>
  <c r="F375" i="4"/>
  <c r="C375" i="4"/>
  <c r="AC374" i="4"/>
  <c r="AD374" i="4" s="1"/>
  <c r="AA374" i="4"/>
  <c r="X374" i="4"/>
  <c r="W374" i="4"/>
  <c r="U374" i="4"/>
  <c r="R374" i="4"/>
  <c r="N374" i="4"/>
  <c r="O374" i="4" s="1"/>
  <c r="L374" i="4"/>
  <c r="I374" i="4"/>
  <c r="H374" i="4"/>
  <c r="F374" i="4"/>
  <c r="C374" i="4"/>
  <c r="AD373" i="4"/>
  <c r="AC373" i="4"/>
  <c r="AA373" i="4"/>
  <c r="W373" i="4"/>
  <c r="X373" i="4" s="1"/>
  <c r="U373" i="4"/>
  <c r="R373" i="4"/>
  <c r="N373" i="4"/>
  <c r="O373" i="4" s="1"/>
  <c r="L373" i="4"/>
  <c r="H373" i="4"/>
  <c r="I373" i="4" s="1"/>
  <c r="F373" i="4"/>
  <c r="C373" i="4"/>
  <c r="AD372" i="4"/>
  <c r="AC372" i="4"/>
  <c r="AA372" i="4"/>
  <c r="W372" i="4"/>
  <c r="X372" i="4" s="1"/>
  <c r="U372" i="4"/>
  <c r="R372" i="4"/>
  <c r="O372" i="4"/>
  <c r="N372" i="4"/>
  <c r="L372" i="4"/>
  <c r="I372" i="4"/>
  <c r="H372" i="4"/>
  <c r="F372" i="4"/>
  <c r="C372" i="4"/>
  <c r="AC371" i="4"/>
  <c r="AD371" i="4" s="1"/>
  <c r="AA371" i="4"/>
  <c r="W371" i="4"/>
  <c r="X371" i="4" s="1"/>
  <c r="U371" i="4"/>
  <c r="R371" i="4"/>
  <c r="O371" i="4"/>
  <c r="N371" i="4"/>
  <c r="L371" i="4"/>
  <c r="I371" i="4"/>
  <c r="H371" i="4"/>
  <c r="F371" i="4"/>
  <c r="C371" i="4"/>
  <c r="AC370" i="4"/>
  <c r="AD370" i="4" s="1"/>
  <c r="AA370" i="4"/>
  <c r="W370" i="4"/>
  <c r="X370" i="4" s="1"/>
  <c r="U370" i="4"/>
  <c r="R370" i="4"/>
  <c r="N370" i="4"/>
  <c r="O370" i="4" s="1"/>
  <c r="L370" i="4"/>
  <c r="H370" i="4"/>
  <c r="I370" i="4" s="1"/>
  <c r="F370" i="4"/>
  <c r="C370" i="4"/>
  <c r="AD369" i="4"/>
  <c r="AC369" i="4"/>
  <c r="AA369" i="4"/>
  <c r="W369" i="4"/>
  <c r="X369" i="4" s="1"/>
  <c r="U369" i="4"/>
  <c r="R369" i="4"/>
  <c r="N369" i="4"/>
  <c r="L369" i="4"/>
  <c r="H369" i="4"/>
  <c r="I369" i="4" s="1"/>
  <c r="F369" i="4"/>
  <c r="C369" i="4"/>
  <c r="AD368" i="4"/>
  <c r="AA368" i="4"/>
  <c r="Z368" i="4"/>
  <c r="W368" i="4"/>
  <c r="X368" i="4" s="1"/>
  <c r="U368" i="4"/>
  <c r="T368" i="4"/>
  <c r="R368" i="4"/>
  <c r="Q368" i="4"/>
  <c r="AC368" i="4" s="1"/>
  <c r="K368" i="4"/>
  <c r="L368" i="4" s="1"/>
  <c r="H368" i="4"/>
  <c r="I368" i="4" s="1"/>
  <c r="F368" i="4"/>
  <c r="E368" i="4"/>
  <c r="C368" i="4"/>
  <c r="B368" i="4"/>
  <c r="AC367" i="4"/>
  <c r="AD367" i="4" s="1"/>
  <c r="AA367" i="4"/>
  <c r="W367" i="4"/>
  <c r="X367" i="4" s="1"/>
  <c r="U367" i="4"/>
  <c r="R367" i="4"/>
  <c r="N367" i="4"/>
  <c r="O367" i="4" s="1"/>
  <c r="L367" i="4"/>
  <c r="H367" i="4"/>
  <c r="I367" i="4" s="1"/>
  <c r="F367" i="4"/>
  <c r="C367" i="4"/>
  <c r="AD366" i="4"/>
  <c r="AC366" i="4"/>
  <c r="AA366" i="4"/>
  <c r="X366" i="4"/>
  <c r="W366" i="4"/>
  <c r="U366" i="4"/>
  <c r="R366" i="4"/>
  <c r="N366" i="4"/>
  <c r="L366" i="4"/>
  <c r="H366" i="4"/>
  <c r="I366" i="4" s="1"/>
  <c r="F366" i="4"/>
  <c r="C366" i="4"/>
  <c r="AD365" i="4"/>
  <c r="AC365" i="4"/>
  <c r="AA365" i="4"/>
  <c r="W365" i="4"/>
  <c r="X365" i="4" s="1"/>
  <c r="U365" i="4"/>
  <c r="R365" i="4"/>
  <c r="N365" i="4"/>
  <c r="O365" i="4" s="1"/>
  <c r="L365" i="4"/>
  <c r="I365" i="4"/>
  <c r="H365" i="4"/>
  <c r="F365" i="4"/>
  <c r="C365" i="4"/>
  <c r="AC364" i="4"/>
  <c r="AD364" i="4" s="1"/>
  <c r="AA364" i="4"/>
  <c r="W364" i="4"/>
  <c r="X364" i="4" s="1"/>
  <c r="U364" i="4"/>
  <c r="R364" i="4"/>
  <c r="N364" i="4"/>
  <c r="O364" i="4" s="1"/>
  <c r="L364" i="4"/>
  <c r="I364" i="4"/>
  <c r="H364" i="4"/>
  <c r="F364" i="4"/>
  <c r="C364" i="4"/>
  <c r="AC363" i="4"/>
  <c r="AD363" i="4" s="1"/>
  <c r="AA363" i="4"/>
  <c r="X363" i="4"/>
  <c r="W363" i="4"/>
  <c r="U363" i="4"/>
  <c r="R363" i="4"/>
  <c r="N363" i="4"/>
  <c r="O363" i="4" s="1"/>
  <c r="L363" i="4"/>
  <c r="H363" i="4"/>
  <c r="I363" i="4" s="1"/>
  <c r="F363" i="4"/>
  <c r="C363" i="4"/>
  <c r="AD362" i="4"/>
  <c r="AC362" i="4"/>
  <c r="AA362" i="4"/>
  <c r="X362" i="4"/>
  <c r="W362" i="4"/>
  <c r="U362" i="4"/>
  <c r="R362" i="4"/>
  <c r="N362" i="4"/>
  <c r="L362" i="4"/>
  <c r="H362" i="4"/>
  <c r="I362" i="4" s="1"/>
  <c r="F362" i="4"/>
  <c r="C362" i="4"/>
  <c r="AD361" i="4"/>
  <c r="AC361" i="4"/>
  <c r="AA361" i="4"/>
  <c r="W361" i="4"/>
  <c r="X361" i="4" s="1"/>
  <c r="U361" i="4"/>
  <c r="R361" i="4"/>
  <c r="N361" i="4"/>
  <c r="O361" i="4" s="1"/>
  <c r="L361" i="4"/>
  <c r="I361" i="4"/>
  <c r="H361" i="4"/>
  <c r="F361" i="4"/>
  <c r="C361" i="4"/>
  <c r="AC360" i="4"/>
  <c r="AD360" i="4" s="1"/>
  <c r="AA360" i="4"/>
  <c r="W360" i="4"/>
  <c r="X360" i="4" s="1"/>
  <c r="U360" i="4"/>
  <c r="R360" i="4"/>
  <c r="N360" i="4"/>
  <c r="O360" i="4" s="1"/>
  <c r="L360" i="4"/>
  <c r="I360" i="4"/>
  <c r="H360" i="4"/>
  <c r="F360" i="4"/>
  <c r="C360" i="4"/>
  <c r="Z358" i="4"/>
  <c r="AA358" i="4" s="1"/>
  <c r="U358" i="4"/>
  <c r="T358" i="4"/>
  <c r="Q358" i="4"/>
  <c r="N358" i="4"/>
  <c r="O358" i="4" s="1"/>
  <c r="L358" i="4"/>
  <c r="K358" i="4"/>
  <c r="E358" i="4"/>
  <c r="F358" i="4" s="1"/>
  <c r="C358" i="4"/>
  <c r="B358" i="4"/>
  <c r="AD357" i="4"/>
  <c r="AC357" i="4"/>
  <c r="AA357" i="4"/>
  <c r="W357" i="4"/>
  <c r="X357" i="4" s="1"/>
  <c r="U357" i="4"/>
  <c r="R357" i="4"/>
  <c r="O357" i="4"/>
  <c r="N357" i="4"/>
  <c r="L357" i="4"/>
  <c r="I357" i="4"/>
  <c r="H357" i="4"/>
  <c r="F357" i="4"/>
  <c r="C357" i="4"/>
  <c r="AC356" i="4"/>
  <c r="AD356" i="4" s="1"/>
  <c r="AA356" i="4"/>
  <c r="W356" i="4"/>
  <c r="X356" i="4" s="1"/>
  <c r="U356" i="4"/>
  <c r="R356" i="4"/>
  <c r="N356" i="4"/>
  <c r="O356" i="4" s="1"/>
  <c r="L356" i="4"/>
  <c r="I356" i="4"/>
  <c r="H356" i="4"/>
  <c r="F356" i="4"/>
  <c r="C356" i="4"/>
  <c r="AC355" i="4"/>
  <c r="AD355" i="4" s="1"/>
  <c r="AA355" i="4"/>
  <c r="W355" i="4"/>
  <c r="X355" i="4" s="1"/>
  <c r="U355" i="4"/>
  <c r="R355" i="4"/>
  <c r="N355" i="4"/>
  <c r="L355" i="4"/>
  <c r="H355" i="4"/>
  <c r="I355" i="4" s="1"/>
  <c r="F355" i="4"/>
  <c r="C355" i="4"/>
  <c r="AD354" i="4"/>
  <c r="AC354" i="4"/>
  <c r="AA354" i="4"/>
  <c r="X354" i="4"/>
  <c r="W354" i="4"/>
  <c r="U354" i="4"/>
  <c r="R354" i="4"/>
  <c r="N354" i="4"/>
  <c r="O354" i="4" s="1"/>
  <c r="L354" i="4"/>
  <c r="H354" i="4"/>
  <c r="I354" i="4" s="1"/>
  <c r="F354" i="4"/>
  <c r="C354" i="4"/>
  <c r="AC353" i="4"/>
  <c r="AD353" i="4" s="1"/>
  <c r="AA353" i="4"/>
  <c r="W353" i="4"/>
  <c r="X353" i="4" s="1"/>
  <c r="U353" i="4"/>
  <c r="R353" i="4"/>
  <c r="N353" i="4"/>
  <c r="O353" i="4" s="1"/>
  <c r="L353" i="4"/>
  <c r="I353" i="4"/>
  <c r="H353" i="4"/>
  <c r="F353" i="4"/>
  <c r="C353" i="4"/>
  <c r="AC352" i="4"/>
  <c r="AD352" i="4" s="1"/>
  <c r="AA352" i="4"/>
  <c r="W352" i="4"/>
  <c r="X352" i="4" s="1"/>
  <c r="U352" i="4"/>
  <c r="R352" i="4"/>
  <c r="O352" i="4"/>
  <c r="N352" i="4"/>
  <c r="L352" i="4"/>
  <c r="I352" i="4"/>
  <c r="H352" i="4"/>
  <c r="F352" i="4"/>
  <c r="C352" i="4"/>
  <c r="AC351" i="4"/>
  <c r="AD351" i="4" s="1"/>
  <c r="AA351" i="4"/>
  <c r="W351" i="4"/>
  <c r="X351" i="4" s="1"/>
  <c r="U351" i="4"/>
  <c r="R351" i="4"/>
  <c r="N351" i="4"/>
  <c r="O351" i="4" s="1"/>
  <c r="L351" i="4"/>
  <c r="H351" i="4"/>
  <c r="I351" i="4" s="1"/>
  <c r="F351" i="4"/>
  <c r="C351" i="4"/>
  <c r="AD350" i="4"/>
  <c r="AC350" i="4"/>
  <c r="AA350" i="4"/>
  <c r="X350" i="4"/>
  <c r="W350" i="4"/>
  <c r="U350" i="4"/>
  <c r="R350" i="4"/>
  <c r="N350" i="4"/>
  <c r="O350" i="4" s="1"/>
  <c r="L350" i="4"/>
  <c r="H350" i="4"/>
  <c r="I350" i="4" s="1"/>
  <c r="F350" i="4"/>
  <c r="C350" i="4"/>
  <c r="AD349" i="4"/>
  <c r="AC349" i="4"/>
  <c r="AA349" i="4"/>
  <c r="W349" i="4"/>
  <c r="X349" i="4" s="1"/>
  <c r="U349" i="4"/>
  <c r="R349" i="4"/>
  <c r="N349" i="4"/>
  <c r="O349" i="4" s="1"/>
  <c r="L349" i="4"/>
  <c r="I349" i="4"/>
  <c r="H349" i="4"/>
  <c r="F349" i="4"/>
  <c r="C349" i="4"/>
  <c r="AC347" i="4"/>
  <c r="AD347" i="4" s="1"/>
  <c r="AA347" i="4"/>
  <c r="X347" i="4"/>
  <c r="W347" i="4"/>
  <c r="U347" i="4"/>
  <c r="R347" i="4"/>
  <c r="N347" i="4"/>
  <c r="O347" i="4" s="1"/>
  <c r="L347" i="4"/>
  <c r="H347" i="4"/>
  <c r="I347" i="4" s="1"/>
  <c r="F347" i="4"/>
  <c r="C347" i="4"/>
  <c r="AC344" i="4"/>
  <c r="AD344" i="4" s="1"/>
  <c r="AA344" i="4"/>
  <c r="Z344" i="4"/>
  <c r="W344" i="4"/>
  <c r="X344" i="4" s="1"/>
  <c r="T344" i="4"/>
  <c r="U344" i="4" s="1"/>
  <c r="Q344" i="4"/>
  <c r="R344" i="4" s="1"/>
  <c r="O344" i="4"/>
  <c r="K344" i="4"/>
  <c r="L344" i="4" s="1"/>
  <c r="F344" i="4"/>
  <c r="E344" i="4"/>
  <c r="H344" i="4" s="1"/>
  <c r="I344" i="4" s="1"/>
  <c r="C344" i="4"/>
  <c r="B344" i="4"/>
  <c r="N344" i="4" s="1"/>
  <c r="AC343" i="4"/>
  <c r="AD343" i="4" s="1"/>
  <c r="Z343" i="4"/>
  <c r="AA343" i="4" s="1"/>
  <c r="W343" i="4"/>
  <c r="X343" i="4" s="1"/>
  <c r="U343" i="4"/>
  <c r="T343" i="4"/>
  <c r="Q343" i="4"/>
  <c r="R343" i="4" s="1"/>
  <c r="L343" i="4"/>
  <c r="K343" i="4"/>
  <c r="E343" i="4"/>
  <c r="F343" i="4" s="1"/>
  <c r="B343" i="4"/>
  <c r="N343" i="4" s="1"/>
  <c r="O343" i="4" s="1"/>
  <c r="AA342" i="4"/>
  <c r="Z342" i="4"/>
  <c r="W342" i="4"/>
  <c r="X342" i="4" s="1"/>
  <c r="U342" i="4"/>
  <c r="T342" i="4"/>
  <c r="Q342" i="4"/>
  <c r="K342" i="4"/>
  <c r="L342" i="4" s="1"/>
  <c r="H342" i="4"/>
  <c r="I342" i="4" s="1"/>
  <c r="F342" i="4"/>
  <c r="E342" i="4"/>
  <c r="C342" i="4"/>
  <c r="B342" i="4"/>
  <c r="AC341" i="4"/>
  <c r="AD341" i="4" s="1"/>
  <c r="AA341" i="4"/>
  <c r="W341" i="4"/>
  <c r="X341" i="4" s="1"/>
  <c r="U341" i="4"/>
  <c r="R341" i="4"/>
  <c r="N341" i="4"/>
  <c r="L341" i="4"/>
  <c r="H341" i="4"/>
  <c r="I341" i="4" s="1"/>
  <c r="F341" i="4"/>
  <c r="C341" i="4"/>
  <c r="AD340" i="4"/>
  <c r="AC340" i="4"/>
  <c r="AA340" i="4"/>
  <c r="X340" i="4"/>
  <c r="W340" i="4"/>
  <c r="U340" i="4"/>
  <c r="R340" i="4"/>
  <c r="N340" i="4"/>
  <c r="O340" i="4" s="1"/>
  <c r="L340" i="4"/>
  <c r="H340" i="4"/>
  <c r="I340" i="4" s="1"/>
  <c r="F340" i="4"/>
  <c r="C340" i="4"/>
  <c r="AC339" i="4"/>
  <c r="AD339" i="4" s="1"/>
  <c r="AA339" i="4"/>
  <c r="W339" i="4"/>
  <c r="X339" i="4" s="1"/>
  <c r="U339" i="4"/>
  <c r="R339" i="4"/>
  <c r="O339" i="4"/>
  <c r="N339" i="4"/>
  <c r="L339" i="4"/>
  <c r="I339" i="4"/>
  <c r="H339" i="4"/>
  <c r="F339" i="4"/>
  <c r="C339" i="4"/>
  <c r="AC338" i="4"/>
  <c r="AD338" i="4" s="1"/>
  <c r="AA338" i="4"/>
  <c r="W338" i="4"/>
  <c r="X338" i="4" s="1"/>
  <c r="U338" i="4"/>
  <c r="R338" i="4"/>
  <c r="N338" i="4"/>
  <c r="L338" i="4"/>
  <c r="H338" i="4"/>
  <c r="I338" i="4" s="1"/>
  <c r="F338" i="4"/>
  <c r="C338" i="4"/>
  <c r="AC337" i="4"/>
  <c r="AD337" i="4" s="1"/>
  <c r="AA337" i="4"/>
  <c r="W337" i="4"/>
  <c r="X337" i="4" s="1"/>
  <c r="U337" i="4"/>
  <c r="R337" i="4"/>
  <c r="N337" i="4"/>
  <c r="O337" i="4" s="1"/>
  <c r="L337" i="4"/>
  <c r="I337" i="4"/>
  <c r="H337" i="4"/>
  <c r="F337" i="4"/>
  <c r="C337" i="4"/>
  <c r="AD335" i="4"/>
  <c r="AC335" i="4"/>
  <c r="AA335" i="4"/>
  <c r="X335" i="4"/>
  <c r="W335" i="4"/>
  <c r="U335" i="4"/>
  <c r="R335" i="4"/>
  <c r="O335" i="4"/>
  <c r="N335" i="4"/>
  <c r="L335" i="4"/>
  <c r="H335" i="4"/>
  <c r="I335" i="4" s="1"/>
  <c r="F335" i="4"/>
  <c r="C335" i="4"/>
  <c r="AD334" i="4"/>
  <c r="AC334" i="4"/>
  <c r="AA334" i="4"/>
  <c r="W334" i="4"/>
  <c r="X334" i="4" s="1"/>
  <c r="U334" i="4"/>
  <c r="R334" i="4"/>
  <c r="N334" i="4"/>
  <c r="O334" i="4" s="1"/>
  <c r="L334" i="4"/>
  <c r="I334" i="4"/>
  <c r="H334" i="4"/>
  <c r="F334" i="4"/>
  <c r="C334" i="4"/>
  <c r="AD333" i="4"/>
  <c r="AC333" i="4"/>
  <c r="AA333" i="4"/>
  <c r="X333" i="4"/>
  <c r="W333" i="4"/>
  <c r="U333" i="4"/>
  <c r="R333" i="4"/>
  <c r="N333" i="4"/>
  <c r="O333" i="4" s="1"/>
  <c r="L333" i="4"/>
  <c r="I333" i="4"/>
  <c r="H333" i="4"/>
  <c r="F333" i="4"/>
  <c r="C333" i="4"/>
  <c r="AC332" i="4"/>
  <c r="AD332" i="4" s="1"/>
  <c r="AA332" i="4"/>
  <c r="X332" i="4"/>
  <c r="W332" i="4"/>
  <c r="U332" i="4"/>
  <c r="R332" i="4"/>
  <c r="N332" i="4"/>
  <c r="L332" i="4"/>
  <c r="H332" i="4"/>
  <c r="I332" i="4" s="1"/>
  <c r="F332" i="4"/>
  <c r="C332" i="4"/>
  <c r="AD331" i="4"/>
  <c r="AC331" i="4"/>
  <c r="AA331" i="4"/>
  <c r="X331" i="4"/>
  <c r="W331" i="4"/>
  <c r="U331" i="4"/>
  <c r="R331" i="4"/>
  <c r="O331" i="4"/>
  <c r="N331" i="4"/>
  <c r="L331" i="4"/>
  <c r="H331" i="4"/>
  <c r="I331" i="4" s="1"/>
  <c r="F331" i="4"/>
  <c r="C331" i="4"/>
  <c r="AD330" i="4"/>
  <c r="AC330" i="4"/>
  <c r="AA330" i="4"/>
  <c r="W330" i="4"/>
  <c r="X330" i="4" s="1"/>
  <c r="U330" i="4"/>
  <c r="R330" i="4"/>
  <c r="O330" i="4"/>
  <c r="N330" i="4"/>
  <c r="L330" i="4"/>
  <c r="I330" i="4"/>
  <c r="H330" i="4"/>
  <c r="F330" i="4"/>
  <c r="C330" i="4"/>
  <c r="AC329" i="4"/>
  <c r="AD329" i="4" s="1"/>
  <c r="AA329" i="4"/>
  <c r="W329" i="4"/>
  <c r="X329" i="4" s="1"/>
  <c r="U329" i="4"/>
  <c r="R329" i="4"/>
  <c r="N329" i="4"/>
  <c r="L329" i="4"/>
  <c r="H329" i="4"/>
  <c r="I329" i="4" s="1"/>
  <c r="F329" i="4"/>
  <c r="C329" i="4"/>
  <c r="AC328" i="4"/>
  <c r="AD328" i="4" s="1"/>
  <c r="AA328" i="4"/>
  <c r="W328" i="4"/>
  <c r="X328" i="4" s="1"/>
  <c r="U328" i="4"/>
  <c r="R328" i="4"/>
  <c r="N328" i="4"/>
  <c r="O328" i="4" s="1"/>
  <c r="L328" i="4"/>
  <c r="I328" i="4"/>
  <c r="H328" i="4"/>
  <c r="F328" i="4"/>
  <c r="C328" i="4"/>
  <c r="Z325" i="4"/>
  <c r="AA325" i="4" s="1"/>
  <c r="W325" i="4"/>
  <c r="X325" i="4" s="1"/>
  <c r="U325" i="4"/>
  <c r="T325" i="4"/>
  <c r="R325" i="4"/>
  <c r="Q325" i="4"/>
  <c r="AC325" i="4" s="1"/>
  <c r="AD325" i="4" s="1"/>
  <c r="L325" i="4"/>
  <c r="K325" i="4"/>
  <c r="F325" i="4"/>
  <c r="E325" i="4"/>
  <c r="B325" i="4"/>
  <c r="AA324" i="4"/>
  <c r="Z324" i="4"/>
  <c r="T324" i="4"/>
  <c r="U324" i="4" s="1"/>
  <c r="Q324" i="4"/>
  <c r="AC324" i="4" s="1"/>
  <c r="AD324" i="4" s="1"/>
  <c r="N324" i="4"/>
  <c r="O324" i="4" s="1"/>
  <c r="L324" i="4"/>
  <c r="K324" i="4"/>
  <c r="H324" i="4"/>
  <c r="I324" i="4" s="1"/>
  <c r="F324" i="4"/>
  <c r="E324" i="4"/>
  <c r="C324" i="4"/>
  <c r="B324" i="4"/>
  <c r="AD323" i="4"/>
  <c r="AC323" i="4"/>
  <c r="AA323" i="4"/>
  <c r="X323" i="4"/>
  <c r="W323" i="4"/>
  <c r="U323" i="4"/>
  <c r="R323" i="4"/>
  <c r="N323" i="4"/>
  <c r="O323" i="4" s="1"/>
  <c r="L323" i="4"/>
  <c r="H323" i="4"/>
  <c r="I323" i="4" s="1"/>
  <c r="F323" i="4"/>
  <c r="C323" i="4"/>
  <c r="AC322" i="4"/>
  <c r="AD322" i="4" s="1"/>
  <c r="AA322" i="4"/>
  <c r="W322" i="4"/>
  <c r="U322" i="4"/>
  <c r="R322" i="4"/>
  <c r="O322" i="4"/>
  <c r="N322" i="4"/>
  <c r="L322" i="4"/>
  <c r="I322" i="4"/>
  <c r="H322" i="4"/>
  <c r="F322" i="4"/>
  <c r="C322" i="4"/>
  <c r="AC321" i="4"/>
  <c r="AD321" i="4" s="1"/>
  <c r="AA321" i="4"/>
  <c r="W321" i="4"/>
  <c r="X321" i="4" s="1"/>
  <c r="U321" i="4"/>
  <c r="R321" i="4"/>
  <c r="N321" i="4"/>
  <c r="O321" i="4" s="1"/>
  <c r="L321" i="4"/>
  <c r="I321" i="4"/>
  <c r="H321" i="4"/>
  <c r="F321" i="4"/>
  <c r="C321" i="4"/>
  <c r="AC320" i="4"/>
  <c r="AD320" i="4" s="1"/>
  <c r="AA320" i="4"/>
  <c r="X320" i="4"/>
  <c r="W320" i="4"/>
  <c r="U320" i="4"/>
  <c r="R320" i="4"/>
  <c r="N320" i="4"/>
  <c r="L320" i="4"/>
  <c r="H320" i="4"/>
  <c r="I320" i="4" s="1"/>
  <c r="F320" i="4"/>
  <c r="C320" i="4"/>
  <c r="AD319" i="4"/>
  <c r="AC319" i="4"/>
  <c r="AA319" i="4"/>
  <c r="W319" i="4"/>
  <c r="X319" i="4" s="1"/>
  <c r="U319" i="4"/>
  <c r="R319" i="4"/>
  <c r="O319" i="4"/>
  <c r="N319" i="4"/>
  <c r="L319" i="4"/>
  <c r="H319" i="4"/>
  <c r="I319" i="4" s="1"/>
  <c r="F319" i="4"/>
  <c r="C319" i="4"/>
  <c r="AC318" i="4"/>
  <c r="AD318" i="4" s="1"/>
  <c r="AA318" i="4"/>
  <c r="W318" i="4"/>
  <c r="U318" i="4"/>
  <c r="R318" i="4"/>
  <c r="N318" i="4"/>
  <c r="O318" i="4" s="1"/>
  <c r="L318" i="4"/>
  <c r="I318" i="4"/>
  <c r="H318" i="4"/>
  <c r="F318" i="4"/>
  <c r="C318" i="4"/>
  <c r="AD317" i="4"/>
  <c r="AC317" i="4"/>
  <c r="AA317" i="4"/>
  <c r="X317" i="4"/>
  <c r="W317" i="4"/>
  <c r="U317" i="4"/>
  <c r="R317" i="4"/>
  <c r="N317" i="4"/>
  <c r="O317" i="4" s="1"/>
  <c r="L317" i="4"/>
  <c r="H317" i="4"/>
  <c r="I317" i="4" s="1"/>
  <c r="F317" i="4"/>
  <c r="C317" i="4"/>
  <c r="AC316" i="4"/>
  <c r="AD316" i="4" s="1"/>
  <c r="AA316" i="4"/>
  <c r="X316" i="4"/>
  <c r="W316" i="4"/>
  <c r="U316" i="4"/>
  <c r="R316" i="4"/>
  <c r="N316" i="4"/>
  <c r="L316" i="4"/>
  <c r="I316" i="4"/>
  <c r="H316" i="4"/>
  <c r="F316" i="4"/>
  <c r="C316" i="4"/>
  <c r="AD315" i="4"/>
  <c r="AC315" i="4"/>
  <c r="AA315" i="4"/>
  <c r="X315" i="4"/>
  <c r="W315" i="4"/>
  <c r="U315" i="4"/>
  <c r="R315" i="4"/>
  <c r="N315" i="4"/>
  <c r="O315" i="4" s="1"/>
  <c r="L315" i="4"/>
  <c r="H315" i="4"/>
  <c r="I315" i="4" s="1"/>
  <c r="F315" i="4"/>
  <c r="C315" i="4"/>
  <c r="AC314" i="4"/>
  <c r="AD314" i="4" s="1"/>
  <c r="AA314" i="4"/>
  <c r="W314" i="4"/>
  <c r="U314" i="4"/>
  <c r="R314" i="4"/>
  <c r="O314" i="4"/>
  <c r="N314" i="4"/>
  <c r="L314" i="4"/>
  <c r="I314" i="4"/>
  <c r="H314" i="4"/>
  <c r="F314" i="4"/>
  <c r="C314" i="4"/>
  <c r="AC313" i="4"/>
  <c r="AD313" i="4" s="1"/>
  <c r="AA313" i="4"/>
  <c r="W313" i="4"/>
  <c r="X313" i="4" s="1"/>
  <c r="U313" i="4"/>
  <c r="R313" i="4"/>
  <c r="N313" i="4"/>
  <c r="O313" i="4" s="1"/>
  <c r="L313" i="4"/>
  <c r="I313" i="4"/>
  <c r="H313" i="4"/>
  <c r="F313" i="4"/>
  <c r="C313" i="4"/>
  <c r="AC312" i="4"/>
  <c r="AD312" i="4" s="1"/>
  <c r="AA312" i="4"/>
  <c r="X312" i="4"/>
  <c r="W312" i="4"/>
  <c r="U312" i="4"/>
  <c r="R312" i="4"/>
  <c r="N312" i="4"/>
  <c r="L312" i="4"/>
  <c r="I312" i="4"/>
  <c r="H312" i="4"/>
  <c r="F312" i="4"/>
  <c r="C312" i="4"/>
  <c r="AD311" i="4"/>
  <c r="AC311" i="4"/>
  <c r="AA311" i="4"/>
  <c r="W311" i="4"/>
  <c r="X311" i="4" s="1"/>
  <c r="U311" i="4"/>
  <c r="R311" i="4"/>
  <c r="O311" i="4"/>
  <c r="N311" i="4"/>
  <c r="L311" i="4"/>
  <c r="H311" i="4"/>
  <c r="I311" i="4" s="1"/>
  <c r="F311" i="4"/>
  <c r="C311" i="4"/>
  <c r="AD310" i="4"/>
  <c r="AC310" i="4"/>
  <c r="AA310" i="4"/>
  <c r="W310" i="4"/>
  <c r="U310" i="4"/>
  <c r="R310" i="4"/>
  <c r="N310" i="4"/>
  <c r="O310" i="4" s="1"/>
  <c r="L310" i="4"/>
  <c r="I310" i="4"/>
  <c r="H310" i="4"/>
  <c r="F310" i="4"/>
  <c r="C310" i="4"/>
  <c r="AD309" i="4"/>
  <c r="AC309" i="4"/>
  <c r="AA309" i="4"/>
  <c r="W309" i="4"/>
  <c r="X309" i="4" s="1"/>
  <c r="U309" i="4"/>
  <c r="R309" i="4"/>
  <c r="N309" i="4"/>
  <c r="O309" i="4" s="1"/>
  <c r="L309" i="4"/>
  <c r="I309" i="4"/>
  <c r="H309" i="4"/>
  <c r="F309" i="4"/>
  <c r="C309" i="4"/>
  <c r="AC308" i="4"/>
  <c r="AD308" i="4" s="1"/>
  <c r="AA308" i="4"/>
  <c r="X308" i="4"/>
  <c r="W308" i="4"/>
  <c r="U308" i="4"/>
  <c r="R308" i="4"/>
  <c r="N308" i="4"/>
  <c r="L308" i="4"/>
  <c r="I308" i="4"/>
  <c r="H308" i="4"/>
  <c r="F308" i="4"/>
  <c r="C308" i="4"/>
  <c r="AD307" i="4"/>
  <c r="AC307" i="4"/>
  <c r="AA307" i="4"/>
  <c r="X307" i="4"/>
  <c r="W307" i="4"/>
  <c r="U307" i="4"/>
  <c r="R307" i="4"/>
  <c r="N307" i="4"/>
  <c r="O307" i="4" s="1"/>
  <c r="L307" i="4"/>
  <c r="H307" i="4"/>
  <c r="I307" i="4" s="1"/>
  <c r="F307" i="4"/>
  <c r="C307" i="4"/>
  <c r="AC306" i="4"/>
  <c r="AD306" i="4" s="1"/>
  <c r="AA306" i="4"/>
  <c r="W306" i="4"/>
  <c r="U306" i="4"/>
  <c r="R306" i="4"/>
  <c r="O306" i="4"/>
  <c r="N306" i="4"/>
  <c r="L306" i="4"/>
  <c r="I306" i="4"/>
  <c r="H306" i="4"/>
  <c r="F306" i="4"/>
  <c r="C306" i="4"/>
  <c r="AD305" i="4"/>
  <c r="AC305" i="4"/>
  <c r="AA305" i="4"/>
  <c r="W305" i="4"/>
  <c r="X305" i="4" s="1"/>
  <c r="U305" i="4"/>
  <c r="R305" i="4"/>
  <c r="N305" i="4"/>
  <c r="O305" i="4" s="1"/>
  <c r="L305" i="4"/>
  <c r="I305" i="4"/>
  <c r="H305" i="4"/>
  <c r="F305" i="4"/>
  <c r="C305" i="4"/>
  <c r="AC304" i="4"/>
  <c r="AD304" i="4" s="1"/>
  <c r="AA304" i="4"/>
  <c r="X304" i="4"/>
  <c r="W304" i="4"/>
  <c r="U304" i="4"/>
  <c r="R304" i="4"/>
  <c r="N304" i="4"/>
  <c r="L304" i="4"/>
  <c r="I304" i="4"/>
  <c r="H304" i="4"/>
  <c r="F304" i="4"/>
  <c r="C304" i="4"/>
  <c r="AD303" i="4"/>
  <c r="AC303" i="4"/>
  <c r="AA303" i="4"/>
  <c r="W303" i="4"/>
  <c r="X303" i="4" s="1"/>
  <c r="U303" i="4"/>
  <c r="R303" i="4"/>
  <c r="O303" i="4"/>
  <c r="N303" i="4"/>
  <c r="L303" i="4"/>
  <c r="H303" i="4"/>
  <c r="I303" i="4" s="1"/>
  <c r="F303" i="4"/>
  <c r="C303" i="4"/>
  <c r="AD302" i="4"/>
  <c r="AC302" i="4"/>
  <c r="AA302" i="4"/>
  <c r="W302" i="4"/>
  <c r="U302" i="4"/>
  <c r="R302" i="4"/>
  <c r="N302" i="4"/>
  <c r="O302" i="4" s="1"/>
  <c r="L302" i="4"/>
  <c r="I302" i="4"/>
  <c r="H302" i="4"/>
  <c r="F302" i="4"/>
  <c r="C302" i="4"/>
  <c r="AD301" i="4"/>
  <c r="AC301" i="4"/>
  <c r="AA301" i="4"/>
  <c r="W301" i="4"/>
  <c r="X301" i="4" s="1"/>
  <c r="U301" i="4"/>
  <c r="R301" i="4"/>
  <c r="N301" i="4"/>
  <c r="O301" i="4" s="1"/>
  <c r="L301" i="4"/>
  <c r="H301" i="4"/>
  <c r="I301" i="4" s="1"/>
  <c r="F301" i="4"/>
  <c r="C301" i="4"/>
  <c r="AC300" i="4"/>
  <c r="AD300" i="4" s="1"/>
  <c r="AA300" i="4"/>
  <c r="X300" i="4"/>
  <c r="W300" i="4"/>
  <c r="U300" i="4"/>
  <c r="R300" i="4"/>
  <c r="N300" i="4"/>
  <c r="L300" i="4"/>
  <c r="I300" i="4"/>
  <c r="H300" i="4"/>
  <c r="F300" i="4"/>
  <c r="C300" i="4"/>
  <c r="AD299" i="4"/>
  <c r="AC299" i="4"/>
  <c r="AA299" i="4"/>
  <c r="X299" i="4"/>
  <c r="W299" i="4"/>
  <c r="U299" i="4"/>
  <c r="R299" i="4"/>
  <c r="N299" i="4"/>
  <c r="O299" i="4" s="1"/>
  <c r="L299" i="4"/>
  <c r="H299" i="4"/>
  <c r="I299" i="4" s="1"/>
  <c r="F299" i="4"/>
  <c r="C299" i="4"/>
  <c r="AC298" i="4"/>
  <c r="AD298" i="4" s="1"/>
  <c r="AA298" i="4"/>
  <c r="W298" i="4"/>
  <c r="U298" i="4"/>
  <c r="R298" i="4"/>
  <c r="O298" i="4"/>
  <c r="N298" i="4"/>
  <c r="L298" i="4"/>
  <c r="I298" i="4"/>
  <c r="H298" i="4"/>
  <c r="F298" i="4"/>
  <c r="C298" i="4"/>
  <c r="AC297" i="4"/>
  <c r="AD297" i="4" s="1"/>
  <c r="AA297" i="4"/>
  <c r="W297" i="4"/>
  <c r="X297" i="4" s="1"/>
  <c r="U297" i="4"/>
  <c r="R297" i="4"/>
  <c r="O297" i="4"/>
  <c r="N297" i="4"/>
  <c r="L297" i="4"/>
  <c r="I297" i="4"/>
  <c r="H297" i="4"/>
  <c r="F297" i="4"/>
  <c r="C297" i="4"/>
  <c r="AC295" i="4"/>
  <c r="AD295" i="4" s="1"/>
  <c r="AA295" i="4"/>
  <c r="Z295" i="4"/>
  <c r="X295" i="4"/>
  <c r="W295" i="4"/>
  <c r="U295" i="4"/>
  <c r="T295" i="4"/>
  <c r="Q295" i="4"/>
  <c r="R295" i="4" s="1"/>
  <c r="O295" i="4"/>
  <c r="K295" i="4"/>
  <c r="N295" i="4" s="1"/>
  <c r="E295" i="4"/>
  <c r="F295" i="4" s="1"/>
  <c r="C295" i="4"/>
  <c r="B295" i="4"/>
  <c r="AC294" i="4"/>
  <c r="AD294" i="4" s="1"/>
  <c r="AA294" i="4"/>
  <c r="W294" i="4"/>
  <c r="U294" i="4"/>
  <c r="R294" i="4"/>
  <c r="O294" i="4"/>
  <c r="N294" i="4"/>
  <c r="L294" i="4"/>
  <c r="I294" i="4"/>
  <c r="H294" i="4"/>
  <c r="F294" i="4"/>
  <c r="C294" i="4"/>
  <c r="AC293" i="4"/>
  <c r="AD293" i="4" s="1"/>
  <c r="AA293" i="4"/>
  <c r="X293" i="4"/>
  <c r="W293" i="4"/>
  <c r="U293" i="4"/>
  <c r="R293" i="4"/>
  <c r="N293" i="4"/>
  <c r="L293" i="4"/>
  <c r="H293" i="4"/>
  <c r="I293" i="4" s="1"/>
  <c r="F293" i="4"/>
  <c r="C293" i="4"/>
  <c r="AC292" i="4"/>
  <c r="AD292" i="4" s="1"/>
  <c r="AA292" i="4"/>
  <c r="W292" i="4"/>
  <c r="X292" i="4" s="1"/>
  <c r="U292" i="4"/>
  <c r="R292" i="4"/>
  <c r="N292" i="4"/>
  <c r="L292" i="4"/>
  <c r="I292" i="4"/>
  <c r="H292" i="4"/>
  <c r="F292" i="4"/>
  <c r="C292" i="4"/>
  <c r="AD291" i="4"/>
  <c r="AC291" i="4"/>
  <c r="AA291" i="4"/>
  <c r="W291" i="4"/>
  <c r="X291" i="4" s="1"/>
  <c r="U291" i="4"/>
  <c r="R291" i="4"/>
  <c r="O291" i="4"/>
  <c r="N291" i="4"/>
  <c r="L291" i="4"/>
  <c r="H291" i="4"/>
  <c r="I291" i="4" s="1"/>
  <c r="F291" i="4"/>
  <c r="C291" i="4"/>
  <c r="AD290" i="4"/>
  <c r="AC290" i="4"/>
  <c r="AA290" i="4"/>
  <c r="W290" i="4"/>
  <c r="U290" i="4"/>
  <c r="R290" i="4"/>
  <c r="N290" i="4"/>
  <c r="O290" i="4" s="1"/>
  <c r="L290" i="4"/>
  <c r="I290" i="4"/>
  <c r="H290" i="4"/>
  <c r="F290" i="4"/>
  <c r="C290" i="4"/>
  <c r="AD289" i="4"/>
  <c r="AC289" i="4"/>
  <c r="AA289" i="4"/>
  <c r="X289" i="4"/>
  <c r="W289" i="4"/>
  <c r="U289" i="4"/>
  <c r="R289" i="4"/>
  <c r="N289" i="4"/>
  <c r="O289" i="4" s="1"/>
  <c r="L289" i="4"/>
  <c r="I289" i="4"/>
  <c r="H289" i="4"/>
  <c r="F289" i="4"/>
  <c r="C289" i="4"/>
  <c r="AC288" i="4"/>
  <c r="AD288" i="4" s="1"/>
  <c r="AA288" i="4"/>
  <c r="X288" i="4"/>
  <c r="W288" i="4"/>
  <c r="U288" i="4"/>
  <c r="R288" i="4"/>
  <c r="N288" i="4"/>
  <c r="L288" i="4"/>
  <c r="H288" i="4"/>
  <c r="I288" i="4" s="1"/>
  <c r="F288" i="4"/>
  <c r="C288" i="4"/>
  <c r="AD287" i="4"/>
  <c r="AC287" i="4"/>
  <c r="AA287" i="4"/>
  <c r="X287" i="4"/>
  <c r="W287" i="4"/>
  <c r="U287" i="4"/>
  <c r="R287" i="4"/>
  <c r="O287" i="4"/>
  <c r="N287" i="4"/>
  <c r="L287" i="4"/>
  <c r="H287" i="4"/>
  <c r="I287" i="4" s="1"/>
  <c r="F287" i="4"/>
  <c r="C287" i="4"/>
  <c r="AC286" i="4"/>
  <c r="AD286" i="4" s="1"/>
  <c r="AA286" i="4"/>
  <c r="W286" i="4"/>
  <c r="U286" i="4"/>
  <c r="R286" i="4"/>
  <c r="O286" i="4"/>
  <c r="N286" i="4"/>
  <c r="L286" i="4"/>
  <c r="I286" i="4"/>
  <c r="H286" i="4"/>
  <c r="F286" i="4"/>
  <c r="C286" i="4"/>
  <c r="Z284" i="4"/>
  <c r="T284" i="4"/>
  <c r="U284" i="4" s="1"/>
  <c r="R284" i="4"/>
  <c r="Q284" i="4"/>
  <c r="N284" i="4"/>
  <c r="O284" i="4" s="1"/>
  <c r="L284" i="4"/>
  <c r="K284" i="4"/>
  <c r="H284" i="4"/>
  <c r="I284" i="4" s="1"/>
  <c r="F284" i="4"/>
  <c r="E284" i="4"/>
  <c r="C284" i="4"/>
  <c r="B284" i="4"/>
  <c r="AD283" i="4"/>
  <c r="AC283" i="4"/>
  <c r="AA283" i="4"/>
  <c r="X283" i="4"/>
  <c r="W283" i="4"/>
  <c r="U283" i="4"/>
  <c r="R283" i="4"/>
  <c r="N283" i="4"/>
  <c r="O283" i="4" s="1"/>
  <c r="L283" i="4"/>
  <c r="H283" i="4"/>
  <c r="I283" i="4" s="1"/>
  <c r="F283" i="4"/>
  <c r="C283" i="4"/>
  <c r="AD282" i="4"/>
  <c r="AC282" i="4"/>
  <c r="AA282" i="4"/>
  <c r="W282" i="4"/>
  <c r="U282" i="4"/>
  <c r="R282" i="4"/>
  <c r="N282" i="4"/>
  <c r="O282" i="4" s="1"/>
  <c r="L282" i="4"/>
  <c r="I282" i="4"/>
  <c r="H282" i="4"/>
  <c r="F282" i="4"/>
  <c r="C282" i="4"/>
  <c r="AD281" i="4"/>
  <c r="AC281" i="4"/>
  <c r="AA281" i="4"/>
  <c r="X281" i="4"/>
  <c r="W281" i="4"/>
  <c r="U281" i="4"/>
  <c r="R281" i="4"/>
  <c r="N281" i="4"/>
  <c r="O281" i="4" s="1"/>
  <c r="L281" i="4"/>
  <c r="H281" i="4"/>
  <c r="I281" i="4" s="1"/>
  <c r="F281" i="4"/>
  <c r="C281" i="4"/>
  <c r="AC280" i="4"/>
  <c r="AD280" i="4" s="1"/>
  <c r="AA280" i="4"/>
  <c r="W280" i="4"/>
  <c r="X280" i="4" s="1"/>
  <c r="U280" i="4"/>
  <c r="R280" i="4"/>
  <c r="N280" i="4"/>
  <c r="L280" i="4"/>
  <c r="H280" i="4"/>
  <c r="I280" i="4" s="1"/>
  <c r="F280" i="4"/>
  <c r="C280" i="4"/>
  <c r="AD279" i="4"/>
  <c r="AC279" i="4"/>
  <c r="AA279" i="4"/>
  <c r="X279" i="4"/>
  <c r="W279" i="4"/>
  <c r="U279" i="4"/>
  <c r="R279" i="4"/>
  <c r="N279" i="4"/>
  <c r="O279" i="4" s="1"/>
  <c r="L279" i="4"/>
  <c r="H279" i="4"/>
  <c r="I279" i="4" s="1"/>
  <c r="F279" i="4"/>
  <c r="C279" i="4"/>
  <c r="AC278" i="4"/>
  <c r="AD278" i="4" s="1"/>
  <c r="AA278" i="4"/>
  <c r="X278" i="4"/>
  <c r="W278" i="4"/>
  <c r="U278" i="4"/>
  <c r="R278" i="4"/>
  <c r="N278" i="4"/>
  <c r="O278" i="4" s="1"/>
  <c r="L278" i="4"/>
  <c r="I278" i="4"/>
  <c r="H278" i="4"/>
  <c r="F278" i="4"/>
  <c r="C278" i="4"/>
  <c r="AD277" i="4"/>
  <c r="AC277" i="4"/>
  <c r="AA277" i="4"/>
  <c r="W277" i="4"/>
  <c r="X277" i="4" s="1"/>
  <c r="U277" i="4"/>
  <c r="R277" i="4"/>
  <c r="N277" i="4"/>
  <c r="O277" i="4" s="1"/>
  <c r="L277" i="4"/>
  <c r="I277" i="4"/>
  <c r="H277" i="4"/>
  <c r="F277" i="4"/>
  <c r="C277" i="4"/>
  <c r="AC276" i="4"/>
  <c r="AD276" i="4" s="1"/>
  <c r="AA276" i="4"/>
  <c r="X276" i="4"/>
  <c r="W276" i="4"/>
  <c r="U276" i="4"/>
  <c r="R276" i="4"/>
  <c r="O276" i="4"/>
  <c r="N276" i="4"/>
  <c r="L276" i="4"/>
  <c r="H276" i="4"/>
  <c r="I276" i="4" s="1"/>
  <c r="F276" i="4"/>
  <c r="C276" i="4"/>
  <c r="AD275" i="4"/>
  <c r="AC275" i="4"/>
  <c r="AA275" i="4"/>
  <c r="X275" i="4"/>
  <c r="W275" i="4"/>
  <c r="U275" i="4"/>
  <c r="R275" i="4"/>
  <c r="O275" i="4"/>
  <c r="N275" i="4"/>
  <c r="L275" i="4"/>
  <c r="H275" i="4"/>
  <c r="I275" i="4" s="1"/>
  <c r="F275" i="4"/>
  <c r="C275" i="4"/>
  <c r="Z273" i="4"/>
  <c r="AA273" i="4" s="1"/>
  <c r="U273" i="4"/>
  <c r="T273" i="4"/>
  <c r="Q273" i="4"/>
  <c r="K273" i="4"/>
  <c r="L273" i="4" s="1"/>
  <c r="H273" i="4"/>
  <c r="I273" i="4" s="1"/>
  <c r="F273" i="4"/>
  <c r="E273" i="4"/>
  <c r="C273" i="4"/>
  <c r="B273" i="4"/>
  <c r="AC272" i="4"/>
  <c r="AD272" i="4" s="1"/>
  <c r="AA272" i="4"/>
  <c r="W272" i="4"/>
  <c r="X272" i="4" s="1"/>
  <c r="U272" i="4"/>
  <c r="R272" i="4"/>
  <c r="O272" i="4"/>
  <c r="N272" i="4"/>
  <c r="L272" i="4"/>
  <c r="I272" i="4"/>
  <c r="H272" i="4"/>
  <c r="F272" i="4"/>
  <c r="C272" i="4"/>
  <c r="AC271" i="4"/>
  <c r="AD271" i="4" s="1"/>
  <c r="AA271" i="4"/>
  <c r="X271" i="4"/>
  <c r="W271" i="4"/>
  <c r="U271" i="4"/>
  <c r="R271" i="4"/>
  <c r="N271" i="4"/>
  <c r="L271" i="4"/>
  <c r="H271" i="4"/>
  <c r="I271" i="4" s="1"/>
  <c r="F271" i="4"/>
  <c r="C271" i="4"/>
  <c r="AC270" i="4"/>
  <c r="AD270" i="4" s="1"/>
  <c r="AA270" i="4"/>
  <c r="X270" i="4"/>
  <c r="W270" i="4"/>
  <c r="U270" i="4"/>
  <c r="R270" i="4"/>
  <c r="O270" i="4"/>
  <c r="N270" i="4"/>
  <c r="L270" i="4"/>
  <c r="I270" i="4"/>
  <c r="H270" i="4"/>
  <c r="F270" i="4"/>
  <c r="C270" i="4"/>
  <c r="AC269" i="4"/>
  <c r="AD269" i="4" s="1"/>
  <c r="AA269" i="4"/>
  <c r="X269" i="4"/>
  <c r="W269" i="4"/>
  <c r="U269" i="4"/>
  <c r="R269" i="4"/>
  <c r="N269" i="4"/>
  <c r="O269" i="4" s="1"/>
  <c r="L269" i="4"/>
  <c r="I269" i="4"/>
  <c r="H269" i="4"/>
  <c r="F269" i="4"/>
  <c r="C269" i="4"/>
  <c r="AC267" i="4"/>
  <c r="AD267" i="4" s="1"/>
  <c r="Z267" i="4"/>
  <c r="AA267" i="4" s="1"/>
  <c r="W267" i="4"/>
  <c r="X267" i="4" s="1"/>
  <c r="U267" i="4"/>
  <c r="T267" i="4"/>
  <c r="Q267" i="4"/>
  <c r="R267" i="4" s="1"/>
  <c r="L267" i="4"/>
  <c r="K267" i="4"/>
  <c r="E267" i="4"/>
  <c r="F267" i="4" s="1"/>
  <c r="B267" i="4"/>
  <c r="AC266" i="4"/>
  <c r="AD266" i="4" s="1"/>
  <c r="AA266" i="4"/>
  <c r="X266" i="4"/>
  <c r="W266" i="4"/>
  <c r="U266" i="4"/>
  <c r="R266" i="4"/>
  <c r="O266" i="4"/>
  <c r="N266" i="4"/>
  <c r="L266" i="4"/>
  <c r="H266" i="4"/>
  <c r="I266" i="4" s="1"/>
  <c r="F266" i="4"/>
  <c r="C266" i="4"/>
  <c r="AC265" i="4"/>
  <c r="AD265" i="4" s="1"/>
  <c r="AA265" i="4"/>
  <c r="W265" i="4"/>
  <c r="X265" i="4" s="1"/>
  <c r="U265" i="4"/>
  <c r="R265" i="4"/>
  <c r="N265" i="4"/>
  <c r="L265" i="4"/>
  <c r="H265" i="4"/>
  <c r="I265" i="4" s="1"/>
  <c r="F265" i="4"/>
  <c r="C265" i="4"/>
  <c r="AA263" i="4"/>
  <c r="Z263" i="4"/>
  <c r="T263" i="4"/>
  <c r="U263" i="4" s="1"/>
  <c r="Q263" i="4"/>
  <c r="AC263" i="4" s="1"/>
  <c r="AD263" i="4" s="1"/>
  <c r="K263" i="4"/>
  <c r="L263" i="4" s="1"/>
  <c r="E263" i="4"/>
  <c r="B263" i="4"/>
  <c r="AA262" i="4"/>
  <c r="Z262" i="4"/>
  <c r="U262" i="4"/>
  <c r="T262" i="4"/>
  <c r="W262" i="4" s="1"/>
  <c r="X262" i="4" s="1"/>
  <c r="R262" i="4"/>
  <c r="Q262" i="4"/>
  <c r="AC262" i="4" s="1"/>
  <c r="AD262" i="4" s="1"/>
  <c r="N262" i="4"/>
  <c r="O262" i="4" s="1"/>
  <c r="K262" i="4"/>
  <c r="L262" i="4" s="1"/>
  <c r="F262" i="4"/>
  <c r="E262" i="4"/>
  <c r="H262" i="4" s="1"/>
  <c r="I262" i="4" s="1"/>
  <c r="C262" i="4"/>
  <c r="B262" i="4"/>
  <c r="AC261" i="4"/>
  <c r="AD261" i="4" s="1"/>
  <c r="AA261" i="4"/>
  <c r="X261" i="4"/>
  <c r="W261" i="4"/>
  <c r="U261" i="4"/>
  <c r="R261" i="4"/>
  <c r="N261" i="4"/>
  <c r="L261" i="4"/>
  <c r="H261" i="4"/>
  <c r="I261" i="4" s="1"/>
  <c r="F261" i="4"/>
  <c r="C261" i="4"/>
  <c r="AD260" i="4"/>
  <c r="AC260" i="4"/>
  <c r="AA260" i="4"/>
  <c r="X260" i="4"/>
  <c r="W260" i="4"/>
  <c r="U260" i="4"/>
  <c r="R260" i="4"/>
  <c r="O260" i="4"/>
  <c r="N260" i="4"/>
  <c r="L260" i="4"/>
  <c r="H260" i="4"/>
  <c r="I260" i="4" s="1"/>
  <c r="F260" i="4"/>
  <c r="C260" i="4"/>
  <c r="AC259" i="4"/>
  <c r="AD259" i="4" s="1"/>
  <c r="AA259" i="4"/>
  <c r="X259" i="4"/>
  <c r="W259" i="4"/>
  <c r="U259" i="4"/>
  <c r="R259" i="4"/>
  <c r="N259" i="4"/>
  <c r="O259" i="4" s="1"/>
  <c r="L259" i="4"/>
  <c r="I259" i="4"/>
  <c r="H259" i="4"/>
  <c r="F259" i="4"/>
  <c r="C259" i="4"/>
  <c r="AC258" i="4"/>
  <c r="AD258" i="4" s="1"/>
  <c r="AA258" i="4"/>
  <c r="W258" i="4"/>
  <c r="X258" i="4" s="1"/>
  <c r="U258" i="4"/>
  <c r="R258" i="4"/>
  <c r="O258" i="4"/>
  <c r="N258" i="4"/>
  <c r="L258" i="4"/>
  <c r="H258" i="4"/>
  <c r="I258" i="4" s="1"/>
  <c r="F258" i="4"/>
  <c r="C258" i="4"/>
  <c r="AC257" i="4"/>
  <c r="AD257" i="4" s="1"/>
  <c r="AA257" i="4"/>
  <c r="W257" i="4"/>
  <c r="X257" i="4" s="1"/>
  <c r="U257" i="4"/>
  <c r="R257" i="4"/>
  <c r="N257" i="4"/>
  <c r="L257" i="4"/>
  <c r="H257" i="4"/>
  <c r="I257" i="4" s="1"/>
  <c r="F257" i="4"/>
  <c r="C257" i="4"/>
  <c r="AD256" i="4"/>
  <c r="AC256" i="4"/>
  <c r="AA256" i="4"/>
  <c r="X256" i="4"/>
  <c r="W256" i="4"/>
  <c r="U256" i="4"/>
  <c r="R256" i="4"/>
  <c r="N256" i="4"/>
  <c r="O256" i="4" s="1"/>
  <c r="L256" i="4"/>
  <c r="H256" i="4"/>
  <c r="I256" i="4" s="1"/>
  <c r="F256" i="4"/>
  <c r="C256" i="4"/>
  <c r="AC255" i="4"/>
  <c r="AD255" i="4" s="1"/>
  <c r="AA255" i="4"/>
  <c r="X255" i="4"/>
  <c r="W255" i="4"/>
  <c r="U255" i="4"/>
  <c r="R255" i="4"/>
  <c r="O255" i="4"/>
  <c r="N255" i="4"/>
  <c r="L255" i="4"/>
  <c r="I255" i="4"/>
  <c r="H255" i="4"/>
  <c r="F255" i="4"/>
  <c r="C255" i="4"/>
  <c r="AC254" i="4"/>
  <c r="AD254" i="4" s="1"/>
  <c r="AA254" i="4"/>
  <c r="W254" i="4"/>
  <c r="X254" i="4" s="1"/>
  <c r="U254" i="4"/>
  <c r="R254" i="4"/>
  <c r="O254" i="4"/>
  <c r="N254" i="4"/>
  <c r="L254" i="4"/>
  <c r="I254" i="4"/>
  <c r="H254" i="4"/>
  <c r="F254" i="4"/>
  <c r="C254" i="4"/>
  <c r="AC253" i="4"/>
  <c r="AD253" i="4" s="1"/>
  <c r="AA253" i="4"/>
  <c r="W253" i="4"/>
  <c r="X253" i="4" s="1"/>
  <c r="U253" i="4"/>
  <c r="R253" i="4"/>
  <c r="N253" i="4"/>
  <c r="L253" i="4"/>
  <c r="H253" i="4"/>
  <c r="I253" i="4" s="1"/>
  <c r="F253" i="4"/>
  <c r="C253" i="4"/>
  <c r="AD252" i="4"/>
  <c r="AC252" i="4"/>
  <c r="AA252" i="4"/>
  <c r="X252" i="4"/>
  <c r="W252" i="4"/>
  <c r="U252" i="4"/>
  <c r="R252" i="4"/>
  <c r="N252" i="4"/>
  <c r="O252" i="4" s="1"/>
  <c r="L252" i="4"/>
  <c r="H252" i="4"/>
  <c r="I252" i="4" s="1"/>
  <c r="F252" i="4"/>
  <c r="C252" i="4"/>
  <c r="AD251" i="4"/>
  <c r="AC251" i="4"/>
  <c r="AA251" i="4"/>
  <c r="X251" i="4"/>
  <c r="W251" i="4"/>
  <c r="U251" i="4"/>
  <c r="R251" i="4"/>
  <c r="N251" i="4"/>
  <c r="O251" i="4" s="1"/>
  <c r="L251" i="4"/>
  <c r="I251" i="4"/>
  <c r="H251" i="4"/>
  <c r="F251" i="4"/>
  <c r="C251" i="4"/>
  <c r="AC250" i="4"/>
  <c r="AD250" i="4" s="1"/>
  <c r="AA250" i="4"/>
  <c r="X250" i="4"/>
  <c r="W250" i="4"/>
  <c r="U250" i="4"/>
  <c r="R250" i="4"/>
  <c r="O250" i="4"/>
  <c r="N250" i="4"/>
  <c r="L250" i="4"/>
  <c r="H250" i="4"/>
  <c r="I250" i="4" s="1"/>
  <c r="F250" i="4"/>
  <c r="C250" i="4"/>
  <c r="AC249" i="4"/>
  <c r="AD249" i="4" s="1"/>
  <c r="AA249" i="4"/>
  <c r="W249" i="4"/>
  <c r="X249" i="4" s="1"/>
  <c r="U249" i="4"/>
  <c r="R249" i="4"/>
  <c r="N249" i="4"/>
  <c r="L249" i="4"/>
  <c r="H249" i="4"/>
  <c r="I249" i="4" s="1"/>
  <c r="F249" i="4"/>
  <c r="C249" i="4"/>
  <c r="AD248" i="4"/>
  <c r="AC248" i="4"/>
  <c r="AA248" i="4"/>
  <c r="X248" i="4"/>
  <c r="W248" i="4"/>
  <c r="U248" i="4"/>
  <c r="R248" i="4"/>
  <c r="N248" i="4"/>
  <c r="O248" i="4" s="1"/>
  <c r="L248" i="4"/>
  <c r="H248" i="4"/>
  <c r="I248" i="4" s="1"/>
  <c r="F248" i="4"/>
  <c r="C248" i="4"/>
  <c r="AC247" i="4"/>
  <c r="AD247" i="4" s="1"/>
  <c r="AA247" i="4"/>
  <c r="X247" i="4"/>
  <c r="W247" i="4"/>
  <c r="U247" i="4"/>
  <c r="R247" i="4"/>
  <c r="N247" i="4"/>
  <c r="O247" i="4" s="1"/>
  <c r="L247" i="4"/>
  <c r="I247" i="4"/>
  <c r="H247" i="4"/>
  <c r="F247" i="4"/>
  <c r="C247" i="4"/>
  <c r="AC246" i="4"/>
  <c r="AD246" i="4" s="1"/>
  <c r="AA246" i="4"/>
  <c r="W246" i="4"/>
  <c r="X246" i="4" s="1"/>
  <c r="U246" i="4"/>
  <c r="R246" i="4"/>
  <c r="O246" i="4"/>
  <c r="N246" i="4"/>
  <c r="L246" i="4"/>
  <c r="H246" i="4"/>
  <c r="I246" i="4" s="1"/>
  <c r="F246" i="4"/>
  <c r="C246" i="4"/>
  <c r="AC245" i="4"/>
  <c r="AD245" i="4" s="1"/>
  <c r="AA245" i="4"/>
  <c r="X245" i="4"/>
  <c r="W245" i="4"/>
  <c r="U245" i="4"/>
  <c r="R245" i="4"/>
  <c r="N245" i="4"/>
  <c r="L245" i="4"/>
  <c r="H245" i="4"/>
  <c r="I245" i="4" s="1"/>
  <c r="F245" i="4"/>
  <c r="C245" i="4"/>
  <c r="AD244" i="4"/>
  <c r="AC244" i="4"/>
  <c r="AA244" i="4"/>
  <c r="X244" i="4"/>
  <c r="W244" i="4"/>
  <c r="U244" i="4"/>
  <c r="R244" i="4"/>
  <c r="O244" i="4"/>
  <c r="N244" i="4"/>
  <c r="L244" i="4"/>
  <c r="H244" i="4"/>
  <c r="I244" i="4" s="1"/>
  <c r="F244" i="4"/>
  <c r="C244" i="4"/>
  <c r="AD243" i="4"/>
  <c r="AC243" i="4"/>
  <c r="AA243" i="4"/>
  <c r="X243" i="4"/>
  <c r="W243" i="4"/>
  <c r="U243" i="4"/>
  <c r="R243" i="4"/>
  <c r="N243" i="4"/>
  <c r="O243" i="4" s="1"/>
  <c r="L243" i="4"/>
  <c r="I243" i="4"/>
  <c r="H243" i="4"/>
  <c r="F243" i="4"/>
  <c r="C243" i="4"/>
  <c r="AC242" i="4"/>
  <c r="AD242" i="4" s="1"/>
  <c r="AA242" i="4"/>
  <c r="X242" i="4"/>
  <c r="W242" i="4"/>
  <c r="U242" i="4"/>
  <c r="R242" i="4"/>
  <c r="O242" i="4"/>
  <c r="N242" i="4"/>
  <c r="L242" i="4"/>
  <c r="H242" i="4"/>
  <c r="I242" i="4" s="1"/>
  <c r="F242" i="4"/>
  <c r="C242" i="4"/>
  <c r="AC241" i="4"/>
  <c r="AD241" i="4" s="1"/>
  <c r="AA241" i="4"/>
  <c r="W241" i="4"/>
  <c r="X241" i="4" s="1"/>
  <c r="U241" i="4"/>
  <c r="R241" i="4"/>
  <c r="N241" i="4"/>
  <c r="L241" i="4"/>
  <c r="H241" i="4"/>
  <c r="I241" i="4" s="1"/>
  <c r="F241" i="4"/>
  <c r="C241" i="4"/>
  <c r="AD240" i="4"/>
  <c r="AC240" i="4"/>
  <c r="AA240" i="4"/>
  <c r="X240" i="4"/>
  <c r="W240" i="4"/>
  <c r="U240" i="4"/>
  <c r="R240" i="4"/>
  <c r="N240" i="4"/>
  <c r="O240" i="4" s="1"/>
  <c r="L240" i="4"/>
  <c r="H240" i="4"/>
  <c r="I240" i="4" s="1"/>
  <c r="F240" i="4"/>
  <c r="C240" i="4"/>
  <c r="AC238" i="4"/>
  <c r="AD238" i="4" s="1"/>
  <c r="AA238" i="4"/>
  <c r="X238" i="4"/>
  <c r="W238" i="4"/>
  <c r="U238" i="4"/>
  <c r="R238" i="4"/>
  <c r="O238" i="4"/>
  <c r="N238" i="4"/>
  <c r="L238" i="4"/>
  <c r="I238" i="4"/>
  <c r="H238" i="4"/>
  <c r="F238" i="4"/>
  <c r="C238" i="4"/>
  <c r="AA236" i="4"/>
  <c r="Z236" i="4"/>
  <c r="T236" i="4"/>
  <c r="U236" i="4" s="1"/>
  <c r="Q236" i="4"/>
  <c r="AC236" i="4" s="1"/>
  <c r="AD236" i="4" s="1"/>
  <c r="N236" i="4"/>
  <c r="O236" i="4" s="1"/>
  <c r="L236" i="4"/>
  <c r="K236" i="4"/>
  <c r="E236" i="4"/>
  <c r="F236" i="4" s="1"/>
  <c r="B236" i="4"/>
  <c r="H236" i="4" s="1"/>
  <c r="I236" i="4" s="1"/>
  <c r="AD235" i="4"/>
  <c r="AC235" i="4"/>
  <c r="AA235" i="4"/>
  <c r="X235" i="4"/>
  <c r="W235" i="4"/>
  <c r="U235" i="4"/>
  <c r="R235" i="4"/>
  <c r="O235" i="4"/>
  <c r="N235" i="4"/>
  <c r="L235" i="4"/>
  <c r="H235" i="4"/>
  <c r="I235" i="4" s="1"/>
  <c r="F235" i="4"/>
  <c r="C235" i="4"/>
  <c r="AC234" i="4"/>
  <c r="AD234" i="4" s="1"/>
  <c r="AA234" i="4"/>
  <c r="X234" i="4"/>
  <c r="W234" i="4"/>
  <c r="U234" i="4"/>
  <c r="R234" i="4"/>
  <c r="N234" i="4"/>
  <c r="O234" i="4" s="1"/>
  <c r="L234" i="4"/>
  <c r="I234" i="4"/>
  <c r="H234" i="4"/>
  <c r="F234" i="4"/>
  <c r="C234" i="4"/>
  <c r="AC233" i="4"/>
  <c r="AD233" i="4" s="1"/>
  <c r="AA233" i="4"/>
  <c r="W233" i="4"/>
  <c r="X233" i="4" s="1"/>
  <c r="U233" i="4"/>
  <c r="R233" i="4"/>
  <c r="O233" i="4"/>
  <c r="N233" i="4"/>
  <c r="L233" i="4"/>
  <c r="H233" i="4"/>
  <c r="I233" i="4" s="1"/>
  <c r="F233" i="4"/>
  <c r="C233" i="4"/>
  <c r="AC232" i="4"/>
  <c r="AD232" i="4" s="1"/>
  <c r="AA232" i="4"/>
  <c r="W232" i="4"/>
  <c r="X232" i="4" s="1"/>
  <c r="U232" i="4"/>
  <c r="R232" i="4"/>
  <c r="O232" i="4"/>
  <c r="N232" i="4"/>
  <c r="L232" i="4"/>
  <c r="H232" i="4"/>
  <c r="I232" i="4" s="1"/>
  <c r="F232" i="4"/>
  <c r="C232" i="4"/>
  <c r="AD231" i="4"/>
  <c r="AC231" i="4"/>
  <c r="AA231" i="4"/>
  <c r="X231" i="4"/>
  <c r="W231" i="4"/>
  <c r="U231" i="4"/>
  <c r="R231" i="4"/>
  <c r="O231" i="4"/>
  <c r="N231" i="4"/>
  <c r="L231" i="4"/>
  <c r="H231" i="4"/>
  <c r="I231" i="4" s="1"/>
  <c r="F231" i="4"/>
  <c r="C231" i="4"/>
  <c r="AD230" i="4"/>
  <c r="AC230" i="4"/>
  <c r="AA230" i="4"/>
  <c r="X230" i="4"/>
  <c r="W230" i="4"/>
  <c r="U230" i="4"/>
  <c r="R230" i="4"/>
  <c r="N230" i="4"/>
  <c r="O230" i="4" s="1"/>
  <c r="L230" i="4"/>
  <c r="I230" i="4"/>
  <c r="H230" i="4"/>
  <c r="F230" i="4"/>
  <c r="C230" i="4"/>
  <c r="AC229" i="4"/>
  <c r="AD229" i="4" s="1"/>
  <c r="AA229" i="4"/>
  <c r="X229" i="4"/>
  <c r="W229" i="4"/>
  <c r="U229" i="4"/>
  <c r="R229" i="4"/>
  <c r="O229" i="4"/>
  <c r="N229" i="4"/>
  <c r="L229" i="4"/>
  <c r="H229" i="4"/>
  <c r="I229" i="4" s="1"/>
  <c r="F229" i="4"/>
  <c r="C229" i="4"/>
  <c r="Z227" i="4"/>
  <c r="AA227" i="4" s="1"/>
  <c r="U227" i="4"/>
  <c r="T227" i="4"/>
  <c r="Q227" i="4"/>
  <c r="R227" i="4" s="1"/>
  <c r="N227" i="4"/>
  <c r="O227" i="4" s="1"/>
  <c r="K227" i="4"/>
  <c r="L227" i="4" s="1"/>
  <c r="E227" i="4"/>
  <c r="F227" i="4" s="1"/>
  <c r="B227" i="4"/>
  <c r="AC226" i="4"/>
  <c r="AD226" i="4" s="1"/>
  <c r="AA226" i="4"/>
  <c r="X226" i="4"/>
  <c r="W226" i="4"/>
  <c r="U226" i="4"/>
  <c r="R226" i="4"/>
  <c r="N226" i="4"/>
  <c r="O226" i="4" s="1"/>
  <c r="L226" i="4"/>
  <c r="I226" i="4"/>
  <c r="H226" i="4"/>
  <c r="F226" i="4"/>
  <c r="C226" i="4"/>
  <c r="AC225" i="4"/>
  <c r="AD225" i="4" s="1"/>
  <c r="AA225" i="4"/>
  <c r="W225" i="4"/>
  <c r="X225" i="4" s="1"/>
  <c r="U225" i="4"/>
  <c r="R225" i="4"/>
  <c r="O225" i="4"/>
  <c r="N225" i="4"/>
  <c r="L225" i="4"/>
  <c r="H225" i="4"/>
  <c r="I225" i="4" s="1"/>
  <c r="F225" i="4"/>
  <c r="C225" i="4"/>
  <c r="AC224" i="4"/>
  <c r="AD224" i="4" s="1"/>
  <c r="AA224" i="4"/>
  <c r="W224" i="4"/>
  <c r="X224" i="4" s="1"/>
  <c r="U224" i="4"/>
  <c r="R224" i="4"/>
  <c r="O224" i="4"/>
  <c r="N224" i="4"/>
  <c r="L224" i="4"/>
  <c r="H224" i="4"/>
  <c r="I224" i="4" s="1"/>
  <c r="F224" i="4"/>
  <c r="C224" i="4"/>
  <c r="AD223" i="4"/>
  <c r="AC223" i="4"/>
  <c r="AA223" i="4"/>
  <c r="X223" i="4"/>
  <c r="W223" i="4"/>
  <c r="U223" i="4"/>
  <c r="R223" i="4"/>
  <c r="O223" i="4"/>
  <c r="N223" i="4"/>
  <c r="L223" i="4"/>
  <c r="H223" i="4"/>
  <c r="I223" i="4" s="1"/>
  <c r="F223" i="4"/>
  <c r="C223" i="4"/>
  <c r="AC222" i="4"/>
  <c r="AD222" i="4" s="1"/>
  <c r="AA222" i="4"/>
  <c r="X222" i="4"/>
  <c r="W222" i="4"/>
  <c r="U222" i="4"/>
  <c r="R222" i="4"/>
  <c r="N222" i="4"/>
  <c r="O222" i="4" s="1"/>
  <c r="L222" i="4"/>
  <c r="I222" i="4"/>
  <c r="H222" i="4"/>
  <c r="F222" i="4"/>
  <c r="C222" i="4"/>
  <c r="AC221" i="4"/>
  <c r="AD221" i="4" s="1"/>
  <c r="AA221" i="4"/>
  <c r="W221" i="4"/>
  <c r="X221" i="4" s="1"/>
  <c r="U221" i="4"/>
  <c r="R221" i="4"/>
  <c r="O221" i="4"/>
  <c r="N221" i="4"/>
  <c r="L221" i="4"/>
  <c r="H221" i="4"/>
  <c r="I221" i="4" s="1"/>
  <c r="F221" i="4"/>
  <c r="C221" i="4"/>
  <c r="AC220" i="4"/>
  <c r="AD220" i="4" s="1"/>
  <c r="AA220" i="4"/>
  <c r="W220" i="4"/>
  <c r="X220" i="4" s="1"/>
  <c r="U220" i="4"/>
  <c r="R220" i="4"/>
  <c r="O220" i="4"/>
  <c r="N220" i="4"/>
  <c r="L220" i="4"/>
  <c r="H220" i="4"/>
  <c r="I220" i="4" s="1"/>
  <c r="F220" i="4"/>
  <c r="C220" i="4"/>
  <c r="AD219" i="4"/>
  <c r="AC219" i="4"/>
  <c r="AA219" i="4"/>
  <c r="X219" i="4"/>
  <c r="W219" i="4"/>
  <c r="U219" i="4"/>
  <c r="R219" i="4"/>
  <c r="O219" i="4"/>
  <c r="N219" i="4"/>
  <c r="L219" i="4"/>
  <c r="H219" i="4"/>
  <c r="I219" i="4" s="1"/>
  <c r="F219" i="4"/>
  <c r="C219" i="4"/>
  <c r="AC218" i="4"/>
  <c r="AD218" i="4" s="1"/>
  <c r="AA218" i="4"/>
  <c r="Z218" i="4"/>
  <c r="T218" i="4"/>
  <c r="U218" i="4" s="1"/>
  <c r="R218" i="4"/>
  <c r="Q218" i="4"/>
  <c r="W218" i="4" s="1"/>
  <c r="X218" i="4" s="1"/>
  <c r="K218" i="4"/>
  <c r="L218" i="4" s="1"/>
  <c r="H218" i="4"/>
  <c r="I218" i="4" s="1"/>
  <c r="F218" i="4"/>
  <c r="E218" i="4"/>
  <c r="C218" i="4"/>
  <c r="B218" i="4"/>
  <c r="AC217" i="4"/>
  <c r="AD217" i="4" s="1"/>
  <c r="AA217" i="4"/>
  <c r="W217" i="4"/>
  <c r="X217" i="4" s="1"/>
  <c r="U217" i="4"/>
  <c r="R217" i="4"/>
  <c r="O217" i="4"/>
  <c r="N217" i="4"/>
  <c r="L217" i="4"/>
  <c r="H217" i="4"/>
  <c r="I217" i="4" s="1"/>
  <c r="F217" i="4"/>
  <c r="C217" i="4"/>
  <c r="AD216" i="4"/>
  <c r="AC216" i="4"/>
  <c r="AA216" i="4"/>
  <c r="X216" i="4"/>
  <c r="W216" i="4"/>
  <c r="U216" i="4"/>
  <c r="R216" i="4"/>
  <c r="O216" i="4"/>
  <c r="N216" i="4"/>
  <c r="L216" i="4"/>
  <c r="H216" i="4"/>
  <c r="I216" i="4" s="1"/>
  <c r="F216" i="4"/>
  <c r="C216" i="4"/>
  <c r="AC215" i="4"/>
  <c r="AD215" i="4" s="1"/>
  <c r="AA215" i="4"/>
  <c r="X215" i="4"/>
  <c r="W215" i="4"/>
  <c r="U215" i="4"/>
  <c r="R215" i="4"/>
  <c r="N215" i="4"/>
  <c r="O215" i="4" s="1"/>
  <c r="L215" i="4"/>
  <c r="I215" i="4"/>
  <c r="H215" i="4"/>
  <c r="F215" i="4"/>
  <c r="C215" i="4"/>
  <c r="AC214" i="4"/>
  <c r="AD214" i="4" s="1"/>
  <c r="AA214" i="4"/>
  <c r="W214" i="4"/>
  <c r="X214" i="4" s="1"/>
  <c r="U214" i="4"/>
  <c r="R214" i="4"/>
  <c r="O214" i="4"/>
  <c r="N214" i="4"/>
  <c r="L214" i="4"/>
  <c r="H214" i="4"/>
  <c r="I214" i="4" s="1"/>
  <c r="F214" i="4"/>
  <c r="C214" i="4"/>
  <c r="AC213" i="4"/>
  <c r="AD213" i="4" s="1"/>
  <c r="AA213" i="4"/>
  <c r="W213" i="4"/>
  <c r="X213" i="4" s="1"/>
  <c r="U213" i="4"/>
  <c r="R213" i="4"/>
  <c r="O213" i="4"/>
  <c r="N213" i="4"/>
  <c r="L213" i="4"/>
  <c r="H213" i="4"/>
  <c r="I213" i="4" s="1"/>
  <c r="F213" i="4"/>
  <c r="C213" i="4"/>
  <c r="AC211" i="4"/>
  <c r="AD211" i="4" s="1"/>
  <c r="AA211" i="4"/>
  <c r="X211" i="4"/>
  <c r="W211" i="4"/>
  <c r="U211" i="4"/>
  <c r="R211" i="4"/>
  <c r="N211" i="4"/>
  <c r="O211" i="4" s="1"/>
  <c r="L211" i="4"/>
  <c r="H211" i="4"/>
  <c r="I211" i="4" s="1"/>
  <c r="F211" i="4"/>
  <c r="C211" i="4"/>
  <c r="Z209" i="4"/>
  <c r="AC209" i="4" s="1"/>
  <c r="AD209" i="4" s="1"/>
  <c r="T209" i="4"/>
  <c r="U209" i="4" s="1"/>
  <c r="R209" i="4"/>
  <c r="Q209" i="4"/>
  <c r="K209" i="4"/>
  <c r="L209" i="4" s="1"/>
  <c r="E209" i="4"/>
  <c r="H209" i="4" s="1"/>
  <c r="I209" i="4" s="1"/>
  <c r="C209" i="4"/>
  <c r="B209" i="4"/>
  <c r="AC208" i="4"/>
  <c r="AD208" i="4" s="1"/>
  <c r="AA208" i="4"/>
  <c r="X208" i="4"/>
  <c r="W208" i="4"/>
  <c r="U208" i="4"/>
  <c r="R208" i="4"/>
  <c r="O208" i="4"/>
  <c r="N208" i="4"/>
  <c r="L208" i="4"/>
  <c r="H208" i="4"/>
  <c r="I208" i="4" s="1"/>
  <c r="F208" i="4"/>
  <c r="C208" i="4"/>
  <c r="AC207" i="4"/>
  <c r="AD207" i="4" s="1"/>
  <c r="AA207" i="4"/>
  <c r="X207" i="4"/>
  <c r="W207" i="4"/>
  <c r="U207" i="4"/>
  <c r="R207" i="4"/>
  <c r="O207" i="4"/>
  <c r="N207" i="4"/>
  <c r="L207" i="4"/>
  <c r="H207" i="4"/>
  <c r="I207" i="4" s="1"/>
  <c r="F207" i="4"/>
  <c r="C207" i="4"/>
  <c r="AC206" i="4"/>
  <c r="AD206" i="4" s="1"/>
  <c r="AA206" i="4"/>
  <c r="X206" i="4"/>
  <c r="W206" i="4"/>
  <c r="U206" i="4"/>
  <c r="R206" i="4"/>
  <c r="N206" i="4"/>
  <c r="O206" i="4" s="1"/>
  <c r="L206" i="4"/>
  <c r="I206" i="4"/>
  <c r="H206" i="4"/>
  <c r="F206" i="4"/>
  <c r="C206" i="4"/>
  <c r="AC205" i="4"/>
  <c r="AD205" i="4" s="1"/>
  <c r="AA205" i="4"/>
  <c r="W205" i="4"/>
  <c r="X205" i="4" s="1"/>
  <c r="U205" i="4"/>
  <c r="R205" i="4"/>
  <c r="O205" i="4"/>
  <c r="N205" i="4"/>
  <c r="L205" i="4"/>
  <c r="H205" i="4"/>
  <c r="I205" i="4" s="1"/>
  <c r="F205" i="4"/>
  <c r="C205" i="4"/>
  <c r="AC204" i="4"/>
  <c r="AD204" i="4" s="1"/>
  <c r="AA204" i="4"/>
  <c r="X204" i="4"/>
  <c r="W204" i="4"/>
  <c r="U204" i="4"/>
  <c r="R204" i="4"/>
  <c r="O204" i="4"/>
  <c r="N204" i="4"/>
  <c r="L204" i="4"/>
  <c r="H204" i="4"/>
  <c r="I204" i="4" s="1"/>
  <c r="F204" i="4"/>
  <c r="C204" i="4"/>
  <c r="AC203" i="4"/>
  <c r="AD203" i="4" s="1"/>
  <c r="AA203" i="4"/>
  <c r="X203" i="4"/>
  <c r="W203" i="4"/>
  <c r="U203" i="4"/>
  <c r="R203" i="4"/>
  <c r="N203" i="4"/>
  <c r="O203" i="4" s="1"/>
  <c r="L203" i="4"/>
  <c r="H203" i="4"/>
  <c r="I203" i="4" s="1"/>
  <c r="F203" i="4"/>
  <c r="C203" i="4"/>
  <c r="AC202" i="4"/>
  <c r="AD202" i="4" s="1"/>
  <c r="AA202" i="4"/>
  <c r="X202" i="4"/>
  <c r="W202" i="4"/>
  <c r="U202" i="4"/>
  <c r="R202" i="4"/>
  <c r="N202" i="4"/>
  <c r="O202" i="4" s="1"/>
  <c r="L202" i="4"/>
  <c r="H202" i="4"/>
  <c r="I202" i="4" s="1"/>
  <c r="F202" i="4"/>
  <c r="C202" i="4"/>
  <c r="AC201" i="4"/>
  <c r="AD201" i="4" s="1"/>
  <c r="AA201" i="4"/>
  <c r="W201" i="4"/>
  <c r="X201" i="4" s="1"/>
  <c r="U201" i="4"/>
  <c r="R201" i="4"/>
  <c r="O201" i="4"/>
  <c r="N201" i="4"/>
  <c r="L201" i="4"/>
  <c r="H201" i="4"/>
  <c r="I201" i="4" s="1"/>
  <c r="F201" i="4"/>
  <c r="C201" i="4"/>
  <c r="Q198" i="4"/>
  <c r="Z197" i="4"/>
  <c r="AA197" i="4" s="1"/>
  <c r="T197" i="4"/>
  <c r="U197" i="4" s="1"/>
  <c r="Q197" i="4"/>
  <c r="AC197" i="4" s="1"/>
  <c r="AD197" i="4" s="1"/>
  <c r="K197" i="4"/>
  <c r="L197" i="4" s="1"/>
  <c r="E197" i="4"/>
  <c r="F197" i="4" s="1"/>
  <c r="B197" i="4"/>
  <c r="N197" i="4" s="1"/>
  <c r="O197" i="4" s="1"/>
  <c r="AC196" i="4"/>
  <c r="AD196" i="4" s="1"/>
  <c r="Z196" i="4"/>
  <c r="AA196" i="4" s="1"/>
  <c r="T196" i="4"/>
  <c r="U196" i="4" s="1"/>
  <c r="Q196" i="4"/>
  <c r="R196" i="4" s="1"/>
  <c r="L196" i="4"/>
  <c r="K196" i="4"/>
  <c r="E196" i="4"/>
  <c r="F196" i="4" s="1"/>
  <c r="B196" i="4"/>
  <c r="C196" i="4" s="1"/>
  <c r="AC195" i="4"/>
  <c r="AD195" i="4" s="1"/>
  <c r="AA195" i="4"/>
  <c r="X195" i="4"/>
  <c r="W195" i="4"/>
  <c r="U195" i="4"/>
  <c r="R195" i="4"/>
  <c r="O195" i="4"/>
  <c r="N195" i="4"/>
  <c r="L195" i="4"/>
  <c r="I195" i="4"/>
  <c r="H195" i="4"/>
  <c r="F195" i="4"/>
  <c r="C195" i="4"/>
  <c r="AC194" i="4"/>
  <c r="AD194" i="4" s="1"/>
  <c r="AA194" i="4"/>
  <c r="W194" i="4"/>
  <c r="X194" i="4" s="1"/>
  <c r="U194" i="4"/>
  <c r="R194" i="4"/>
  <c r="O194" i="4"/>
  <c r="N194" i="4"/>
  <c r="L194" i="4"/>
  <c r="I194" i="4"/>
  <c r="H194" i="4"/>
  <c r="F194" i="4"/>
  <c r="C194" i="4"/>
  <c r="Z193" i="4"/>
  <c r="AA193" i="4" s="1"/>
  <c r="U193" i="4"/>
  <c r="T193" i="4"/>
  <c r="Q193" i="4"/>
  <c r="R193" i="4" s="1"/>
  <c r="N193" i="4"/>
  <c r="O193" i="4" s="1"/>
  <c r="K193" i="4"/>
  <c r="L193" i="4" s="1"/>
  <c r="E193" i="4"/>
  <c r="F193" i="4" s="1"/>
  <c r="B193" i="4"/>
  <c r="C193" i="4" s="1"/>
  <c r="AC192" i="4"/>
  <c r="AD192" i="4" s="1"/>
  <c r="AA192" i="4"/>
  <c r="X192" i="4"/>
  <c r="W192" i="4"/>
  <c r="U192" i="4"/>
  <c r="R192" i="4"/>
  <c r="O192" i="4"/>
  <c r="N192" i="4"/>
  <c r="L192" i="4"/>
  <c r="H192" i="4"/>
  <c r="I192" i="4" s="1"/>
  <c r="F192" i="4"/>
  <c r="C192" i="4"/>
  <c r="AC191" i="4"/>
  <c r="AD191" i="4" s="1"/>
  <c r="AA191" i="4"/>
  <c r="W191" i="4"/>
  <c r="X191" i="4" s="1"/>
  <c r="U191" i="4"/>
  <c r="R191" i="4"/>
  <c r="O191" i="4"/>
  <c r="N191" i="4"/>
  <c r="L191" i="4"/>
  <c r="I191" i="4"/>
  <c r="H191" i="4"/>
  <c r="F191" i="4"/>
  <c r="C191" i="4"/>
  <c r="AC190" i="4"/>
  <c r="AD190" i="4" s="1"/>
  <c r="AA190" i="4"/>
  <c r="W190" i="4"/>
  <c r="X190" i="4" s="1"/>
  <c r="U190" i="4"/>
  <c r="R190" i="4"/>
  <c r="O190" i="4"/>
  <c r="N190" i="4"/>
  <c r="L190" i="4"/>
  <c r="H190" i="4"/>
  <c r="I190" i="4" s="1"/>
  <c r="F190" i="4"/>
  <c r="C190" i="4"/>
  <c r="AD189" i="4"/>
  <c r="AC189" i="4"/>
  <c r="AA189" i="4"/>
  <c r="X189" i="4"/>
  <c r="W189" i="4"/>
  <c r="U189" i="4"/>
  <c r="R189" i="4"/>
  <c r="O189" i="4"/>
  <c r="N189" i="4"/>
  <c r="L189" i="4"/>
  <c r="H189" i="4"/>
  <c r="I189" i="4" s="1"/>
  <c r="F189" i="4"/>
  <c r="C189" i="4"/>
  <c r="AC188" i="4"/>
  <c r="AD188" i="4" s="1"/>
  <c r="AA188" i="4"/>
  <c r="X188" i="4"/>
  <c r="W188" i="4"/>
  <c r="U188" i="4"/>
  <c r="R188" i="4"/>
  <c r="N188" i="4"/>
  <c r="O188" i="4" s="1"/>
  <c r="L188" i="4"/>
  <c r="I188" i="4"/>
  <c r="H188" i="4"/>
  <c r="F188" i="4"/>
  <c r="C188" i="4"/>
  <c r="AC187" i="4"/>
  <c r="AD187" i="4" s="1"/>
  <c r="AA187" i="4"/>
  <c r="W187" i="4"/>
  <c r="X187" i="4" s="1"/>
  <c r="U187" i="4"/>
  <c r="R187" i="4"/>
  <c r="O187" i="4"/>
  <c r="N187" i="4"/>
  <c r="L187" i="4"/>
  <c r="H187" i="4"/>
  <c r="I187" i="4" s="1"/>
  <c r="F187" i="4"/>
  <c r="C187" i="4"/>
  <c r="AC186" i="4"/>
  <c r="AD186" i="4" s="1"/>
  <c r="AA186" i="4"/>
  <c r="X186" i="4"/>
  <c r="W186" i="4"/>
  <c r="U186" i="4"/>
  <c r="R186" i="4"/>
  <c r="O186" i="4"/>
  <c r="N186" i="4"/>
  <c r="L186" i="4"/>
  <c r="H186" i="4"/>
  <c r="I186" i="4" s="1"/>
  <c r="F186" i="4"/>
  <c r="C186" i="4"/>
  <c r="AC184" i="4"/>
  <c r="AD184" i="4" s="1"/>
  <c r="AA184" i="4"/>
  <c r="X184" i="4"/>
  <c r="W184" i="4"/>
  <c r="U184" i="4"/>
  <c r="R184" i="4"/>
  <c r="O184" i="4"/>
  <c r="N184" i="4"/>
  <c r="L184" i="4"/>
  <c r="H184" i="4"/>
  <c r="I184" i="4" s="1"/>
  <c r="F184" i="4"/>
  <c r="C184" i="4"/>
  <c r="AC183" i="4"/>
  <c r="AD183" i="4" s="1"/>
  <c r="AA183" i="4"/>
  <c r="X183" i="4"/>
  <c r="W183" i="4"/>
  <c r="U183" i="4"/>
  <c r="R183" i="4"/>
  <c r="N183" i="4"/>
  <c r="O183" i="4" s="1"/>
  <c r="L183" i="4"/>
  <c r="I183" i="4"/>
  <c r="H183" i="4"/>
  <c r="F183" i="4"/>
  <c r="C183" i="4"/>
  <c r="Z182" i="4"/>
  <c r="AC182" i="4" s="1"/>
  <c r="AD182" i="4" s="1"/>
  <c r="T182" i="4"/>
  <c r="U182" i="4" s="1"/>
  <c r="Q182" i="4"/>
  <c r="R182" i="4" s="1"/>
  <c r="K182" i="4"/>
  <c r="N182" i="4" s="1"/>
  <c r="O182" i="4" s="1"/>
  <c r="H182" i="4"/>
  <c r="I182" i="4" s="1"/>
  <c r="E182" i="4"/>
  <c r="F182" i="4" s="1"/>
  <c r="B182" i="4"/>
  <c r="C182" i="4" s="1"/>
  <c r="AC181" i="4"/>
  <c r="AD181" i="4" s="1"/>
  <c r="AA181" i="4"/>
  <c r="X181" i="4"/>
  <c r="W181" i="4"/>
  <c r="U181" i="4"/>
  <c r="R181" i="4"/>
  <c r="N181" i="4"/>
  <c r="O181" i="4" s="1"/>
  <c r="L181" i="4"/>
  <c r="H181" i="4"/>
  <c r="I181" i="4" s="1"/>
  <c r="F181" i="4"/>
  <c r="C181" i="4"/>
  <c r="AC180" i="4"/>
  <c r="AD180" i="4" s="1"/>
  <c r="AA180" i="4"/>
  <c r="X180" i="4"/>
  <c r="W180" i="4"/>
  <c r="U180" i="4"/>
  <c r="R180" i="4"/>
  <c r="O180" i="4"/>
  <c r="N180" i="4"/>
  <c r="L180" i="4"/>
  <c r="H180" i="4"/>
  <c r="I180" i="4" s="1"/>
  <c r="F180" i="4"/>
  <c r="C180" i="4"/>
  <c r="AC179" i="4"/>
  <c r="AD179" i="4" s="1"/>
  <c r="AA179" i="4"/>
  <c r="W179" i="4"/>
  <c r="X179" i="4" s="1"/>
  <c r="U179" i="4"/>
  <c r="R179" i="4"/>
  <c r="O179" i="4"/>
  <c r="N179" i="4"/>
  <c r="L179" i="4"/>
  <c r="I179" i="4"/>
  <c r="H179" i="4"/>
  <c r="F179" i="4"/>
  <c r="C179" i="4"/>
  <c r="AC178" i="4"/>
  <c r="AD178" i="4" s="1"/>
  <c r="AA178" i="4"/>
  <c r="W178" i="4"/>
  <c r="X178" i="4" s="1"/>
  <c r="U178" i="4"/>
  <c r="R178" i="4"/>
  <c r="O178" i="4"/>
  <c r="N178" i="4"/>
  <c r="L178" i="4"/>
  <c r="H178" i="4"/>
  <c r="I178" i="4" s="1"/>
  <c r="F178" i="4"/>
  <c r="C178" i="4"/>
  <c r="AD177" i="4"/>
  <c r="AC177" i="4"/>
  <c r="AA177" i="4"/>
  <c r="X177" i="4"/>
  <c r="W177" i="4"/>
  <c r="U177" i="4"/>
  <c r="R177" i="4"/>
  <c r="N177" i="4"/>
  <c r="O177" i="4" s="1"/>
  <c r="L177" i="4"/>
  <c r="H177" i="4"/>
  <c r="I177" i="4" s="1"/>
  <c r="F177" i="4"/>
  <c r="C177" i="4"/>
  <c r="AD175" i="4"/>
  <c r="AC175" i="4"/>
  <c r="AA175" i="4"/>
  <c r="X175" i="4"/>
  <c r="W175" i="4"/>
  <c r="U175" i="4"/>
  <c r="R175" i="4"/>
  <c r="N175" i="4"/>
  <c r="O175" i="4" s="1"/>
  <c r="L175" i="4"/>
  <c r="H175" i="4"/>
  <c r="I175" i="4" s="1"/>
  <c r="F175" i="4"/>
  <c r="C175" i="4"/>
  <c r="T172" i="4"/>
  <c r="K172" i="4"/>
  <c r="K198" i="4" s="1"/>
  <c r="Z171" i="4"/>
  <c r="AA171" i="4" s="1"/>
  <c r="T171" i="4"/>
  <c r="W171" i="4" s="1"/>
  <c r="X171" i="4" s="1"/>
  <c r="R171" i="4"/>
  <c r="Q171" i="4"/>
  <c r="K171" i="4"/>
  <c r="L171" i="4" s="1"/>
  <c r="E171" i="4"/>
  <c r="F171" i="4" s="1"/>
  <c r="B171" i="4"/>
  <c r="Z170" i="4"/>
  <c r="AA170" i="4" s="1"/>
  <c r="T170" i="4"/>
  <c r="U170" i="4" s="1"/>
  <c r="Q170" i="4"/>
  <c r="R170" i="4" s="1"/>
  <c r="O170" i="4"/>
  <c r="K170" i="4"/>
  <c r="L170" i="4" s="1"/>
  <c r="E170" i="4"/>
  <c r="F170" i="4" s="1"/>
  <c r="B170" i="4"/>
  <c r="N170" i="4" s="1"/>
  <c r="AD169" i="4"/>
  <c r="AC169" i="4"/>
  <c r="AA169" i="4"/>
  <c r="X169" i="4"/>
  <c r="W169" i="4"/>
  <c r="U169" i="4"/>
  <c r="R169" i="4"/>
  <c r="N169" i="4"/>
  <c r="O169" i="4" s="1"/>
  <c r="L169" i="4"/>
  <c r="H169" i="4"/>
  <c r="I169" i="4" s="1"/>
  <c r="F169" i="4"/>
  <c r="C169" i="4"/>
  <c r="AC168" i="4"/>
  <c r="AD168" i="4" s="1"/>
  <c r="AA168" i="4"/>
  <c r="X168" i="4"/>
  <c r="W168" i="4"/>
  <c r="U168" i="4"/>
  <c r="R168" i="4"/>
  <c r="O168" i="4"/>
  <c r="N168" i="4"/>
  <c r="L168" i="4"/>
  <c r="H168" i="4"/>
  <c r="I168" i="4" s="1"/>
  <c r="F168" i="4"/>
  <c r="C168" i="4"/>
  <c r="AC167" i="4"/>
  <c r="AD167" i="4" s="1"/>
  <c r="AA167" i="4"/>
  <c r="W167" i="4"/>
  <c r="X167" i="4" s="1"/>
  <c r="U167" i="4"/>
  <c r="R167" i="4"/>
  <c r="O167" i="4"/>
  <c r="N167" i="4"/>
  <c r="L167" i="4"/>
  <c r="I167" i="4"/>
  <c r="H167" i="4"/>
  <c r="F167" i="4"/>
  <c r="C167" i="4"/>
  <c r="AC166" i="4"/>
  <c r="AD166" i="4" s="1"/>
  <c r="Z166" i="4"/>
  <c r="AA166" i="4" s="1"/>
  <c r="T166" i="4"/>
  <c r="U166" i="4" s="1"/>
  <c r="Q166" i="4"/>
  <c r="R166" i="4" s="1"/>
  <c r="N166" i="4"/>
  <c r="O166" i="4" s="1"/>
  <c r="L166" i="4"/>
  <c r="K166" i="4"/>
  <c r="E166" i="4"/>
  <c r="F166" i="4" s="1"/>
  <c r="B166" i="4"/>
  <c r="C166" i="4" s="1"/>
  <c r="AC165" i="4"/>
  <c r="AD165" i="4" s="1"/>
  <c r="AA165" i="4"/>
  <c r="X165" i="4"/>
  <c r="W165" i="4"/>
  <c r="U165" i="4"/>
  <c r="R165" i="4"/>
  <c r="N165" i="4"/>
  <c r="O165" i="4" s="1"/>
  <c r="L165" i="4"/>
  <c r="I165" i="4"/>
  <c r="H165" i="4"/>
  <c r="F165" i="4"/>
  <c r="C165" i="4"/>
  <c r="AC164" i="4"/>
  <c r="AD164" i="4" s="1"/>
  <c r="AA164" i="4"/>
  <c r="W164" i="4"/>
  <c r="X164" i="4" s="1"/>
  <c r="U164" i="4"/>
  <c r="R164" i="4"/>
  <c r="O164" i="4"/>
  <c r="N164" i="4"/>
  <c r="L164" i="4"/>
  <c r="H164" i="4"/>
  <c r="I164" i="4" s="1"/>
  <c r="F164" i="4"/>
  <c r="C164" i="4"/>
  <c r="AC163" i="4"/>
  <c r="AD163" i="4" s="1"/>
  <c r="AA163" i="4"/>
  <c r="W163" i="4"/>
  <c r="X163" i="4" s="1"/>
  <c r="U163" i="4"/>
  <c r="R163" i="4"/>
  <c r="O163" i="4"/>
  <c r="N163" i="4"/>
  <c r="L163" i="4"/>
  <c r="H163" i="4"/>
  <c r="I163" i="4" s="1"/>
  <c r="F163" i="4"/>
  <c r="C163" i="4"/>
  <c r="AD162" i="4"/>
  <c r="AC162" i="4"/>
  <c r="AA162" i="4"/>
  <c r="X162" i="4"/>
  <c r="W162" i="4"/>
  <c r="U162" i="4"/>
  <c r="R162" i="4"/>
  <c r="O162" i="4"/>
  <c r="N162" i="4"/>
  <c r="L162" i="4"/>
  <c r="H162" i="4"/>
  <c r="I162" i="4" s="1"/>
  <c r="F162" i="4"/>
  <c r="C162" i="4"/>
  <c r="AC161" i="4"/>
  <c r="AD161" i="4" s="1"/>
  <c r="AA161" i="4"/>
  <c r="X161" i="4"/>
  <c r="W161" i="4"/>
  <c r="U161" i="4"/>
  <c r="R161" i="4"/>
  <c r="N161" i="4"/>
  <c r="O161" i="4" s="1"/>
  <c r="L161" i="4"/>
  <c r="I161" i="4"/>
  <c r="H161" i="4"/>
  <c r="F161" i="4"/>
  <c r="C161" i="4"/>
  <c r="AC160" i="4"/>
  <c r="AD160" i="4" s="1"/>
  <c r="AA160" i="4"/>
  <c r="W160" i="4"/>
  <c r="X160" i="4" s="1"/>
  <c r="U160" i="4"/>
  <c r="R160" i="4"/>
  <c r="O160" i="4"/>
  <c r="N160" i="4"/>
  <c r="L160" i="4"/>
  <c r="H160" i="4"/>
  <c r="I160" i="4" s="1"/>
  <c r="F160" i="4"/>
  <c r="C160" i="4"/>
  <c r="Z158" i="4"/>
  <c r="AA158" i="4" s="1"/>
  <c r="W158" i="4"/>
  <c r="X158" i="4" s="1"/>
  <c r="T158" i="4"/>
  <c r="U158" i="4" s="1"/>
  <c r="Q158" i="4"/>
  <c r="R158" i="4" s="1"/>
  <c r="K158" i="4"/>
  <c r="N158" i="4" s="1"/>
  <c r="O158" i="4" s="1"/>
  <c r="H158" i="4"/>
  <c r="I158" i="4" s="1"/>
  <c r="E158" i="4"/>
  <c r="F158" i="4" s="1"/>
  <c r="B158" i="4"/>
  <c r="C158" i="4" s="1"/>
  <c r="AC157" i="4"/>
  <c r="AD157" i="4" s="1"/>
  <c r="AA157" i="4"/>
  <c r="X157" i="4"/>
  <c r="W157" i="4"/>
  <c r="U157" i="4"/>
  <c r="R157" i="4"/>
  <c r="N157" i="4"/>
  <c r="O157" i="4" s="1"/>
  <c r="L157" i="4"/>
  <c r="H157" i="4"/>
  <c r="I157" i="4" s="1"/>
  <c r="F157" i="4"/>
  <c r="C157" i="4"/>
  <c r="AC156" i="4"/>
  <c r="AD156" i="4" s="1"/>
  <c r="AA156" i="4"/>
  <c r="W156" i="4"/>
  <c r="X156" i="4" s="1"/>
  <c r="U156" i="4"/>
  <c r="R156" i="4"/>
  <c r="O156" i="4"/>
  <c r="N156" i="4"/>
  <c r="L156" i="4"/>
  <c r="H156" i="4"/>
  <c r="I156" i="4" s="1"/>
  <c r="F156" i="4"/>
  <c r="C156" i="4"/>
  <c r="AC155" i="4"/>
  <c r="AD155" i="4" s="1"/>
  <c r="AA155" i="4"/>
  <c r="X155" i="4"/>
  <c r="W155" i="4"/>
  <c r="U155" i="4"/>
  <c r="R155" i="4"/>
  <c r="O155" i="4"/>
  <c r="N155" i="4"/>
  <c r="L155" i="4"/>
  <c r="H155" i="4"/>
  <c r="I155" i="4" s="1"/>
  <c r="F155" i="4"/>
  <c r="C155" i="4"/>
  <c r="AC154" i="4"/>
  <c r="AD154" i="4" s="1"/>
  <c r="AA154" i="4"/>
  <c r="X154" i="4"/>
  <c r="W154" i="4"/>
  <c r="U154" i="4"/>
  <c r="R154" i="4"/>
  <c r="N154" i="4"/>
  <c r="O154" i="4" s="1"/>
  <c r="L154" i="4"/>
  <c r="H154" i="4"/>
  <c r="I154" i="4" s="1"/>
  <c r="F154" i="4"/>
  <c r="C154" i="4"/>
  <c r="AC153" i="4"/>
  <c r="AD153" i="4" s="1"/>
  <c r="AA153" i="4"/>
  <c r="X153" i="4"/>
  <c r="W153" i="4"/>
  <c r="U153" i="4"/>
  <c r="R153" i="4"/>
  <c r="O153" i="4"/>
  <c r="N153" i="4"/>
  <c r="L153" i="4"/>
  <c r="H153" i="4"/>
  <c r="I153" i="4" s="1"/>
  <c r="F153" i="4"/>
  <c r="C153" i="4"/>
  <c r="AC151" i="4"/>
  <c r="AD151" i="4" s="1"/>
  <c r="AA151" i="4"/>
  <c r="W151" i="4"/>
  <c r="X151" i="4" s="1"/>
  <c r="U151" i="4"/>
  <c r="R151" i="4"/>
  <c r="O151" i="4"/>
  <c r="N151" i="4"/>
  <c r="L151" i="4"/>
  <c r="I151" i="4"/>
  <c r="H151" i="4"/>
  <c r="F151" i="4"/>
  <c r="C151" i="4"/>
  <c r="Z149" i="4"/>
  <c r="AA149" i="4" s="1"/>
  <c r="T149" i="4"/>
  <c r="U149" i="4" s="1"/>
  <c r="Q149" i="4"/>
  <c r="K149" i="4"/>
  <c r="L149" i="4" s="1"/>
  <c r="E149" i="4"/>
  <c r="F149" i="4" s="1"/>
  <c r="B149" i="4"/>
  <c r="C149" i="4" s="1"/>
  <c r="Z148" i="4"/>
  <c r="AA148" i="4" s="1"/>
  <c r="T148" i="4"/>
  <c r="U148" i="4" s="1"/>
  <c r="Q148" i="4"/>
  <c r="AC148" i="4" s="1"/>
  <c r="AD148" i="4" s="1"/>
  <c r="O148" i="4"/>
  <c r="K148" i="4"/>
  <c r="L148" i="4" s="1"/>
  <c r="E148" i="4"/>
  <c r="F148" i="4" s="1"/>
  <c r="B148" i="4"/>
  <c r="N148" i="4" s="1"/>
  <c r="AC147" i="4"/>
  <c r="AD147" i="4" s="1"/>
  <c r="AA147" i="4"/>
  <c r="W147" i="4"/>
  <c r="X147" i="4" s="1"/>
  <c r="U147" i="4"/>
  <c r="R147" i="4"/>
  <c r="O147" i="4"/>
  <c r="N147" i="4"/>
  <c r="L147" i="4"/>
  <c r="H147" i="4"/>
  <c r="I147" i="4" s="1"/>
  <c r="F147" i="4"/>
  <c r="C147" i="4"/>
  <c r="AC146" i="4"/>
  <c r="AD146" i="4" s="1"/>
  <c r="AA146" i="4"/>
  <c r="X146" i="4"/>
  <c r="W146" i="4"/>
  <c r="U146" i="4"/>
  <c r="R146" i="4"/>
  <c r="N146" i="4"/>
  <c r="O146" i="4" s="1"/>
  <c r="L146" i="4"/>
  <c r="H146" i="4"/>
  <c r="I146" i="4" s="1"/>
  <c r="F146" i="4"/>
  <c r="C146" i="4"/>
  <c r="AC145" i="4"/>
  <c r="AD145" i="4" s="1"/>
  <c r="AA145" i="4"/>
  <c r="X145" i="4"/>
  <c r="W145" i="4"/>
  <c r="U145" i="4"/>
  <c r="R145" i="4"/>
  <c r="O145" i="4"/>
  <c r="N145" i="4"/>
  <c r="L145" i="4"/>
  <c r="H145" i="4"/>
  <c r="I145" i="4" s="1"/>
  <c r="F145" i="4"/>
  <c r="C145" i="4"/>
  <c r="AC144" i="4"/>
  <c r="AD144" i="4" s="1"/>
  <c r="AA144" i="4"/>
  <c r="W144" i="4"/>
  <c r="X144" i="4" s="1"/>
  <c r="U144" i="4"/>
  <c r="R144" i="4"/>
  <c r="O144" i="4"/>
  <c r="N144" i="4"/>
  <c r="L144" i="4"/>
  <c r="I144" i="4"/>
  <c r="H144" i="4"/>
  <c r="F144" i="4"/>
  <c r="C144" i="4"/>
  <c r="AC143" i="4"/>
  <c r="AD143" i="4" s="1"/>
  <c r="AA143" i="4"/>
  <c r="W143" i="4"/>
  <c r="X143" i="4" s="1"/>
  <c r="U143" i="4"/>
  <c r="R143" i="4"/>
  <c r="O143" i="4"/>
  <c r="N143" i="4"/>
  <c r="L143" i="4"/>
  <c r="H143" i="4"/>
  <c r="I143" i="4" s="1"/>
  <c r="F143" i="4"/>
  <c r="C143" i="4"/>
  <c r="AD141" i="4"/>
  <c r="Z141" i="4"/>
  <c r="AA141" i="4" s="1"/>
  <c r="T141" i="4"/>
  <c r="U141" i="4" s="1"/>
  <c r="Q141" i="4"/>
  <c r="AC141" i="4" s="1"/>
  <c r="N141" i="4"/>
  <c r="O141" i="4" s="1"/>
  <c r="K141" i="4"/>
  <c r="L141" i="4" s="1"/>
  <c r="E141" i="4"/>
  <c r="F141" i="4" s="1"/>
  <c r="B141" i="4"/>
  <c r="C141" i="4" s="1"/>
  <c r="AC140" i="4"/>
  <c r="AD140" i="4" s="1"/>
  <c r="AA140" i="4"/>
  <c r="W140" i="4"/>
  <c r="X140" i="4" s="1"/>
  <c r="U140" i="4"/>
  <c r="R140" i="4"/>
  <c r="O140" i="4"/>
  <c r="N140" i="4"/>
  <c r="L140" i="4"/>
  <c r="I140" i="4"/>
  <c r="H140" i="4"/>
  <c r="F140" i="4"/>
  <c r="C140" i="4"/>
  <c r="AC139" i="4"/>
  <c r="AD139" i="4" s="1"/>
  <c r="AA139" i="4"/>
  <c r="W139" i="4"/>
  <c r="X139" i="4" s="1"/>
  <c r="U139" i="4"/>
  <c r="R139" i="4"/>
  <c r="O139" i="4"/>
  <c r="N139" i="4"/>
  <c r="L139" i="4"/>
  <c r="H139" i="4"/>
  <c r="I139" i="4" s="1"/>
  <c r="F139" i="4"/>
  <c r="C139" i="4"/>
  <c r="AD138" i="4"/>
  <c r="AC138" i="4"/>
  <c r="AA138" i="4"/>
  <c r="X138" i="4"/>
  <c r="W138" i="4"/>
  <c r="U138" i="4"/>
  <c r="R138" i="4"/>
  <c r="N138" i="4"/>
  <c r="O138" i="4" s="1"/>
  <c r="L138" i="4"/>
  <c r="H138" i="4"/>
  <c r="I138" i="4" s="1"/>
  <c r="F138" i="4"/>
  <c r="C138" i="4"/>
  <c r="AD137" i="4"/>
  <c r="AC137" i="4"/>
  <c r="AA137" i="4"/>
  <c r="X137" i="4"/>
  <c r="W137" i="4"/>
  <c r="U137" i="4"/>
  <c r="R137" i="4"/>
  <c r="N137" i="4"/>
  <c r="O137" i="4" s="1"/>
  <c r="L137" i="4"/>
  <c r="H137" i="4"/>
  <c r="I137" i="4" s="1"/>
  <c r="F137" i="4"/>
  <c r="C137" i="4"/>
  <c r="AC136" i="4"/>
  <c r="AD136" i="4" s="1"/>
  <c r="AA136" i="4"/>
  <c r="X136" i="4"/>
  <c r="W136" i="4"/>
  <c r="U136" i="4"/>
  <c r="R136" i="4"/>
  <c r="O136" i="4"/>
  <c r="N136" i="4"/>
  <c r="L136" i="4"/>
  <c r="H136" i="4"/>
  <c r="I136" i="4" s="1"/>
  <c r="F136" i="4"/>
  <c r="C136" i="4"/>
  <c r="AC135" i="4"/>
  <c r="AD135" i="4" s="1"/>
  <c r="AA135" i="4"/>
  <c r="W135" i="4"/>
  <c r="X135" i="4" s="1"/>
  <c r="U135" i="4"/>
  <c r="R135" i="4"/>
  <c r="O135" i="4"/>
  <c r="N135" i="4"/>
  <c r="L135" i="4"/>
  <c r="H135" i="4"/>
  <c r="I135" i="4" s="1"/>
  <c r="F135" i="4"/>
  <c r="C135" i="4"/>
  <c r="AC134" i="4"/>
  <c r="AD134" i="4" s="1"/>
  <c r="AA134" i="4"/>
  <c r="X134" i="4"/>
  <c r="W134" i="4"/>
  <c r="U134" i="4"/>
  <c r="R134" i="4"/>
  <c r="N134" i="4"/>
  <c r="O134" i="4" s="1"/>
  <c r="L134" i="4"/>
  <c r="H134" i="4"/>
  <c r="I134" i="4" s="1"/>
  <c r="F134" i="4"/>
  <c r="C134" i="4"/>
  <c r="AC133" i="4"/>
  <c r="AD133" i="4" s="1"/>
  <c r="AA133" i="4"/>
  <c r="X133" i="4"/>
  <c r="W133" i="4"/>
  <c r="U133" i="4"/>
  <c r="R133" i="4"/>
  <c r="O133" i="4"/>
  <c r="N133" i="4"/>
  <c r="L133" i="4"/>
  <c r="H133" i="4"/>
  <c r="I133" i="4" s="1"/>
  <c r="F133" i="4"/>
  <c r="C133" i="4"/>
  <c r="AC132" i="4"/>
  <c r="AD132" i="4" s="1"/>
  <c r="AA132" i="4"/>
  <c r="W132" i="4"/>
  <c r="X132" i="4" s="1"/>
  <c r="U132" i="4"/>
  <c r="R132" i="4"/>
  <c r="O132" i="4"/>
  <c r="N132" i="4"/>
  <c r="L132" i="4"/>
  <c r="I132" i="4"/>
  <c r="H132" i="4"/>
  <c r="F132" i="4"/>
  <c r="C132" i="4"/>
  <c r="AC131" i="4"/>
  <c r="AD131" i="4" s="1"/>
  <c r="AA131" i="4"/>
  <c r="W131" i="4"/>
  <c r="X131" i="4" s="1"/>
  <c r="U131" i="4"/>
  <c r="R131" i="4"/>
  <c r="O131" i="4"/>
  <c r="N131" i="4"/>
  <c r="L131" i="4"/>
  <c r="H131" i="4"/>
  <c r="I131" i="4" s="1"/>
  <c r="F131" i="4"/>
  <c r="C131" i="4"/>
  <c r="AD130" i="4"/>
  <c r="AC130" i="4"/>
  <c r="AA130" i="4"/>
  <c r="X130" i="4"/>
  <c r="W130" i="4"/>
  <c r="U130" i="4"/>
  <c r="R130" i="4"/>
  <c r="N130" i="4"/>
  <c r="O130" i="4" s="1"/>
  <c r="L130" i="4"/>
  <c r="H130" i="4"/>
  <c r="I130" i="4" s="1"/>
  <c r="F130" i="4"/>
  <c r="C130" i="4"/>
  <c r="AD129" i="4"/>
  <c r="AC129" i="4"/>
  <c r="AA129" i="4"/>
  <c r="X129" i="4"/>
  <c r="W129" i="4"/>
  <c r="U129" i="4"/>
  <c r="R129" i="4"/>
  <c r="N129" i="4"/>
  <c r="O129" i="4" s="1"/>
  <c r="L129" i="4"/>
  <c r="H129" i="4"/>
  <c r="I129" i="4" s="1"/>
  <c r="F129" i="4"/>
  <c r="C129" i="4"/>
  <c r="AC127" i="4"/>
  <c r="AD127" i="4" s="1"/>
  <c r="AA127" i="4"/>
  <c r="X127" i="4"/>
  <c r="W127" i="4"/>
  <c r="U127" i="4"/>
  <c r="R127" i="4"/>
  <c r="O127" i="4"/>
  <c r="N127" i="4"/>
  <c r="L127" i="4"/>
  <c r="H127" i="4"/>
  <c r="I127" i="4" s="1"/>
  <c r="F127" i="4"/>
  <c r="C127" i="4"/>
  <c r="AC124" i="4"/>
  <c r="AD124" i="4" s="1"/>
  <c r="Z124" i="4"/>
  <c r="AA124" i="4" s="1"/>
  <c r="T124" i="4"/>
  <c r="U124" i="4" s="1"/>
  <c r="Q124" i="4"/>
  <c r="Q172" i="4" s="1"/>
  <c r="K124" i="4"/>
  <c r="L124" i="4" s="1"/>
  <c r="E124" i="4"/>
  <c r="H124" i="4" s="1"/>
  <c r="I124" i="4" s="1"/>
  <c r="C124" i="4"/>
  <c r="B124" i="4"/>
  <c r="B172" i="4" s="1"/>
  <c r="C172" i="4" s="1"/>
  <c r="AC123" i="4"/>
  <c r="AD123" i="4" s="1"/>
  <c r="AA123" i="4"/>
  <c r="X123" i="4"/>
  <c r="W123" i="4"/>
  <c r="U123" i="4"/>
  <c r="R123" i="4"/>
  <c r="O123" i="4"/>
  <c r="N123" i="4"/>
  <c r="L123" i="4"/>
  <c r="H123" i="4"/>
  <c r="I123" i="4" s="1"/>
  <c r="F123" i="4"/>
  <c r="C123" i="4"/>
  <c r="AD122" i="4"/>
  <c r="Z122" i="4"/>
  <c r="AA122" i="4" s="1"/>
  <c r="T122" i="4"/>
  <c r="W122" i="4" s="1"/>
  <c r="X122" i="4" s="1"/>
  <c r="R122" i="4"/>
  <c r="Q122" i="4"/>
  <c r="AC122" i="4" s="1"/>
  <c r="K122" i="4"/>
  <c r="L122" i="4" s="1"/>
  <c r="H122" i="4"/>
  <c r="I122" i="4" s="1"/>
  <c r="F122" i="4"/>
  <c r="E122" i="4"/>
  <c r="B122" i="4"/>
  <c r="C122" i="4" s="1"/>
  <c r="AC121" i="4"/>
  <c r="AD121" i="4" s="1"/>
  <c r="AA121" i="4"/>
  <c r="W121" i="4"/>
  <c r="X121" i="4" s="1"/>
  <c r="U121" i="4"/>
  <c r="R121" i="4"/>
  <c r="N121" i="4"/>
  <c r="O121" i="4" s="1"/>
  <c r="L121" i="4"/>
  <c r="H121" i="4"/>
  <c r="I121" i="4" s="1"/>
  <c r="F121" i="4"/>
  <c r="C121" i="4"/>
  <c r="AC120" i="4"/>
  <c r="AD120" i="4" s="1"/>
  <c r="AA120" i="4"/>
  <c r="X120" i="4"/>
  <c r="W120" i="4"/>
  <c r="U120" i="4"/>
  <c r="R120" i="4"/>
  <c r="O120" i="4"/>
  <c r="N120" i="4"/>
  <c r="L120" i="4"/>
  <c r="H120" i="4"/>
  <c r="I120" i="4" s="1"/>
  <c r="F120" i="4"/>
  <c r="C120" i="4"/>
  <c r="AD119" i="4"/>
  <c r="AC119" i="4"/>
  <c r="AA119" i="4"/>
  <c r="W119" i="4"/>
  <c r="X119" i="4" s="1"/>
  <c r="U119" i="4"/>
  <c r="R119" i="4"/>
  <c r="N119" i="4"/>
  <c r="O119" i="4" s="1"/>
  <c r="L119" i="4"/>
  <c r="H119" i="4"/>
  <c r="I119" i="4" s="1"/>
  <c r="F119" i="4"/>
  <c r="C119" i="4"/>
  <c r="AA118" i="4"/>
  <c r="Z118" i="4"/>
  <c r="T118" i="4"/>
  <c r="U118" i="4" s="1"/>
  <c r="Q118" i="4"/>
  <c r="W118" i="4" s="1"/>
  <c r="X118" i="4" s="1"/>
  <c r="O118" i="4"/>
  <c r="K118" i="4"/>
  <c r="L118" i="4" s="1"/>
  <c r="E118" i="4"/>
  <c r="H118" i="4" s="1"/>
  <c r="I118" i="4" s="1"/>
  <c r="C118" i="4"/>
  <c r="B118" i="4"/>
  <c r="N118" i="4" s="1"/>
  <c r="AC117" i="4"/>
  <c r="AD117" i="4" s="1"/>
  <c r="AA117" i="4"/>
  <c r="X117" i="4"/>
  <c r="W117" i="4"/>
  <c r="U117" i="4"/>
  <c r="R117" i="4"/>
  <c r="O117" i="4"/>
  <c r="N117" i="4"/>
  <c r="L117" i="4"/>
  <c r="H117" i="4"/>
  <c r="I117" i="4" s="1"/>
  <c r="F117" i="4"/>
  <c r="C117" i="4"/>
  <c r="AD116" i="4"/>
  <c r="AC116" i="4"/>
  <c r="AA116" i="4"/>
  <c r="W116" i="4"/>
  <c r="X116" i="4" s="1"/>
  <c r="U116" i="4"/>
  <c r="R116" i="4"/>
  <c r="N116" i="4"/>
  <c r="O116" i="4" s="1"/>
  <c r="L116" i="4"/>
  <c r="H116" i="4"/>
  <c r="I116" i="4" s="1"/>
  <c r="F116" i="4"/>
  <c r="C116" i="4"/>
  <c r="AC115" i="4"/>
  <c r="AD115" i="4" s="1"/>
  <c r="AA115" i="4"/>
  <c r="X115" i="4"/>
  <c r="W115" i="4"/>
  <c r="U115" i="4"/>
  <c r="R115" i="4"/>
  <c r="O115" i="4"/>
  <c r="N115" i="4"/>
  <c r="L115" i="4"/>
  <c r="I115" i="4"/>
  <c r="H115" i="4"/>
  <c r="F115" i="4"/>
  <c r="C115" i="4"/>
  <c r="AC114" i="4"/>
  <c r="AD114" i="4" s="1"/>
  <c r="AA114" i="4"/>
  <c r="W114" i="4"/>
  <c r="X114" i="4" s="1"/>
  <c r="U114" i="4"/>
  <c r="R114" i="4"/>
  <c r="N114" i="4"/>
  <c r="O114" i="4" s="1"/>
  <c r="L114" i="4"/>
  <c r="H114" i="4"/>
  <c r="I114" i="4" s="1"/>
  <c r="F114" i="4"/>
  <c r="C114" i="4"/>
  <c r="AC113" i="4"/>
  <c r="AD113" i="4" s="1"/>
  <c r="AA113" i="4"/>
  <c r="X113" i="4"/>
  <c r="W113" i="4"/>
  <c r="U113" i="4"/>
  <c r="R113" i="4"/>
  <c r="O113" i="4"/>
  <c r="N113" i="4"/>
  <c r="L113" i="4"/>
  <c r="H113" i="4"/>
  <c r="I113" i="4" s="1"/>
  <c r="F113" i="4"/>
  <c r="C113" i="4"/>
  <c r="AD112" i="4"/>
  <c r="AC112" i="4"/>
  <c r="AA112" i="4"/>
  <c r="W112" i="4"/>
  <c r="X112" i="4" s="1"/>
  <c r="U112" i="4"/>
  <c r="R112" i="4"/>
  <c r="N112" i="4"/>
  <c r="O112" i="4" s="1"/>
  <c r="L112" i="4"/>
  <c r="H112" i="4"/>
  <c r="I112" i="4" s="1"/>
  <c r="F112" i="4"/>
  <c r="C112" i="4"/>
  <c r="AC111" i="4"/>
  <c r="AD111" i="4" s="1"/>
  <c r="AA111" i="4"/>
  <c r="X111" i="4"/>
  <c r="W111" i="4"/>
  <c r="U111" i="4"/>
  <c r="R111" i="4"/>
  <c r="O111" i="4"/>
  <c r="N111" i="4"/>
  <c r="L111" i="4"/>
  <c r="I111" i="4"/>
  <c r="H111" i="4"/>
  <c r="F111" i="4"/>
  <c r="C111" i="4"/>
  <c r="AC110" i="4"/>
  <c r="AD110" i="4" s="1"/>
  <c r="AA110" i="4"/>
  <c r="W110" i="4"/>
  <c r="X110" i="4" s="1"/>
  <c r="U110" i="4"/>
  <c r="R110" i="4"/>
  <c r="N110" i="4"/>
  <c r="O110" i="4" s="1"/>
  <c r="L110" i="4"/>
  <c r="H110" i="4"/>
  <c r="I110" i="4" s="1"/>
  <c r="F110" i="4"/>
  <c r="C110" i="4"/>
  <c r="AC109" i="4"/>
  <c r="AD109" i="4" s="1"/>
  <c r="AA109" i="4"/>
  <c r="X109" i="4"/>
  <c r="W109" i="4"/>
  <c r="U109" i="4"/>
  <c r="R109" i="4"/>
  <c r="O109" i="4"/>
  <c r="N109" i="4"/>
  <c r="L109" i="4"/>
  <c r="H109" i="4"/>
  <c r="I109" i="4" s="1"/>
  <c r="F109" i="4"/>
  <c r="C109" i="4"/>
  <c r="AD108" i="4"/>
  <c r="AC108" i="4"/>
  <c r="AA108" i="4"/>
  <c r="W108" i="4"/>
  <c r="X108" i="4" s="1"/>
  <c r="U108" i="4"/>
  <c r="R108" i="4"/>
  <c r="N108" i="4"/>
  <c r="O108" i="4" s="1"/>
  <c r="L108" i="4"/>
  <c r="H108" i="4"/>
  <c r="I108" i="4" s="1"/>
  <c r="F108" i="4"/>
  <c r="C108" i="4"/>
  <c r="AC107" i="4"/>
  <c r="AD107" i="4" s="1"/>
  <c r="AA107" i="4"/>
  <c r="X107" i="4"/>
  <c r="W107" i="4"/>
  <c r="U107" i="4"/>
  <c r="R107" i="4"/>
  <c r="O107" i="4"/>
  <c r="N107" i="4"/>
  <c r="L107" i="4"/>
  <c r="I107" i="4"/>
  <c r="H107" i="4"/>
  <c r="F107" i="4"/>
  <c r="C107" i="4"/>
  <c r="AC106" i="4"/>
  <c r="AD106" i="4" s="1"/>
  <c r="AA106" i="4"/>
  <c r="W106" i="4"/>
  <c r="X106" i="4" s="1"/>
  <c r="U106" i="4"/>
  <c r="R106" i="4"/>
  <c r="N106" i="4"/>
  <c r="O106" i="4" s="1"/>
  <c r="L106" i="4"/>
  <c r="H106" i="4"/>
  <c r="I106" i="4" s="1"/>
  <c r="F106" i="4"/>
  <c r="C106" i="4"/>
  <c r="AC105" i="4"/>
  <c r="AD105" i="4" s="1"/>
  <c r="AA105" i="4"/>
  <c r="X105" i="4"/>
  <c r="W105" i="4"/>
  <c r="U105" i="4"/>
  <c r="R105" i="4"/>
  <c r="O105" i="4"/>
  <c r="N105" i="4"/>
  <c r="L105" i="4"/>
  <c r="H105" i="4"/>
  <c r="I105" i="4" s="1"/>
  <c r="F105" i="4"/>
  <c r="C105" i="4"/>
  <c r="AD104" i="4"/>
  <c r="AC104" i="4"/>
  <c r="AA104" i="4"/>
  <c r="W104" i="4"/>
  <c r="X104" i="4" s="1"/>
  <c r="U104" i="4"/>
  <c r="R104" i="4"/>
  <c r="N104" i="4"/>
  <c r="O104" i="4" s="1"/>
  <c r="L104" i="4"/>
  <c r="H104" i="4"/>
  <c r="I104" i="4" s="1"/>
  <c r="F104" i="4"/>
  <c r="C104" i="4"/>
  <c r="AC103" i="4"/>
  <c r="AD103" i="4" s="1"/>
  <c r="AA103" i="4"/>
  <c r="X103" i="4"/>
  <c r="W103" i="4"/>
  <c r="U103" i="4"/>
  <c r="R103" i="4"/>
  <c r="O103" i="4"/>
  <c r="N103" i="4"/>
  <c r="L103" i="4"/>
  <c r="I103" i="4"/>
  <c r="H103" i="4"/>
  <c r="F103" i="4"/>
  <c r="C103" i="4"/>
  <c r="AC102" i="4"/>
  <c r="AD102" i="4" s="1"/>
  <c r="AA102" i="4"/>
  <c r="W102" i="4"/>
  <c r="X102" i="4" s="1"/>
  <c r="U102" i="4"/>
  <c r="R102" i="4"/>
  <c r="N102" i="4"/>
  <c r="O102" i="4" s="1"/>
  <c r="L102" i="4"/>
  <c r="H102" i="4"/>
  <c r="I102" i="4" s="1"/>
  <c r="F102" i="4"/>
  <c r="C102" i="4"/>
  <c r="AC101" i="4"/>
  <c r="AD101" i="4" s="1"/>
  <c r="AA101" i="4"/>
  <c r="X101" i="4"/>
  <c r="W101" i="4"/>
  <c r="U101" i="4"/>
  <c r="R101" i="4"/>
  <c r="O101" i="4"/>
  <c r="N101" i="4"/>
  <c r="L101" i="4"/>
  <c r="H101" i="4"/>
  <c r="I101" i="4" s="1"/>
  <c r="F101" i="4"/>
  <c r="C101" i="4"/>
  <c r="AD100" i="4"/>
  <c r="AC100" i="4"/>
  <c r="AA100" i="4"/>
  <c r="W100" i="4"/>
  <c r="X100" i="4" s="1"/>
  <c r="U100" i="4"/>
  <c r="R100" i="4"/>
  <c r="N100" i="4"/>
  <c r="O100" i="4" s="1"/>
  <c r="L100" i="4"/>
  <c r="H100" i="4"/>
  <c r="I100" i="4" s="1"/>
  <c r="F100" i="4"/>
  <c r="C100" i="4"/>
  <c r="AC99" i="4"/>
  <c r="AD99" i="4" s="1"/>
  <c r="AA99" i="4"/>
  <c r="X99" i="4"/>
  <c r="W99" i="4"/>
  <c r="U99" i="4"/>
  <c r="R99" i="4"/>
  <c r="O99" i="4"/>
  <c r="N99" i="4"/>
  <c r="L99" i="4"/>
  <c r="I99" i="4"/>
  <c r="H99" i="4"/>
  <c r="F99" i="4"/>
  <c r="C99" i="4"/>
  <c r="AC98" i="4"/>
  <c r="AD98" i="4" s="1"/>
  <c r="AA98" i="4"/>
  <c r="W98" i="4"/>
  <c r="X98" i="4" s="1"/>
  <c r="U98" i="4"/>
  <c r="R98" i="4"/>
  <c r="N98" i="4"/>
  <c r="O98" i="4" s="1"/>
  <c r="L98" i="4"/>
  <c r="H98" i="4"/>
  <c r="I98" i="4" s="1"/>
  <c r="F98" i="4"/>
  <c r="C98" i="4"/>
  <c r="AC97" i="4"/>
  <c r="AD97" i="4" s="1"/>
  <c r="AA97" i="4"/>
  <c r="X97" i="4"/>
  <c r="W97" i="4"/>
  <c r="U97" i="4"/>
  <c r="R97" i="4"/>
  <c r="O97" i="4"/>
  <c r="N97" i="4"/>
  <c r="L97" i="4"/>
  <c r="H97" i="4"/>
  <c r="I97" i="4" s="1"/>
  <c r="F97" i="4"/>
  <c r="C97" i="4"/>
  <c r="AD96" i="4"/>
  <c r="AC96" i="4"/>
  <c r="AA96" i="4"/>
  <c r="W96" i="4"/>
  <c r="X96" i="4" s="1"/>
  <c r="U96" i="4"/>
  <c r="R96" i="4"/>
  <c r="N96" i="4"/>
  <c r="O96" i="4" s="1"/>
  <c r="L96" i="4"/>
  <c r="H96" i="4"/>
  <c r="I96" i="4" s="1"/>
  <c r="F96" i="4"/>
  <c r="C96" i="4"/>
  <c r="AC95" i="4"/>
  <c r="AD95" i="4" s="1"/>
  <c r="AA95" i="4"/>
  <c r="X95" i="4"/>
  <c r="W95" i="4"/>
  <c r="U95" i="4"/>
  <c r="R95" i="4"/>
  <c r="O95" i="4"/>
  <c r="N95" i="4"/>
  <c r="L95" i="4"/>
  <c r="I95" i="4"/>
  <c r="H95" i="4"/>
  <c r="F95" i="4"/>
  <c r="C95" i="4"/>
  <c r="AC94" i="4"/>
  <c r="AD94" i="4" s="1"/>
  <c r="AA94" i="4"/>
  <c r="W94" i="4"/>
  <c r="X94" i="4" s="1"/>
  <c r="U94" i="4"/>
  <c r="R94" i="4"/>
  <c r="N94" i="4"/>
  <c r="O94" i="4" s="1"/>
  <c r="L94" i="4"/>
  <c r="H94" i="4"/>
  <c r="I94" i="4" s="1"/>
  <c r="F94" i="4"/>
  <c r="C94" i="4"/>
  <c r="AC92" i="4"/>
  <c r="AD92" i="4" s="1"/>
  <c r="AA92" i="4"/>
  <c r="X92" i="4"/>
  <c r="W92" i="4"/>
  <c r="U92" i="4"/>
  <c r="R92" i="4"/>
  <c r="O92" i="4"/>
  <c r="N92" i="4"/>
  <c r="L92" i="4"/>
  <c r="H92" i="4"/>
  <c r="I92" i="4" s="1"/>
  <c r="F92" i="4"/>
  <c r="C92" i="4"/>
  <c r="AD91" i="4"/>
  <c r="AC91" i="4"/>
  <c r="AA91" i="4"/>
  <c r="W91" i="4"/>
  <c r="X91" i="4" s="1"/>
  <c r="U91" i="4"/>
  <c r="R91" i="4"/>
  <c r="N91" i="4"/>
  <c r="O91" i="4" s="1"/>
  <c r="L91" i="4"/>
  <c r="H91" i="4"/>
  <c r="I91" i="4" s="1"/>
  <c r="F91" i="4"/>
  <c r="C91" i="4"/>
  <c r="AC90" i="4"/>
  <c r="AD90" i="4" s="1"/>
  <c r="AA90" i="4"/>
  <c r="X90" i="4"/>
  <c r="W90" i="4"/>
  <c r="U90" i="4"/>
  <c r="R90" i="4"/>
  <c r="O90" i="4"/>
  <c r="N90" i="4"/>
  <c r="L90" i="4"/>
  <c r="I90" i="4"/>
  <c r="H90" i="4"/>
  <c r="F90" i="4"/>
  <c r="C90" i="4"/>
  <c r="AC89" i="4"/>
  <c r="AD89" i="4" s="1"/>
  <c r="AA89" i="4"/>
  <c r="W89" i="4"/>
  <c r="X89" i="4" s="1"/>
  <c r="U89" i="4"/>
  <c r="R89" i="4"/>
  <c r="N89" i="4"/>
  <c r="O89" i="4" s="1"/>
  <c r="L89" i="4"/>
  <c r="H89" i="4"/>
  <c r="I89" i="4" s="1"/>
  <c r="F89" i="4"/>
  <c r="C89" i="4"/>
  <c r="Z88" i="4"/>
  <c r="AA88" i="4" s="1"/>
  <c r="W88" i="4"/>
  <c r="X88" i="4" s="1"/>
  <c r="U88" i="4"/>
  <c r="T88" i="4"/>
  <c r="Q88" i="4"/>
  <c r="R88" i="4" s="1"/>
  <c r="K88" i="4"/>
  <c r="L88" i="4" s="1"/>
  <c r="I88" i="4"/>
  <c r="E88" i="4"/>
  <c r="F88" i="4" s="1"/>
  <c r="B88" i="4"/>
  <c r="H88" i="4" s="1"/>
  <c r="AC87" i="4"/>
  <c r="AD87" i="4" s="1"/>
  <c r="AA87" i="4"/>
  <c r="X87" i="4"/>
  <c r="W87" i="4"/>
  <c r="U87" i="4"/>
  <c r="R87" i="4"/>
  <c r="O87" i="4"/>
  <c r="N87" i="4"/>
  <c r="L87" i="4"/>
  <c r="I87" i="4"/>
  <c r="H87" i="4"/>
  <c r="F87" i="4"/>
  <c r="C87" i="4"/>
  <c r="AC86" i="4"/>
  <c r="AD86" i="4" s="1"/>
  <c r="AA86" i="4"/>
  <c r="W86" i="4"/>
  <c r="X86" i="4" s="1"/>
  <c r="U86" i="4"/>
  <c r="R86" i="4"/>
  <c r="N86" i="4"/>
  <c r="O86" i="4" s="1"/>
  <c r="L86" i="4"/>
  <c r="H86" i="4"/>
  <c r="I86" i="4" s="1"/>
  <c r="F86" i="4"/>
  <c r="C86" i="4"/>
  <c r="AC85" i="4"/>
  <c r="AD85" i="4" s="1"/>
  <c r="AA85" i="4"/>
  <c r="X85" i="4"/>
  <c r="W85" i="4"/>
  <c r="U85" i="4"/>
  <c r="R85" i="4"/>
  <c r="O85" i="4"/>
  <c r="N85" i="4"/>
  <c r="L85" i="4"/>
  <c r="H85" i="4"/>
  <c r="I85" i="4" s="1"/>
  <c r="F85" i="4"/>
  <c r="C85" i="4"/>
  <c r="AD84" i="4"/>
  <c r="AC84" i="4"/>
  <c r="AA84" i="4"/>
  <c r="W84" i="4"/>
  <c r="X84" i="4" s="1"/>
  <c r="U84" i="4"/>
  <c r="R84" i="4"/>
  <c r="N84" i="4"/>
  <c r="O84" i="4" s="1"/>
  <c r="L84" i="4"/>
  <c r="H84" i="4"/>
  <c r="I84" i="4" s="1"/>
  <c r="F84" i="4"/>
  <c r="C84" i="4"/>
  <c r="AC83" i="4"/>
  <c r="AD83" i="4" s="1"/>
  <c r="AA83" i="4"/>
  <c r="X83" i="4"/>
  <c r="W83" i="4"/>
  <c r="U83" i="4"/>
  <c r="R83" i="4"/>
  <c r="O83" i="4"/>
  <c r="N83" i="4"/>
  <c r="L83" i="4"/>
  <c r="I83" i="4"/>
  <c r="H83" i="4"/>
  <c r="F83" i="4"/>
  <c r="C83" i="4"/>
  <c r="AC82" i="4"/>
  <c r="AD82" i="4" s="1"/>
  <c r="AA82" i="4"/>
  <c r="W82" i="4"/>
  <c r="X82" i="4" s="1"/>
  <c r="U82" i="4"/>
  <c r="R82" i="4"/>
  <c r="N82" i="4"/>
  <c r="O82" i="4" s="1"/>
  <c r="L82" i="4"/>
  <c r="H82" i="4"/>
  <c r="I82" i="4" s="1"/>
  <c r="F82" i="4"/>
  <c r="C82" i="4"/>
  <c r="AC81" i="4"/>
  <c r="AD81" i="4" s="1"/>
  <c r="AA81" i="4"/>
  <c r="X81" i="4"/>
  <c r="W81" i="4"/>
  <c r="U81" i="4"/>
  <c r="R81" i="4"/>
  <c r="O81" i="4"/>
  <c r="N81" i="4"/>
  <c r="L81" i="4"/>
  <c r="H81" i="4"/>
  <c r="I81" i="4" s="1"/>
  <c r="F81" i="4"/>
  <c r="C81" i="4"/>
  <c r="AD80" i="4"/>
  <c r="AC80" i="4"/>
  <c r="AA80" i="4"/>
  <c r="W80" i="4"/>
  <c r="X80" i="4" s="1"/>
  <c r="U80" i="4"/>
  <c r="R80" i="4"/>
  <c r="N80" i="4"/>
  <c r="O80" i="4" s="1"/>
  <c r="L80" i="4"/>
  <c r="H80" i="4"/>
  <c r="I80" i="4" s="1"/>
  <c r="F80" i="4"/>
  <c r="C80" i="4"/>
  <c r="AC79" i="4"/>
  <c r="AD79" i="4" s="1"/>
  <c r="AA79" i="4"/>
  <c r="X79" i="4"/>
  <c r="W79" i="4"/>
  <c r="U79" i="4"/>
  <c r="R79" i="4"/>
  <c r="O79" i="4"/>
  <c r="N79" i="4"/>
  <c r="L79" i="4"/>
  <c r="I79" i="4"/>
  <c r="H79" i="4"/>
  <c r="F79" i="4"/>
  <c r="C79" i="4"/>
  <c r="AC78" i="4"/>
  <c r="AD78" i="4" s="1"/>
  <c r="AA78" i="4"/>
  <c r="W78" i="4"/>
  <c r="X78" i="4" s="1"/>
  <c r="U78" i="4"/>
  <c r="R78" i="4"/>
  <c r="N78" i="4"/>
  <c r="O78" i="4" s="1"/>
  <c r="L78" i="4"/>
  <c r="H78" i="4"/>
  <c r="I78" i="4" s="1"/>
  <c r="F78" i="4"/>
  <c r="C78" i="4"/>
  <c r="AC77" i="4"/>
  <c r="AD77" i="4" s="1"/>
  <c r="AA77" i="4"/>
  <c r="X77" i="4"/>
  <c r="W77" i="4"/>
  <c r="U77" i="4"/>
  <c r="R77" i="4"/>
  <c r="O77" i="4"/>
  <c r="N77" i="4"/>
  <c r="L77" i="4"/>
  <c r="H77" i="4"/>
  <c r="I77" i="4" s="1"/>
  <c r="F77" i="4"/>
  <c r="C77" i="4"/>
  <c r="AD76" i="4"/>
  <c r="AC76" i="4"/>
  <c r="AA76" i="4"/>
  <c r="W76" i="4"/>
  <c r="X76" i="4" s="1"/>
  <c r="U76" i="4"/>
  <c r="R76" i="4"/>
  <c r="N76" i="4"/>
  <c r="O76" i="4" s="1"/>
  <c r="L76" i="4"/>
  <c r="H76" i="4"/>
  <c r="I76" i="4" s="1"/>
  <c r="F76" i="4"/>
  <c r="C76" i="4"/>
  <c r="AC75" i="4"/>
  <c r="AD75" i="4" s="1"/>
  <c r="AA75" i="4"/>
  <c r="X75" i="4"/>
  <c r="W75" i="4"/>
  <c r="U75" i="4"/>
  <c r="R75" i="4"/>
  <c r="O75" i="4"/>
  <c r="N75" i="4"/>
  <c r="L75" i="4"/>
  <c r="I75" i="4"/>
  <c r="H75" i="4"/>
  <c r="F75" i="4"/>
  <c r="C75" i="4"/>
  <c r="Z73" i="4"/>
  <c r="AA73" i="4" s="1"/>
  <c r="X73" i="4"/>
  <c r="T73" i="4"/>
  <c r="U73" i="4" s="1"/>
  <c r="Q73" i="4"/>
  <c r="W73" i="4" s="1"/>
  <c r="L73" i="4"/>
  <c r="K73" i="4"/>
  <c r="E73" i="4"/>
  <c r="F73" i="4" s="1"/>
  <c r="B73" i="4"/>
  <c r="H73" i="4" s="1"/>
  <c r="I73" i="4" s="1"/>
  <c r="AD72" i="4"/>
  <c r="AC72" i="4"/>
  <c r="AA72" i="4"/>
  <c r="W72" i="4"/>
  <c r="X72" i="4" s="1"/>
  <c r="U72" i="4"/>
  <c r="R72" i="4"/>
  <c r="N72" i="4"/>
  <c r="O72" i="4" s="1"/>
  <c r="L72" i="4"/>
  <c r="H72" i="4"/>
  <c r="I72" i="4" s="1"/>
  <c r="F72" i="4"/>
  <c r="C72" i="4"/>
  <c r="AC71" i="4"/>
  <c r="AD71" i="4" s="1"/>
  <c r="AA71" i="4"/>
  <c r="X71" i="4"/>
  <c r="W71" i="4"/>
  <c r="U71" i="4"/>
  <c r="R71" i="4"/>
  <c r="O71" i="4"/>
  <c r="N71" i="4"/>
  <c r="L71" i="4"/>
  <c r="I71" i="4"/>
  <c r="H71" i="4"/>
  <c r="F71" i="4"/>
  <c r="C71" i="4"/>
  <c r="AC70" i="4"/>
  <c r="AD70" i="4" s="1"/>
  <c r="AA70" i="4"/>
  <c r="W70" i="4"/>
  <c r="X70" i="4" s="1"/>
  <c r="U70" i="4"/>
  <c r="R70" i="4"/>
  <c r="N70" i="4"/>
  <c r="O70" i="4" s="1"/>
  <c r="L70" i="4"/>
  <c r="H70" i="4"/>
  <c r="I70" i="4" s="1"/>
  <c r="F70" i="4"/>
  <c r="C70" i="4"/>
  <c r="AC69" i="4"/>
  <c r="AD69" i="4" s="1"/>
  <c r="AA69" i="4"/>
  <c r="X69" i="4"/>
  <c r="W69" i="4"/>
  <c r="U69" i="4"/>
  <c r="R69" i="4"/>
  <c r="O69" i="4"/>
  <c r="N69" i="4"/>
  <c r="L69" i="4"/>
  <c r="H69" i="4"/>
  <c r="I69" i="4" s="1"/>
  <c r="F69" i="4"/>
  <c r="C69" i="4"/>
  <c r="AD68" i="4"/>
  <c r="AC68" i="4"/>
  <c r="AA68" i="4"/>
  <c r="W68" i="4"/>
  <c r="X68" i="4" s="1"/>
  <c r="U68" i="4"/>
  <c r="R68" i="4"/>
  <c r="N68" i="4"/>
  <c r="O68" i="4" s="1"/>
  <c r="L68" i="4"/>
  <c r="H68" i="4"/>
  <c r="I68" i="4" s="1"/>
  <c r="F68" i="4"/>
  <c r="C68" i="4"/>
  <c r="AC67" i="4"/>
  <c r="AD67" i="4" s="1"/>
  <c r="AA67" i="4"/>
  <c r="X67" i="4"/>
  <c r="W67" i="4"/>
  <c r="U67" i="4"/>
  <c r="R67" i="4"/>
  <c r="O67" i="4"/>
  <c r="N67" i="4"/>
  <c r="L67" i="4"/>
  <c r="I67" i="4"/>
  <c r="H67" i="4"/>
  <c r="F67" i="4"/>
  <c r="C67" i="4"/>
  <c r="AC66" i="4"/>
  <c r="AD66" i="4" s="1"/>
  <c r="AA66" i="4"/>
  <c r="W66" i="4"/>
  <c r="X66" i="4" s="1"/>
  <c r="U66" i="4"/>
  <c r="R66" i="4"/>
  <c r="N66" i="4"/>
  <c r="O66" i="4" s="1"/>
  <c r="L66" i="4"/>
  <c r="H66" i="4"/>
  <c r="I66" i="4" s="1"/>
  <c r="F66" i="4"/>
  <c r="C66" i="4"/>
  <c r="AC65" i="4"/>
  <c r="AD65" i="4" s="1"/>
  <c r="AA65" i="4"/>
  <c r="X65" i="4"/>
  <c r="W65" i="4"/>
  <c r="U65" i="4"/>
  <c r="R65" i="4"/>
  <c r="O65" i="4"/>
  <c r="N65" i="4"/>
  <c r="L65" i="4"/>
  <c r="H65" i="4"/>
  <c r="I65" i="4" s="1"/>
  <c r="F65" i="4"/>
  <c r="C65" i="4"/>
  <c r="AD64" i="4"/>
  <c r="AC64" i="4"/>
  <c r="AA64" i="4"/>
  <c r="W64" i="4"/>
  <c r="X64" i="4" s="1"/>
  <c r="U64" i="4"/>
  <c r="R64" i="4"/>
  <c r="N64" i="4"/>
  <c r="O64" i="4" s="1"/>
  <c r="L64" i="4"/>
  <c r="H64" i="4"/>
  <c r="I64" i="4" s="1"/>
  <c r="F64" i="4"/>
  <c r="C64" i="4"/>
  <c r="AA62" i="4"/>
  <c r="Z62" i="4"/>
  <c r="T62" i="4"/>
  <c r="U62" i="4" s="1"/>
  <c r="Q62" i="4"/>
  <c r="W62" i="4" s="1"/>
  <c r="X62" i="4" s="1"/>
  <c r="K62" i="4"/>
  <c r="L62" i="4" s="1"/>
  <c r="E62" i="4"/>
  <c r="H62" i="4" s="1"/>
  <c r="I62" i="4" s="1"/>
  <c r="C62" i="4"/>
  <c r="B62" i="4"/>
  <c r="N62" i="4" s="1"/>
  <c r="O62" i="4" s="1"/>
  <c r="Z61" i="4"/>
  <c r="AA61" i="4" s="1"/>
  <c r="W61" i="4"/>
  <c r="X61" i="4" s="1"/>
  <c r="U61" i="4"/>
  <c r="T61" i="4"/>
  <c r="Q61" i="4"/>
  <c r="R61" i="4" s="1"/>
  <c r="K61" i="4"/>
  <c r="L61" i="4" s="1"/>
  <c r="I61" i="4"/>
  <c r="E61" i="4"/>
  <c r="F61" i="4" s="1"/>
  <c r="B61" i="4"/>
  <c r="H61" i="4" s="1"/>
  <c r="AC60" i="4"/>
  <c r="AD60" i="4" s="1"/>
  <c r="AA60" i="4"/>
  <c r="X60" i="4"/>
  <c r="W60" i="4"/>
  <c r="U60" i="4"/>
  <c r="R60" i="4"/>
  <c r="O60" i="4"/>
  <c r="N60" i="4"/>
  <c r="L60" i="4"/>
  <c r="I60" i="4"/>
  <c r="H60" i="4"/>
  <c r="F60" i="4"/>
  <c r="C60" i="4"/>
  <c r="AC59" i="4"/>
  <c r="AD59" i="4" s="1"/>
  <c r="AA59" i="4"/>
  <c r="W59" i="4"/>
  <c r="X59" i="4" s="1"/>
  <c r="U59" i="4"/>
  <c r="R59" i="4"/>
  <c r="N59" i="4"/>
  <c r="O59" i="4" s="1"/>
  <c r="L59" i="4"/>
  <c r="H59" i="4"/>
  <c r="I59" i="4" s="1"/>
  <c r="F59" i="4"/>
  <c r="C59" i="4"/>
  <c r="AC58" i="4"/>
  <c r="AD58" i="4" s="1"/>
  <c r="AA58" i="4"/>
  <c r="X58" i="4"/>
  <c r="W58" i="4"/>
  <c r="U58" i="4"/>
  <c r="R58" i="4"/>
  <c r="O58" i="4"/>
  <c r="N58" i="4"/>
  <c r="L58" i="4"/>
  <c r="H58" i="4"/>
  <c r="I58" i="4" s="1"/>
  <c r="F58" i="4"/>
  <c r="C58" i="4"/>
  <c r="AD57" i="4"/>
  <c r="AC57" i="4"/>
  <c r="AA57" i="4"/>
  <c r="W57" i="4"/>
  <c r="X57" i="4" s="1"/>
  <c r="U57" i="4"/>
  <c r="R57" i="4"/>
  <c r="N57" i="4"/>
  <c r="O57" i="4" s="1"/>
  <c r="L57" i="4"/>
  <c r="H57" i="4"/>
  <c r="I57" i="4" s="1"/>
  <c r="F57" i="4"/>
  <c r="C57" i="4"/>
  <c r="AC56" i="4"/>
  <c r="AD56" i="4" s="1"/>
  <c r="AA56" i="4"/>
  <c r="X56" i="4"/>
  <c r="W56" i="4"/>
  <c r="U56" i="4"/>
  <c r="R56" i="4"/>
  <c r="O56" i="4"/>
  <c r="N56" i="4"/>
  <c r="L56" i="4"/>
  <c r="I56" i="4"/>
  <c r="H56" i="4"/>
  <c r="F56" i="4"/>
  <c r="C56" i="4"/>
  <c r="AC55" i="4"/>
  <c r="AD55" i="4" s="1"/>
  <c r="AA55" i="4"/>
  <c r="W55" i="4"/>
  <c r="X55" i="4" s="1"/>
  <c r="U55" i="4"/>
  <c r="R55" i="4"/>
  <c r="N55" i="4"/>
  <c r="O55" i="4" s="1"/>
  <c r="L55" i="4"/>
  <c r="H55" i="4"/>
  <c r="I55" i="4" s="1"/>
  <c r="F55" i="4"/>
  <c r="C55" i="4"/>
  <c r="AC54" i="4"/>
  <c r="AD54" i="4" s="1"/>
  <c r="AA54" i="4"/>
  <c r="X54" i="4"/>
  <c r="W54" i="4"/>
  <c r="U54" i="4"/>
  <c r="R54" i="4"/>
  <c r="O54" i="4"/>
  <c r="N54" i="4"/>
  <c r="L54" i="4"/>
  <c r="H54" i="4"/>
  <c r="I54" i="4" s="1"/>
  <c r="F54" i="4"/>
  <c r="C54" i="4"/>
  <c r="AD53" i="4"/>
  <c r="AC53" i="4"/>
  <c r="AA53" i="4"/>
  <c r="W53" i="4"/>
  <c r="X53" i="4" s="1"/>
  <c r="U53" i="4"/>
  <c r="R53" i="4"/>
  <c r="N53" i="4"/>
  <c r="O53" i="4" s="1"/>
  <c r="L53" i="4"/>
  <c r="H53" i="4"/>
  <c r="I53" i="4" s="1"/>
  <c r="F53" i="4"/>
  <c r="C53" i="4"/>
  <c r="AC52" i="4"/>
  <c r="AD52" i="4" s="1"/>
  <c r="AA52" i="4"/>
  <c r="X52" i="4"/>
  <c r="W52" i="4"/>
  <c r="U52" i="4"/>
  <c r="R52" i="4"/>
  <c r="O52" i="4"/>
  <c r="N52" i="4"/>
  <c r="L52" i="4"/>
  <c r="I52" i="4"/>
  <c r="H52" i="4"/>
  <c r="F52" i="4"/>
  <c r="C52" i="4"/>
  <c r="AC51" i="4"/>
  <c r="AD51" i="4" s="1"/>
  <c r="AA51" i="4"/>
  <c r="W51" i="4"/>
  <c r="X51" i="4" s="1"/>
  <c r="U51" i="4"/>
  <c r="R51" i="4"/>
  <c r="N51" i="4"/>
  <c r="O51" i="4" s="1"/>
  <c r="L51" i="4"/>
  <c r="H51" i="4"/>
  <c r="I51" i="4" s="1"/>
  <c r="F51" i="4"/>
  <c r="C51" i="4"/>
  <c r="AC50" i="4"/>
  <c r="AD50" i="4" s="1"/>
  <c r="AA50" i="4"/>
  <c r="X50" i="4"/>
  <c r="W50" i="4"/>
  <c r="U50" i="4"/>
  <c r="R50" i="4"/>
  <c r="O50" i="4"/>
  <c r="N50" i="4"/>
  <c r="L50" i="4"/>
  <c r="H50" i="4"/>
  <c r="I50" i="4" s="1"/>
  <c r="F50" i="4"/>
  <c r="C50" i="4"/>
  <c r="AD49" i="4"/>
  <c r="AC49" i="4"/>
  <c r="AA49" i="4"/>
  <c r="W49" i="4"/>
  <c r="X49" i="4" s="1"/>
  <c r="U49" i="4"/>
  <c r="R49" i="4"/>
  <c r="N49" i="4"/>
  <c r="O49" i="4" s="1"/>
  <c r="L49" i="4"/>
  <c r="H49" i="4"/>
  <c r="I49" i="4" s="1"/>
  <c r="F49" i="4"/>
  <c r="C49" i="4"/>
  <c r="AC48" i="4"/>
  <c r="AD48" i="4" s="1"/>
  <c r="AA48" i="4"/>
  <c r="X48" i="4"/>
  <c r="W48" i="4"/>
  <c r="U48" i="4"/>
  <c r="R48" i="4"/>
  <c r="O48" i="4"/>
  <c r="N48" i="4"/>
  <c r="L48" i="4"/>
  <c r="I48" i="4"/>
  <c r="H48" i="4"/>
  <c r="F48" i="4"/>
  <c r="C48" i="4"/>
  <c r="AC47" i="4"/>
  <c r="AD47" i="4" s="1"/>
  <c r="AA47" i="4"/>
  <c r="W47" i="4"/>
  <c r="X47" i="4" s="1"/>
  <c r="U47" i="4"/>
  <c r="R47" i="4"/>
  <c r="N47" i="4"/>
  <c r="O47" i="4" s="1"/>
  <c r="L47" i="4"/>
  <c r="H47" i="4"/>
  <c r="I47" i="4" s="1"/>
  <c r="F47" i="4"/>
  <c r="C47" i="4"/>
  <c r="AC46" i="4"/>
  <c r="AD46" i="4" s="1"/>
  <c r="AA46" i="4"/>
  <c r="X46" i="4"/>
  <c r="W46" i="4"/>
  <c r="U46" i="4"/>
  <c r="R46" i="4"/>
  <c r="O46" i="4"/>
  <c r="N46" i="4"/>
  <c r="L46" i="4"/>
  <c r="H46" i="4"/>
  <c r="I46" i="4" s="1"/>
  <c r="F46" i="4"/>
  <c r="C46" i="4"/>
  <c r="AD44" i="4"/>
  <c r="AC44" i="4"/>
  <c r="AA44" i="4"/>
  <c r="W44" i="4"/>
  <c r="X44" i="4" s="1"/>
  <c r="U44" i="4"/>
  <c r="R44" i="4"/>
  <c r="N44" i="4"/>
  <c r="O44" i="4" s="1"/>
  <c r="L44" i="4"/>
  <c r="H44" i="4"/>
  <c r="I44" i="4" s="1"/>
  <c r="F44" i="4"/>
  <c r="C44" i="4"/>
  <c r="AC43" i="4"/>
  <c r="AD43" i="4" s="1"/>
  <c r="AA43" i="4"/>
  <c r="X43" i="4"/>
  <c r="W43" i="4"/>
  <c r="U43" i="4"/>
  <c r="R43" i="4"/>
  <c r="O43" i="4"/>
  <c r="N43" i="4"/>
  <c r="L43" i="4"/>
  <c r="I43" i="4"/>
  <c r="H43" i="4"/>
  <c r="F43" i="4"/>
  <c r="C43" i="4"/>
  <c r="AC42" i="4"/>
  <c r="AD42" i="4" s="1"/>
  <c r="AA42" i="4"/>
  <c r="W42" i="4"/>
  <c r="X42" i="4" s="1"/>
  <c r="U42" i="4"/>
  <c r="R42" i="4"/>
  <c r="N42" i="4"/>
  <c r="O42" i="4" s="1"/>
  <c r="L42" i="4"/>
  <c r="H42" i="4"/>
  <c r="I42" i="4" s="1"/>
  <c r="F42" i="4"/>
  <c r="C42" i="4"/>
  <c r="Z40" i="4"/>
  <c r="AA40" i="4" s="1"/>
  <c r="W40" i="4"/>
  <c r="X40" i="4" s="1"/>
  <c r="U40" i="4"/>
  <c r="T40" i="4"/>
  <c r="Q40" i="4"/>
  <c r="R40" i="4" s="1"/>
  <c r="K40" i="4"/>
  <c r="L40" i="4" s="1"/>
  <c r="I40" i="4"/>
  <c r="E40" i="4"/>
  <c r="F40" i="4" s="1"/>
  <c r="B40" i="4"/>
  <c r="H40" i="4" s="1"/>
  <c r="AC39" i="4"/>
  <c r="AD39" i="4" s="1"/>
  <c r="AA39" i="4"/>
  <c r="X39" i="4"/>
  <c r="W39" i="4"/>
  <c r="U39" i="4"/>
  <c r="R39" i="4"/>
  <c r="O39" i="4"/>
  <c r="N39" i="4"/>
  <c r="L39" i="4"/>
  <c r="I39" i="4"/>
  <c r="H39" i="4"/>
  <c r="F39" i="4"/>
  <c r="C39" i="4"/>
  <c r="AC38" i="4"/>
  <c r="AD38" i="4" s="1"/>
  <c r="AA38" i="4"/>
  <c r="W38" i="4"/>
  <c r="X38" i="4" s="1"/>
  <c r="U38" i="4"/>
  <c r="R38" i="4"/>
  <c r="N38" i="4"/>
  <c r="O38" i="4" s="1"/>
  <c r="L38" i="4"/>
  <c r="H38" i="4"/>
  <c r="I38" i="4" s="1"/>
  <c r="F38" i="4"/>
  <c r="C38" i="4"/>
  <c r="AC37" i="4"/>
  <c r="AD37" i="4" s="1"/>
  <c r="AA37" i="4"/>
  <c r="X37" i="4"/>
  <c r="W37" i="4"/>
  <c r="U37" i="4"/>
  <c r="R37" i="4"/>
  <c r="O37" i="4"/>
  <c r="N37" i="4"/>
  <c r="L37" i="4"/>
  <c r="H37" i="4"/>
  <c r="I37" i="4" s="1"/>
  <c r="F37" i="4"/>
  <c r="C37" i="4"/>
  <c r="AD36" i="4"/>
  <c r="AC36" i="4"/>
  <c r="AA36" i="4"/>
  <c r="W36" i="4"/>
  <c r="X36" i="4" s="1"/>
  <c r="U36" i="4"/>
  <c r="R36" i="4"/>
  <c r="N36" i="4"/>
  <c r="O36" i="4" s="1"/>
  <c r="L36" i="4"/>
  <c r="H36" i="4"/>
  <c r="I36" i="4" s="1"/>
  <c r="F36" i="4"/>
  <c r="C36" i="4"/>
  <c r="AC35" i="4"/>
  <c r="AD35" i="4" s="1"/>
  <c r="AA35" i="4"/>
  <c r="X35" i="4"/>
  <c r="W35" i="4"/>
  <c r="U35" i="4"/>
  <c r="R35" i="4"/>
  <c r="O35" i="4"/>
  <c r="N35" i="4"/>
  <c r="L35" i="4"/>
  <c r="I35" i="4"/>
  <c r="H35" i="4"/>
  <c r="F35" i="4"/>
  <c r="C35" i="4"/>
  <c r="AC34" i="4"/>
  <c r="AD34" i="4" s="1"/>
  <c r="AA34" i="4"/>
  <c r="W34" i="4"/>
  <c r="X34" i="4" s="1"/>
  <c r="U34" i="4"/>
  <c r="R34" i="4"/>
  <c r="N34" i="4"/>
  <c r="O34" i="4" s="1"/>
  <c r="L34" i="4"/>
  <c r="H34" i="4"/>
  <c r="I34" i="4" s="1"/>
  <c r="F34" i="4"/>
  <c r="C34" i="4"/>
  <c r="AC33" i="4"/>
  <c r="AD33" i="4" s="1"/>
  <c r="AA33" i="4"/>
  <c r="X33" i="4"/>
  <c r="W33" i="4"/>
  <c r="U33" i="4"/>
  <c r="R33" i="4"/>
  <c r="O33" i="4"/>
  <c r="N33" i="4"/>
  <c r="L33" i="4"/>
  <c r="H33" i="4"/>
  <c r="I33" i="4" s="1"/>
  <c r="F33" i="4"/>
  <c r="C33" i="4"/>
  <c r="AD32" i="4"/>
  <c r="AC32" i="4"/>
  <c r="AA32" i="4"/>
  <c r="W32" i="4"/>
  <c r="X32" i="4" s="1"/>
  <c r="U32" i="4"/>
  <c r="R32" i="4"/>
  <c r="N32" i="4"/>
  <c r="O32" i="4" s="1"/>
  <c r="L32" i="4"/>
  <c r="H32" i="4"/>
  <c r="I32" i="4" s="1"/>
  <c r="F32" i="4"/>
  <c r="C32" i="4"/>
  <c r="AC31" i="4"/>
  <c r="AD31" i="4" s="1"/>
  <c r="AA31" i="4"/>
  <c r="X31" i="4"/>
  <c r="W31" i="4"/>
  <c r="U31" i="4"/>
  <c r="R31" i="4"/>
  <c r="O31" i="4"/>
  <c r="N31" i="4"/>
  <c r="L31" i="4"/>
  <c r="I31" i="4"/>
  <c r="H31" i="4"/>
  <c r="F31" i="4"/>
  <c r="C31" i="4"/>
  <c r="Z29" i="4"/>
  <c r="AA29" i="4" s="1"/>
  <c r="T29" i="4"/>
  <c r="U29" i="4" s="1"/>
  <c r="Q29" i="4"/>
  <c r="W29" i="4" s="1"/>
  <c r="X29" i="4" s="1"/>
  <c r="L29" i="4"/>
  <c r="K29" i="4"/>
  <c r="E29" i="4"/>
  <c r="F29" i="4" s="1"/>
  <c r="B29" i="4"/>
  <c r="H29" i="4" s="1"/>
  <c r="I29" i="4" s="1"/>
  <c r="AD28" i="4"/>
  <c r="AC28" i="4"/>
  <c r="AA28" i="4"/>
  <c r="W28" i="4"/>
  <c r="X28" i="4" s="1"/>
  <c r="U28" i="4"/>
  <c r="R28" i="4"/>
  <c r="N28" i="4"/>
  <c r="O28" i="4" s="1"/>
  <c r="L28" i="4"/>
  <c r="H28" i="4"/>
  <c r="I28" i="4" s="1"/>
  <c r="F28" i="4"/>
  <c r="C28" i="4"/>
  <c r="AC27" i="4"/>
  <c r="AD27" i="4" s="1"/>
  <c r="AA27" i="4"/>
  <c r="X27" i="4"/>
  <c r="W27" i="4"/>
  <c r="U27" i="4"/>
  <c r="R27" i="4"/>
  <c r="O27" i="4"/>
  <c r="N27" i="4"/>
  <c r="L27" i="4"/>
  <c r="I27" i="4"/>
  <c r="H27" i="4"/>
  <c r="F27" i="4"/>
  <c r="C27" i="4"/>
  <c r="AC26" i="4"/>
  <c r="AD26" i="4" s="1"/>
  <c r="AA26" i="4"/>
  <c r="W26" i="4"/>
  <c r="X26" i="4" s="1"/>
  <c r="U26" i="4"/>
  <c r="R26" i="4"/>
  <c r="N26" i="4"/>
  <c r="O26" i="4" s="1"/>
  <c r="L26" i="4"/>
  <c r="H26" i="4"/>
  <c r="I26" i="4" s="1"/>
  <c r="F26" i="4"/>
  <c r="C26" i="4"/>
  <c r="AC25" i="4"/>
  <c r="AD25" i="4" s="1"/>
  <c r="AA25" i="4"/>
  <c r="X25" i="4"/>
  <c r="W25" i="4"/>
  <c r="U25" i="4"/>
  <c r="R25" i="4"/>
  <c r="O25" i="4"/>
  <c r="N25" i="4"/>
  <c r="L25" i="4"/>
  <c r="H25" i="4"/>
  <c r="I25" i="4" s="1"/>
  <c r="F25" i="4"/>
  <c r="C25" i="4"/>
  <c r="AD24" i="4"/>
  <c r="AC24" i="4"/>
  <c r="AA24" i="4"/>
  <c r="W24" i="4"/>
  <c r="X24" i="4" s="1"/>
  <c r="U24" i="4"/>
  <c r="R24" i="4"/>
  <c r="N24" i="4"/>
  <c r="O24" i="4" s="1"/>
  <c r="L24" i="4"/>
  <c r="H24" i="4"/>
  <c r="I24" i="4" s="1"/>
  <c r="F24" i="4"/>
  <c r="C24" i="4"/>
  <c r="AC23" i="4"/>
  <c r="AD23" i="4" s="1"/>
  <c r="AA23" i="4"/>
  <c r="X23" i="4"/>
  <c r="W23" i="4"/>
  <c r="U23" i="4"/>
  <c r="R23" i="4"/>
  <c r="O23" i="4"/>
  <c r="N23" i="4"/>
  <c r="L23" i="4"/>
  <c r="I23" i="4"/>
  <c r="H23" i="4"/>
  <c r="F23" i="4"/>
  <c r="C23" i="4"/>
  <c r="AC22" i="4"/>
  <c r="AD22" i="4" s="1"/>
  <c r="AA22" i="4"/>
  <c r="W22" i="4"/>
  <c r="X22" i="4" s="1"/>
  <c r="U22" i="4"/>
  <c r="R22" i="4"/>
  <c r="N22" i="4"/>
  <c r="O22" i="4" s="1"/>
  <c r="L22" i="4"/>
  <c r="H22" i="4"/>
  <c r="I22" i="4" s="1"/>
  <c r="F22" i="4"/>
  <c r="C22" i="4"/>
  <c r="AC21" i="4"/>
  <c r="AD21" i="4" s="1"/>
  <c r="AA21" i="4"/>
  <c r="X21" i="4"/>
  <c r="W21" i="4"/>
  <c r="U21" i="4"/>
  <c r="R21" i="4"/>
  <c r="O21" i="4"/>
  <c r="N21" i="4"/>
  <c r="L21" i="4"/>
  <c r="H21" i="4"/>
  <c r="I21" i="4" s="1"/>
  <c r="F21" i="4"/>
  <c r="C21" i="4"/>
  <c r="AD19" i="4"/>
  <c r="AC19" i="4"/>
  <c r="AA19" i="4"/>
  <c r="W19" i="4"/>
  <c r="X19" i="4" s="1"/>
  <c r="U19" i="4"/>
  <c r="R19" i="4"/>
  <c r="N19" i="4"/>
  <c r="O19" i="4" s="1"/>
  <c r="L19" i="4"/>
  <c r="H19" i="4"/>
  <c r="I19" i="4" s="1"/>
  <c r="F19" i="4"/>
  <c r="C19" i="4"/>
  <c r="AA18" i="4"/>
  <c r="Z18" i="4"/>
  <c r="T18" i="4"/>
  <c r="U18" i="4" s="1"/>
  <c r="Q18" i="4"/>
  <c r="W18" i="4" s="1"/>
  <c r="X18" i="4" s="1"/>
  <c r="K18" i="4"/>
  <c r="L18" i="4" s="1"/>
  <c r="H18" i="4"/>
  <c r="I18" i="4" s="1"/>
  <c r="E18" i="4"/>
  <c r="F18" i="4" s="1"/>
  <c r="C18" i="4"/>
  <c r="B18" i="4"/>
  <c r="N18" i="4" s="1"/>
  <c r="O18" i="4" s="1"/>
  <c r="AC17" i="4"/>
  <c r="AD17" i="4" s="1"/>
  <c r="AA17" i="4"/>
  <c r="X17" i="4"/>
  <c r="W17" i="4"/>
  <c r="U17" i="4"/>
  <c r="R17" i="4"/>
  <c r="O17" i="4"/>
  <c r="N17" i="4"/>
  <c r="L17" i="4"/>
  <c r="H17" i="4"/>
  <c r="I17" i="4" s="1"/>
  <c r="F17" i="4"/>
  <c r="C17" i="4"/>
  <c r="AD16" i="4"/>
  <c r="AC16" i="4"/>
  <c r="AA16" i="4"/>
  <c r="W16" i="4"/>
  <c r="X16" i="4" s="1"/>
  <c r="U16" i="4"/>
  <c r="R16" i="4"/>
  <c r="N16" i="4"/>
  <c r="O16" i="4" s="1"/>
  <c r="L16" i="4"/>
  <c r="H16" i="4"/>
  <c r="I16" i="4" s="1"/>
  <c r="F16" i="4"/>
  <c r="C16" i="4"/>
  <c r="AC15" i="4"/>
  <c r="AD15" i="4" s="1"/>
  <c r="AA15" i="4"/>
  <c r="X15" i="4"/>
  <c r="W15" i="4"/>
  <c r="U15" i="4"/>
  <c r="R15" i="4"/>
  <c r="O15" i="4"/>
  <c r="N15" i="4"/>
  <c r="L15" i="4"/>
  <c r="I15" i="4"/>
  <c r="H15" i="4"/>
  <c r="F15" i="4"/>
  <c r="C15" i="4"/>
  <c r="AC14" i="4"/>
  <c r="AD14" i="4" s="1"/>
  <c r="AA14" i="4"/>
  <c r="W14" i="4"/>
  <c r="X14" i="4" s="1"/>
  <c r="U14" i="4"/>
  <c r="R14" i="4"/>
  <c r="N14" i="4"/>
  <c r="O14" i="4" s="1"/>
  <c r="L14" i="4"/>
  <c r="H14" i="4"/>
  <c r="I14" i="4" s="1"/>
  <c r="F14" i="4"/>
  <c r="C14" i="4"/>
  <c r="AC13" i="4"/>
  <c r="AD13" i="4" s="1"/>
  <c r="AA13" i="4"/>
  <c r="X13" i="4"/>
  <c r="W13" i="4"/>
  <c r="U13" i="4"/>
  <c r="R13" i="4"/>
  <c r="O13" i="4"/>
  <c r="N13" i="4"/>
  <c r="L13" i="4"/>
  <c r="H13" i="4"/>
  <c r="I13" i="4" s="1"/>
  <c r="F13" i="4"/>
  <c r="C13" i="4"/>
  <c r="AD12" i="4"/>
  <c r="AC12" i="4"/>
  <c r="AA12" i="4"/>
  <c r="W12" i="4"/>
  <c r="X12" i="4" s="1"/>
  <c r="U12" i="4"/>
  <c r="R12" i="4"/>
  <c r="N12" i="4"/>
  <c r="O12" i="4" s="1"/>
  <c r="L12" i="4"/>
  <c r="H12" i="4"/>
  <c r="I12" i="4" s="1"/>
  <c r="F12" i="4"/>
  <c r="C12" i="4"/>
  <c r="AC11" i="4"/>
  <c r="AD11" i="4" s="1"/>
  <c r="AA11" i="4"/>
  <c r="X11" i="4"/>
  <c r="W11" i="4"/>
  <c r="U11" i="4"/>
  <c r="R11" i="4"/>
  <c r="O11" i="4"/>
  <c r="N11" i="4"/>
  <c r="L11" i="4"/>
  <c r="I11" i="4"/>
  <c r="H11" i="4"/>
  <c r="F11" i="4"/>
  <c r="C11" i="4"/>
  <c r="AC10" i="4"/>
  <c r="AD10" i="4" s="1"/>
  <c r="AA10" i="4"/>
  <c r="W10" i="4"/>
  <c r="X10" i="4" s="1"/>
  <c r="U10" i="4"/>
  <c r="R10" i="4"/>
  <c r="N10" i="4"/>
  <c r="O10" i="4" s="1"/>
  <c r="L10" i="4"/>
  <c r="H10" i="4"/>
  <c r="I10" i="4" s="1"/>
  <c r="F10" i="4"/>
  <c r="C10" i="4"/>
  <c r="AC8" i="4"/>
  <c r="AD8" i="4" s="1"/>
  <c r="AA8" i="4"/>
  <c r="X8" i="4"/>
  <c r="W8" i="4"/>
  <c r="U8" i="4"/>
  <c r="R8" i="4"/>
  <c r="O8" i="4"/>
  <c r="N8" i="4"/>
  <c r="L8" i="4"/>
  <c r="H8" i="4"/>
  <c r="I8" i="4" s="1"/>
  <c r="F8" i="4"/>
  <c r="C8" i="4"/>
  <c r="AC444" i="3"/>
  <c r="W444" i="3"/>
  <c r="N444" i="3"/>
  <c r="H444" i="3"/>
  <c r="AD442" i="3"/>
  <c r="Z442" i="3"/>
  <c r="AA442" i="3" s="1"/>
  <c r="T442" i="3"/>
  <c r="U442" i="3" s="1"/>
  <c r="R442" i="3"/>
  <c r="Q442" i="3"/>
  <c r="AC442" i="3" s="1"/>
  <c r="L442" i="3"/>
  <c r="K442" i="3"/>
  <c r="H442" i="3"/>
  <c r="I442" i="3" s="1"/>
  <c r="F442" i="3"/>
  <c r="E442" i="3"/>
  <c r="B442" i="3"/>
  <c r="C442" i="3" s="1"/>
  <c r="AD441" i="3"/>
  <c r="AC441" i="3"/>
  <c r="Z441" i="3"/>
  <c r="AA441" i="3" s="1"/>
  <c r="X441" i="3"/>
  <c r="T441" i="3"/>
  <c r="U441" i="3" s="1"/>
  <c r="R441" i="3"/>
  <c r="Q441" i="3"/>
  <c r="W441" i="3" s="1"/>
  <c r="N441" i="3"/>
  <c r="O441" i="3" s="1"/>
  <c r="L441" i="3"/>
  <c r="K441" i="3"/>
  <c r="E441" i="3"/>
  <c r="F441" i="3" s="1"/>
  <c r="C441" i="3"/>
  <c r="B441" i="3"/>
  <c r="AD440" i="3"/>
  <c r="AC440" i="3"/>
  <c r="AA440" i="3"/>
  <c r="W440" i="3"/>
  <c r="X440" i="3" s="1"/>
  <c r="U440" i="3"/>
  <c r="R440" i="3"/>
  <c r="O440" i="3"/>
  <c r="N440" i="3"/>
  <c r="L440" i="3"/>
  <c r="H440" i="3"/>
  <c r="I440" i="3" s="1"/>
  <c r="F440" i="3"/>
  <c r="C440" i="3"/>
  <c r="AC439" i="3"/>
  <c r="AD439" i="3" s="1"/>
  <c r="AA439" i="3"/>
  <c r="X439" i="3"/>
  <c r="W439" i="3"/>
  <c r="U439" i="3"/>
  <c r="R439" i="3"/>
  <c r="O439" i="3"/>
  <c r="N439" i="3"/>
  <c r="L439" i="3"/>
  <c r="I439" i="3"/>
  <c r="H439" i="3"/>
  <c r="F439" i="3"/>
  <c r="C439" i="3"/>
  <c r="AC438" i="3"/>
  <c r="AD438" i="3" s="1"/>
  <c r="AA438" i="3"/>
  <c r="X438" i="3"/>
  <c r="W438" i="3"/>
  <c r="U438" i="3"/>
  <c r="R438" i="3"/>
  <c r="N438" i="3"/>
  <c r="O438" i="3" s="1"/>
  <c r="L438" i="3"/>
  <c r="I438" i="3"/>
  <c r="H438" i="3"/>
  <c r="F438" i="3"/>
  <c r="C438" i="3"/>
  <c r="AC437" i="3"/>
  <c r="AD437" i="3" s="1"/>
  <c r="AA437" i="3"/>
  <c r="X437" i="3"/>
  <c r="W437" i="3"/>
  <c r="U437" i="3"/>
  <c r="R437" i="3"/>
  <c r="O437" i="3"/>
  <c r="N437" i="3"/>
  <c r="L437" i="3"/>
  <c r="H437" i="3"/>
  <c r="I437" i="3" s="1"/>
  <c r="F437" i="3"/>
  <c r="C437" i="3"/>
  <c r="AD436" i="3"/>
  <c r="AC436" i="3"/>
  <c r="AA436" i="3"/>
  <c r="W436" i="3"/>
  <c r="X436" i="3" s="1"/>
  <c r="U436" i="3"/>
  <c r="R436" i="3"/>
  <c r="O436" i="3"/>
  <c r="N436" i="3"/>
  <c r="L436" i="3"/>
  <c r="H436" i="3"/>
  <c r="I436" i="3" s="1"/>
  <c r="F436" i="3"/>
  <c r="C436" i="3"/>
  <c r="AC435" i="3"/>
  <c r="AD435" i="3" s="1"/>
  <c r="AA435" i="3"/>
  <c r="X435" i="3"/>
  <c r="W435" i="3"/>
  <c r="U435" i="3"/>
  <c r="R435" i="3"/>
  <c r="N435" i="3"/>
  <c r="O435" i="3" s="1"/>
  <c r="L435" i="3"/>
  <c r="I435" i="3"/>
  <c r="H435" i="3"/>
  <c r="F435" i="3"/>
  <c r="C435" i="3"/>
  <c r="AD434" i="3"/>
  <c r="AC434" i="3"/>
  <c r="AA434" i="3"/>
  <c r="W434" i="3"/>
  <c r="X434" i="3" s="1"/>
  <c r="U434" i="3"/>
  <c r="R434" i="3"/>
  <c r="N434" i="3"/>
  <c r="O434" i="3" s="1"/>
  <c r="L434" i="3"/>
  <c r="H434" i="3"/>
  <c r="I434" i="3" s="1"/>
  <c r="F434" i="3"/>
  <c r="C434" i="3"/>
  <c r="AC433" i="3"/>
  <c r="AD433" i="3" s="1"/>
  <c r="AA433" i="3"/>
  <c r="X433" i="3"/>
  <c r="W433" i="3"/>
  <c r="U433" i="3"/>
  <c r="R433" i="3"/>
  <c r="O433" i="3"/>
  <c r="N433" i="3"/>
  <c r="L433" i="3"/>
  <c r="H433" i="3"/>
  <c r="I433" i="3" s="1"/>
  <c r="F433" i="3"/>
  <c r="C433" i="3"/>
  <c r="AD432" i="3"/>
  <c r="AC432" i="3"/>
  <c r="AA432" i="3"/>
  <c r="W432" i="3"/>
  <c r="X432" i="3" s="1"/>
  <c r="U432" i="3"/>
  <c r="R432" i="3"/>
  <c r="O432" i="3"/>
  <c r="N432" i="3"/>
  <c r="L432" i="3"/>
  <c r="H432" i="3"/>
  <c r="I432" i="3" s="1"/>
  <c r="F432" i="3"/>
  <c r="C432" i="3"/>
  <c r="AA429" i="3"/>
  <c r="Z429" i="3"/>
  <c r="T429" i="3"/>
  <c r="U429" i="3" s="1"/>
  <c r="Q429" i="3"/>
  <c r="K429" i="3"/>
  <c r="L429" i="3" s="1"/>
  <c r="E429" i="3"/>
  <c r="C429" i="3"/>
  <c r="B429" i="3"/>
  <c r="N429" i="3" s="1"/>
  <c r="O429" i="3" s="1"/>
  <c r="Z428" i="3"/>
  <c r="AA428" i="3" s="1"/>
  <c r="X428" i="3"/>
  <c r="W428" i="3"/>
  <c r="U428" i="3"/>
  <c r="T428" i="3"/>
  <c r="Q428" i="3"/>
  <c r="R428" i="3" s="1"/>
  <c r="L428" i="3"/>
  <c r="K428" i="3"/>
  <c r="E428" i="3"/>
  <c r="F428" i="3" s="1"/>
  <c r="C428" i="3"/>
  <c r="B428" i="3"/>
  <c r="AD427" i="3"/>
  <c r="AC427" i="3"/>
  <c r="AA427" i="3"/>
  <c r="X427" i="3"/>
  <c r="W427" i="3"/>
  <c r="U427" i="3"/>
  <c r="R427" i="3"/>
  <c r="O427" i="3"/>
  <c r="N427" i="3"/>
  <c r="L427" i="3"/>
  <c r="I427" i="3"/>
  <c r="H427" i="3"/>
  <c r="F427" i="3"/>
  <c r="C427" i="3"/>
  <c r="AD426" i="3"/>
  <c r="AC426" i="3"/>
  <c r="AA426" i="3"/>
  <c r="W426" i="3"/>
  <c r="X426" i="3" s="1"/>
  <c r="U426" i="3"/>
  <c r="R426" i="3"/>
  <c r="N426" i="3"/>
  <c r="O426" i="3" s="1"/>
  <c r="L426" i="3"/>
  <c r="I426" i="3"/>
  <c r="H426" i="3"/>
  <c r="F426" i="3"/>
  <c r="C426" i="3"/>
  <c r="AC425" i="3"/>
  <c r="AD425" i="3" s="1"/>
  <c r="AA425" i="3"/>
  <c r="W425" i="3"/>
  <c r="X425" i="3" s="1"/>
  <c r="U425" i="3"/>
  <c r="R425" i="3"/>
  <c r="O425" i="3"/>
  <c r="N425" i="3"/>
  <c r="L425" i="3"/>
  <c r="H425" i="3"/>
  <c r="I425" i="3" s="1"/>
  <c r="F425" i="3"/>
  <c r="C425" i="3"/>
  <c r="AD424" i="3"/>
  <c r="AC424" i="3"/>
  <c r="AA424" i="3"/>
  <c r="W424" i="3"/>
  <c r="X424" i="3" s="1"/>
  <c r="U424" i="3"/>
  <c r="R424" i="3"/>
  <c r="O424" i="3"/>
  <c r="N424" i="3"/>
  <c r="L424" i="3"/>
  <c r="H424" i="3"/>
  <c r="I424" i="3" s="1"/>
  <c r="F424" i="3"/>
  <c r="C424" i="3"/>
  <c r="AC423" i="3"/>
  <c r="AD423" i="3" s="1"/>
  <c r="AA423" i="3"/>
  <c r="X423" i="3"/>
  <c r="W423" i="3"/>
  <c r="U423" i="3"/>
  <c r="R423" i="3"/>
  <c r="O423" i="3"/>
  <c r="N423" i="3"/>
  <c r="L423" i="3"/>
  <c r="I423" i="3"/>
  <c r="H423" i="3"/>
  <c r="F423" i="3"/>
  <c r="C423" i="3"/>
  <c r="AD422" i="3"/>
  <c r="AC422" i="3"/>
  <c r="AA422" i="3"/>
  <c r="W422" i="3"/>
  <c r="X422" i="3" s="1"/>
  <c r="U422" i="3"/>
  <c r="R422" i="3"/>
  <c r="N422" i="3"/>
  <c r="O422" i="3" s="1"/>
  <c r="L422" i="3"/>
  <c r="I422" i="3"/>
  <c r="H422" i="3"/>
  <c r="F422" i="3"/>
  <c r="C422" i="3"/>
  <c r="AC421" i="3"/>
  <c r="AD421" i="3" s="1"/>
  <c r="AA421" i="3"/>
  <c r="W421" i="3"/>
  <c r="X421" i="3" s="1"/>
  <c r="U421" i="3"/>
  <c r="R421" i="3"/>
  <c r="O421" i="3"/>
  <c r="N421" i="3"/>
  <c r="L421" i="3"/>
  <c r="I421" i="3"/>
  <c r="H421" i="3"/>
  <c r="F421" i="3"/>
  <c r="C421" i="3"/>
  <c r="AD420" i="3"/>
  <c r="AC420" i="3"/>
  <c r="AA420" i="3"/>
  <c r="W420" i="3"/>
  <c r="X420" i="3" s="1"/>
  <c r="U420" i="3"/>
  <c r="R420" i="3"/>
  <c r="N420" i="3"/>
  <c r="O420" i="3" s="1"/>
  <c r="L420" i="3"/>
  <c r="H420" i="3"/>
  <c r="I420" i="3" s="1"/>
  <c r="F420" i="3"/>
  <c r="C420" i="3"/>
  <c r="AD419" i="3"/>
  <c r="AC419" i="3"/>
  <c r="AA419" i="3"/>
  <c r="X419" i="3"/>
  <c r="W419" i="3"/>
  <c r="U419" i="3"/>
  <c r="R419" i="3"/>
  <c r="O419" i="3"/>
  <c r="N419" i="3"/>
  <c r="L419" i="3"/>
  <c r="I419" i="3"/>
  <c r="H419" i="3"/>
  <c r="F419" i="3"/>
  <c r="C419" i="3"/>
  <c r="AC418" i="3"/>
  <c r="AD418" i="3" s="1"/>
  <c r="AA418" i="3"/>
  <c r="W418" i="3"/>
  <c r="X418" i="3" s="1"/>
  <c r="U418" i="3"/>
  <c r="R418" i="3"/>
  <c r="N418" i="3"/>
  <c r="O418" i="3" s="1"/>
  <c r="L418" i="3"/>
  <c r="H418" i="3"/>
  <c r="I418" i="3" s="1"/>
  <c r="F418" i="3"/>
  <c r="C418" i="3"/>
  <c r="AC417" i="3"/>
  <c r="AD417" i="3" s="1"/>
  <c r="AA417" i="3"/>
  <c r="W417" i="3"/>
  <c r="X417" i="3" s="1"/>
  <c r="U417" i="3"/>
  <c r="R417" i="3"/>
  <c r="O417" i="3"/>
  <c r="N417" i="3"/>
  <c r="L417" i="3"/>
  <c r="H417" i="3"/>
  <c r="I417" i="3" s="1"/>
  <c r="F417" i="3"/>
  <c r="C417" i="3"/>
  <c r="AD416" i="3"/>
  <c r="AC416" i="3"/>
  <c r="AA416" i="3"/>
  <c r="W416" i="3"/>
  <c r="X416" i="3" s="1"/>
  <c r="U416" i="3"/>
  <c r="R416" i="3"/>
  <c r="N416" i="3"/>
  <c r="O416" i="3" s="1"/>
  <c r="L416" i="3"/>
  <c r="H416" i="3"/>
  <c r="I416" i="3" s="1"/>
  <c r="F416" i="3"/>
  <c r="C416" i="3"/>
  <c r="AC415" i="3"/>
  <c r="AD415" i="3" s="1"/>
  <c r="AA415" i="3"/>
  <c r="X415" i="3"/>
  <c r="W415" i="3"/>
  <c r="U415" i="3"/>
  <c r="R415" i="3"/>
  <c r="O415" i="3"/>
  <c r="N415" i="3"/>
  <c r="L415" i="3"/>
  <c r="I415" i="3"/>
  <c r="H415" i="3"/>
  <c r="F415" i="3"/>
  <c r="C415" i="3"/>
  <c r="AC414" i="3"/>
  <c r="AD414" i="3" s="1"/>
  <c r="AA414" i="3"/>
  <c r="W414" i="3"/>
  <c r="X414" i="3" s="1"/>
  <c r="U414" i="3"/>
  <c r="R414" i="3"/>
  <c r="N414" i="3"/>
  <c r="O414" i="3" s="1"/>
  <c r="L414" i="3"/>
  <c r="I414" i="3"/>
  <c r="H414" i="3"/>
  <c r="F414" i="3"/>
  <c r="C414" i="3"/>
  <c r="AC413" i="3"/>
  <c r="AD413" i="3" s="1"/>
  <c r="AA413" i="3"/>
  <c r="W413" i="3"/>
  <c r="X413" i="3" s="1"/>
  <c r="U413" i="3"/>
  <c r="R413" i="3"/>
  <c r="O413" i="3"/>
  <c r="N413" i="3"/>
  <c r="L413" i="3"/>
  <c r="I413" i="3"/>
  <c r="H413" i="3"/>
  <c r="F413" i="3"/>
  <c r="C413" i="3"/>
  <c r="AD412" i="3"/>
  <c r="AC412" i="3"/>
  <c r="AA412" i="3"/>
  <c r="W412" i="3"/>
  <c r="X412" i="3" s="1"/>
  <c r="U412" i="3"/>
  <c r="R412" i="3"/>
  <c r="O412" i="3"/>
  <c r="N412" i="3"/>
  <c r="L412" i="3"/>
  <c r="H412" i="3"/>
  <c r="I412" i="3" s="1"/>
  <c r="F412" i="3"/>
  <c r="C412" i="3"/>
  <c r="AD411" i="3"/>
  <c r="AC411" i="3"/>
  <c r="AA411" i="3"/>
  <c r="X411" i="3"/>
  <c r="W411" i="3"/>
  <c r="U411" i="3"/>
  <c r="R411" i="3"/>
  <c r="O411" i="3"/>
  <c r="N411" i="3"/>
  <c r="L411" i="3"/>
  <c r="I411" i="3"/>
  <c r="H411" i="3"/>
  <c r="F411" i="3"/>
  <c r="C411" i="3"/>
  <c r="AC410" i="3"/>
  <c r="AD410" i="3" s="1"/>
  <c r="AA410" i="3"/>
  <c r="W410" i="3"/>
  <c r="X410" i="3" s="1"/>
  <c r="U410" i="3"/>
  <c r="R410" i="3"/>
  <c r="N410" i="3"/>
  <c r="O410" i="3" s="1"/>
  <c r="L410" i="3"/>
  <c r="H410" i="3"/>
  <c r="I410" i="3" s="1"/>
  <c r="F410" i="3"/>
  <c r="C410" i="3"/>
  <c r="AC409" i="3"/>
  <c r="AD409" i="3" s="1"/>
  <c r="AA409" i="3"/>
  <c r="W409" i="3"/>
  <c r="X409" i="3" s="1"/>
  <c r="U409" i="3"/>
  <c r="R409" i="3"/>
  <c r="O409" i="3"/>
  <c r="N409" i="3"/>
  <c r="L409" i="3"/>
  <c r="H409" i="3"/>
  <c r="I409" i="3" s="1"/>
  <c r="F409" i="3"/>
  <c r="C409" i="3"/>
  <c r="AD408" i="3"/>
  <c r="AC408" i="3"/>
  <c r="AA408" i="3"/>
  <c r="W408" i="3"/>
  <c r="X408" i="3" s="1"/>
  <c r="U408" i="3"/>
  <c r="R408" i="3"/>
  <c r="O408" i="3"/>
  <c r="N408" i="3"/>
  <c r="L408" i="3"/>
  <c r="H408" i="3"/>
  <c r="I408" i="3" s="1"/>
  <c r="F408" i="3"/>
  <c r="C408" i="3"/>
  <c r="AC407" i="3"/>
  <c r="AD407" i="3" s="1"/>
  <c r="AA407" i="3"/>
  <c r="X407" i="3"/>
  <c r="W407" i="3"/>
  <c r="U407" i="3"/>
  <c r="R407" i="3"/>
  <c r="O407" i="3"/>
  <c r="N407" i="3"/>
  <c r="L407" i="3"/>
  <c r="I407" i="3"/>
  <c r="H407" i="3"/>
  <c r="F407" i="3"/>
  <c r="C407" i="3"/>
  <c r="Z403" i="3"/>
  <c r="AA403" i="3" s="1"/>
  <c r="W403" i="3"/>
  <c r="X403" i="3" s="1"/>
  <c r="T403" i="3"/>
  <c r="U403" i="3" s="1"/>
  <c r="R403" i="3"/>
  <c r="Q403" i="3"/>
  <c r="AC403" i="3" s="1"/>
  <c r="AD403" i="3" s="1"/>
  <c r="L403" i="3"/>
  <c r="K403" i="3"/>
  <c r="H403" i="3"/>
  <c r="I403" i="3" s="1"/>
  <c r="F403" i="3"/>
  <c r="E403" i="3"/>
  <c r="B403" i="3"/>
  <c r="C403" i="3" s="1"/>
  <c r="AC402" i="3"/>
  <c r="AD402" i="3" s="1"/>
  <c r="AA402" i="3"/>
  <c r="W402" i="3"/>
  <c r="X402" i="3" s="1"/>
  <c r="U402" i="3"/>
  <c r="R402" i="3"/>
  <c r="N402" i="3"/>
  <c r="O402" i="3" s="1"/>
  <c r="L402" i="3"/>
  <c r="I402" i="3"/>
  <c r="H402" i="3"/>
  <c r="F402" i="3"/>
  <c r="C402" i="3"/>
  <c r="AC401" i="3"/>
  <c r="AD401" i="3" s="1"/>
  <c r="AA401" i="3"/>
  <c r="W401" i="3"/>
  <c r="X401" i="3" s="1"/>
  <c r="U401" i="3"/>
  <c r="R401" i="3"/>
  <c r="O401" i="3"/>
  <c r="N401" i="3"/>
  <c r="L401" i="3"/>
  <c r="H401" i="3"/>
  <c r="I401" i="3" s="1"/>
  <c r="F401" i="3"/>
  <c r="C401" i="3"/>
  <c r="AD400" i="3"/>
  <c r="AC400" i="3"/>
  <c r="AA400" i="3"/>
  <c r="W400" i="3"/>
  <c r="X400" i="3" s="1"/>
  <c r="U400" i="3"/>
  <c r="R400" i="3"/>
  <c r="N400" i="3"/>
  <c r="O400" i="3" s="1"/>
  <c r="L400" i="3"/>
  <c r="H400" i="3"/>
  <c r="I400" i="3" s="1"/>
  <c r="F400" i="3"/>
  <c r="C400" i="3"/>
  <c r="AC399" i="3"/>
  <c r="AD399" i="3" s="1"/>
  <c r="AA399" i="3"/>
  <c r="X399" i="3"/>
  <c r="W399" i="3"/>
  <c r="U399" i="3"/>
  <c r="R399" i="3"/>
  <c r="N399" i="3"/>
  <c r="O399" i="3" s="1"/>
  <c r="L399" i="3"/>
  <c r="I399" i="3"/>
  <c r="H399" i="3"/>
  <c r="F399" i="3"/>
  <c r="C399" i="3"/>
  <c r="AD398" i="3"/>
  <c r="AC398" i="3"/>
  <c r="AA398" i="3"/>
  <c r="W398" i="3"/>
  <c r="X398" i="3" s="1"/>
  <c r="U398" i="3"/>
  <c r="R398" i="3"/>
  <c r="N398" i="3"/>
  <c r="O398" i="3" s="1"/>
  <c r="L398" i="3"/>
  <c r="H398" i="3"/>
  <c r="I398" i="3" s="1"/>
  <c r="F398" i="3"/>
  <c r="C398" i="3"/>
  <c r="AC397" i="3"/>
  <c r="AD397" i="3" s="1"/>
  <c r="AA397" i="3"/>
  <c r="W397" i="3"/>
  <c r="X397" i="3" s="1"/>
  <c r="U397" i="3"/>
  <c r="R397" i="3"/>
  <c r="O397" i="3"/>
  <c r="N397" i="3"/>
  <c r="L397" i="3"/>
  <c r="H397" i="3"/>
  <c r="I397" i="3" s="1"/>
  <c r="F397" i="3"/>
  <c r="C397" i="3"/>
  <c r="AD396" i="3"/>
  <c r="Z396" i="3"/>
  <c r="AA396" i="3" s="1"/>
  <c r="T396" i="3"/>
  <c r="U396" i="3" s="1"/>
  <c r="R396" i="3"/>
  <c r="Q396" i="3"/>
  <c r="AC396" i="3" s="1"/>
  <c r="K396" i="3"/>
  <c r="L396" i="3" s="1"/>
  <c r="H396" i="3"/>
  <c r="I396" i="3" s="1"/>
  <c r="F396" i="3"/>
  <c r="E396" i="3"/>
  <c r="B396" i="3"/>
  <c r="C396" i="3" s="1"/>
  <c r="AC395" i="3"/>
  <c r="AD395" i="3" s="1"/>
  <c r="AA395" i="3"/>
  <c r="X395" i="3"/>
  <c r="W395" i="3"/>
  <c r="U395" i="3"/>
  <c r="R395" i="3"/>
  <c r="N395" i="3"/>
  <c r="O395" i="3" s="1"/>
  <c r="L395" i="3"/>
  <c r="H395" i="3"/>
  <c r="I395" i="3" s="1"/>
  <c r="F395" i="3"/>
  <c r="C395" i="3"/>
  <c r="AC394" i="3"/>
  <c r="AD394" i="3" s="1"/>
  <c r="AA394" i="3"/>
  <c r="X394" i="3"/>
  <c r="W394" i="3"/>
  <c r="U394" i="3"/>
  <c r="R394" i="3"/>
  <c r="O394" i="3"/>
  <c r="N394" i="3"/>
  <c r="L394" i="3"/>
  <c r="I394" i="3"/>
  <c r="H394" i="3"/>
  <c r="F394" i="3"/>
  <c r="C394" i="3"/>
  <c r="AD393" i="3"/>
  <c r="Z393" i="3"/>
  <c r="AA393" i="3" s="1"/>
  <c r="T393" i="3"/>
  <c r="W393" i="3" s="1"/>
  <c r="X393" i="3" s="1"/>
  <c r="R393" i="3"/>
  <c r="Q393" i="3"/>
  <c r="AC393" i="3" s="1"/>
  <c r="L393" i="3"/>
  <c r="K393" i="3"/>
  <c r="I393" i="3"/>
  <c r="H393" i="3"/>
  <c r="F393" i="3"/>
  <c r="E393" i="3"/>
  <c r="B393" i="3"/>
  <c r="C393" i="3" s="1"/>
  <c r="AC392" i="3"/>
  <c r="AD392" i="3" s="1"/>
  <c r="AA392" i="3"/>
  <c r="X392" i="3"/>
  <c r="W392" i="3"/>
  <c r="U392" i="3"/>
  <c r="R392" i="3"/>
  <c r="N392" i="3"/>
  <c r="O392" i="3" s="1"/>
  <c r="L392" i="3"/>
  <c r="I392" i="3"/>
  <c r="H392" i="3"/>
  <c r="F392" i="3"/>
  <c r="C392" i="3"/>
  <c r="AC391" i="3"/>
  <c r="AD391" i="3" s="1"/>
  <c r="AA391" i="3"/>
  <c r="W391" i="3"/>
  <c r="X391" i="3" s="1"/>
  <c r="U391" i="3"/>
  <c r="R391" i="3"/>
  <c r="O391" i="3"/>
  <c r="N391" i="3"/>
  <c r="L391" i="3"/>
  <c r="I391" i="3"/>
  <c r="H391" i="3"/>
  <c r="F391" i="3"/>
  <c r="C391" i="3"/>
  <c r="AD390" i="3"/>
  <c r="AC390" i="3"/>
  <c r="AA390" i="3"/>
  <c r="W390" i="3"/>
  <c r="X390" i="3" s="1"/>
  <c r="U390" i="3"/>
  <c r="R390" i="3"/>
  <c r="N390" i="3"/>
  <c r="O390" i="3" s="1"/>
  <c r="L390" i="3"/>
  <c r="H390" i="3"/>
  <c r="I390" i="3" s="1"/>
  <c r="F390" i="3"/>
  <c r="C390" i="3"/>
  <c r="AD389" i="3"/>
  <c r="AC389" i="3"/>
  <c r="AA389" i="3"/>
  <c r="X389" i="3"/>
  <c r="W389" i="3"/>
  <c r="U389" i="3"/>
  <c r="R389" i="3"/>
  <c r="O389" i="3"/>
  <c r="N389" i="3"/>
  <c r="L389" i="3"/>
  <c r="I389" i="3"/>
  <c r="H389" i="3"/>
  <c r="F389" i="3"/>
  <c r="C389" i="3"/>
  <c r="AC388" i="3"/>
  <c r="AD388" i="3" s="1"/>
  <c r="AA388" i="3"/>
  <c r="W388" i="3"/>
  <c r="X388" i="3" s="1"/>
  <c r="U388" i="3"/>
  <c r="R388" i="3"/>
  <c r="N388" i="3"/>
  <c r="O388" i="3" s="1"/>
  <c r="L388" i="3"/>
  <c r="I388" i="3"/>
  <c r="H388" i="3"/>
  <c r="F388" i="3"/>
  <c r="C388" i="3"/>
  <c r="AC386" i="3"/>
  <c r="AD386" i="3" s="1"/>
  <c r="AA386" i="3"/>
  <c r="X386" i="3"/>
  <c r="W386" i="3"/>
  <c r="U386" i="3"/>
  <c r="R386" i="3"/>
  <c r="O386" i="3"/>
  <c r="N386" i="3"/>
  <c r="L386" i="3"/>
  <c r="H386" i="3"/>
  <c r="I386" i="3" s="1"/>
  <c r="F386" i="3"/>
  <c r="C386" i="3"/>
  <c r="AD385" i="3"/>
  <c r="AC385" i="3"/>
  <c r="AA385" i="3"/>
  <c r="W385" i="3"/>
  <c r="X385" i="3" s="1"/>
  <c r="U385" i="3"/>
  <c r="R385" i="3"/>
  <c r="N385" i="3"/>
  <c r="O385" i="3" s="1"/>
  <c r="L385" i="3"/>
  <c r="H385" i="3"/>
  <c r="I385" i="3" s="1"/>
  <c r="F385" i="3"/>
  <c r="C385" i="3"/>
  <c r="AD383" i="3"/>
  <c r="AC383" i="3"/>
  <c r="AA383" i="3"/>
  <c r="X383" i="3"/>
  <c r="W383" i="3"/>
  <c r="U383" i="3"/>
  <c r="R383" i="3"/>
  <c r="N383" i="3"/>
  <c r="O383" i="3" s="1"/>
  <c r="L383" i="3"/>
  <c r="I383" i="3"/>
  <c r="H383" i="3"/>
  <c r="F383" i="3"/>
  <c r="C383" i="3"/>
  <c r="AC382" i="3"/>
  <c r="AD382" i="3" s="1"/>
  <c r="AA382" i="3"/>
  <c r="X382" i="3"/>
  <c r="W382" i="3"/>
  <c r="U382" i="3"/>
  <c r="R382" i="3"/>
  <c r="N382" i="3"/>
  <c r="O382" i="3" s="1"/>
  <c r="L382" i="3"/>
  <c r="I382" i="3"/>
  <c r="H382" i="3"/>
  <c r="F382" i="3"/>
  <c r="C382" i="3"/>
  <c r="AC381" i="3"/>
  <c r="AD381" i="3" s="1"/>
  <c r="AA381" i="3"/>
  <c r="W381" i="3"/>
  <c r="X381" i="3" s="1"/>
  <c r="U381" i="3"/>
  <c r="R381" i="3"/>
  <c r="O381" i="3"/>
  <c r="N381" i="3"/>
  <c r="L381" i="3"/>
  <c r="I381" i="3"/>
  <c r="H381" i="3"/>
  <c r="F381" i="3"/>
  <c r="C381" i="3"/>
  <c r="AD380" i="3"/>
  <c r="AC380" i="3"/>
  <c r="AA380" i="3"/>
  <c r="W380" i="3"/>
  <c r="X380" i="3" s="1"/>
  <c r="U380" i="3"/>
  <c r="R380" i="3"/>
  <c r="N380" i="3"/>
  <c r="O380" i="3" s="1"/>
  <c r="L380" i="3"/>
  <c r="H380" i="3"/>
  <c r="I380" i="3" s="1"/>
  <c r="F380" i="3"/>
  <c r="C380" i="3"/>
  <c r="AD379" i="3"/>
  <c r="AC379" i="3"/>
  <c r="AA379" i="3"/>
  <c r="X379" i="3"/>
  <c r="W379" i="3"/>
  <c r="U379" i="3"/>
  <c r="R379" i="3"/>
  <c r="O379" i="3"/>
  <c r="N379" i="3"/>
  <c r="L379" i="3"/>
  <c r="I379" i="3"/>
  <c r="H379" i="3"/>
  <c r="F379" i="3"/>
  <c r="C379" i="3"/>
  <c r="AC378" i="3"/>
  <c r="AD378" i="3" s="1"/>
  <c r="AA378" i="3"/>
  <c r="W378" i="3"/>
  <c r="X378" i="3" s="1"/>
  <c r="U378" i="3"/>
  <c r="R378" i="3"/>
  <c r="N378" i="3"/>
  <c r="O378" i="3" s="1"/>
  <c r="L378" i="3"/>
  <c r="I378" i="3"/>
  <c r="H378" i="3"/>
  <c r="F378" i="3"/>
  <c r="C378" i="3"/>
  <c r="AC377" i="3"/>
  <c r="AD377" i="3" s="1"/>
  <c r="AA377" i="3"/>
  <c r="X377" i="3"/>
  <c r="W377" i="3"/>
  <c r="U377" i="3"/>
  <c r="R377" i="3"/>
  <c r="O377" i="3"/>
  <c r="N377" i="3"/>
  <c r="L377" i="3"/>
  <c r="H377" i="3"/>
  <c r="I377" i="3" s="1"/>
  <c r="F377" i="3"/>
  <c r="C377" i="3"/>
  <c r="AD376" i="3"/>
  <c r="AC376" i="3"/>
  <c r="AA376" i="3"/>
  <c r="W376" i="3"/>
  <c r="X376" i="3" s="1"/>
  <c r="U376" i="3"/>
  <c r="R376" i="3"/>
  <c r="N376" i="3"/>
  <c r="O376" i="3" s="1"/>
  <c r="L376" i="3"/>
  <c r="H376" i="3"/>
  <c r="I376" i="3" s="1"/>
  <c r="F376" i="3"/>
  <c r="C376" i="3"/>
  <c r="AD375" i="3"/>
  <c r="AC375" i="3"/>
  <c r="AA375" i="3"/>
  <c r="X375" i="3"/>
  <c r="W375" i="3"/>
  <c r="U375" i="3"/>
  <c r="R375" i="3"/>
  <c r="N375" i="3"/>
  <c r="O375" i="3" s="1"/>
  <c r="L375" i="3"/>
  <c r="I375" i="3"/>
  <c r="H375" i="3"/>
  <c r="F375" i="3"/>
  <c r="C375" i="3"/>
  <c r="AC374" i="3"/>
  <c r="AD374" i="3" s="1"/>
  <c r="AA374" i="3"/>
  <c r="X374" i="3"/>
  <c r="W374" i="3"/>
  <c r="U374" i="3"/>
  <c r="R374" i="3"/>
  <c r="N374" i="3"/>
  <c r="O374" i="3" s="1"/>
  <c r="L374" i="3"/>
  <c r="H374" i="3"/>
  <c r="I374" i="3" s="1"/>
  <c r="F374" i="3"/>
  <c r="C374" i="3"/>
  <c r="AC373" i="3"/>
  <c r="AD373" i="3" s="1"/>
  <c r="AA373" i="3"/>
  <c r="W373" i="3"/>
  <c r="X373" i="3" s="1"/>
  <c r="U373" i="3"/>
  <c r="R373" i="3"/>
  <c r="O373" i="3"/>
  <c r="N373" i="3"/>
  <c r="L373" i="3"/>
  <c r="I373" i="3"/>
  <c r="H373" i="3"/>
  <c r="F373" i="3"/>
  <c r="C373" i="3"/>
  <c r="AD372" i="3"/>
  <c r="AC372" i="3"/>
  <c r="AA372" i="3"/>
  <c r="W372" i="3"/>
  <c r="X372" i="3" s="1"/>
  <c r="U372" i="3"/>
  <c r="R372" i="3"/>
  <c r="N372" i="3"/>
  <c r="O372" i="3" s="1"/>
  <c r="L372" i="3"/>
  <c r="H372" i="3"/>
  <c r="I372" i="3" s="1"/>
  <c r="F372" i="3"/>
  <c r="C372" i="3"/>
  <c r="AD371" i="3"/>
  <c r="AC371" i="3"/>
  <c r="AA371" i="3"/>
  <c r="X371" i="3"/>
  <c r="W371" i="3"/>
  <c r="U371" i="3"/>
  <c r="R371" i="3"/>
  <c r="O371" i="3"/>
  <c r="N371" i="3"/>
  <c r="L371" i="3"/>
  <c r="I371" i="3"/>
  <c r="H371" i="3"/>
  <c r="F371" i="3"/>
  <c r="C371" i="3"/>
  <c r="AC370" i="3"/>
  <c r="AD370" i="3" s="1"/>
  <c r="AA370" i="3"/>
  <c r="W370" i="3"/>
  <c r="X370" i="3" s="1"/>
  <c r="U370" i="3"/>
  <c r="R370" i="3"/>
  <c r="N370" i="3"/>
  <c r="O370" i="3" s="1"/>
  <c r="L370" i="3"/>
  <c r="H370" i="3"/>
  <c r="I370" i="3" s="1"/>
  <c r="F370" i="3"/>
  <c r="C370" i="3"/>
  <c r="AC369" i="3"/>
  <c r="AD369" i="3" s="1"/>
  <c r="AA369" i="3"/>
  <c r="X369" i="3"/>
  <c r="W369" i="3"/>
  <c r="U369" i="3"/>
  <c r="R369" i="3"/>
  <c r="O369" i="3"/>
  <c r="N369" i="3"/>
  <c r="L369" i="3"/>
  <c r="I369" i="3"/>
  <c r="H369" i="3"/>
  <c r="F369" i="3"/>
  <c r="C369" i="3"/>
  <c r="AD368" i="3"/>
  <c r="Z368" i="3"/>
  <c r="AA368" i="3" s="1"/>
  <c r="T368" i="3"/>
  <c r="W368" i="3" s="1"/>
  <c r="X368" i="3" s="1"/>
  <c r="R368" i="3"/>
  <c r="Q368" i="3"/>
  <c r="AC368" i="3" s="1"/>
  <c r="L368" i="3"/>
  <c r="K368" i="3"/>
  <c r="H368" i="3"/>
  <c r="I368" i="3" s="1"/>
  <c r="F368" i="3"/>
  <c r="E368" i="3"/>
  <c r="B368" i="3"/>
  <c r="C368" i="3" s="1"/>
  <c r="AD367" i="3"/>
  <c r="AC367" i="3"/>
  <c r="AA367" i="3"/>
  <c r="W367" i="3"/>
  <c r="X367" i="3" s="1"/>
  <c r="U367" i="3"/>
  <c r="R367" i="3"/>
  <c r="N367" i="3"/>
  <c r="O367" i="3" s="1"/>
  <c r="L367" i="3"/>
  <c r="I367" i="3"/>
  <c r="H367" i="3"/>
  <c r="F367" i="3"/>
  <c r="C367" i="3"/>
  <c r="AC366" i="3"/>
  <c r="AD366" i="3" s="1"/>
  <c r="AA366" i="3"/>
  <c r="W366" i="3"/>
  <c r="X366" i="3" s="1"/>
  <c r="U366" i="3"/>
  <c r="R366" i="3"/>
  <c r="O366" i="3"/>
  <c r="N366" i="3"/>
  <c r="L366" i="3"/>
  <c r="I366" i="3"/>
  <c r="H366" i="3"/>
  <c r="F366" i="3"/>
  <c r="C366" i="3"/>
  <c r="AD365" i="3"/>
  <c r="AC365" i="3"/>
  <c r="AA365" i="3"/>
  <c r="W365" i="3"/>
  <c r="X365" i="3" s="1"/>
  <c r="U365" i="3"/>
  <c r="R365" i="3"/>
  <c r="N365" i="3"/>
  <c r="O365" i="3" s="1"/>
  <c r="L365" i="3"/>
  <c r="H365" i="3"/>
  <c r="I365" i="3" s="1"/>
  <c r="F365" i="3"/>
  <c r="C365" i="3"/>
  <c r="AD364" i="3"/>
  <c r="AC364" i="3"/>
  <c r="AA364" i="3"/>
  <c r="X364" i="3"/>
  <c r="W364" i="3"/>
  <c r="U364" i="3"/>
  <c r="R364" i="3"/>
  <c r="N364" i="3"/>
  <c r="O364" i="3" s="1"/>
  <c r="L364" i="3"/>
  <c r="I364" i="3"/>
  <c r="H364" i="3"/>
  <c r="F364" i="3"/>
  <c r="C364" i="3"/>
  <c r="AC363" i="3"/>
  <c r="AD363" i="3" s="1"/>
  <c r="AA363" i="3"/>
  <c r="W363" i="3"/>
  <c r="X363" i="3" s="1"/>
  <c r="U363" i="3"/>
  <c r="R363" i="3"/>
  <c r="N363" i="3"/>
  <c r="O363" i="3" s="1"/>
  <c r="L363" i="3"/>
  <c r="H363" i="3"/>
  <c r="I363" i="3" s="1"/>
  <c r="F363" i="3"/>
  <c r="C363" i="3"/>
  <c r="AC362" i="3"/>
  <c r="AD362" i="3" s="1"/>
  <c r="AA362" i="3"/>
  <c r="W362" i="3"/>
  <c r="X362" i="3" s="1"/>
  <c r="U362" i="3"/>
  <c r="R362" i="3"/>
  <c r="O362" i="3"/>
  <c r="N362" i="3"/>
  <c r="L362" i="3"/>
  <c r="H362" i="3"/>
  <c r="I362" i="3" s="1"/>
  <c r="F362" i="3"/>
  <c r="C362" i="3"/>
  <c r="AD361" i="3"/>
  <c r="AC361" i="3"/>
  <c r="AA361" i="3"/>
  <c r="W361" i="3"/>
  <c r="X361" i="3" s="1"/>
  <c r="U361" i="3"/>
  <c r="R361" i="3"/>
  <c r="O361" i="3"/>
  <c r="N361" i="3"/>
  <c r="L361" i="3"/>
  <c r="H361" i="3"/>
  <c r="I361" i="3" s="1"/>
  <c r="F361" i="3"/>
  <c r="C361" i="3"/>
  <c r="AC360" i="3"/>
  <c r="AD360" i="3" s="1"/>
  <c r="AA360" i="3"/>
  <c r="X360" i="3"/>
  <c r="W360" i="3"/>
  <c r="U360" i="3"/>
  <c r="R360" i="3"/>
  <c r="O360" i="3"/>
  <c r="N360" i="3"/>
  <c r="L360" i="3"/>
  <c r="I360" i="3"/>
  <c r="H360" i="3"/>
  <c r="F360" i="3"/>
  <c r="C360" i="3"/>
  <c r="AC358" i="3"/>
  <c r="AD358" i="3" s="1"/>
  <c r="Z358" i="3"/>
  <c r="AA358" i="3" s="1"/>
  <c r="X358" i="3"/>
  <c r="T358" i="3"/>
  <c r="U358" i="3" s="1"/>
  <c r="R358" i="3"/>
  <c r="Q358" i="3"/>
  <c r="W358" i="3" s="1"/>
  <c r="N358" i="3"/>
  <c r="O358" i="3" s="1"/>
  <c r="L358" i="3"/>
  <c r="K358" i="3"/>
  <c r="E358" i="3"/>
  <c r="F358" i="3" s="1"/>
  <c r="C358" i="3"/>
  <c r="B358" i="3"/>
  <c r="AD357" i="3"/>
  <c r="AC357" i="3"/>
  <c r="AA357" i="3"/>
  <c r="W357" i="3"/>
  <c r="X357" i="3" s="1"/>
  <c r="U357" i="3"/>
  <c r="R357" i="3"/>
  <c r="O357" i="3"/>
  <c r="N357" i="3"/>
  <c r="L357" i="3"/>
  <c r="H357" i="3"/>
  <c r="I357" i="3" s="1"/>
  <c r="F357" i="3"/>
  <c r="C357" i="3"/>
  <c r="AC356" i="3"/>
  <c r="AD356" i="3" s="1"/>
  <c r="AA356" i="3"/>
  <c r="X356" i="3"/>
  <c r="W356" i="3"/>
  <c r="U356" i="3"/>
  <c r="R356" i="3"/>
  <c r="N356" i="3"/>
  <c r="O356" i="3" s="1"/>
  <c r="L356" i="3"/>
  <c r="I356" i="3"/>
  <c r="H356" i="3"/>
  <c r="F356" i="3"/>
  <c r="C356" i="3"/>
  <c r="AC355" i="3"/>
  <c r="AD355" i="3" s="1"/>
  <c r="AA355" i="3"/>
  <c r="X355" i="3"/>
  <c r="W355" i="3"/>
  <c r="U355" i="3"/>
  <c r="R355" i="3"/>
  <c r="N355" i="3"/>
  <c r="O355" i="3" s="1"/>
  <c r="L355" i="3"/>
  <c r="H355" i="3"/>
  <c r="I355" i="3" s="1"/>
  <c r="F355" i="3"/>
  <c r="C355" i="3"/>
  <c r="AC354" i="3"/>
  <c r="AD354" i="3" s="1"/>
  <c r="AA354" i="3"/>
  <c r="X354" i="3"/>
  <c r="W354" i="3"/>
  <c r="U354" i="3"/>
  <c r="R354" i="3"/>
  <c r="O354" i="3"/>
  <c r="N354" i="3"/>
  <c r="L354" i="3"/>
  <c r="H354" i="3"/>
  <c r="I354" i="3" s="1"/>
  <c r="F354" i="3"/>
  <c r="C354" i="3"/>
  <c r="AD353" i="3"/>
  <c r="AC353" i="3"/>
  <c r="AA353" i="3"/>
  <c r="W353" i="3"/>
  <c r="X353" i="3" s="1"/>
  <c r="U353" i="3"/>
  <c r="R353" i="3"/>
  <c r="N353" i="3"/>
  <c r="O353" i="3" s="1"/>
  <c r="L353" i="3"/>
  <c r="H353" i="3"/>
  <c r="I353" i="3" s="1"/>
  <c r="F353" i="3"/>
  <c r="C353" i="3"/>
  <c r="AC352" i="3"/>
  <c r="AD352" i="3" s="1"/>
  <c r="AA352" i="3"/>
  <c r="X352" i="3"/>
  <c r="W352" i="3"/>
  <c r="U352" i="3"/>
  <c r="R352" i="3"/>
  <c r="N352" i="3"/>
  <c r="O352" i="3" s="1"/>
  <c r="L352" i="3"/>
  <c r="I352" i="3"/>
  <c r="H352" i="3"/>
  <c r="F352" i="3"/>
  <c r="C352" i="3"/>
  <c r="AD351" i="3"/>
  <c r="AC351" i="3"/>
  <c r="AA351" i="3"/>
  <c r="X351" i="3"/>
  <c r="W351" i="3"/>
  <c r="U351" i="3"/>
  <c r="R351" i="3"/>
  <c r="N351" i="3"/>
  <c r="O351" i="3" s="1"/>
  <c r="L351" i="3"/>
  <c r="H351" i="3"/>
  <c r="I351" i="3" s="1"/>
  <c r="F351" i="3"/>
  <c r="C351" i="3"/>
  <c r="AC350" i="3"/>
  <c r="AD350" i="3" s="1"/>
  <c r="AA350" i="3"/>
  <c r="X350" i="3"/>
  <c r="W350" i="3"/>
  <c r="U350" i="3"/>
  <c r="R350" i="3"/>
  <c r="O350" i="3"/>
  <c r="N350" i="3"/>
  <c r="L350" i="3"/>
  <c r="I350" i="3"/>
  <c r="H350" i="3"/>
  <c r="F350" i="3"/>
  <c r="C350" i="3"/>
  <c r="AD349" i="3"/>
  <c r="AC349" i="3"/>
  <c r="AA349" i="3"/>
  <c r="W349" i="3"/>
  <c r="X349" i="3" s="1"/>
  <c r="U349" i="3"/>
  <c r="R349" i="3"/>
  <c r="O349" i="3"/>
  <c r="N349" i="3"/>
  <c r="L349" i="3"/>
  <c r="H349" i="3"/>
  <c r="I349" i="3" s="1"/>
  <c r="F349" i="3"/>
  <c r="C349" i="3"/>
  <c r="AD347" i="3"/>
  <c r="AC347" i="3"/>
  <c r="AA347" i="3"/>
  <c r="X347" i="3"/>
  <c r="W347" i="3"/>
  <c r="U347" i="3"/>
  <c r="R347" i="3"/>
  <c r="N347" i="3"/>
  <c r="O347" i="3" s="1"/>
  <c r="L347" i="3"/>
  <c r="I347" i="3"/>
  <c r="H347" i="3"/>
  <c r="F347" i="3"/>
  <c r="C347" i="3"/>
  <c r="AD344" i="3"/>
  <c r="Z344" i="3"/>
  <c r="AA344" i="3" s="1"/>
  <c r="T344" i="3"/>
  <c r="W344" i="3" s="1"/>
  <c r="X344" i="3" s="1"/>
  <c r="R344" i="3"/>
  <c r="Q344" i="3"/>
  <c r="AC344" i="3" s="1"/>
  <c r="K344" i="3"/>
  <c r="L344" i="3" s="1"/>
  <c r="H344" i="3"/>
  <c r="I344" i="3" s="1"/>
  <c r="F344" i="3"/>
  <c r="E344" i="3"/>
  <c r="B344" i="3"/>
  <c r="C344" i="3" s="1"/>
  <c r="AA343" i="3"/>
  <c r="Z343" i="3"/>
  <c r="T343" i="3"/>
  <c r="U343" i="3" s="1"/>
  <c r="R343" i="3"/>
  <c r="Q343" i="3"/>
  <c r="W343" i="3" s="1"/>
  <c r="X343" i="3" s="1"/>
  <c r="N343" i="3"/>
  <c r="O343" i="3" s="1"/>
  <c r="L343" i="3"/>
  <c r="K343" i="3"/>
  <c r="E343" i="3"/>
  <c r="F343" i="3" s="1"/>
  <c r="B343" i="3"/>
  <c r="H343" i="3" s="1"/>
  <c r="I343" i="3" s="1"/>
  <c r="Z342" i="3"/>
  <c r="AA342" i="3" s="1"/>
  <c r="T342" i="3"/>
  <c r="R342" i="3"/>
  <c r="Q342" i="3"/>
  <c r="AC342" i="3" s="1"/>
  <c r="AD342" i="3" s="1"/>
  <c r="K342" i="3"/>
  <c r="L342" i="3" s="1"/>
  <c r="I342" i="3"/>
  <c r="H342" i="3"/>
  <c r="F342" i="3"/>
  <c r="E342" i="3"/>
  <c r="B342" i="3"/>
  <c r="C342" i="3" s="1"/>
  <c r="AD341" i="3"/>
  <c r="AC341" i="3"/>
  <c r="AA341" i="3"/>
  <c r="X341" i="3"/>
  <c r="W341" i="3"/>
  <c r="U341" i="3"/>
  <c r="R341" i="3"/>
  <c r="N341" i="3"/>
  <c r="O341" i="3" s="1"/>
  <c r="L341" i="3"/>
  <c r="H341" i="3"/>
  <c r="I341" i="3" s="1"/>
  <c r="F341" i="3"/>
  <c r="C341" i="3"/>
  <c r="AC340" i="3"/>
  <c r="AD340" i="3" s="1"/>
  <c r="AA340" i="3"/>
  <c r="W340" i="3"/>
  <c r="X340" i="3" s="1"/>
  <c r="U340" i="3"/>
  <c r="R340" i="3"/>
  <c r="O340" i="3"/>
  <c r="N340" i="3"/>
  <c r="L340" i="3"/>
  <c r="I340" i="3"/>
  <c r="H340" i="3"/>
  <c r="F340" i="3"/>
  <c r="C340" i="3"/>
  <c r="AD339" i="3"/>
  <c r="AC339" i="3"/>
  <c r="AA339" i="3"/>
  <c r="W339" i="3"/>
  <c r="X339" i="3" s="1"/>
  <c r="U339" i="3"/>
  <c r="R339" i="3"/>
  <c r="O339" i="3"/>
  <c r="N339" i="3"/>
  <c r="L339" i="3"/>
  <c r="H339" i="3"/>
  <c r="I339" i="3" s="1"/>
  <c r="F339" i="3"/>
  <c r="C339" i="3"/>
  <c r="AD338" i="3"/>
  <c r="AC338" i="3"/>
  <c r="AA338" i="3"/>
  <c r="X338" i="3"/>
  <c r="W338" i="3"/>
  <c r="U338" i="3"/>
  <c r="R338" i="3"/>
  <c r="N338" i="3"/>
  <c r="O338" i="3" s="1"/>
  <c r="L338" i="3"/>
  <c r="I338" i="3"/>
  <c r="H338" i="3"/>
  <c r="F338" i="3"/>
  <c r="C338" i="3"/>
  <c r="AC337" i="3"/>
  <c r="AD337" i="3" s="1"/>
  <c r="AA337" i="3"/>
  <c r="X337" i="3"/>
  <c r="W337" i="3"/>
  <c r="U337" i="3"/>
  <c r="R337" i="3"/>
  <c r="N337" i="3"/>
  <c r="O337" i="3" s="1"/>
  <c r="L337" i="3"/>
  <c r="H337" i="3"/>
  <c r="I337" i="3" s="1"/>
  <c r="F337" i="3"/>
  <c r="C337" i="3"/>
  <c r="AC335" i="3"/>
  <c r="AD335" i="3" s="1"/>
  <c r="AA335" i="3"/>
  <c r="X335" i="3"/>
  <c r="W335" i="3"/>
  <c r="U335" i="3"/>
  <c r="R335" i="3"/>
  <c r="O335" i="3"/>
  <c r="N335" i="3"/>
  <c r="L335" i="3"/>
  <c r="H335" i="3"/>
  <c r="I335" i="3" s="1"/>
  <c r="F335" i="3"/>
  <c r="C335" i="3"/>
  <c r="AD334" i="3"/>
  <c r="AC334" i="3"/>
  <c r="AA334" i="3"/>
  <c r="W334" i="3"/>
  <c r="X334" i="3" s="1"/>
  <c r="U334" i="3"/>
  <c r="R334" i="3"/>
  <c r="N334" i="3"/>
  <c r="O334" i="3" s="1"/>
  <c r="L334" i="3"/>
  <c r="H334" i="3"/>
  <c r="I334" i="3" s="1"/>
  <c r="F334" i="3"/>
  <c r="C334" i="3"/>
  <c r="AD333" i="3"/>
  <c r="AC333" i="3"/>
  <c r="AA333" i="3"/>
  <c r="X333" i="3"/>
  <c r="W333" i="3"/>
  <c r="U333" i="3"/>
  <c r="R333" i="3"/>
  <c r="N333" i="3"/>
  <c r="O333" i="3" s="1"/>
  <c r="L333" i="3"/>
  <c r="I333" i="3"/>
  <c r="H333" i="3"/>
  <c r="F333" i="3"/>
  <c r="C333" i="3"/>
  <c r="AD332" i="3"/>
  <c r="AC332" i="3"/>
  <c r="AA332" i="3"/>
  <c r="X332" i="3"/>
  <c r="W332" i="3"/>
  <c r="U332" i="3"/>
  <c r="R332" i="3"/>
  <c r="N332" i="3"/>
  <c r="O332" i="3" s="1"/>
  <c r="L332" i="3"/>
  <c r="H332" i="3"/>
  <c r="I332" i="3" s="1"/>
  <c r="F332" i="3"/>
  <c r="C332" i="3"/>
  <c r="AC331" i="3"/>
  <c r="AD331" i="3" s="1"/>
  <c r="AA331" i="3"/>
  <c r="X331" i="3"/>
  <c r="W331" i="3"/>
  <c r="U331" i="3"/>
  <c r="R331" i="3"/>
  <c r="O331" i="3"/>
  <c r="N331" i="3"/>
  <c r="L331" i="3"/>
  <c r="H331" i="3"/>
  <c r="I331" i="3" s="1"/>
  <c r="F331" i="3"/>
  <c r="C331" i="3"/>
  <c r="AD330" i="3"/>
  <c r="AC330" i="3"/>
  <c r="AA330" i="3"/>
  <c r="W330" i="3"/>
  <c r="X330" i="3" s="1"/>
  <c r="U330" i="3"/>
  <c r="R330" i="3"/>
  <c r="O330" i="3"/>
  <c r="N330" i="3"/>
  <c r="L330" i="3"/>
  <c r="H330" i="3"/>
  <c r="I330" i="3" s="1"/>
  <c r="F330" i="3"/>
  <c r="C330" i="3"/>
  <c r="AC329" i="3"/>
  <c r="AD329" i="3" s="1"/>
  <c r="AA329" i="3"/>
  <c r="X329" i="3"/>
  <c r="W329" i="3"/>
  <c r="U329" i="3"/>
  <c r="R329" i="3"/>
  <c r="N329" i="3"/>
  <c r="O329" i="3" s="1"/>
  <c r="L329" i="3"/>
  <c r="I329" i="3"/>
  <c r="H329" i="3"/>
  <c r="F329" i="3"/>
  <c r="C329" i="3"/>
  <c r="AC328" i="3"/>
  <c r="AD328" i="3" s="1"/>
  <c r="AA328" i="3"/>
  <c r="W328" i="3"/>
  <c r="X328" i="3" s="1"/>
  <c r="U328" i="3"/>
  <c r="R328" i="3"/>
  <c r="N328" i="3"/>
  <c r="O328" i="3" s="1"/>
  <c r="L328" i="3"/>
  <c r="H328" i="3"/>
  <c r="I328" i="3" s="1"/>
  <c r="F328" i="3"/>
  <c r="C328" i="3"/>
  <c r="Z325" i="3"/>
  <c r="AA325" i="3" s="1"/>
  <c r="X325" i="3"/>
  <c r="W325" i="3"/>
  <c r="U325" i="3"/>
  <c r="T325" i="3"/>
  <c r="Q325" i="3"/>
  <c r="R325" i="3" s="1"/>
  <c r="K325" i="3"/>
  <c r="L325" i="3" s="1"/>
  <c r="E325" i="3"/>
  <c r="F325" i="3" s="1"/>
  <c r="C325" i="3"/>
  <c r="B325" i="3"/>
  <c r="AA324" i="3"/>
  <c r="Z324" i="3"/>
  <c r="T324" i="3"/>
  <c r="U324" i="3" s="1"/>
  <c r="Q324" i="3"/>
  <c r="K324" i="3"/>
  <c r="L324" i="3" s="1"/>
  <c r="H324" i="3"/>
  <c r="I324" i="3" s="1"/>
  <c r="E324" i="3"/>
  <c r="F324" i="3" s="1"/>
  <c r="C324" i="3"/>
  <c r="B324" i="3"/>
  <c r="N324" i="3" s="1"/>
  <c r="O324" i="3" s="1"/>
  <c r="AC323" i="3"/>
  <c r="AD323" i="3" s="1"/>
  <c r="AA323" i="3"/>
  <c r="W323" i="3"/>
  <c r="X323" i="3" s="1"/>
  <c r="U323" i="3"/>
  <c r="R323" i="3"/>
  <c r="O323" i="3"/>
  <c r="N323" i="3"/>
  <c r="L323" i="3"/>
  <c r="H323" i="3"/>
  <c r="I323" i="3" s="1"/>
  <c r="F323" i="3"/>
  <c r="C323" i="3"/>
  <c r="AD322" i="3"/>
  <c r="AC322" i="3"/>
  <c r="AA322" i="3"/>
  <c r="W322" i="3"/>
  <c r="X322" i="3" s="1"/>
  <c r="U322" i="3"/>
  <c r="R322" i="3"/>
  <c r="O322" i="3"/>
  <c r="N322" i="3"/>
  <c r="L322" i="3"/>
  <c r="H322" i="3"/>
  <c r="I322" i="3" s="1"/>
  <c r="F322" i="3"/>
  <c r="C322" i="3"/>
  <c r="AC321" i="3"/>
  <c r="AD321" i="3" s="1"/>
  <c r="AA321" i="3"/>
  <c r="X321" i="3"/>
  <c r="W321" i="3"/>
  <c r="U321" i="3"/>
  <c r="R321" i="3"/>
  <c r="O321" i="3"/>
  <c r="N321" i="3"/>
  <c r="L321" i="3"/>
  <c r="I321" i="3"/>
  <c r="H321" i="3"/>
  <c r="F321" i="3"/>
  <c r="C321" i="3"/>
  <c r="AD320" i="3"/>
  <c r="AC320" i="3"/>
  <c r="AA320" i="3"/>
  <c r="X320" i="3"/>
  <c r="W320" i="3"/>
  <c r="U320" i="3"/>
  <c r="R320" i="3"/>
  <c r="N320" i="3"/>
  <c r="O320" i="3" s="1"/>
  <c r="L320" i="3"/>
  <c r="I320" i="3"/>
  <c r="H320" i="3"/>
  <c r="F320" i="3"/>
  <c r="C320" i="3"/>
  <c r="AC319" i="3"/>
  <c r="AD319" i="3" s="1"/>
  <c r="AA319" i="3"/>
  <c r="X319" i="3"/>
  <c r="W319" i="3"/>
  <c r="U319" i="3"/>
  <c r="R319" i="3"/>
  <c r="O319" i="3"/>
  <c r="N319" i="3"/>
  <c r="L319" i="3"/>
  <c r="H319" i="3"/>
  <c r="I319" i="3" s="1"/>
  <c r="F319" i="3"/>
  <c r="C319" i="3"/>
  <c r="AD318" i="3"/>
  <c r="AC318" i="3"/>
  <c r="AA318" i="3"/>
  <c r="W318" i="3"/>
  <c r="X318" i="3" s="1"/>
  <c r="U318" i="3"/>
  <c r="R318" i="3"/>
  <c r="O318" i="3"/>
  <c r="N318" i="3"/>
  <c r="L318" i="3"/>
  <c r="H318" i="3"/>
  <c r="I318" i="3" s="1"/>
  <c r="F318" i="3"/>
  <c r="C318" i="3"/>
  <c r="AC317" i="3"/>
  <c r="AD317" i="3" s="1"/>
  <c r="AA317" i="3"/>
  <c r="X317" i="3"/>
  <c r="W317" i="3"/>
  <c r="U317" i="3"/>
  <c r="R317" i="3"/>
  <c r="N317" i="3"/>
  <c r="O317" i="3" s="1"/>
  <c r="L317" i="3"/>
  <c r="I317" i="3"/>
  <c r="H317" i="3"/>
  <c r="F317" i="3"/>
  <c r="C317" i="3"/>
  <c r="AD316" i="3"/>
  <c r="AC316" i="3"/>
  <c r="AA316" i="3"/>
  <c r="X316" i="3"/>
  <c r="W316" i="3"/>
  <c r="U316" i="3"/>
  <c r="R316" i="3"/>
  <c r="N316" i="3"/>
  <c r="O316" i="3" s="1"/>
  <c r="L316" i="3"/>
  <c r="H316" i="3"/>
  <c r="I316" i="3" s="1"/>
  <c r="F316" i="3"/>
  <c r="C316" i="3"/>
  <c r="AC315" i="3"/>
  <c r="AD315" i="3" s="1"/>
  <c r="AA315" i="3"/>
  <c r="W315" i="3"/>
  <c r="X315" i="3" s="1"/>
  <c r="U315" i="3"/>
  <c r="R315" i="3"/>
  <c r="O315" i="3"/>
  <c r="N315" i="3"/>
  <c r="L315" i="3"/>
  <c r="H315" i="3"/>
  <c r="I315" i="3" s="1"/>
  <c r="F315" i="3"/>
  <c r="C315" i="3"/>
  <c r="AD314" i="3"/>
  <c r="AC314" i="3"/>
  <c r="AA314" i="3"/>
  <c r="W314" i="3"/>
  <c r="X314" i="3" s="1"/>
  <c r="U314" i="3"/>
  <c r="R314" i="3"/>
  <c r="O314" i="3"/>
  <c r="N314" i="3"/>
  <c r="L314" i="3"/>
  <c r="H314" i="3"/>
  <c r="I314" i="3" s="1"/>
  <c r="F314" i="3"/>
  <c r="C314" i="3"/>
  <c r="AC313" i="3"/>
  <c r="AD313" i="3" s="1"/>
  <c r="AA313" i="3"/>
  <c r="X313" i="3"/>
  <c r="W313" i="3"/>
  <c r="U313" i="3"/>
  <c r="R313" i="3"/>
  <c r="O313" i="3"/>
  <c r="N313" i="3"/>
  <c r="L313" i="3"/>
  <c r="I313" i="3"/>
  <c r="H313" i="3"/>
  <c r="F313" i="3"/>
  <c r="C313" i="3"/>
  <c r="AC312" i="3"/>
  <c r="AD312" i="3" s="1"/>
  <c r="AA312" i="3"/>
  <c r="W312" i="3"/>
  <c r="X312" i="3" s="1"/>
  <c r="U312" i="3"/>
  <c r="R312" i="3"/>
  <c r="N312" i="3"/>
  <c r="O312" i="3" s="1"/>
  <c r="L312" i="3"/>
  <c r="I312" i="3"/>
  <c r="H312" i="3"/>
  <c r="F312" i="3"/>
  <c r="C312" i="3"/>
  <c r="AC311" i="3"/>
  <c r="AD311" i="3" s="1"/>
  <c r="AA311" i="3"/>
  <c r="W311" i="3"/>
  <c r="X311" i="3" s="1"/>
  <c r="U311" i="3"/>
  <c r="R311" i="3"/>
  <c r="O311" i="3"/>
  <c r="N311" i="3"/>
  <c r="L311" i="3"/>
  <c r="H311" i="3"/>
  <c r="I311" i="3" s="1"/>
  <c r="F311" i="3"/>
  <c r="C311" i="3"/>
  <c r="AD310" i="3"/>
  <c r="AC310" i="3"/>
  <c r="AA310" i="3"/>
  <c r="W310" i="3"/>
  <c r="X310" i="3" s="1"/>
  <c r="U310" i="3"/>
  <c r="R310" i="3"/>
  <c r="N310" i="3"/>
  <c r="O310" i="3" s="1"/>
  <c r="L310" i="3"/>
  <c r="H310" i="3"/>
  <c r="I310" i="3" s="1"/>
  <c r="F310" i="3"/>
  <c r="C310" i="3"/>
  <c r="AC309" i="3"/>
  <c r="AD309" i="3" s="1"/>
  <c r="AA309" i="3"/>
  <c r="X309" i="3"/>
  <c r="W309" i="3"/>
  <c r="U309" i="3"/>
  <c r="R309" i="3"/>
  <c r="N309" i="3"/>
  <c r="O309" i="3" s="1"/>
  <c r="L309" i="3"/>
  <c r="I309" i="3"/>
  <c r="H309" i="3"/>
  <c r="F309" i="3"/>
  <c r="C309" i="3"/>
  <c r="AD308" i="3"/>
  <c r="AC308" i="3"/>
  <c r="AA308" i="3"/>
  <c r="W308" i="3"/>
  <c r="X308" i="3" s="1"/>
  <c r="U308" i="3"/>
  <c r="R308" i="3"/>
  <c r="N308" i="3"/>
  <c r="O308" i="3" s="1"/>
  <c r="L308" i="3"/>
  <c r="H308" i="3"/>
  <c r="I308" i="3" s="1"/>
  <c r="F308" i="3"/>
  <c r="C308" i="3"/>
  <c r="AC307" i="3"/>
  <c r="AD307" i="3" s="1"/>
  <c r="AA307" i="3"/>
  <c r="W307" i="3"/>
  <c r="X307" i="3" s="1"/>
  <c r="U307" i="3"/>
  <c r="R307" i="3"/>
  <c r="O307" i="3"/>
  <c r="N307" i="3"/>
  <c r="L307" i="3"/>
  <c r="H307" i="3"/>
  <c r="I307" i="3" s="1"/>
  <c r="F307" i="3"/>
  <c r="C307" i="3"/>
  <c r="AD306" i="3"/>
  <c r="AC306" i="3"/>
  <c r="AA306" i="3"/>
  <c r="W306" i="3"/>
  <c r="X306" i="3" s="1"/>
  <c r="U306" i="3"/>
  <c r="R306" i="3"/>
  <c r="O306" i="3"/>
  <c r="N306" i="3"/>
  <c r="L306" i="3"/>
  <c r="H306" i="3"/>
  <c r="I306" i="3" s="1"/>
  <c r="F306" i="3"/>
  <c r="C306" i="3"/>
  <c r="AC305" i="3"/>
  <c r="AD305" i="3" s="1"/>
  <c r="AA305" i="3"/>
  <c r="X305" i="3"/>
  <c r="W305" i="3"/>
  <c r="U305" i="3"/>
  <c r="R305" i="3"/>
  <c r="O305" i="3"/>
  <c r="N305" i="3"/>
  <c r="L305" i="3"/>
  <c r="I305" i="3"/>
  <c r="H305" i="3"/>
  <c r="F305" i="3"/>
  <c r="C305" i="3"/>
  <c r="AD304" i="3"/>
  <c r="AC304" i="3"/>
  <c r="AA304" i="3"/>
  <c r="W304" i="3"/>
  <c r="X304" i="3" s="1"/>
  <c r="U304" i="3"/>
  <c r="R304" i="3"/>
  <c r="N304" i="3"/>
  <c r="O304" i="3" s="1"/>
  <c r="L304" i="3"/>
  <c r="I304" i="3"/>
  <c r="H304" i="3"/>
  <c r="F304" i="3"/>
  <c r="C304" i="3"/>
  <c r="AC303" i="3"/>
  <c r="AD303" i="3" s="1"/>
  <c r="AA303" i="3"/>
  <c r="X303" i="3"/>
  <c r="W303" i="3"/>
  <c r="U303" i="3"/>
  <c r="R303" i="3"/>
  <c r="O303" i="3"/>
  <c r="N303" i="3"/>
  <c r="L303" i="3"/>
  <c r="H303" i="3"/>
  <c r="I303" i="3" s="1"/>
  <c r="F303" i="3"/>
  <c r="C303" i="3"/>
  <c r="AD302" i="3"/>
  <c r="AC302" i="3"/>
  <c r="AA302" i="3"/>
  <c r="W302" i="3"/>
  <c r="X302" i="3" s="1"/>
  <c r="U302" i="3"/>
  <c r="R302" i="3"/>
  <c r="O302" i="3"/>
  <c r="N302" i="3"/>
  <c r="L302" i="3"/>
  <c r="H302" i="3"/>
  <c r="I302" i="3" s="1"/>
  <c r="F302" i="3"/>
  <c r="C302" i="3"/>
  <c r="AC301" i="3"/>
  <c r="AD301" i="3" s="1"/>
  <c r="AA301" i="3"/>
  <c r="X301" i="3"/>
  <c r="W301" i="3"/>
  <c r="U301" i="3"/>
  <c r="R301" i="3"/>
  <c r="N301" i="3"/>
  <c r="O301" i="3" s="1"/>
  <c r="L301" i="3"/>
  <c r="I301" i="3"/>
  <c r="H301" i="3"/>
  <c r="F301" i="3"/>
  <c r="C301" i="3"/>
  <c r="AD300" i="3"/>
  <c r="AC300" i="3"/>
  <c r="AA300" i="3"/>
  <c r="X300" i="3"/>
  <c r="W300" i="3"/>
  <c r="U300" i="3"/>
  <c r="R300" i="3"/>
  <c r="N300" i="3"/>
  <c r="O300" i="3" s="1"/>
  <c r="L300" i="3"/>
  <c r="H300" i="3"/>
  <c r="I300" i="3" s="1"/>
  <c r="F300" i="3"/>
  <c r="C300" i="3"/>
  <c r="AC299" i="3"/>
  <c r="AD299" i="3" s="1"/>
  <c r="AA299" i="3"/>
  <c r="X299" i="3"/>
  <c r="W299" i="3"/>
  <c r="U299" i="3"/>
  <c r="R299" i="3"/>
  <c r="O299" i="3"/>
  <c r="N299" i="3"/>
  <c r="L299" i="3"/>
  <c r="H299" i="3"/>
  <c r="I299" i="3" s="1"/>
  <c r="F299" i="3"/>
  <c r="C299" i="3"/>
  <c r="AD298" i="3"/>
  <c r="AC298" i="3"/>
  <c r="AA298" i="3"/>
  <c r="W298" i="3"/>
  <c r="X298" i="3" s="1"/>
  <c r="U298" i="3"/>
  <c r="R298" i="3"/>
  <c r="O298" i="3"/>
  <c r="N298" i="3"/>
  <c r="L298" i="3"/>
  <c r="H298" i="3"/>
  <c r="I298" i="3" s="1"/>
  <c r="F298" i="3"/>
  <c r="C298" i="3"/>
  <c r="AC297" i="3"/>
  <c r="AD297" i="3" s="1"/>
  <c r="AA297" i="3"/>
  <c r="X297" i="3"/>
  <c r="W297" i="3"/>
  <c r="U297" i="3"/>
  <c r="R297" i="3"/>
  <c r="O297" i="3"/>
  <c r="N297" i="3"/>
  <c r="L297" i="3"/>
  <c r="I297" i="3"/>
  <c r="H297" i="3"/>
  <c r="F297" i="3"/>
  <c r="C297" i="3"/>
  <c r="Z295" i="3"/>
  <c r="AA295" i="3" s="1"/>
  <c r="T295" i="3"/>
  <c r="U295" i="3" s="1"/>
  <c r="Q295" i="3"/>
  <c r="L295" i="3"/>
  <c r="K295" i="3"/>
  <c r="F295" i="3"/>
  <c r="E295" i="3"/>
  <c r="B295" i="3"/>
  <c r="AD294" i="3"/>
  <c r="AC294" i="3"/>
  <c r="AA294" i="3"/>
  <c r="W294" i="3"/>
  <c r="X294" i="3" s="1"/>
  <c r="U294" i="3"/>
  <c r="R294" i="3"/>
  <c r="N294" i="3"/>
  <c r="O294" i="3" s="1"/>
  <c r="L294" i="3"/>
  <c r="H294" i="3"/>
  <c r="I294" i="3" s="1"/>
  <c r="F294" i="3"/>
  <c r="C294" i="3"/>
  <c r="AD293" i="3"/>
  <c r="AC293" i="3"/>
  <c r="AA293" i="3"/>
  <c r="X293" i="3"/>
  <c r="W293" i="3"/>
  <c r="U293" i="3"/>
  <c r="R293" i="3"/>
  <c r="N293" i="3"/>
  <c r="O293" i="3" s="1"/>
  <c r="L293" i="3"/>
  <c r="I293" i="3"/>
  <c r="H293" i="3"/>
  <c r="F293" i="3"/>
  <c r="C293" i="3"/>
  <c r="AC292" i="3"/>
  <c r="AD292" i="3" s="1"/>
  <c r="AA292" i="3"/>
  <c r="W292" i="3"/>
  <c r="X292" i="3" s="1"/>
  <c r="U292" i="3"/>
  <c r="R292" i="3"/>
  <c r="N292" i="3"/>
  <c r="O292" i="3" s="1"/>
  <c r="L292" i="3"/>
  <c r="I292" i="3"/>
  <c r="H292" i="3"/>
  <c r="F292" i="3"/>
  <c r="C292" i="3"/>
  <c r="AC291" i="3"/>
  <c r="AD291" i="3" s="1"/>
  <c r="AA291" i="3"/>
  <c r="X291" i="3"/>
  <c r="W291" i="3"/>
  <c r="U291" i="3"/>
  <c r="R291" i="3"/>
  <c r="O291" i="3"/>
  <c r="N291" i="3"/>
  <c r="L291" i="3"/>
  <c r="I291" i="3"/>
  <c r="H291" i="3"/>
  <c r="F291" i="3"/>
  <c r="C291" i="3"/>
  <c r="AD290" i="3"/>
  <c r="AC290" i="3"/>
  <c r="AA290" i="3"/>
  <c r="W290" i="3"/>
  <c r="X290" i="3" s="1"/>
  <c r="U290" i="3"/>
  <c r="R290" i="3"/>
  <c r="N290" i="3"/>
  <c r="O290" i="3" s="1"/>
  <c r="L290" i="3"/>
  <c r="H290" i="3"/>
  <c r="I290" i="3" s="1"/>
  <c r="F290" i="3"/>
  <c r="C290" i="3"/>
  <c r="AC289" i="3"/>
  <c r="AD289" i="3" s="1"/>
  <c r="AA289" i="3"/>
  <c r="X289" i="3"/>
  <c r="W289" i="3"/>
  <c r="U289" i="3"/>
  <c r="R289" i="3"/>
  <c r="O289" i="3"/>
  <c r="N289" i="3"/>
  <c r="L289" i="3"/>
  <c r="I289" i="3"/>
  <c r="H289" i="3"/>
  <c r="F289" i="3"/>
  <c r="C289" i="3"/>
  <c r="AC288" i="3"/>
  <c r="AD288" i="3" s="1"/>
  <c r="AA288" i="3"/>
  <c r="X288" i="3"/>
  <c r="W288" i="3"/>
  <c r="U288" i="3"/>
  <c r="R288" i="3"/>
  <c r="N288" i="3"/>
  <c r="O288" i="3" s="1"/>
  <c r="L288" i="3"/>
  <c r="H288" i="3"/>
  <c r="I288" i="3" s="1"/>
  <c r="F288" i="3"/>
  <c r="C288" i="3"/>
  <c r="AC287" i="3"/>
  <c r="AD287" i="3" s="1"/>
  <c r="AA287" i="3"/>
  <c r="W287" i="3"/>
  <c r="X287" i="3" s="1"/>
  <c r="U287" i="3"/>
  <c r="R287" i="3"/>
  <c r="O287" i="3"/>
  <c r="N287" i="3"/>
  <c r="L287" i="3"/>
  <c r="I287" i="3"/>
  <c r="H287" i="3"/>
  <c r="F287" i="3"/>
  <c r="C287" i="3"/>
  <c r="AD286" i="3"/>
  <c r="AC286" i="3"/>
  <c r="AA286" i="3"/>
  <c r="W286" i="3"/>
  <c r="X286" i="3" s="1"/>
  <c r="U286" i="3"/>
  <c r="R286" i="3"/>
  <c r="N286" i="3"/>
  <c r="O286" i="3" s="1"/>
  <c r="L286" i="3"/>
  <c r="H286" i="3"/>
  <c r="I286" i="3" s="1"/>
  <c r="F286" i="3"/>
  <c r="C286" i="3"/>
  <c r="AA284" i="3"/>
  <c r="Z284" i="3"/>
  <c r="U284" i="3"/>
  <c r="T284" i="3"/>
  <c r="Q284" i="3"/>
  <c r="O284" i="3"/>
  <c r="K284" i="3"/>
  <c r="L284" i="3" s="1"/>
  <c r="E284" i="3"/>
  <c r="C284" i="3"/>
  <c r="B284" i="3"/>
  <c r="N284" i="3" s="1"/>
  <c r="AC283" i="3"/>
  <c r="AD283" i="3" s="1"/>
  <c r="AA283" i="3"/>
  <c r="W283" i="3"/>
  <c r="X283" i="3" s="1"/>
  <c r="U283" i="3"/>
  <c r="R283" i="3"/>
  <c r="O283" i="3"/>
  <c r="N283" i="3"/>
  <c r="L283" i="3"/>
  <c r="H283" i="3"/>
  <c r="I283" i="3" s="1"/>
  <c r="F283" i="3"/>
  <c r="C283" i="3"/>
  <c r="AD282" i="3"/>
  <c r="AC282" i="3"/>
  <c r="AA282" i="3"/>
  <c r="W282" i="3"/>
  <c r="X282" i="3" s="1"/>
  <c r="U282" i="3"/>
  <c r="R282" i="3"/>
  <c r="N282" i="3"/>
  <c r="O282" i="3" s="1"/>
  <c r="L282" i="3"/>
  <c r="H282" i="3"/>
  <c r="I282" i="3" s="1"/>
  <c r="F282" i="3"/>
  <c r="C282" i="3"/>
  <c r="AC281" i="3"/>
  <c r="AD281" i="3" s="1"/>
  <c r="AA281" i="3"/>
  <c r="X281" i="3"/>
  <c r="W281" i="3"/>
  <c r="U281" i="3"/>
  <c r="R281" i="3"/>
  <c r="O281" i="3"/>
  <c r="N281" i="3"/>
  <c r="L281" i="3"/>
  <c r="I281" i="3"/>
  <c r="H281" i="3"/>
  <c r="F281" i="3"/>
  <c r="C281" i="3"/>
  <c r="AC280" i="3"/>
  <c r="AD280" i="3" s="1"/>
  <c r="AA280" i="3"/>
  <c r="W280" i="3"/>
  <c r="X280" i="3" s="1"/>
  <c r="U280" i="3"/>
  <c r="R280" i="3"/>
  <c r="N280" i="3"/>
  <c r="O280" i="3" s="1"/>
  <c r="L280" i="3"/>
  <c r="I280" i="3"/>
  <c r="H280" i="3"/>
  <c r="F280" i="3"/>
  <c r="C280" i="3"/>
  <c r="AC279" i="3"/>
  <c r="AD279" i="3" s="1"/>
  <c r="AA279" i="3"/>
  <c r="W279" i="3"/>
  <c r="X279" i="3" s="1"/>
  <c r="U279" i="3"/>
  <c r="R279" i="3"/>
  <c r="O279" i="3"/>
  <c r="N279" i="3"/>
  <c r="L279" i="3"/>
  <c r="I279" i="3"/>
  <c r="H279" i="3"/>
  <c r="F279" i="3"/>
  <c r="C279" i="3"/>
  <c r="AD278" i="3"/>
  <c r="AC278" i="3"/>
  <c r="AA278" i="3"/>
  <c r="W278" i="3"/>
  <c r="X278" i="3" s="1"/>
  <c r="U278" i="3"/>
  <c r="R278" i="3"/>
  <c r="N278" i="3"/>
  <c r="O278" i="3" s="1"/>
  <c r="L278" i="3"/>
  <c r="H278" i="3"/>
  <c r="I278" i="3" s="1"/>
  <c r="F278" i="3"/>
  <c r="C278" i="3"/>
  <c r="AD277" i="3"/>
  <c r="AC277" i="3"/>
  <c r="AA277" i="3"/>
  <c r="X277" i="3"/>
  <c r="W277" i="3"/>
  <c r="U277" i="3"/>
  <c r="R277" i="3"/>
  <c r="O277" i="3"/>
  <c r="N277" i="3"/>
  <c r="L277" i="3"/>
  <c r="I277" i="3"/>
  <c r="H277" i="3"/>
  <c r="F277" i="3"/>
  <c r="C277" i="3"/>
  <c r="AD276" i="3"/>
  <c r="AC276" i="3"/>
  <c r="AA276" i="3"/>
  <c r="W276" i="3"/>
  <c r="X276" i="3" s="1"/>
  <c r="U276" i="3"/>
  <c r="R276" i="3"/>
  <c r="N276" i="3"/>
  <c r="O276" i="3" s="1"/>
  <c r="L276" i="3"/>
  <c r="I276" i="3"/>
  <c r="H276" i="3"/>
  <c r="F276" i="3"/>
  <c r="C276" i="3"/>
  <c r="AC275" i="3"/>
  <c r="AD275" i="3" s="1"/>
  <c r="AA275" i="3"/>
  <c r="W275" i="3"/>
  <c r="X275" i="3" s="1"/>
  <c r="U275" i="3"/>
  <c r="R275" i="3"/>
  <c r="O275" i="3"/>
  <c r="N275" i="3"/>
  <c r="L275" i="3"/>
  <c r="H275" i="3"/>
  <c r="I275" i="3" s="1"/>
  <c r="F275" i="3"/>
  <c r="C275" i="3"/>
  <c r="AD273" i="3"/>
  <c r="Z273" i="3"/>
  <c r="AA273" i="3" s="1"/>
  <c r="X273" i="3"/>
  <c r="W273" i="3"/>
  <c r="T273" i="3"/>
  <c r="U273" i="3" s="1"/>
  <c r="R273" i="3"/>
  <c r="Q273" i="3"/>
  <c r="AC273" i="3" s="1"/>
  <c r="L273" i="3"/>
  <c r="K273" i="3"/>
  <c r="I273" i="3"/>
  <c r="H273" i="3"/>
  <c r="F273" i="3"/>
  <c r="E273" i="3"/>
  <c r="B273" i="3"/>
  <c r="C273" i="3" s="1"/>
  <c r="AD272" i="3"/>
  <c r="AC272" i="3"/>
  <c r="AA272" i="3"/>
  <c r="X272" i="3"/>
  <c r="W272" i="3"/>
  <c r="U272" i="3"/>
  <c r="R272" i="3"/>
  <c r="N272" i="3"/>
  <c r="O272" i="3" s="1"/>
  <c r="L272" i="3"/>
  <c r="I272" i="3"/>
  <c r="H272" i="3"/>
  <c r="F272" i="3"/>
  <c r="C272" i="3"/>
  <c r="AC271" i="3"/>
  <c r="AD271" i="3" s="1"/>
  <c r="AA271" i="3"/>
  <c r="X271" i="3"/>
  <c r="W271" i="3"/>
  <c r="U271" i="3"/>
  <c r="R271" i="3"/>
  <c r="O271" i="3"/>
  <c r="N271" i="3"/>
  <c r="L271" i="3"/>
  <c r="H271" i="3"/>
  <c r="I271" i="3" s="1"/>
  <c r="F271" i="3"/>
  <c r="C271" i="3"/>
  <c r="AD270" i="3"/>
  <c r="AC270" i="3"/>
  <c r="AA270" i="3"/>
  <c r="W270" i="3"/>
  <c r="X270" i="3" s="1"/>
  <c r="U270" i="3"/>
  <c r="R270" i="3"/>
  <c r="O270" i="3"/>
  <c r="N270" i="3"/>
  <c r="L270" i="3"/>
  <c r="H270" i="3"/>
  <c r="I270" i="3" s="1"/>
  <c r="F270" i="3"/>
  <c r="C270" i="3"/>
  <c r="AC269" i="3"/>
  <c r="AD269" i="3" s="1"/>
  <c r="AA269" i="3"/>
  <c r="X269" i="3"/>
  <c r="W269" i="3"/>
  <c r="U269" i="3"/>
  <c r="R269" i="3"/>
  <c r="N269" i="3"/>
  <c r="O269" i="3" s="1"/>
  <c r="L269" i="3"/>
  <c r="I269" i="3"/>
  <c r="H269" i="3"/>
  <c r="F269" i="3"/>
  <c r="C269" i="3"/>
  <c r="Z267" i="3"/>
  <c r="AA267" i="3" s="1"/>
  <c r="T267" i="3"/>
  <c r="U267" i="3" s="1"/>
  <c r="Q267" i="3"/>
  <c r="L267" i="3"/>
  <c r="K267" i="3"/>
  <c r="E267" i="3"/>
  <c r="F267" i="3" s="1"/>
  <c r="B267" i="3"/>
  <c r="AD266" i="3"/>
  <c r="AC266" i="3"/>
  <c r="AA266" i="3"/>
  <c r="W266" i="3"/>
  <c r="X266" i="3" s="1"/>
  <c r="U266" i="3"/>
  <c r="R266" i="3"/>
  <c r="N266" i="3"/>
  <c r="O266" i="3" s="1"/>
  <c r="L266" i="3"/>
  <c r="H266" i="3"/>
  <c r="I266" i="3" s="1"/>
  <c r="F266" i="3"/>
  <c r="C266" i="3"/>
  <c r="AD265" i="3"/>
  <c r="AC265" i="3"/>
  <c r="AA265" i="3"/>
  <c r="X265" i="3"/>
  <c r="W265" i="3"/>
  <c r="U265" i="3"/>
  <c r="R265" i="3"/>
  <c r="N265" i="3"/>
  <c r="O265" i="3" s="1"/>
  <c r="L265" i="3"/>
  <c r="I265" i="3"/>
  <c r="H265" i="3"/>
  <c r="F265" i="3"/>
  <c r="C265" i="3"/>
  <c r="Z263" i="3"/>
  <c r="AC263" i="3" s="1"/>
  <c r="AD263" i="3" s="1"/>
  <c r="X263" i="3"/>
  <c r="T263" i="3"/>
  <c r="U263" i="3" s="1"/>
  <c r="R263" i="3"/>
  <c r="Q263" i="3"/>
  <c r="W263" i="3" s="1"/>
  <c r="N263" i="3"/>
  <c r="O263" i="3" s="1"/>
  <c r="L263" i="3"/>
  <c r="K263" i="3"/>
  <c r="E263" i="3"/>
  <c r="F263" i="3" s="1"/>
  <c r="C263" i="3"/>
  <c r="B263" i="3"/>
  <c r="AD262" i="3"/>
  <c r="Z262" i="3"/>
  <c r="AA262" i="3" s="1"/>
  <c r="T262" i="3"/>
  <c r="U262" i="3" s="1"/>
  <c r="R262" i="3"/>
  <c r="Q262" i="3"/>
  <c r="AC262" i="3" s="1"/>
  <c r="K262" i="3"/>
  <c r="L262" i="3" s="1"/>
  <c r="H262" i="3"/>
  <c r="I262" i="3" s="1"/>
  <c r="F262" i="3"/>
  <c r="E262" i="3"/>
  <c r="B262" i="3"/>
  <c r="C262" i="3" s="1"/>
  <c r="AC261" i="3"/>
  <c r="AD261" i="3" s="1"/>
  <c r="AA261" i="3"/>
  <c r="W261" i="3"/>
  <c r="X261" i="3" s="1"/>
  <c r="U261" i="3"/>
  <c r="R261" i="3"/>
  <c r="N261" i="3"/>
  <c r="O261" i="3" s="1"/>
  <c r="L261" i="3"/>
  <c r="H261" i="3"/>
  <c r="I261" i="3" s="1"/>
  <c r="F261" i="3"/>
  <c r="C261" i="3"/>
  <c r="AC260" i="3"/>
  <c r="AD260" i="3" s="1"/>
  <c r="AA260" i="3"/>
  <c r="X260" i="3"/>
  <c r="W260" i="3"/>
  <c r="U260" i="3"/>
  <c r="R260" i="3"/>
  <c r="O260" i="3"/>
  <c r="N260" i="3"/>
  <c r="L260" i="3"/>
  <c r="I260" i="3"/>
  <c r="H260" i="3"/>
  <c r="F260" i="3"/>
  <c r="C260" i="3"/>
  <c r="AD259" i="3"/>
  <c r="AC259" i="3"/>
  <c r="AA259" i="3"/>
  <c r="W259" i="3"/>
  <c r="X259" i="3" s="1"/>
  <c r="U259" i="3"/>
  <c r="R259" i="3"/>
  <c r="N259" i="3"/>
  <c r="O259" i="3" s="1"/>
  <c r="L259" i="3"/>
  <c r="H259" i="3"/>
  <c r="I259" i="3" s="1"/>
  <c r="F259" i="3"/>
  <c r="C259" i="3"/>
  <c r="AD258" i="3"/>
  <c r="AC258" i="3"/>
  <c r="AA258" i="3"/>
  <c r="X258" i="3"/>
  <c r="W258" i="3"/>
  <c r="U258" i="3"/>
  <c r="R258" i="3"/>
  <c r="N258" i="3"/>
  <c r="O258" i="3" s="1"/>
  <c r="L258" i="3"/>
  <c r="I258" i="3"/>
  <c r="H258" i="3"/>
  <c r="F258" i="3"/>
  <c r="C258" i="3"/>
  <c r="AD257" i="3"/>
  <c r="AC257" i="3"/>
  <c r="AA257" i="3"/>
  <c r="X257" i="3"/>
  <c r="W257" i="3"/>
  <c r="U257" i="3"/>
  <c r="R257" i="3"/>
  <c r="N257" i="3"/>
  <c r="O257" i="3" s="1"/>
  <c r="L257" i="3"/>
  <c r="H257" i="3"/>
  <c r="I257" i="3" s="1"/>
  <c r="F257" i="3"/>
  <c r="C257" i="3"/>
  <c r="AC256" i="3"/>
  <c r="AD256" i="3" s="1"/>
  <c r="AA256" i="3"/>
  <c r="W256" i="3"/>
  <c r="X256" i="3" s="1"/>
  <c r="U256" i="3"/>
  <c r="R256" i="3"/>
  <c r="O256" i="3"/>
  <c r="N256" i="3"/>
  <c r="L256" i="3"/>
  <c r="I256" i="3"/>
  <c r="H256" i="3"/>
  <c r="F256" i="3"/>
  <c r="C256" i="3"/>
  <c r="AD255" i="3"/>
  <c r="AC255" i="3"/>
  <c r="AA255" i="3"/>
  <c r="W255" i="3"/>
  <c r="X255" i="3" s="1"/>
  <c r="U255" i="3"/>
  <c r="R255" i="3"/>
  <c r="O255" i="3"/>
  <c r="N255" i="3"/>
  <c r="L255" i="3"/>
  <c r="H255" i="3"/>
  <c r="I255" i="3" s="1"/>
  <c r="F255" i="3"/>
  <c r="C255" i="3"/>
  <c r="AD254" i="3"/>
  <c r="AC254" i="3"/>
  <c r="AA254" i="3"/>
  <c r="X254" i="3"/>
  <c r="W254" i="3"/>
  <c r="U254" i="3"/>
  <c r="R254" i="3"/>
  <c r="N254" i="3"/>
  <c r="O254" i="3" s="1"/>
  <c r="L254" i="3"/>
  <c r="I254" i="3"/>
  <c r="H254" i="3"/>
  <c r="F254" i="3"/>
  <c r="C254" i="3"/>
  <c r="AC253" i="3"/>
  <c r="AD253" i="3" s="1"/>
  <c r="AA253" i="3"/>
  <c r="X253" i="3"/>
  <c r="W253" i="3"/>
  <c r="U253" i="3"/>
  <c r="R253" i="3"/>
  <c r="N253" i="3"/>
  <c r="O253" i="3" s="1"/>
  <c r="L253" i="3"/>
  <c r="H253" i="3"/>
  <c r="I253" i="3" s="1"/>
  <c r="F253" i="3"/>
  <c r="C253" i="3"/>
  <c r="AC252" i="3"/>
  <c r="AD252" i="3" s="1"/>
  <c r="AA252" i="3"/>
  <c r="X252" i="3"/>
  <c r="W252" i="3"/>
  <c r="U252" i="3"/>
  <c r="R252" i="3"/>
  <c r="O252" i="3"/>
  <c r="N252" i="3"/>
  <c r="L252" i="3"/>
  <c r="H252" i="3"/>
  <c r="I252" i="3" s="1"/>
  <c r="F252" i="3"/>
  <c r="C252" i="3"/>
  <c r="AD251" i="3"/>
  <c r="AC251" i="3"/>
  <c r="AA251" i="3"/>
  <c r="W251" i="3"/>
  <c r="X251" i="3" s="1"/>
  <c r="U251" i="3"/>
  <c r="R251" i="3"/>
  <c r="N251" i="3"/>
  <c r="O251" i="3" s="1"/>
  <c r="L251" i="3"/>
  <c r="H251" i="3"/>
  <c r="I251" i="3" s="1"/>
  <c r="F251" i="3"/>
  <c r="C251" i="3"/>
  <c r="AD250" i="3"/>
  <c r="AC250" i="3"/>
  <c r="AA250" i="3"/>
  <c r="X250" i="3"/>
  <c r="W250" i="3"/>
  <c r="U250" i="3"/>
  <c r="R250" i="3"/>
  <c r="N250" i="3"/>
  <c r="O250" i="3" s="1"/>
  <c r="L250" i="3"/>
  <c r="I250" i="3"/>
  <c r="H250" i="3"/>
  <c r="F250" i="3"/>
  <c r="C250" i="3"/>
  <c r="AD249" i="3"/>
  <c r="AC249" i="3"/>
  <c r="AA249" i="3"/>
  <c r="X249" i="3"/>
  <c r="W249" i="3"/>
  <c r="U249" i="3"/>
  <c r="R249" i="3"/>
  <c r="N249" i="3"/>
  <c r="O249" i="3" s="1"/>
  <c r="L249" i="3"/>
  <c r="H249" i="3"/>
  <c r="I249" i="3" s="1"/>
  <c r="F249" i="3"/>
  <c r="C249" i="3"/>
  <c r="AC248" i="3"/>
  <c r="AD248" i="3" s="1"/>
  <c r="AA248" i="3"/>
  <c r="X248" i="3"/>
  <c r="W248" i="3"/>
  <c r="U248" i="3"/>
  <c r="R248" i="3"/>
  <c r="O248" i="3"/>
  <c r="N248" i="3"/>
  <c r="L248" i="3"/>
  <c r="H248" i="3"/>
  <c r="I248" i="3" s="1"/>
  <c r="F248" i="3"/>
  <c r="C248" i="3"/>
  <c r="AD247" i="3"/>
  <c r="AC247" i="3"/>
  <c r="AA247" i="3"/>
  <c r="W247" i="3"/>
  <c r="X247" i="3" s="1"/>
  <c r="U247" i="3"/>
  <c r="R247" i="3"/>
  <c r="O247" i="3"/>
  <c r="N247" i="3"/>
  <c r="L247" i="3"/>
  <c r="H247" i="3"/>
  <c r="I247" i="3" s="1"/>
  <c r="F247" i="3"/>
  <c r="C247" i="3"/>
  <c r="AC246" i="3"/>
  <c r="AD246" i="3" s="1"/>
  <c r="AA246" i="3"/>
  <c r="X246" i="3"/>
  <c r="W246" i="3"/>
  <c r="U246" i="3"/>
  <c r="R246" i="3"/>
  <c r="N246" i="3"/>
  <c r="O246" i="3" s="1"/>
  <c r="L246" i="3"/>
  <c r="I246" i="3"/>
  <c r="H246" i="3"/>
  <c r="F246" i="3"/>
  <c r="C246" i="3"/>
  <c r="AC245" i="3"/>
  <c r="AD245" i="3" s="1"/>
  <c r="AA245" i="3"/>
  <c r="W245" i="3"/>
  <c r="X245" i="3" s="1"/>
  <c r="U245" i="3"/>
  <c r="R245" i="3"/>
  <c r="N245" i="3"/>
  <c r="O245" i="3" s="1"/>
  <c r="L245" i="3"/>
  <c r="H245" i="3"/>
  <c r="I245" i="3" s="1"/>
  <c r="F245" i="3"/>
  <c r="C245" i="3"/>
  <c r="AC244" i="3"/>
  <c r="AD244" i="3" s="1"/>
  <c r="AA244" i="3"/>
  <c r="X244" i="3"/>
  <c r="W244" i="3"/>
  <c r="U244" i="3"/>
  <c r="R244" i="3"/>
  <c r="O244" i="3"/>
  <c r="N244" i="3"/>
  <c r="L244" i="3"/>
  <c r="I244" i="3"/>
  <c r="H244" i="3"/>
  <c r="F244" i="3"/>
  <c r="C244" i="3"/>
  <c r="AD243" i="3"/>
  <c r="AC243" i="3"/>
  <c r="AA243" i="3"/>
  <c r="W243" i="3"/>
  <c r="X243" i="3" s="1"/>
  <c r="U243" i="3"/>
  <c r="R243" i="3"/>
  <c r="N243" i="3"/>
  <c r="O243" i="3" s="1"/>
  <c r="L243" i="3"/>
  <c r="H243" i="3"/>
  <c r="I243" i="3" s="1"/>
  <c r="F243" i="3"/>
  <c r="C243" i="3"/>
  <c r="AC242" i="3"/>
  <c r="AD242" i="3" s="1"/>
  <c r="AA242" i="3"/>
  <c r="X242" i="3"/>
  <c r="W242" i="3"/>
  <c r="U242" i="3"/>
  <c r="R242" i="3"/>
  <c r="N242" i="3"/>
  <c r="O242" i="3" s="1"/>
  <c r="L242" i="3"/>
  <c r="I242" i="3"/>
  <c r="H242" i="3"/>
  <c r="F242" i="3"/>
  <c r="C242" i="3"/>
  <c r="AD241" i="3"/>
  <c r="AC241" i="3"/>
  <c r="AA241" i="3"/>
  <c r="X241" i="3"/>
  <c r="W241" i="3"/>
  <c r="U241" i="3"/>
  <c r="R241" i="3"/>
  <c r="N241" i="3"/>
  <c r="O241" i="3" s="1"/>
  <c r="L241" i="3"/>
  <c r="H241" i="3"/>
  <c r="I241" i="3" s="1"/>
  <c r="F241" i="3"/>
  <c r="C241" i="3"/>
  <c r="AC240" i="3"/>
  <c r="AD240" i="3" s="1"/>
  <c r="AA240" i="3"/>
  <c r="W240" i="3"/>
  <c r="X240" i="3" s="1"/>
  <c r="U240" i="3"/>
  <c r="R240" i="3"/>
  <c r="O240" i="3"/>
  <c r="N240" i="3"/>
  <c r="L240" i="3"/>
  <c r="I240" i="3"/>
  <c r="H240" i="3"/>
  <c r="F240" i="3"/>
  <c r="C240" i="3"/>
  <c r="AD238" i="3"/>
  <c r="AC238" i="3"/>
  <c r="AA238" i="3"/>
  <c r="W238" i="3"/>
  <c r="X238" i="3" s="1"/>
  <c r="U238" i="3"/>
  <c r="R238" i="3"/>
  <c r="O238" i="3"/>
  <c r="N238" i="3"/>
  <c r="L238" i="3"/>
  <c r="H238" i="3"/>
  <c r="I238" i="3" s="1"/>
  <c r="F238" i="3"/>
  <c r="C238" i="3"/>
  <c r="AD236" i="3"/>
  <c r="AC236" i="3"/>
  <c r="AA236" i="3"/>
  <c r="Z236" i="3"/>
  <c r="U236" i="3"/>
  <c r="T236" i="3"/>
  <c r="Q236" i="3"/>
  <c r="O236" i="3"/>
  <c r="K236" i="3"/>
  <c r="L236" i="3" s="1"/>
  <c r="F236" i="3"/>
  <c r="E236" i="3"/>
  <c r="H236" i="3" s="1"/>
  <c r="I236" i="3" s="1"/>
  <c r="C236" i="3"/>
  <c r="B236" i="3"/>
  <c r="N236" i="3" s="1"/>
  <c r="AC235" i="3"/>
  <c r="AD235" i="3" s="1"/>
  <c r="AA235" i="3"/>
  <c r="X235" i="3"/>
  <c r="W235" i="3"/>
  <c r="U235" i="3"/>
  <c r="R235" i="3"/>
  <c r="O235" i="3"/>
  <c r="N235" i="3"/>
  <c r="L235" i="3"/>
  <c r="H235" i="3"/>
  <c r="I235" i="3" s="1"/>
  <c r="F235" i="3"/>
  <c r="C235" i="3"/>
  <c r="AD234" i="3"/>
  <c r="AC234" i="3"/>
  <c r="AA234" i="3"/>
  <c r="W234" i="3"/>
  <c r="X234" i="3" s="1"/>
  <c r="U234" i="3"/>
  <c r="R234" i="3"/>
  <c r="N234" i="3"/>
  <c r="O234" i="3" s="1"/>
  <c r="L234" i="3"/>
  <c r="H234" i="3"/>
  <c r="I234" i="3" s="1"/>
  <c r="F234" i="3"/>
  <c r="C234" i="3"/>
  <c r="AC233" i="3"/>
  <c r="AD233" i="3" s="1"/>
  <c r="AA233" i="3"/>
  <c r="X233" i="3"/>
  <c r="W233" i="3"/>
  <c r="U233" i="3"/>
  <c r="R233" i="3"/>
  <c r="N233" i="3"/>
  <c r="O233" i="3" s="1"/>
  <c r="L233" i="3"/>
  <c r="I233" i="3"/>
  <c r="H233" i="3"/>
  <c r="F233" i="3"/>
  <c r="C233" i="3"/>
  <c r="AC232" i="3"/>
  <c r="AD232" i="3" s="1"/>
  <c r="AA232" i="3"/>
  <c r="X232" i="3"/>
  <c r="W232" i="3"/>
  <c r="U232" i="3"/>
  <c r="R232" i="3"/>
  <c r="N232" i="3"/>
  <c r="O232" i="3" s="1"/>
  <c r="L232" i="3"/>
  <c r="I232" i="3"/>
  <c r="H232" i="3"/>
  <c r="F232" i="3"/>
  <c r="C232" i="3"/>
  <c r="AC231" i="3"/>
  <c r="AD231" i="3" s="1"/>
  <c r="AA231" i="3"/>
  <c r="W231" i="3"/>
  <c r="X231" i="3" s="1"/>
  <c r="U231" i="3"/>
  <c r="R231" i="3"/>
  <c r="O231" i="3"/>
  <c r="N231" i="3"/>
  <c r="L231" i="3"/>
  <c r="I231" i="3"/>
  <c r="H231" i="3"/>
  <c r="F231" i="3"/>
  <c r="C231" i="3"/>
  <c r="AD230" i="3"/>
  <c r="AC230" i="3"/>
  <c r="AA230" i="3"/>
  <c r="W230" i="3"/>
  <c r="X230" i="3" s="1"/>
  <c r="U230" i="3"/>
  <c r="R230" i="3"/>
  <c r="N230" i="3"/>
  <c r="O230" i="3" s="1"/>
  <c r="L230" i="3"/>
  <c r="H230" i="3"/>
  <c r="I230" i="3" s="1"/>
  <c r="F230" i="3"/>
  <c r="C230" i="3"/>
  <c r="AD229" i="3"/>
  <c r="AC229" i="3"/>
  <c r="AA229" i="3"/>
  <c r="X229" i="3"/>
  <c r="W229" i="3"/>
  <c r="U229" i="3"/>
  <c r="R229" i="3"/>
  <c r="N229" i="3"/>
  <c r="O229" i="3" s="1"/>
  <c r="L229" i="3"/>
  <c r="I229" i="3"/>
  <c r="H229" i="3"/>
  <c r="F229" i="3"/>
  <c r="C229" i="3"/>
  <c r="AA227" i="3"/>
  <c r="Z227" i="3"/>
  <c r="T227" i="3"/>
  <c r="U227" i="3" s="1"/>
  <c r="Q227" i="3"/>
  <c r="L227" i="3"/>
  <c r="K227" i="3"/>
  <c r="E227" i="3"/>
  <c r="F227" i="3" s="1"/>
  <c r="B227" i="3"/>
  <c r="AD226" i="3"/>
  <c r="AC226" i="3"/>
  <c r="AA226" i="3"/>
  <c r="W226" i="3"/>
  <c r="X226" i="3" s="1"/>
  <c r="U226" i="3"/>
  <c r="R226" i="3"/>
  <c r="N226" i="3"/>
  <c r="O226" i="3" s="1"/>
  <c r="L226" i="3"/>
  <c r="H226" i="3"/>
  <c r="I226" i="3" s="1"/>
  <c r="F226" i="3"/>
  <c r="C226" i="3"/>
  <c r="AC225" i="3"/>
  <c r="AD225" i="3" s="1"/>
  <c r="AA225" i="3"/>
  <c r="X225" i="3"/>
  <c r="W225" i="3"/>
  <c r="U225" i="3"/>
  <c r="R225" i="3"/>
  <c r="N225" i="3"/>
  <c r="O225" i="3" s="1"/>
  <c r="L225" i="3"/>
  <c r="I225" i="3"/>
  <c r="H225" i="3"/>
  <c r="F225" i="3"/>
  <c r="C225" i="3"/>
  <c r="AD224" i="3"/>
  <c r="AC224" i="3"/>
  <c r="AA224" i="3"/>
  <c r="W224" i="3"/>
  <c r="X224" i="3" s="1"/>
  <c r="U224" i="3"/>
  <c r="R224" i="3"/>
  <c r="N224" i="3"/>
  <c r="O224" i="3" s="1"/>
  <c r="L224" i="3"/>
  <c r="H224" i="3"/>
  <c r="I224" i="3" s="1"/>
  <c r="F224" i="3"/>
  <c r="C224" i="3"/>
  <c r="AC223" i="3"/>
  <c r="AD223" i="3" s="1"/>
  <c r="AA223" i="3"/>
  <c r="W223" i="3"/>
  <c r="X223" i="3" s="1"/>
  <c r="U223" i="3"/>
  <c r="R223" i="3"/>
  <c r="O223" i="3"/>
  <c r="N223" i="3"/>
  <c r="L223" i="3"/>
  <c r="H223" i="3"/>
  <c r="I223" i="3" s="1"/>
  <c r="F223" i="3"/>
  <c r="C223" i="3"/>
  <c r="AD222" i="3"/>
  <c r="AC222" i="3"/>
  <c r="AA222" i="3"/>
  <c r="W222" i="3"/>
  <c r="X222" i="3" s="1"/>
  <c r="U222" i="3"/>
  <c r="R222" i="3"/>
  <c r="O222" i="3"/>
  <c r="N222" i="3"/>
  <c r="L222" i="3"/>
  <c r="H222" i="3"/>
  <c r="I222" i="3" s="1"/>
  <c r="F222" i="3"/>
  <c r="C222" i="3"/>
  <c r="AC221" i="3"/>
  <c r="AD221" i="3" s="1"/>
  <c r="AA221" i="3"/>
  <c r="X221" i="3"/>
  <c r="W221" i="3"/>
  <c r="U221" i="3"/>
  <c r="R221" i="3"/>
  <c r="O221" i="3"/>
  <c r="N221" i="3"/>
  <c r="L221" i="3"/>
  <c r="I221" i="3"/>
  <c r="H221" i="3"/>
  <c r="F221" i="3"/>
  <c r="C221" i="3"/>
  <c r="AC220" i="3"/>
  <c r="AD220" i="3" s="1"/>
  <c r="AA220" i="3"/>
  <c r="X220" i="3"/>
  <c r="W220" i="3"/>
  <c r="U220" i="3"/>
  <c r="R220" i="3"/>
  <c r="N220" i="3"/>
  <c r="O220" i="3" s="1"/>
  <c r="L220" i="3"/>
  <c r="I220" i="3"/>
  <c r="H220" i="3"/>
  <c r="F220" i="3"/>
  <c r="C220" i="3"/>
  <c r="AC219" i="3"/>
  <c r="AD219" i="3" s="1"/>
  <c r="AA219" i="3"/>
  <c r="X219" i="3"/>
  <c r="W219" i="3"/>
  <c r="U219" i="3"/>
  <c r="R219" i="3"/>
  <c r="O219" i="3"/>
  <c r="N219" i="3"/>
  <c r="L219" i="3"/>
  <c r="I219" i="3"/>
  <c r="H219" i="3"/>
  <c r="F219" i="3"/>
  <c r="C219" i="3"/>
  <c r="Z218" i="3"/>
  <c r="AA218" i="3" s="1"/>
  <c r="T218" i="3"/>
  <c r="R218" i="3"/>
  <c r="Q218" i="3"/>
  <c r="AC218" i="3" s="1"/>
  <c r="AD218" i="3" s="1"/>
  <c r="K218" i="3"/>
  <c r="L218" i="3" s="1"/>
  <c r="I218" i="3"/>
  <c r="H218" i="3"/>
  <c r="F218" i="3"/>
  <c r="E218" i="3"/>
  <c r="B218" i="3"/>
  <c r="C218" i="3" s="1"/>
  <c r="AD217" i="3"/>
  <c r="AC217" i="3"/>
  <c r="AA217" i="3"/>
  <c r="X217" i="3"/>
  <c r="W217" i="3"/>
  <c r="U217" i="3"/>
  <c r="R217" i="3"/>
  <c r="N217" i="3"/>
  <c r="O217" i="3" s="1"/>
  <c r="L217" i="3"/>
  <c r="H217" i="3"/>
  <c r="I217" i="3" s="1"/>
  <c r="F217" i="3"/>
  <c r="C217" i="3"/>
  <c r="AC216" i="3"/>
  <c r="AD216" i="3" s="1"/>
  <c r="AA216" i="3"/>
  <c r="W216" i="3"/>
  <c r="X216" i="3" s="1"/>
  <c r="U216" i="3"/>
  <c r="R216" i="3"/>
  <c r="O216" i="3"/>
  <c r="N216" i="3"/>
  <c r="L216" i="3"/>
  <c r="I216" i="3"/>
  <c r="H216" i="3"/>
  <c r="F216" i="3"/>
  <c r="C216" i="3"/>
  <c r="AD215" i="3"/>
  <c r="AC215" i="3"/>
  <c r="AA215" i="3"/>
  <c r="W215" i="3"/>
  <c r="X215" i="3" s="1"/>
  <c r="U215" i="3"/>
  <c r="R215" i="3"/>
  <c r="O215" i="3"/>
  <c r="N215" i="3"/>
  <c r="L215" i="3"/>
  <c r="H215" i="3"/>
  <c r="I215" i="3" s="1"/>
  <c r="F215" i="3"/>
  <c r="C215" i="3"/>
  <c r="AD214" i="3"/>
  <c r="AC214" i="3"/>
  <c r="AA214" i="3"/>
  <c r="X214" i="3"/>
  <c r="W214" i="3"/>
  <c r="U214" i="3"/>
  <c r="R214" i="3"/>
  <c r="N214" i="3"/>
  <c r="O214" i="3" s="1"/>
  <c r="L214" i="3"/>
  <c r="I214" i="3"/>
  <c r="H214" i="3"/>
  <c r="F214" i="3"/>
  <c r="C214" i="3"/>
  <c r="AC213" i="3"/>
  <c r="AD213" i="3" s="1"/>
  <c r="AA213" i="3"/>
  <c r="X213" i="3"/>
  <c r="W213" i="3"/>
  <c r="U213" i="3"/>
  <c r="R213" i="3"/>
  <c r="N213" i="3"/>
  <c r="O213" i="3" s="1"/>
  <c r="L213" i="3"/>
  <c r="H213" i="3"/>
  <c r="I213" i="3" s="1"/>
  <c r="F213" i="3"/>
  <c r="C213" i="3"/>
  <c r="AC211" i="3"/>
  <c r="AD211" i="3" s="1"/>
  <c r="AA211" i="3"/>
  <c r="X211" i="3"/>
  <c r="W211" i="3"/>
  <c r="U211" i="3"/>
  <c r="R211" i="3"/>
  <c r="O211" i="3"/>
  <c r="N211" i="3"/>
  <c r="L211" i="3"/>
  <c r="I211" i="3"/>
  <c r="H211" i="3"/>
  <c r="F211" i="3"/>
  <c r="C211" i="3"/>
  <c r="AD209" i="3"/>
  <c r="Z209" i="3"/>
  <c r="AA209" i="3" s="1"/>
  <c r="T209" i="3"/>
  <c r="W209" i="3" s="1"/>
  <c r="X209" i="3" s="1"/>
  <c r="R209" i="3"/>
  <c r="Q209" i="3"/>
  <c r="AC209" i="3" s="1"/>
  <c r="K209" i="3"/>
  <c r="L209" i="3" s="1"/>
  <c r="I209" i="3"/>
  <c r="H209" i="3"/>
  <c r="F209" i="3"/>
  <c r="E209" i="3"/>
  <c r="B209" i="3"/>
  <c r="C209" i="3" s="1"/>
  <c r="AC208" i="3"/>
  <c r="AD208" i="3" s="1"/>
  <c r="AA208" i="3"/>
  <c r="X208" i="3"/>
  <c r="W208" i="3"/>
  <c r="U208" i="3"/>
  <c r="R208" i="3"/>
  <c r="N208" i="3"/>
  <c r="O208" i="3" s="1"/>
  <c r="L208" i="3"/>
  <c r="H208" i="3"/>
  <c r="I208" i="3" s="1"/>
  <c r="F208" i="3"/>
  <c r="C208" i="3"/>
  <c r="AC207" i="3"/>
  <c r="AD207" i="3" s="1"/>
  <c r="AA207" i="3"/>
  <c r="W207" i="3"/>
  <c r="X207" i="3" s="1"/>
  <c r="U207" i="3"/>
  <c r="R207" i="3"/>
  <c r="O207" i="3"/>
  <c r="N207" i="3"/>
  <c r="L207" i="3"/>
  <c r="I207" i="3"/>
  <c r="H207" i="3"/>
  <c r="F207" i="3"/>
  <c r="C207" i="3"/>
  <c r="AD206" i="3"/>
  <c r="AC206" i="3"/>
  <c r="AA206" i="3"/>
  <c r="W206" i="3"/>
  <c r="X206" i="3" s="1"/>
  <c r="U206" i="3"/>
  <c r="R206" i="3"/>
  <c r="O206" i="3"/>
  <c r="N206" i="3"/>
  <c r="L206" i="3"/>
  <c r="H206" i="3"/>
  <c r="I206" i="3" s="1"/>
  <c r="F206" i="3"/>
  <c r="C206" i="3"/>
  <c r="AD205" i="3"/>
  <c r="AC205" i="3"/>
  <c r="AA205" i="3"/>
  <c r="X205" i="3"/>
  <c r="W205" i="3"/>
  <c r="U205" i="3"/>
  <c r="R205" i="3"/>
  <c r="N205" i="3"/>
  <c r="O205" i="3" s="1"/>
  <c r="L205" i="3"/>
  <c r="I205" i="3"/>
  <c r="H205" i="3"/>
  <c r="F205" i="3"/>
  <c r="C205" i="3"/>
  <c r="AC204" i="3"/>
  <c r="AD204" i="3" s="1"/>
  <c r="AA204" i="3"/>
  <c r="W204" i="3"/>
  <c r="X204" i="3" s="1"/>
  <c r="U204" i="3"/>
  <c r="R204" i="3"/>
  <c r="N204" i="3"/>
  <c r="O204" i="3" s="1"/>
  <c r="L204" i="3"/>
  <c r="H204" i="3"/>
  <c r="I204" i="3" s="1"/>
  <c r="F204" i="3"/>
  <c r="C204" i="3"/>
  <c r="AC203" i="3"/>
  <c r="AD203" i="3" s="1"/>
  <c r="AA203" i="3"/>
  <c r="X203" i="3"/>
  <c r="W203" i="3"/>
  <c r="U203" i="3"/>
  <c r="R203" i="3"/>
  <c r="O203" i="3"/>
  <c r="N203" i="3"/>
  <c r="L203" i="3"/>
  <c r="I203" i="3"/>
  <c r="H203" i="3"/>
  <c r="F203" i="3"/>
  <c r="C203" i="3"/>
  <c r="AD202" i="3"/>
  <c r="AC202" i="3"/>
  <c r="AA202" i="3"/>
  <c r="W202" i="3"/>
  <c r="X202" i="3" s="1"/>
  <c r="U202" i="3"/>
  <c r="R202" i="3"/>
  <c r="N202" i="3"/>
  <c r="O202" i="3" s="1"/>
  <c r="L202" i="3"/>
  <c r="H202" i="3"/>
  <c r="I202" i="3" s="1"/>
  <c r="F202" i="3"/>
  <c r="C202" i="3"/>
  <c r="AD201" i="3"/>
  <c r="AC201" i="3"/>
  <c r="AA201" i="3"/>
  <c r="X201" i="3"/>
  <c r="W201" i="3"/>
  <c r="U201" i="3"/>
  <c r="R201" i="3"/>
  <c r="O201" i="3"/>
  <c r="N201" i="3"/>
  <c r="L201" i="3"/>
  <c r="I201" i="3"/>
  <c r="H201" i="3"/>
  <c r="F201" i="3"/>
  <c r="C201" i="3"/>
  <c r="AA198" i="3"/>
  <c r="Z197" i="3"/>
  <c r="AA197" i="3" s="1"/>
  <c r="W197" i="3"/>
  <c r="X197" i="3" s="1"/>
  <c r="U197" i="3"/>
  <c r="T197" i="3"/>
  <c r="R197" i="3"/>
  <c r="Q197" i="3"/>
  <c r="AC197" i="3" s="1"/>
  <c r="AD197" i="3" s="1"/>
  <c r="L197" i="3"/>
  <c r="K197" i="3"/>
  <c r="H197" i="3"/>
  <c r="I197" i="3" s="1"/>
  <c r="F197" i="3"/>
  <c r="E197" i="3"/>
  <c r="B197" i="3"/>
  <c r="C197" i="3" s="1"/>
  <c r="AD196" i="3"/>
  <c r="AC196" i="3"/>
  <c r="Z196" i="3"/>
  <c r="AA196" i="3" s="1"/>
  <c r="X196" i="3"/>
  <c r="T196" i="3"/>
  <c r="U196" i="3" s="1"/>
  <c r="R196" i="3"/>
  <c r="Q196" i="3"/>
  <c r="W196" i="3" s="1"/>
  <c r="N196" i="3"/>
  <c r="O196" i="3" s="1"/>
  <c r="L196" i="3"/>
  <c r="K196" i="3"/>
  <c r="E196" i="3"/>
  <c r="F196" i="3" s="1"/>
  <c r="C196" i="3"/>
  <c r="B196" i="3"/>
  <c r="AD195" i="3"/>
  <c r="AC195" i="3"/>
  <c r="AA195" i="3"/>
  <c r="W195" i="3"/>
  <c r="X195" i="3" s="1"/>
  <c r="U195" i="3"/>
  <c r="R195" i="3"/>
  <c r="O195" i="3"/>
  <c r="N195" i="3"/>
  <c r="L195" i="3"/>
  <c r="H195" i="3"/>
  <c r="I195" i="3" s="1"/>
  <c r="F195" i="3"/>
  <c r="C195" i="3"/>
  <c r="AC194" i="3"/>
  <c r="AD194" i="3" s="1"/>
  <c r="AA194" i="3"/>
  <c r="X194" i="3"/>
  <c r="W194" i="3"/>
  <c r="U194" i="3"/>
  <c r="R194" i="3"/>
  <c r="N194" i="3"/>
  <c r="O194" i="3" s="1"/>
  <c r="L194" i="3"/>
  <c r="I194" i="3"/>
  <c r="H194" i="3"/>
  <c r="F194" i="3"/>
  <c r="C194" i="3"/>
  <c r="Z193" i="3"/>
  <c r="AA193" i="3" s="1"/>
  <c r="T193" i="3"/>
  <c r="U193" i="3" s="1"/>
  <c r="Q193" i="3"/>
  <c r="N193" i="3"/>
  <c r="O193" i="3" s="1"/>
  <c r="L193" i="3"/>
  <c r="K193" i="3"/>
  <c r="F193" i="3"/>
  <c r="E193" i="3"/>
  <c r="C193" i="3"/>
  <c r="B193" i="3"/>
  <c r="H193" i="3" s="1"/>
  <c r="I193" i="3" s="1"/>
  <c r="AD192" i="3"/>
  <c r="AC192" i="3"/>
  <c r="AA192" i="3"/>
  <c r="W192" i="3"/>
  <c r="X192" i="3" s="1"/>
  <c r="U192" i="3"/>
  <c r="R192" i="3"/>
  <c r="O192" i="3"/>
  <c r="N192" i="3"/>
  <c r="L192" i="3"/>
  <c r="H192" i="3"/>
  <c r="I192" i="3" s="1"/>
  <c r="F192" i="3"/>
  <c r="C192" i="3"/>
  <c r="AD191" i="3"/>
  <c r="AC191" i="3"/>
  <c r="AA191" i="3"/>
  <c r="X191" i="3"/>
  <c r="W191" i="3"/>
  <c r="U191" i="3"/>
  <c r="R191" i="3"/>
  <c r="N191" i="3"/>
  <c r="O191" i="3" s="1"/>
  <c r="L191" i="3"/>
  <c r="I191" i="3"/>
  <c r="H191" i="3"/>
  <c r="F191" i="3"/>
  <c r="C191" i="3"/>
  <c r="AD190" i="3"/>
  <c r="AC190" i="3"/>
  <c r="AA190" i="3"/>
  <c r="W190" i="3"/>
  <c r="X190" i="3" s="1"/>
  <c r="U190" i="3"/>
  <c r="R190" i="3"/>
  <c r="N190" i="3"/>
  <c r="O190" i="3" s="1"/>
  <c r="L190" i="3"/>
  <c r="I190" i="3"/>
  <c r="H190" i="3"/>
  <c r="F190" i="3"/>
  <c r="C190" i="3"/>
  <c r="AC189" i="3"/>
  <c r="AD189" i="3" s="1"/>
  <c r="AA189" i="3"/>
  <c r="W189" i="3"/>
  <c r="X189" i="3" s="1"/>
  <c r="U189" i="3"/>
  <c r="R189" i="3"/>
  <c r="O189" i="3"/>
  <c r="N189" i="3"/>
  <c r="L189" i="3"/>
  <c r="H189" i="3"/>
  <c r="I189" i="3" s="1"/>
  <c r="F189" i="3"/>
  <c r="C189" i="3"/>
  <c r="AD188" i="3"/>
  <c r="AC188" i="3"/>
  <c r="AA188" i="3"/>
  <c r="W188" i="3"/>
  <c r="X188" i="3" s="1"/>
  <c r="U188" i="3"/>
  <c r="R188" i="3"/>
  <c r="N188" i="3"/>
  <c r="O188" i="3" s="1"/>
  <c r="L188" i="3"/>
  <c r="H188" i="3"/>
  <c r="I188" i="3" s="1"/>
  <c r="F188" i="3"/>
  <c r="C188" i="3"/>
  <c r="AC187" i="3"/>
  <c r="AD187" i="3" s="1"/>
  <c r="AA187" i="3"/>
  <c r="X187" i="3"/>
  <c r="W187" i="3"/>
  <c r="U187" i="3"/>
  <c r="R187" i="3"/>
  <c r="O187" i="3"/>
  <c r="N187" i="3"/>
  <c r="L187" i="3"/>
  <c r="I187" i="3"/>
  <c r="H187" i="3"/>
  <c r="F187" i="3"/>
  <c r="C187" i="3"/>
  <c r="AC186" i="3"/>
  <c r="AD186" i="3" s="1"/>
  <c r="AA186" i="3"/>
  <c r="X186" i="3"/>
  <c r="W186" i="3"/>
  <c r="U186" i="3"/>
  <c r="R186" i="3"/>
  <c r="N186" i="3"/>
  <c r="O186" i="3" s="1"/>
  <c r="L186" i="3"/>
  <c r="I186" i="3"/>
  <c r="H186" i="3"/>
  <c r="F186" i="3"/>
  <c r="C186" i="3"/>
  <c r="AC184" i="3"/>
  <c r="AD184" i="3" s="1"/>
  <c r="AA184" i="3"/>
  <c r="W184" i="3"/>
  <c r="X184" i="3" s="1"/>
  <c r="U184" i="3"/>
  <c r="R184" i="3"/>
  <c r="O184" i="3"/>
  <c r="N184" i="3"/>
  <c r="L184" i="3"/>
  <c r="I184" i="3"/>
  <c r="H184" i="3"/>
  <c r="F184" i="3"/>
  <c r="C184" i="3"/>
  <c r="AD183" i="3"/>
  <c r="AC183" i="3"/>
  <c r="AA183" i="3"/>
  <c r="W183" i="3"/>
  <c r="X183" i="3" s="1"/>
  <c r="U183" i="3"/>
  <c r="R183" i="3"/>
  <c r="O183" i="3"/>
  <c r="N183" i="3"/>
  <c r="L183" i="3"/>
  <c r="H183" i="3"/>
  <c r="I183" i="3" s="1"/>
  <c r="F183" i="3"/>
  <c r="C183" i="3"/>
  <c r="AA182" i="3"/>
  <c r="Z182" i="3"/>
  <c r="T182" i="3"/>
  <c r="U182" i="3" s="1"/>
  <c r="Q182" i="3"/>
  <c r="K182" i="3"/>
  <c r="L182" i="3" s="1"/>
  <c r="H182" i="3"/>
  <c r="I182" i="3" s="1"/>
  <c r="E182" i="3"/>
  <c r="F182" i="3" s="1"/>
  <c r="C182" i="3"/>
  <c r="B182" i="3"/>
  <c r="N182" i="3" s="1"/>
  <c r="O182" i="3" s="1"/>
  <c r="AC181" i="3"/>
  <c r="AD181" i="3" s="1"/>
  <c r="AA181" i="3"/>
  <c r="W181" i="3"/>
  <c r="X181" i="3" s="1"/>
  <c r="U181" i="3"/>
  <c r="R181" i="3"/>
  <c r="O181" i="3"/>
  <c r="N181" i="3"/>
  <c r="L181" i="3"/>
  <c r="H181" i="3"/>
  <c r="I181" i="3" s="1"/>
  <c r="F181" i="3"/>
  <c r="C181" i="3"/>
  <c r="AD180" i="3"/>
  <c r="AC180" i="3"/>
  <c r="AA180" i="3"/>
  <c r="W180" i="3"/>
  <c r="X180" i="3" s="1"/>
  <c r="U180" i="3"/>
  <c r="R180" i="3"/>
  <c r="O180" i="3"/>
  <c r="N180" i="3"/>
  <c r="L180" i="3"/>
  <c r="H180" i="3"/>
  <c r="I180" i="3" s="1"/>
  <c r="F180" i="3"/>
  <c r="C180" i="3"/>
  <c r="AC179" i="3"/>
  <c r="AD179" i="3" s="1"/>
  <c r="AA179" i="3"/>
  <c r="X179" i="3"/>
  <c r="W179" i="3"/>
  <c r="U179" i="3"/>
  <c r="R179" i="3"/>
  <c r="O179" i="3"/>
  <c r="N179" i="3"/>
  <c r="L179" i="3"/>
  <c r="I179" i="3"/>
  <c r="H179" i="3"/>
  <c r="F179" i="3"/>
  <c r="C179" i="3"/>
  <c r="AD178" i="3"/>
  <c r="AC178" i="3"/>
  <c r="AA178" i="3"/>
  <c r="W178" i="3"/>
  <c r="X178" i="3" s="1"/>
  <c r="U178" i="3"/>
  <c r="R178" i="3"/>
  <c r="N178" i="3"/>
  <c r="O178" i="3" s="1"/>
  <c r="L178" i="3"/>
  <c r="I178" i="3"/>
  <c r="H178" i="3"/>
  <c r="F178" i="3"/>
  <c r="C178" i="3"/>
  <c r="AC177" i="3"/>
  <c r="AD177" i="3" s="1"/>
  <c r="AA177" i="3"/>
  <c r="X177" i="3"/>
  <c r="W177" i="3"/>
  <c r="U177" i="3"/>
  <c r="R177" i="3"/>
  <c r="O177" i="3"/>
  <c r="N177" i="3"/>
  <c r="L177" i="3"/>
  <c r="H177" i="3"/>
  <c r="I177" i="3" s="1"/>
  <c r="F177" i="3"/>
  <c r="C177" i="3"/>
  <c r="AD175" i="3"/>
  <c r="AC175" i="3"/>
  <c r="AA175" i="3"/>
  <c r="W175" i="3"/>
  <c r="X175" i="3" s="1"/>
  <c r="U175" i="3"/>
  <c r="R175" i="3"/>
  <c r="O175" i="3"/>
  <c r="N175" i="3"/>
  <c r="L175" i="3"/>
  <c r="H175" i="3"/>
  <c r="I175" i="3" s="1"/>
  <c r="F175" i="3"/>
  <c r="C175" i="3"/>
  <c r="AC172" i="3"/>
  <c r="AD172" i="3" s="1"/>
  <c r="U172" i="3"/>
  <c r="T172" i="3"/>
  <c r="Q172" i="3"/>
  <c r="W172" i="3" s="1"/>
  <c r="X172" i="3" s="1"/>
  <c r="Z171" i="3"/>
  <c r="AA171" i="3" s="1"/>
  <c r="W171" i="3"/>
  <c r="X171" i="3" s="1"/>
  <c r="U171" i="3"/>
  <c r="T171" i="3"/>
  <c r="Q171" i="3"/>
  <c r="R171" i="3" s="1"/>
  <c r="N171" i="3"/>
  <c r="O171" i="3" s="1"/>
  <c r="L171" i="3"/>
  <c r="K171" i="3"/>
  <c r="I171" i="3"/>
  <c r="E171" i="3"/>
  <c r="F171" i="3" s="1"/>
  <c r="C171" i="3"/>
  <c r="B171" i="3"/>
  <c r="H171" i="3" s="1"/>
  <c r="AC170" i="3"/>
  <c r="AD170" i="3" s="1"/>
  <c r="AA170" i="3"/>
  <c r="Z170" i="3"/>
  <c r="T170" i="3"/>
  <c r="U170" i="3" s="1"/>
  <c r="Q170" i="3"/>
  <c r="W170" i="3" s="1"/>
  <c r="X170" i="3" s="1"/>
  <c r="K170" i="3"/>
  <c r="L170" i="3" s="1"/>
  <c r="I170" i="3"/>
  <c r="F170" i="3"/>
  <c r="E170" i="3"/>
  <c r="H170" i="3" s="1"/>
  <c r="C170" i="3"/>
  <c r="B170" i="3"/>
  <c r="N170" i="3" s="1"/>
  <c r="O170" i="3" s="1"/>
  <c r="AC169" i="3"/>
  <c r="AD169" i="3" s="1"/>
  <c r="AA169" i="3"/>
  <c r="X169" i="3"/>
  <c r="W169" i="3"/>
  <c r="U169" i="3"/>
  <c r="R169" i="3"/>
  <c r="O169" i="3"/>
  <c r="N169" i="3"/>
  <c r="L169" i="3"/>
  <c r="I169" i="3"/>
  <c r="H169" i="3"/>
  <c r="F169" i="3"/>
  <c r="C169" i="3"/>
  <c r="AD168" i="3"/>
  <c r="AC168" i="3"/>
  <c r="AA168" i="3"/>
  <c r="W168" i="3"/>
  <c r="X168" i="3" s="1"/>
  <c r="U168" i="3"/>
  <c r="R168" i="3"/>
  <c r="N168" i="3"/>
  <c r="O168" i="3" s="1"/>
  <c r="L168" i="3"/>
  <c r="H168" i="3"/>
  <c r="I168" i="3" s="1"/>
  <c r="F168" i="3"/>
  <c r="C168" i="3"/>
  <c r="AC167" i="3"/>
  <c r="AD167" i="3" s="1"/>
  <c r="AA167" i="3"/>
  <c r="X167" i="3"/>
  <c r="W167" i="3"/>
  <c r="U167" i="3"/>
  <c r="R167" i="3"/>
  <c r="N167" i="3"/>
  <c r="O167" i="3" s="1"/>
  <c r="L167" i="3"/>
  <c r="I167" i="3"/>
  <c r="H167" i="3"/>
  <c r="F167" i="3"/>
  <c r="C167" i="3"/>
  <c r="Z166" i="3"/>
  <c r="AA166" i="3" s="1"/>
  <c r="T166" i="3"/>
  <c r="U166" i="3" s="1"/>
  <c r="R166" i="3"/>
  <c r="Q166" i="3"/>
  <c r="L166" i="3"/>
  <c r="K166" i="3"/>
  <c r="E166" i="3"/>
  <c r="F166" i="3" s="1"/>
  <c r="C166" i="3"/>
  <c r="B166" i="3"/>
  <c r="AD165" i="3"/>
  <c r="AC165" i="3"/>
  <c r="AA165" i="3"/>
  <c r="W165" i="3"/>
  <c r="X165" i="3" s="1"/>
  <c r="U165" i="3"/>
  <c r="R165" i="3"/>
  <c r="O165" i="3"/>
  <c r="N165" i="3"/>
  <c r="L165" i="3"/>
  <c r="H165" i="3"/>
  <c r="I165" i="3" s="1"/>
  <c r="F165" i="3"/>
  <c r="C165" i="3"/>
  <c r="AC164" i="3"/>
  <c r="AD164" i="3" s="1"/>
  <c r="AA164" i="3"/>
  <c r="X164" i="3"/>
  <c r="W164" i="3"/>
  <c r="U164" i="3"/>
  <c r="R164" i="3"/>
  <c r="O164" i="3"/>
  <c r="N164" i="3"/>
  <c r="L164" i="3"/>
  <c r="I164" i="3"/>
  <c r="H164" i="3"/>
  <c r="F164" i="3"/>
  <c r="C164" i="3"/>
  <c r="AC163" i="3"/>
  <c r="AD163" i="3" s="1"/>
  <c r="AA163" i="3"/>
  <c r="X163" i="3"/>
  <c r="W163" i="3"/>
  <c r="U163" i="3"/>
  <c r="R163" i="3"/>
  <c r="N163" i="3"/>
  <c r="O163" i="3" s="1"/>
  <c r="L163" i="3"/>
  <c r="I163" i="3"/>
  <c r="H163" i="3"/>
  <c r="F163" i="3"/>
  <c r="C163" i="3"/>
  <c r="AC162" i="3"/>
  <c r="AD162" i="3" s="1"/>
  <c r="AA162" i="3"/>
  <c r="W162" i="3"/>
  <c r="X162" i="3" s="1"/>
  <c r="U162" i="3"/>
  <c r="R162" i="3"/>
  <c r="O162" i="3"/>
  <c r="N162" i="3"/>
  <c r="L162" i="3"/>
  <c r="I162" i="3"/>
  <c r="H162" i="3"/>
  <c r="F162" i="3"/>
  <c r="C162" i="3"/>
  <c r="AD161" i="3"/>
  <c r="AC161" i="3"/>
  <c r="AA161" i="3"/>
  <c r="W161" i="3"/>
  <c r="X161" i="3" s="1"/>
  <c r="U161" i="3"/>
  <c r="R161" i="3"/>
  <c r="O161" i="3"/>
  <c r="N161" i="3"/>
  <c r="L161" i="3"/>
  <c r="H161" i="3"/>
  <c r="I161" i="3" s="1"/>
  <c r="F161" i="3"/>
  <c r="C161" i="3"/>
  <c r="AD160" i="3"/>
  <c r="AC160" i="3"/>
  <c r="AA160" i="3"/>
  <c r="X160" i="3"/>
  <c r="W160" i="3"/>
  <c r="U160" i="3"/>
  <c r="R160" i="3"/>
  <c r="N160" i="3"/>
  <c r="O160" i="3" s="1"/>
  <c r="L160" i="3"/>
  <c r="I160" i="3"/>
  <c r="H160" i="3"/>
  <c r="F160" i="3"/>
  <c r="C160" i="3"/>
  <c r="AA158" i="3"/>
  <c r="Z158" i="3"/>
  <c r="T158" i="3"/>
  <c r="U158" i="3" s="1"/>
  <c r="Q158" i="3"/>
  <c r="L158" i="3"/>
  <c r="K158" i="3"/>
  <c r="E158" i="3"/>
  <c r="F158" i="3" s="1"/>
  <c r="B158" i="3"/>
  <c r="AD157" i="3"/>
  <c r="AC157" i="3"/>
  <c r="AA157" i="3"/>
  <c r="W157" i="3"/>
  <c r="X157" i="3" s="1"/>
  <c r="U157" i="3"/>
  <c r="R157" i="3"/>
  <c r="N157" i="3"/>
  <c r="O157" i="3" s="1"/>
  <c r="L157" i="3"/>
  <c r="H157" i="3"/>
  <c r="I157" i="3" s="1"/>
  <c r="F157" i="3"/>
  <c r="C157" i="3"/>
  <c r="AC156" i="3"/>
  <c r="AD156" i="3" s="1"/>
  <c r="AA156" i="3"/>
  <c r="X156" i="3"/>
  <c r="W156" i="3"/>
  <c r="U156" i="3"/>
  <c r="R156" i="3"/>
  <c r="N156" i="3"/>
  <c r="O156" i="3" s="1"/>
  <c r="L156" i="3"/>
  <c r="I156" i="3"/>
  <c r="H156" i="3"/>
  <c r="F156" i="3"/>
  <c r="C156" i="3"/>
  <c r="AD155" i="3"/>
  <c r="AC155" i="3"/>
  <c r="AA155" i="3"/>
  <c r="X155" i="3"/>
  <c r="W155" i="3"/>
  <c r="U155" i="3"/>
  <c r="R155" i="3"/>
  <c r="N155" i="3"/>
  <c r="O155" i="3" s="1"/>
  <c r="L155" i="3"/>
  <c r="H155" i="3"/>
  <c r="I155" i="3" s="1"/>
  <c r="F155" i="3"/>
  <c r="C155" i="3"/>
  <c r="AC154" i="3"/>
  <c r="AD154" i="3" s="1"/>
  <c r="AA154" i="3"/>
  <c r="X154" i="3"/>
  <c r="W154" i="3"/>
  <c r="U154" i="3"/>
  <c r="R154" i="3"/>
  <c r="O154" i="3"/>
  <c r="N154" i="3"/>
  <c r="L154" i="3"/>
  <c r="H154" i="3"/>
  <c r="I154" i="3" s="1"/>
  <c r="F154" i="3"/>
  <c r="C154" i="3"/>
  <c r="AD153" i="3"/>
  <c r="AC153" i="3"/>
  <c r="AA153" i="3"/>
  <c r="W153" i="3"/>
  <c r="X153" i="3" s="1"/>
  <c r="U153" i="3"/>
  <c r="R153" i="3"/>
  <c r="O153" i="3"/>
  <c r="N153" i="3"/>
  <c r="L153" i="3"/>
  <c r="H153" i="3"/>
  <c r="I153" i="3" s="1"/>
  <c r="F153" i="3"/>
  <c r="C153" i="3"/>
  <c r="AC151" i="3"/>
  <c r="AD151" i="3" s="1"/>
  <c r="AA151" i="3"/>
  <c r="X151" i="3"/>
  <c r="W151" i="3"/>
  <c r="U151" i="3"/>
  <c r="R151" i="3"/>
  <c r="O151" i="3"/>
  <c r="N151" i="3"/>
  <c r="L151" i="3"/>
  <c r="I151" i="3"/>
  <c r="H151" i="3"/>
  <c r="F151" i="3"/>
  <c r="C151" i="3"/>
  <c r="AA149" i="3"/>
  <c r="Z149" i="3"/>
  <c r="T149" i="3"/>
  <c r="U149" i="3" s="1"/>
  <c r="Q149" i="3"/>
  <c r="L149" i="3"/>
  <c r="K149" i="3"/>
  <c r="F149" i="3"/>
  <c r="E149" i="3"/>
  <c r="B149" i="3"/>
  <c r="Z148" i="3"/>
  <c r="AA148" i="3" s="1"/>
  <c r="X148" i="3"/>
  <c r="W148" i="3"/>
  <c r="U148" i="3"/>
  <c r="T148" i="3"/>
  <c r="R148" i="3"/>
  <c r="Q148" i="3"/>
  <c r="AC148" i="3" s="1"/>
  <c r="AD148" i="3" s="1"/>
  <c r="K148" i="3"/>
  <c r="L148" i="3" s="1"/>
  <c r="I148" i="3"/>
  <c r="H148" i="3"/>
  <c r="F148" i="3"/>
  <c r="E148" i="3"/>
  <c r="B148" i="3"/>
  <c r="C148" i="3" s="1"/>
  <c r="AD147" i="3"/>
  <c r="AC147" i="3"/>
  <c r="AA147" i="3"/>
  <c r="X147" i="3"/>
  <c r="W147" i="3"/>
  <c r="U147" i="3"/>
  <c r="R147" i="3"/>
  <c r="N147" i="3"/>
  <c r="O147" i="3" s="1"/>
  <c r="L147" i="3"/>
  <c r="H147" i="3"/>
  <c r="I147" i="3" s="1"/>
  <c r="F147" i="3"/>
  <c r="C147" i="3"/>
  <c r="AC146" i="3"/>
  <c r="AD146" i="3" s="1"/>
  <c r="AA146" i="3"/>
  <c r="W146" i="3"/>
  <c r="X146" i="3" s="1"/>
  <c r="U146" i="3"/>
  <c r="R146" i="3"/>
  <c r="O146" i="3"/>
  <c r="N146" i="3"/>
  <c r="L146" i="3"/>
  <c r="H146" i="3"/>
  <c r="I146" i="3" s="1"/>
  <c r="F146" i="3"/>
  <c r="C146" i="3"/>
  <c r="AD145" i="3"/>
  <c r="AC145" i="3"/>
  <c r="AA145" i="3"/>
  <c r="W145" i="3"/>
  <c r="X145" i="3" s="1"/>
  <c r="U145" i="3"/>
  <c r="R145" i="3"/>
  <c r="O145" i="3"/>
  <c r="N145" i="3"/>
  <c r="L145" i="3"/>
  <c r="H145" i="3"/>
  <c r="I145" i="3" s="1"/>
  <c r="F145" i="3"/>
  <c r="C145" i="3"/>
  <c r="AC144" i="3"/>
  <c r="AD144" i="3" s="1"/>
  <c r="AA144" i="3"/>
  <c r="X144" i="3"/>
  <c r="W144" i="3"/>
  <c r="U144" i="3"/>
  <c r="R144" i="3"/>
  <c r="O144" i="3"/>
  <c r="N144" i="3"/>
  <c r="L144" i="3"/>
  <c r="I144" i="3"/>
  <c r="H144" i="3"/>
  <c r="F144" i="3"/>
  <c r="C144" i="3"/>
  <c r="AC143" i="3"/>
  <c r="AD143" i="3" s="1"/>
  <c r="AA143" i="3"/>
  <c r="X143" i="3"/>
  <c r="W143" i="3"/>
  <c r="U143" i="3"/>
  <c r="R143" i="3"/>
  <c r="N143" i="3"/>
  <c r="O143" i="3" s="1"/>
  <c r="L143" i="3"/>
  <c r="I143" i="3"/>
  <c r="H143" i="3"/>
  <c r="F143" i="3"/>
  <c r="C143" i="3"/>
  <c r="Z141" i="3"/>
  <c r="AA141" i="3" s="1"/>
  <c r="W141" i="3"/>
  <c r="X141" i="3" s="1"/>
  <c r="U141" i="3"/>
  <c r="T141" i="3"/>
  <c r="Q141" i="3"/>
  <c r="R141" i="3" s="1"/>
  <c r="K141" i="3"/>
  <c r="L141" i="3" s="1"/>
  <c r="E141" i="3"/>
  <c r="F141" i="3" s="1"/>
  <c r="B141" i="3"/>
  <c r="AD140" i="3"/>
  <c r="AC140" i="3"/>
  <c r="AA140" i="3"/>
  <c r="X140" i="3"/>
  <c r="W140" i="3"/>
  <c r="U140" i="3"/>
  <c r="R140" i="3"/>
  <c r="N140" i="3"/>
  <c r="O140" i="3" s="1"/>
  <c r="L140" i="3"/>
  <c r="I140" i="3"/>
  <c r="H140" i="3"/>
  <c r="F140" i="3"/>
  <c r="C140" i="3"/>
  <c r="AC139" i="3"/>
  <c r="AD139" i="3" s="1"/>
  <c r="AA139" i="3"/>
  <c r="W139" i="3"/>
  <c r="X139" i="3" s="1"/>
  <c r="U139" i="3"/>
  <c r="R139" i="3"/>
  <c r="N139" i="3"/>
  <c r="O139" i="3" s="1"/>
  <c r="L139" i="3"/>
  <c r="H139" i="3"/>
  <c r="I139" i="3" s="1"/>
  <c r="F139" i="3"/>
  <c r="C139" i="3"/>
  <c r="AC138" i="3"/>
  <c r="AD138" i="3" s="1"/>
  <c r="AA138" i="3"/>
  <c r="X138" i="3"/>
  <c r="W138" i="3"/>
  <c r="U138" i="3"/>
  <c r="R138" i="3"/>
  <c r="O138" i="3"/>
  <c r="N138" i="3"/>
  <c r="L138" i="3"/>
  <c r="I138" i="3"/>
  <c r="H138" i="3"/>
  <c r="F138" i="3"/>
  <c r="C138" i="3"/>
  <c r="AD137" i="3"/>
  <c r="AC137" i="3"/>
  <c r="AA137" i="3"/>
  <c r="W137" i="3"/>
  <c r="X137" i="3" s="1"/>
  <c r="U137" i="3"/>
  <c r="R137" i="3"/>
  <c r="N137" i="3"/>
  <c r="O137" i="3" s="1"/>
  <c r="L137" i="3"/>
  <c r="H137" i="3"/>
  <c r="I137" i="3" s="1"/>
  <c r="F137" i="3"/>
  <c r="C137" i="3"/>
  <c r="AD136" i="3"/>
  <c r="AC136" i="3"/>
  <c r="AA136" i="3"/>
  <c r="X136" i="3"/>
  <c r="W136" i="3"/>
  <c r="U136" i="3"/>
  <c r="R136" i="3"/>
  <c r="N136" i="3"/>
  <c r="O136" i="3" s="1"/>
  <c r="L136" i="3"/>
  <c r="I136" i="3"/>
  <c r="H136" i="3"/>
  <c r="F136" i="3"/>
  <c r="C136" i="3"/>
  <c r="AC135" i="3"/>
  <c r="AD135" i="3" s="1"/>
  <c r="AA135" i="3"/>
  <c r="X135" i="3"/>
  <c r="W135" i="3"/>
  <c r="U135" i="3"/>
  <c r="R135" i="3"/>
  <c r="N135" i="3"/>
  <c r="O135" i="3" s="1"/>
  <c r="L135" i="3"/>
  <c r="I135" i="3"/>
  <c r="H135" i="3"/>
  <c r="F135" i="3"/>
  <c r="C135" i="3"/>
  <c r="AC134" i="3"/>
  <c r="AD134" i="3" s="1"/>
  <c r="AA134" i="3"/>
  <c r="W134" i="3"/>
  <c r="X134" i="3" s="1"/>
  <c r="U134" i="3"/>
  <c r="R134" i="3"/>
  <c r="O134" i="3"/>
  <c r="N134" i="3"/>
  <c r="L134" i="3"/>
  <c r="I134" i="3"/>
  <c r="H134" i="3"/>
  <c r="F134" i="3"/>
  <c r="C134" i="3"/>
  <c r="AD133" i="3"/>
  <c r="AC133" i="3"/>
  <c r="AA133" i="3"/>
  <c r="W133" i="3"/>
  <c r="X133" i="3" s="1"/>
  <c r="U133" i="3"/>
  <c r="R133" i="3"/>
  <c r="O133" i="3"/>
  <c r="N133" i="3"/>
  <c r="L133" i="3"/>
  <c r="H133" i="3"/>
  <c r="I133" i="3" s="1"/>
  <c r="F133" i="3"/>
  <c r="C133" i="3"/>
  <c r="AD132" i="3"/>
  <c r="AC132" i="3"/>
  <c r="AA132" i="3"/>
  <c r="X132" i="3"/>
  <c r="W132" i="3"/>
  <c r="U132" i="3"/>
  <c r="R132" i="3"/>
  <c r="N132" i="3"/>
  <c r="O132" i="3" s="1"/>
  <c r="L132" i="3"/>
  <c r="I132" i="3"/>
  <c r="H132" i="3"/>
  <c r="F132" i="3"/>
  <c r="C132" i="3"/>
  <c r="AC131" i="3"/>
  <c r="AD131" i="3" s="1"/>
  <c r="AA131" i="3"/>
  <c r="W131" i="3"/>
  <c r="X131" i="3" s="1"/>
  <c r="U131" i="3"/>
  <c r="R131" i="3"/>
  <c r="N131" i="3"/>
  <c r="O131" i="3" s="1"/>
  <c r="L131" i="3"/>
  <c r="I131" i="3"/>
  <c r="H131" i="3"/>
  <c r="F131" i="3"/>
  <c r="C131" i="3"/>
  <c r="AC130" i="3"/>
  <c r="AD130" i="3" s="1"/>
  <c r="AA130" i="3"/>
  <c r="X130" i="3"/>
  <c r="W130" i="3"/>
  <c r="U130" i="3"/>
  <c r="R130" i="3"/>
  <c r="O130" i="3"/>
  <c r="N130" i="3"/>
  <c r="L130" i="3"/>
  <c r="I130" i="3"/>
  <c r="H130" i="3"/>
  <c r="F130" i="3"/>
  <c r="C130" i="3"/>
  <c r="AD129" i="3"/>
  <c r="AC129" i="3"/>
  <c r="AA129" i="3"/>
  <c r="W129" i="3"/>
  <c r="X129" i="3" s="1"/>
  <c r="U129" i="3"/>
  <c r="R129" i="3"/>
  <c r="N129" i="3"/>
  <c r="O129" i="3" s="1"/>
  <c r="L129" i="3"/>
  <c r="H129" i="3"/>
  <c r="I129" i="3" s="1"/>
  <c r="F129" i="3"/>
  <c r="C129" i="3"/>
  <c r="AC127" i="3"/>
  <c r="AD127" i="3" s="1"/>
  <c r="AA127" i="3"/>
  <c r="X127" i="3"/>
  <c r="W127" i="3"/>
  <c r="U127" i="3"/>
  <c r="R127" i="3"/>
  <c r="O127" i="3"/>
  <c r="N127" i="3"/>
  <c r="L127" i="3"/>
  <c r="I127" i="3"/>
  <c r="H127" i="3"/>
  <c r="F127" i="3"/>
  <c r="C127" i="3"/>
  <c r="Z124" i="3"/>
  <c r="Z172" i="3" s="1"/>
  <c r="Z198" i="3" s="1"/>
  <c r="X124" i="3"/>
  <c r="T124" i="3"/>
  <c r="U124" i="3" s="1"/>
  <c r="R124" i="3"/>
  <c r="Q124" i="3"/>
  <c r="W124" i="3" s="1"/>
  <c r="N124" i="3"/>
  <c r="O124" i="3" s="1"/>
  <c r="L124" i="3"/>
  <c r="K124" i="3"/>
  <c r="K172" i="3" s="1"/>
  <c r="E124" i="3"/>
  <c r="F124" i="3" s="1"/>
  <c r="C124" i="3"/>
  <c r="B124" i="3"/>
  <c r="AD123" i="3"/>
  <c r="AC123" i="3"/>
  <c r="AA123" i="3"/>
  <c r="W123" i="3"/>
  <c r="X123" i="3" s="1"/>
  <c r="U123" i="3"/>
  <c r="R123" i="3"/>
  <c r="O123" i="3"/>
  <c r="N123" i="3"/>
  <c r="L123" i="3"/>
  <c r="H123" i="3"/>
  <c r="I123" i="3" s="1"/>
  <c r="F123" i="3"/>
  <c r="C123" i="3"/>
  <c r="AC122" i="3"/>
  <c r="AD122" i="3" s="1"/>
  <c r="AA122" i="3"/>
  <c r="Z122" i="3"/>
  <c r="U122" i="3"/>
  <c r="T122" i="3"/>
  <c r="Q122" i="3"/>
  <c r="W122" i="3" s="1"/>
  <c r="X122" i="3" s="1"/>
  <c r="K122" i="3"/>
  <c r="L122" i="3" s="1"/>
  <c r="E122" i="3"/>
  <c r="C122" i="3"/>
  <c r="B122" i="3"/>
  <c r="N122" i="3" s="1"/>
  <c r="O122" i="3" s="1"/>
  <c r="AC121" i="3"/>
  <c r="AD121" i="3" s="1"/>
  <c r="AA121" i="3"/>
  <c r="X121" i="3"/>
  <c r="W121" i="3"/>
  <c r="U121" i="3"/>
  <c r="R121" i="3"/>
  <c r="N121" i="3"/>
  <c r="O121" i="3" s="1"/>
  <c r="L121" i="3"/>
  <c r="H121" i="3"/>
  <c r="I121" i="3" s="1"/>
  <c r="F121" i="3"/>
  <c r="C121" i="3"/>
  <c r="AD120" i="3"/>
  <c r="AC120" i="3"/>
  <c r="AA120" i="3"/>
  <c r="W120" i="3"/>
  <c r="X120" i="3" s="1"/>
  <c r="U120" i="3"/>
  <c r="R120" i="3"/>
  <c r="O120" i="3"/>
  <c r="N120" i="3"/>
  <c r="L120" i="3"/>
  <c r="I120" i="3"/>
  <c r="H120" i="3"/>
  <c r="F120" i="3"/>
  <c r="C120" i="3"/>
  <c r="AC119" i="3"/>
  <c r="AD119" i="3" s="1"/>
  <c r="AA119" i="3"/>
  <c r="W119" i="3"/>
  <c r="X119" i="3" s="1"/>
  <c r="U119" i="3"/>
  <c r="R119" i="3"/>
  <c r="O119" i="3"/>
  <c r="N119" i="3"/>
  <c r="L119" i="3"/>
  <c r="I119" i="3"/>
  <c r="H119" i="3"/>
  <c r="F119" i="3"/>
  <c r="C119" i="3"/>
  <c r="AC118" i="3"/>
  <c r="AD118" i="3" s="1"/>
  <c r="Z118" i="3"/>
  <c r="AA118" i="3" s="1"/>
  <c r="U118" i="3"/>
  <c r="T118" i="3"/>
  <c r="R118" i="3"/>
  <c r="Q118" i="3"/>
  <c r="W118" i="3" s="1"/>
  <c r="X118" i="3" s="1"/>
  <c r="L118" i="3"/>
  <c r="K118" i="3"/>
  <c r="E118" i="3"/>
  <c r="F118" i="3" s="1"/>
  <c r="B118" i="3"/>
  <c r="AD117" i="3"/>
  <c r="AC117" i="3"/>
  <c r="AA117" i="3"/>
  <c r="W117" i="3"/>
  <c r="X117" i="3" s="1"/>
  <c r="U117" i="3"/>
  <c r="R117" i="3"/>
  <c r="N117" i="3"/>
  <c r="O117" i="3" s="1"/>
  <c r="L117" i="3"/>
  <c r="I117" i="3"/>
  <c r="H117" i="3"/>
  <c r="F117" i="3"/>
  <c r="C117" i="3"/>
  <c r="AD116" i="3"/>
  <c r="AC116" i="3"/>
  <c r="AA116" i="3"/>
  <c r="W116" i="3"/>
  <c r="X116" i="3" s="1"/>
  <c r="U116" i="3"/>
  <c r="R116" i="3"/>
  <c r="N116" i="3"/>
  <c r="O116" i="3" s="1"/>
  <c r="L116" i="3"/>
  <c r="I116" i="3"/>
  <c r="H116" i="3"/>
  <c r="F116" i="3"/>
  <c r="C116" i="3"/>
  <c r="AD115" i="3"/>
  <c r="AC115" i="3"/>
  <c r="AA115" i="3"/>
  <c r="W115" i="3"/>
  <c r="X115" i="3" s="1"/>
  <c r="U115" i="3"/>
  <c r="R115" i="3"/>
  <c r="N115" i="3"/>
  <c r="O115" i="3" s="1"/>
  <c r="L115" i="3"/>
  <c r="H115" i="3"/>
  <c r="I115" i="3" s="1"/>
  <c r="F115" i="3"/>
  <c r="C115" i="3"/>
  <c r="AD114" i="3"/>
  <c r="AC114" i="3"/>
  <c r="AA114" i="3"/>
  <c r="X114" i="3"/>
  <c r="W114" i="3"/>
  <c r="U114" i="3"/>
  <c r="R114" i="3"/>
  <c r="N114" i="3"/>
  <c r="O114" i="3" s="1"/>
  <c r="L114" i="3"/>
  <c r="H114" i="3"/>
  <c r="I114" i="3" s="1"/>
  <c r="F114" i="3"/>
  <c r="C114" i="3"/>
  <c r="AD113" i="3"/>
  <c r="AC113" i="3"/>
  <c r="AA113" i="3"/>
  <c r="W113" i="3"/>
  <c r="X113" i="3" s="1"/>
  <c r="U113" i="3"/>
  <c r="R113" i="3"/>
  <c r="O113" i="3"/>
  <c r="N113" i="3"/>
  <c r="L113" i="3"/>
  <c r="I113" i="3"/>
  <c r="H113" i="3"/>
  <c r="F113" i="3"/>
  <c r="C113" i="3"/>
  <c r="AC112" i="3"/>
  <c r="AD112" i="3" s="1"/>
  <c r="AA112" i="3"/>
  <c r="W112" i="3"/>
  <c r="X112" i="3" s="1"/>
  <c r="U112" i="3"/>
  <c r="R112" i="3"/>
  <c r="O112" i="3"/>
  <c r="N112" i="3"/>
  <c r="L112" i="3"/>
  <c r="I112" i="3"/>
  <c r="H112" i="3"/>
  <c r="F112" i="3"/>
  <c r="C112" i="3"/>
  <c r="AD111" i="3"/>
  <c r="AC111" i="3"/>
  <c r="AA111" i="3"/>
  <c r="W111" i="3"/>
  <c r="X111" i="3" s="1"/>
  <c r="U111" i="3"/>
  <c r="R111" i="3"/>
  <c r="N111" i="3"/>
  <c r="O111" i="3" s="1"/>
  <c r="L111" i="3"/>
  <c r="I111" i="3"/>
  <c r="H111" i="3"/>
  <c r="F111" i="3"/>
  <c r="C111" i="3"/>
  <c r="AD110" i="3"/>
  <c r="AC110" i="3"/>
  <c r="AA110" i="3"/>
  <c r="X110" i="3"/>
  <c r="W110" i="3"/>
  <c r="U110" i="3"/>
  <c r="R110" i="3"/>
  <c r="N110" i="3"/>
  <c r="O110" i="3" s="1"/>
  <c r="L110" i="3"/>
  <c r="H110" i="3"/>
  <c r="I110" i="3" s="1"/>
  <c r="F110" i="3"/>
  <c r="C110" i="3"/>
  <c r="AD109" i="3"/>
  <c r="AC109" i="3"/>
  <c r="AA109" i="3"/>
  <c r="W109" i="3"/>
  <c r="X109" i="3" s="1"/>
  <c r="U109" i="3"/>
  <c r="R109" i="3"/>
  <c r="O109" i="3"/>
  <c r="N109" i="3"/>
  <c r="L109" i="3"/>
  <c r="I109" i="3"/>
  <c r="H109" i="3"/>
  <c r="F109" i="3"/>
  <c r="C109" i="3"/>
  <c r="AD108" i="3"/>
  <c r="AC108" i="3"/>
  <c r="AA108" i="3"/>
  <c r="W108" i="3"/>
  <c r="X108" i="3" s="1"/>
  <c r="U108" i="3"/>
  <c r="R108" i="3"/>
  <c r="N108" i="3"/>
  <c r="O108" i="3" s="1"/>
  <c r="L108" i="3"/>
  <c r="I108" i="3"/>
  <c r="H108" i="3"/>
  <c r="F108" i="3"/>
  <c r="C108" i="3"/>
  <c r="AD107" i="3"/>
  <c r="AC107" i="3"/>
  <c r="AA107" i="3"/>
  <c r="W107" i="3"/>
  <c r="X107" i="3" s="1"/>
  <c r="U107" i="3"/>
  <c r="R107" i="3"/>
  <c r="N107" i="3"/>
  <c r="O107" i="3" s="1"/>
  <c r="L107" i="3"/>
  <c r="H107" i="3"/>
  <c r="I107" i="3" s="1"/>
  <c r="F107" i="3"/>
  <c r="C107" i="3"/>
  <c r="AD106" i="3"/>
  <c r="AC106" i="3"/>
  <c r="AA106" i="3"/>
  <c r="X106" i="3"/>
  <c r="W106" i="3"/>
  <c r="U106" i="3"/>
  <c r="R106" i="3"/>
  <c r="N106" i="3"/>
  <c r="O106" i="3" s="1"/>
  <c r="L106" i="3"/>
  <c r="H106" i="3"/>
  <c r="I106" i="3" s="1"/>
  <c r="F106" i="3"/>
  <c r="C106" i="3"/>
  <c r="AD105" i="3"/>
  <c r="AC105" i="3"/>
  <c r="AA105" i="3"/>
  <c r="W105" i="3"/>
  <c r="X105" i="3" s="1"/>
  <c r="U105" i="3"/>
  <c r="R105" i="3"/>
  <c r="O105" i="3"/>
  <c r="N105" i="3"/>
  <c r="L105" i="3"/>
  <c r="I105" i="3"/>
  <c r="H105" i="3"/>
  <c r="F105" i="3"/>
  <c r="C105" i="3"/>
  <c r="AD104" i="3"/>
  <c r="AC104" i="3"/>
  <c r="AA104" i="3"/>
  <c r="W104" i="3"/>
  <c r="X104" i="3" s="1"/>
  <c r="U104" i="3"/>
  <c r="R104" i="3"/>
  <c r="O104" i="3"/>
  <c r="N104" i="3"/>
  <c r="L104" i="3"/>
  <c r="I104" i="3"/>
  <c r="H104" i="3"/>
  <c r="F104" i="3"/>
  <c r="C104" i="3"/>
  <c r="AC103" i="3"/>
  <c r="AD103" i="3" s="1"/>
  <c r="AA103" i="3"/>
  <c r="X103" i="3"/>
  <c r="W103" i="3"/>
  <c r="U103" i="3"/>
  <c r="R103" i="3"/>
  <c r="N103" i="3"/>
  <c r="O103" i="3" s="1"/>
  <c r="L103" i="3"/>
  <c r="I103" i="3"/>
  <c r="H103" i="3"/>
  <c r="F103" i="3"/>
  <c r="C103" i="3"/>
  <c r="AD102" i="3"/>
  <c r="AC102" i="3"/>
  <c r="AA102" i="3"/>
  <c r="W102" i="3"/>
  <c r="X102" i="3" s="1"/>
  <c r="U102" i="3"/>
  <c r="R102" i="3"/>
  <c r="N102" i="3"/>
  <c r="O102" i="3" s="1"/>
  <c r="L102" i="3"/>
  <c r="H102" i="3"/>
  <c r="I102" i="3" s="1"/>
  <c r="F102" i="3"/>
  <c r="C102" i="3"/>
  <c r="AD101" i="3"/>
  <c r="AC101" i="3"/>
  <c r="AA101" i="3"/>
  <c r="W101" i="3"/>
  <c r="X101" i="3" s="1"/>
  <c r="U101" i="3"/>
  <c r="R101" i="3"/>
  <c r="N101" i="3"/>
  <c r="O101" i="3" s="1"/>
  <c r="L101" i="3"/>
  <c r="I101" i="3"/>
  <c r="H101" i="3"/>
  <c r="F101" i="3"/>
  <c r="C101" i="3"/>
  <c r="AD100" i="3"/>
  <c r="AC100" i="3"/>
  <c r="AA100" i="3"/>
  <c r="W100" i="3"/>
  <c r="X100" i="3" s="1"/>
  <c r="U100" i="3"/>
  <c r="R100" i="3"/>
  <c r="N100" i="3"/>
  <c r="O100" i="3" s="1"/>
  <c r="L100" i="3"/>
  <c r="I100" i="3"/>
  <c r="H100" i="3"/>
  <c r="F100" i="3"/>
  <c r="C100" i="3"/>
  <c r="AD99" i="3"/>
  <c r="AC99" i="3"/>
  <c r="AA99" i="3"/>
  <c r="W99" i="3"/>
  <c r="X99" i="3" s="1"/>
  <c r="U99" i="3"/>
  <c r="R99" i="3"/>
  <c r="N99" i="3"/>
  <c r="O99" i="3" s="1"/>
  <c r="L99" i="3"/>
  <c r="H99" i="3"/>
  <c r="I99" i="3" s="1"/>
  <c r="F99" i="3"/>
  <c r="C99" i="3"/>
  <c r="AD98" i="3"/>
  <c r="AC98" i="3"/>
  <c r="AA98" i="3"/>
  <c r="X98" i="3"/>
  <c r="W98" i="3"/>
  <c r="U98" i="3"/>
  <c r="R98" i="3"/>
  <c r="N98" i="3"/>
  <c r="O98" i="3" s="1"/>
  <c r="L98" i="3"/>
  <c r="H98" i="3"/>
  <c r="I98" i="3" s="1"/>
  <c r="F98" i="3"/>
  <c r="C98" i="3"/>
  <c r="AD97" i="3"/>
  <c r="AC97" i="3"/>
  <c r="AA97" i="3"/>
  <c r="W97" i="3"/>
  <c r="X97" i="3" s="1"/>
  <c r="U97" i="3"/>
  <c r="R97" i="3"/>
  <c r="O97" i="3"/>
  <c r="N97" i="3"/>
  <c r="L97" i="3"/>
  <c r="I97" i="3"/>
  <c r="H97" i="3"/>
  <c r="F97" i="3"/>
  <c r="C97" i="3"/>
  <c r="AC96" i="3"/>
  <c r="AD96" i="3" s="1"/>
  <c r="AA96" i="3"/>
  <c r="W96" i="3"/>
  <c r="X96" i="3" s="1"/>
  <c r="U96" i="3"/>
  <c r="R96" i="3"/>
  <c r="O96" i="3"/>
  <c r="N96" i="3"/>
  <c r="L96" i="3"/>
  <c r="I96" i="3"/>
  <c r="H96" i="3"/>
  <c r="F96" i="3"/>
  <c r="C96" i="3"/>
  <c r="AC95" i="3"/>
  <c r="AD95" i="3" s="1"/>
  <c r="AA95" i="3"/>
  <c r="W95" i="3"/>
  <c r="X95" i="3" s="1"/>
  <c r="U95" i="3"/>
  <c r="R95" i="3"/>
  <c r="N95" i="3"/>
  <c r="O95" i="3" s="1"/>
  <c r="L95" i="3"/>
  <c r="I95" i="3"/>
  <c r="H95" i="3"/>
  <c r="F95" i="3"/>
  <c r="C95" i="3"/>
  <c r="AD94" i="3"/>
  <c r="AC94" i="3"/>
  <c r="AA94" i="3"/>
  <c r="W94" i="3"/>
  <c r="X94" i="3" s="1"/>
  <c r="U94" i="3"/>
  <c r="R94" i="3"/>
  <c r="N94" i="3"/>
  <c r="O94" i="3" s="1"/>
  <c r="L94" i="3"/>
  <c r="I94" i="3"/>
  <c r="H94" i="3"/>
  <c r="F94" i="3"/>
  <c r="C94" i="3"/>
  <c r="AD92" i="3"/>
  <c r="AC92" i="3"/>
  <c r="AA92" i="3"/>
  <c r="W92" i="3"/>
  <c r="X92" i="3" s="1"/>
  <c r="U92" i="3"/>
  <c r="R92" i="3"/>
  <c r="N92" i="3"/>
  <c r="O92" i="3" s="1"/>
  <c r="L92" i="3"/>
  <c r="I92" i="3"/>
  <c r="H92" i="3"/>
  <c r="F92" i="3"/>
  <c r="C92" i="3"/>
  <c r="AC91" i="3"/>
  <c r="AD91" i="3" s="1"/>
  <c r="AA91" i="3"/>
  <c r="W91" i="3"/>
  <c r="X91" i="3" s="1"/>
  <c r="U91" i="3"/>
  <c r="R91" i="3"/>
  <c r="N91" i="3"/>
  <c r="O91" i="3" s="1"/>
  <c r="L91" i="3"/>
  <c r="I91" i="3"/>
  <c r="H91" i="3"/>
  <c r="F91" i="3"/>
  <c r="C91" i="3"/>
  <c r="AD90" i="3"/>
  <c r="AC90" i="3"/>
  <c r="AA90" i="3"/>
  <c r="X90" i="3"/>
  <c r="W90" i="3"/>
  <c r="U90" i="3"/>
  <c r="R90" i="3"/>
  <c r="N90" i="3"/>
  <c r="O90" i="3" s="1"/>
  <c r="L90" i="3"/>
  <c r="H90" i="3"/>
  <c r="I90" i="3" s="1"/>
  <c r="F90" i="3"/>
  <c r="C90" i="3"/>
  <c r="AD89" i="3"/>
  <c r="AC89" i="3"/>
  <c r="AA89" i="3"/>
  <c r="X89" i="3"/>
  <c r="W89" i="3"/>
  <c r="U89" i="3"/>
  <c r="R89" i="3"/>
  <c r="N89" i="3"/>
  <c r="O89" i="3" s="1"/>
  <c r="L89" i="3"/>
  <c r="H89" i="3"/>
  <c r="I89" i="3" s="1"/>
  <c r="F89" i="3"/>
  <c r="C89" i="3"/>
  <c r="AA88" i="3"/>
  <c r="Z88" i="3"/>
  <c r="T88" i="3"/>
  <c r="W88" i="3" s="1"/>
  <c r="X88" i="3" s="1"/>
  <c r="R88" i="3"/>
  <c r="Q88" i="3"/>
  <c r="AC88" i="3" s="1"/>
  <c r="AD88" i="3" s="1"/>
  <c r="L88" i="3"/>
  <c r="K88" i="3"/>
  <c r="H88" i="3"/>
  <c r="I88" i="3" s="1"/>
  <c r="F88" i="3"/>
  <c r="E88" i="3"/>
  <c r="C88" i="3"/>
  <c r="B88" i="3"/>
  <c r="AC87" i="3"/>
  <c r="AD87" i="3" s="1"/>
  <c r="AA87" i="3"/>
  <c r="X87" i="3"/>
  <c r="W87" i="3"/>
  <c r="U87" i="3"/>
  <c r="R87" i="3"/>
  <c r="N87" i="3"/>
  <c r="O87" i="3" s="1"/>
  <c r="L87" i="3"/>
  <c r="I87" i="3"/>
  <c r="H87" i="3"/>
  <c r="F87" i="3"/>
  <c r="C87" i="3"/>
  <c r="AD86" i="3"/>
  <c r="AC86" i="3"/>
  <c r="AA86" i="3"/>
  <c r="W86" i="3"/>
  <c r="X86" i="3" s="1"/>
  <c r="U86" i="3"/>
  <c r="R86" i="3"/>
  <c r="N86" i="3"/>
  <c r="O86" i="3" s="1"/>
  <c r="L86" i="3"/>
  <c r="H86" i="3"/>
  <c r="I86" i="3" s="1"/>
  <c r="F86" i="3"/>
  <c r="C86" i="3"/>
  <c r="AD85" i="3"/>
  <c r="AC85" i="3"/>
  <c r="AA85" i="3"/>
  <c r="W85" i="3"/>
  <c r="X85" i="3" s="1"/>
  <c r="U85" i="3"/>
  <c r="R85" i="3"/>
  <c r="N85" i="3"/>
  <c r="O85" i="3" s="1"/>
  <c r="L85" i="3"/>
  <c r="I85" i="3"/>
  <c r="H85" i="3"/>
  <c r="F85" i="3"/>
  <c r="C85" i="3"/>
  <c r="AD84" i="3"/>
  <c r="AC84" i="3"/>
  <c r="AA84" i="3"/>
  <c r="W84" i="3"/>
  <c r="X84" i="3" s="1"/>
  <c r="U84" i="3"/>
  <c r="R84" i="3"/>
  <c r="N84" i="3"/>
  <c r="O84" i="3" s="1"/>
  <c r="L84" i="3"/>
  <c r="I84" i="3"/>
  <c r="H84" i="3"/>
  <c r="F84" i="3"/>
  <c r="C84" i="3"/>
  <c r="AD83" i="3"/>
  <c r="AC83" i="3"/>
  <c r="AA83" i="3"/>
  <c r="W83" i="3"/>
  <c r="X83" i="3" s="1"/>
  <c r="U83" i="3"/>
  <c r="R83" i="3"/>
  <c r="N83" i="3"/>
  <c r="O83" i="3" s="1"/>
  <c r="L83" i="3"/>
  <c r="H83" i="3"/>
  <c r="I83" i="3" s="1"/>
  <c r="F83" i="3"/>
  <c r="C83" i="3"/>
  <c r="AD82" i="3"/>
  <c r="AC82" i="3"/>
  <c r="AA82" i="3"/>
  <c r="X82" i="3"/>
  <c r="W82" i="3"/>
  <c r="U82" i="3"/>
  <c r="R82" i="3"/>
  <c r="N82" i="3"/>
  <c r="O82" i="3" s="1"/>
  <c r="L82" i="3"/>
  <c r="H82" i="3"/>
  <c r="I82" i="3" s="1"/>
  <c r="F82" i="3"/>
  <c r="C82" i="3"/>
  <c r="AD81" i="3"/>
  <c r="AC81" i="3"/>
  <c r="AA81" i="3"/>
  <c r="W81" i="3"/>
  <c r="X81" i="3" s="1"/>
  <c r="U81" i="3"/>
  <c r="R81" i="3"/>
  <c r="O81" i="3"/>
  <c r="N81" i="3"/>
  <c r="L81" i="3"/>
  <c r="I81" i="3"/>
  <c r="H81" i="3"/>
  <c r="F81" i="3"/>
  <c r="C81" i="3"/>
  <c r="AC80" i="3"/>
  <c r="AD80" i="3" s="1"/>
  <c r="AA80" i="3"/>
  <c r="W80" i="3"/>
  <c r="X80" i="3" s="1"/>
  <c r="U80" i="3"/>
  <c r="R80" i="3"/>
  <c r="O80" i="3"/>
  <c r="N80" i="3"/>
  <c r="L80" i="3"/>
  <c r="I80" i="3"/>
  <c r="H80" i="3"/>
  <c r="F80" i="3"/>
  <c r="C80" i="3"/>
  <c r="AC79" i="3"/>
  <c r="AD79" i="3" s="1"/>
  <c r="AA79" i="3"/>
  <c r="W79" i="3"/>
  <c r="X79" i="3" s="1"/>
  <c r="U79" i="3"/>
  <c r="R79" i="3"/>
  <c r="N79" i="3"/>
  <c r="O79" i="3" s="1"/>
  <c r="L79" i="3"/>
  <c r="I79" i="3"/>
  <c r="H79" i="3"/>
  <c r="F79" i="3"/>
  <c r="C79" i="3"/>
  <c r="AD78" i="3"/>
  <c r="AC78" i="3"/>
  <c r="AA78" i="3"/>
  <c r="W78" i="3"/>
  <c r="X78" i="3" s="1"/>
  <c r="U78" i="3"/>
  <c r="R78" i="3"/>
  <c r="N78" i="3"/>
  <c r="O78" i="3" s="1"/>
  <c r="L78" i="3"/>
  <c r="I78" i="3"/>
  <c r="H78" i="3"/>
  <c r="F78" i="3"/>
  <c r="C78" i="3"/>
  <c r="AD77" i="3"/>
  <c r="AC77" i="3"/>
  <c r="AA77" i="3"/>
  <c r="W77" i="3"/>
  <c r="X77" i="3" s="1"/>
  <c r="U77" i="3"/>
  <c r="R77" i="3"/>
  <c r="N77" i="3"/>
  <c r="O77" i="3" s="1"/>
  <c r="L77" i="3"/>
  <c r="I77" i="3"/>
  <c r="H77" i="3"/>
  <c r="F77" i="3"/>
  <c r="C77" i="3"/>
  <c r="AC76" i="3"/>
  <c r="AD76" i="3" s="1"/>
  <c r="AA76" i="3"/>
  <c r="W76" i="3"/>
  <c r="X76" i="3" s="1"/>
  <c r="U76" i="3"/>
  <c r="R76" i="3"/>
  <c r="N76" i="3"/>
  <c r="O76" i="3" s="1"/>
  <c r="L76" i="3"/>
  <c r="I76" i="3"/>
  <c r="H76" i="3"/>
  <c r="F76" i="3"/>
  <c r="C76" i="3"/>
  <c r="AD75" i="3"/>
  <c r="AC75" i="3"/>
  <c r="AA75" i="3"/>
  <c r="X75" i="3"/>
  <c r="W75" i="3"/>
  <c r="U75" i="3"/>
  <c r="R75" i="3"/>
  <c r="N75" i="3"/>
  <c r="O75" i="3" s="1"/>
  <c r="L75" i="3"/>
  <c r="H75" i="3"/>
  <c r="I75" i="3" s="1"/>
  <c r="F75" i="3"/>
  <c r="C75" i="3"/>
  <c r="Z73" i="3"/>
  <c r="AA73" i="3" s="1"/>
  <c r="X73" i="3"/>
  <c r="W73" i="3"/>
  <c r="U73" i="3"/>
  <c r="T73" i="3"/>
  <c r="R73" i="3"/>
  <c r="Q73" i="3"/>
  <c r="N73" i="3"/>
  <c r="O73" i="3" s="1"/>
  <c r="L73" i="3"/>
  <c r="K73" i="3"/>
  <c r="I73" i="3"/>
  <c r="F73" i="3"/>
  <c r="E73" i="3"/>
  <c r="C73" i="3"/>
  <c r="B73" i="3"/>
  <c r="H73" i="3" s="1"/>
  <c r="AC72" i="3"/>
  <c r="AD72" i="3" s="1"/>
  <c r="AA72" i="3"/>
  <c r="W72" i="3"/>
  <c r="X72" i="3" s="1"/>
  <c r="U72" i="3"/>
  <c r="R72" i="3"/>
  <c r="O72" i="3"/>
  <c r="N72" i="3"/>
  <c r="L72" i="3"/>
  <c r="I72" i="3"/>
  <c r="H72" i="3"/>
  <c r="F72" i="3"/>
  <c r="C72" i="3"/>
  <c r="AC71" i="3"/>
  <c r="AD71" i="3" s="1"/>
  <c r="AA71" i="3"/>
  <c r="W71" i="3"/>
  <c r="X71" i="3" s="1"/>
  <c r="U71" i="3"/>
  <c r="R71" i="3"/>
  <c r="N71" i="3"/>
  <c r="O71" i="3" s="1"/>
  <c r="L71" i="3"/>
  <c r="I71" i="3"/>
  <c r="H71" i="3"/>
  <c r="F71" i="3"/>
  <c r="C71" i="3"/>
  <c r="AD70" i="3"/>
  <c r="AC70" i="3"/>
  <c r="AA70" i="3"/>
  <c r="W70" i="3"/>
  <c r="X70" i="3" s="1"/>
  <c r="U70" i="3"/>
  <c r="R70" i="3"/>
  <c r="N70" i="3"/>
  <c r="O70" i="3" s="1"/>
  <c r="L70" i="3"/>
  <c r="I70" i="3"/>
  <c r="H70" i="3"/>
  <c r="F70" i="3"/>
  <c r="C70" i="3"/>
  <c r="AD69" i="3"/>
  <c r="AC69" i="3"/>
  <c r="AA69" i="3"/>
  <c r="W69" i="3"/>
  <c r="X69" i="3" s="1"/>
  <c r="U69" i="3"/>
  <c r="R69" i="3"/>
  <c r="N69" i="3"/>
  <c r="O69" i="3" s="1"/>
  <c r="L69" i="3"/>
  <c r="I69" i="3"/>
  <c r="H69" i="3"/>
  <c r="F69" i="3"/>
  <c r="C69" i="3"/>
  <c r="AC68" i="3"/>
  <c r="AD68" i="3" s="1"/>
  <c r="AA68" i="3"/>
  <c r="W68" i="3"/>
  <c r="X68" i="3" s="1"/>
  <c r="U68" i="3"/>
  <c r="R68" i="3"/>
  <c r="N68" i="3"/>
  <c r="O68" i="3" s="1"/>
  <c r="L68" i="3"/>
  <c r="I68" i="3"/>
  <c r="H68" i="3"/>
  <c r="F68" i="3"/>
  <c r="C68" i="3"/>
  <c r="AD67" i="3"/>
  <c r="AC67" i="3"/>
  <c r="AA67" i="3"/>
  <c r="X67" i="3"/>
  <c r="W67" i="3"/>
  <c r="U67" i="3"/>
  <c r="R67" i="3"/>
  <c r="N67" i="3"/>
  <c r="O67" i="3" s="1"/>
  <c r="L67" i="3"/>
  <c r="H67" i="3"/>
  <c r="I67" i="3" s="1"/>
  <c r="F67" i="3"/>
  <c r="C67" i="3"/>
  <c r="AD66" i="3"/>
  <c r="AC66" i="3"/>
  <c r="AA66" i="3"/>
  <c r="X66" i="3"/>
  <c r="W66" i="3"/>
  <c r="U66" i="3"/>
  <c r="R66" i="3"/>
  <c r="N66" i="3"/>
  <c r="O66" i="3" s="1"/>
  <c r="L66" i="3"/>
  <c r="H66" i="3"/>
  <c r="I66" i="3" s="1"/>
  <c r="F66" i="3"/>
  <c r="C66" i="3"/>
  <c r="AD65" i="3"/>
  <c r="AC65" i="3"/>
  <c r="AA65" i="3"/>
  <c r="W65" i="3"/>
  <c r="X65" i="3" s="1"/>
  <c r="U65" i="3"/>
  <c r="R65" i="3"/>
  <c r="O65" i="3"/>
  <c r="N65" i="3"/>
  <c r="L65" i="3"/>
  <c r="I65" i="3"/>
  <c r="H65" i="3"/>
  <c r="F65" i="3"/>
  <c r="C65" i="3"/>
  <c r="AC64" i="3"/>
  <c r="AD64" i="3" s="1"/>
  <c r="AA64" i="3"/>
  <c r="W64" i="3"/>
  <c r="X64" i="3" s="1"/>
  <c r="U64" i="3"/>
  <c r="R64" i="3"/>
  <c r="O64" i="3"/>
  <c r="N64" i="3"/>
  <c r="L64" i="3"/>
  <c r="I64" i="3"/>
  <c r="H64" i="3"/>
  <c r="F64" i="3"/>
  <c r="C64" i="3"/>
  <c r="AC62" i="3"/>
  <c r="AD62" i="3" s="1"/>
  <c r="Z62" i="3"/>
  <c r="AA62" i="3" s="1"/>
  <c r="U62" i="3"/>
  <c r="T62" i="3"/>
  <c r="Q62" i="3"/>
  <c r="L62" i="3"/>
  <c r="K62" i="3"/>
  <c r="F62" i="3"/>
  <c r="E62" i="3"/>
  <c r="C62" i="3"/>
  <c r="B62" i="3"/>
  <c r="AA61" i="3"/>
  <c r="Z61" i="3"/>
  <c r="T61" i="3"/>
  <c r="R61" i="3"/>
  <c r="Q61" i="3"/>
  <c r="AC61" i="3" s="1"/>
  <c r="AD61" i="3" s="1"/>
  <c r="L61" i="3"/>
  <c r="K61" i="3"/>
  <c r="I61" i="3"/>
  <c r="H61" i="3"/>
  <c r="F61" i="3"/>
  <c r="E61" i="3"/>
  <c r="C61" i="3"/>
  <c r="B61" i="3"/>
  <c r="N61" i="3" s="1"/>
  <c r="O61" i="3" s="1"/>
  <c r="AD60" i="3"/>
  <c r="AC60" i="3"/>
  <c r="AA60" i="3"/>
  <c r="W60" i="3"/>
  <c r="X60" i="3" s="1"/>
  <c r="U60" i="3"/>
  <c r="R60" i="3"/>
  <c r="N60" i="3"/>
  <c r="O60" i="3" s="1"/>
  <c r="L60" i="3"/>
  <c r="H60" i="3"/>
  <c r="I60" i="3" s="1"/>
  <c r="F60" i="3"/>
  <c r="C60" i="3"/>
  <c r="AD59" i="3"/>
  <c r="AC59" i="3"/>
  <c r="AA59" i="3"/>
  <c r="X59" i="3"/>
  <c r="W59" i="3"/>
  <c r="U59" i="3"/>
  <c r="R59" i="3"/>
  <c r="N59" i="3"/>
  <c r="O59" i="3" s="1"/>
  <c r="L59" i="3"/>
  <c r="H59" i="3"/>
  <c r="I59" i="3" s="1"/>
  <c r="F59" i="3"/>
  <c r="C59" i="3"/>
  <c r="AD58" i="3"/>
  <c r="AC58" i="3"/>
  <c r="AA58" i="3"/>
  <c r="W58" i="3"/>
  <c r="X58" i="3" s="1"/>
  <c r="U58" i="3"/>
  <c r="R58" i="3"/>
  <c r="O58" i="3"/>
  <c r="N58" i="3"/>
  <c r="L58" i="3"/>
  <c r="I58" i="3"/>
  <c r="H58" i="3"/>
  <c r="F58" i="3"/>
  <c r="C58" i="3"/>
  <c r="AD57" i="3"/>
  <c r="AC57" i="3"/>
  <c r="AA57" i="3"/>
  <c r="W57" i="3"/>
  <c r="X57" i="3" s="1"/>
  <c r="U57" i="3"/>
  <c r="R57" i="3"/>
  <c r="O57" i="3"/>
  <c r="N57" i="3"/>
  <c r="L57" i="3"/>
  <c r="I57" i="3"/>
  <c r="H57" i="3"/>
  <c r="F57" i="3"/>
  <c r="C57" i="3"/>
  <c r="AD56" i="3"/>
  <c r="AC56" i="3"/>
  <c r="AA56" i="3"/>
  <c r="X56" i="3"/>
  <c r="W56" i="3"/>
  <c r="U56" i="3"/>
  <c r="R56" i="3"/>
  <c r="N56" i="3"/>
  <c r="O56" i="3" s="1"/>
  <c r="L56" i="3"/>
  <c r="I56" i="3"/>
  <c r="H56" i="3"/>
  <c r="F56" i="3"/>
  <c r="C56" i="3"/>
  <c r="AD55" i="3"/>
  <c r="AC55" i="3"/>
  <c r="AA55" i="3"/>
  <c r="X55" i="3"/>
  <c r="W55" i="3"/>
  <c r="U55" i="3"/>
  <c r="R55" i="3"/>
  <c r="N55" i="3"/>
  <c r="O55" i="3" s="1"/>
  <c r="L55" i="3"/>
  <c r="H55" i="3"/>
  <c r="I55" i="3" s="1"/>
  <c r="F55" i="3"/>
  <c r="C55" i="3"/>
  <c r="AD54" i="3"/>
  <c r="AC54" i="3"/>
  <c r="AA54" i="3"/>
  <c r="W54" i="3"/>
  <c r="X54" i="3" s="1"/>
  <c r="U54" i="3"/>
  <c r="R54" i="3"/>
  <c r="O54" i="3"/>
  <c r="N54" i="3"/>
  <c r="L54" i="3"/>
  <c r="I54" i="3"/>
  <c r="H54" i="3"/>
  <c r="F54" i="3"/>
  <c r="C54" i="3"/>
  <c r="AC53" i="3"/>
  <c r="AD53" i="3" s="1"/>
  <c r="AA53" i="3"/>
  <c r="W53" i="3"/>
  <c r="X53" i="3" s="1"/>
  <c r="U53" i="3"/>
  <c r="R53" i="3"/>
  <c r="N53" i="3"/>
  <c r="O53" i="3" s="1"/>
  <c r="L53" i="3"/>
  <c r="I53" i="3"/>
  <c r="H53" i="3"/>
  <c r="F53" i="3"/>
  <c r="C53" i="3"/>
  <c r="AD52" i="3"/>
  <c r="AC52" i="3"/>
  <c r="AA52" i="3"/>
  <c r="W52" i="3"/>
  <c r="X52" i="3" s="1"/>
  <c r="U52" i="3"/>
  <c r="R52" i="3"/>
  <c r="N52" i="3"/>
  <c r="O52" i="3" s="1"/>
  <c r="L52" i="3"/>
  <c r="H52" i="3"/>
  <c r="I52" i="3" s="1"/>
  <c r="F52" i="3"/>
  <c r="C52" i="3"/>
  <c r="AD51" i="3"/>
  <c r="AC51" i="3"/>
  <c r="AA51" i="3"/>
  <c r="X51" i="3"/>
  <c r="W51" i="3"/>
  <c r="U51" i="3"/>
  <c r="R51" i="3"/>
  <c r="N51" i="3"/>
  <c r="O51" i="3" s="1"/>
  <c r="L51" i="3"/>
  <c r="H51" i="3"/>
  <c r="I51" i="3" s="1"/>
  <c r="F51" i="3"/>
  <c r="C51" i="3"/>
  <c r="AD50" i="3"/>
  <c r="AC50" i="3"/>
  <c r="AA50" i="3"/>
  <c r="W50" i="3"/>
  <c r="X50" i="3" s="1"/>
  <c r="U50" i="3"/>
  <c r="R50" i="3"/>
  <c r="O50" i="3"/>
  <c r="N50" i="3"/>
  <c r="L50" i="3"/>
  <c r="I50" i="3"/>
  <c r="H50" i="3"/>
  <c r="F50" i="3"/>
  <c r="C50" i="3"/>
  <c r="AD49" i="3"/>
  <c r="AC49" i="3"/>
  <c r="AA49" i="3"/>
  <c r="W49" i="3"/>
  <c r="X49" i="3" s="1"/>
  <c r="U49" i="3"/>
  <c r="R49" i="3"/>
  <c r="O49" i="3"/>
  <c r="N49" i="3"/>
  <c r="L49" i="3"/>
  <c r="I49" i="3"/>
  <c r="H49" i="3"/>
  <c r="F49" i="3"/>
  <c r="C49" i="3"/>
  <c r="AC48" i="3"/>
  <c r="AD48" i="3" s="1"/>
  <c r="AA48" i="3"/>
  <c r="X48" i="3"/>
  <c r="W48" i="3"/>
  <c r="U48" i="3"/>
  <c r="R48" i="3"/>
  <c r="N48" i="3"/>
  <c r="O48" i="3" s="1"/>
  <c r="L48" i="3"/>
  <c r="I48" i="3"/>
  <c r="H48" i="3"/>
  <c r="F48" i="3"/>
  <c r="C48" i="3"/>
  <c r="AD47" i="3"/>
  <c r="AC47" i="3"/>
  <c r="AA47" i="3"/>
  <c r="W47" i="3"/>
  <c r="X47" i="3" s="1"/>
  <c r="U47" i="3"/>
  <c r="R47" i="3"/>
  <c r="N47" i="3"/>
  <c r="O47" i="3" s="1"/>
  <c r="L47" i="3"/>
  <c r="I47" i="3"/>
  <c r="H47" i="3"/>
  <c r="F47" i="3"/>
  <c r="C47" i="3"/>
  <c r="AD46" i="3"/>
  <c r="AC46" i="3"/>
  <c r="AA46" i="3"/>
  <c r="W46" i="3"/>
  <c r="X46" i="3" s="1"/>
  <c r="U46" i="3"/>
  <c r="R46" i="3"/>
  <c r="N46" i="3"/>
  <c r="O46" i="3" s="1"/>
  <c r="L46" i="3"/>
  <c r="I46" i="3"/>
  <c r="H46" i="3"/>
  <c r="F46" i="3"/>
  <c r="C46" i="3"/>
  <c r="AD44" i="3"/>
  <c r="AC44" i="3"/>
  <c r="AA44" i="3"/>
  <c r="W44" i="3"/>
  <c r="X44" i="3" s="1"/>
  <c r="U44" i="3"/>
  <c r="R44" i="3"/>
  <c r="N44" i="3"/>
  <c r="O44" i="3" s="1"/>
  <c r="L44" i="3"/>
  <c r="I44" i="3"/>
  <c r="H44" i="3"/>
  <c r="F44" i="3"/>
  <c r="C44" i="3"/>
  <c r="AD43" i="3"/>
  <c r="AC43" i="3"/>
  <c r="AA43" i="3"/>
  <c r="X43" i="3"/>
  <c r="W43" i="3"/>
  <c r="U43" i="3"/>
  <c r="R43" i="3"/>
  <c r="N43" i="3"/>
  <c r="O43" i="3" s="1"/>
  <c r="L43" i="3"/>
  <c r="H43" i="3"/>
  <c r="I43" i="3" s="1"/>
  <c r="F43" i="3"/>
  <c r="C43" i="3"/>
  <c r="AD42" i="3"/>
  <c r="AC42" i="3"/>
  <c r="AA42" i="3"/>
  <c r="X42" i="3"/>
  <c r="W42" i="3"/>
  <c r="U42" i="3"/>
  <c r="R42" i="3"/>
  <c r="N42" i="3"/>
  <c r="O42" i="3" s="1"/>
  <c r="L42" i="3"/>
  <c r="H42" i="3"/>
  <c r="I42" i="3" s="1"/>
  <c r="F42" i="3"/>
  <c r="C42" i="3"/>
  <c r="AA40" i="3"/>
  <c r="Z40" i="3"/>
  <c r="X40" i="3"/>
  <c r="U40" i="3"/>
  <c r="T40" i="3"/>
  <c r="W40" i="3" s="1"/>
  <c r="R40" i="3"/>
  <c r="Q40" i="3"/>
  <c r="AC40" i="3" s="1"/>
  <c r="AD40" i="3" s="1"/>
  <c r="O40" i="3"/>
  <c r="K40" i="3"/>
  <c r="L40" i="3" s="1"/>
  <c r="H40" i="3"/>
  <c r="I40" i="3" s="1"/>
  <c r="F40" i="3"/>
  <c r="E40" i="3"/>
  <c r="C40" i="3"/>
  <c r="B40" i="3"/>
  <c r="N40" i="3" s="1"/>
  <c r="AD39" i="3"/>
  <c r="AC39" i="3"/>
  <c r="AA39" i="3"/>
  <c r="X39" i="3"/>
  <c r="W39" i="3"/>
  <c r="U39" i="3"/>
  <c r="R39" i="3"/>
  <c r="N39" i="3"/>
  <c r="O39" i="3" s="1"/>
  <c r="L39" i="3"/>
  <c r="I39" i="3"/>
  <c r="H39" i="3"/>
  <c r="F39" i="3"/>
  <c r="C39" i="3"/>
  <c r="AD38" i="3"/>
  <c r="AC38" i="3"/>
  <c r="AA38" i="3"/>
  <c r="X38" i="3"/>
  <c r="W38" i="3"/>
  <c r="U38" i="3"/>
  <c r="R38" i="3"/>
  <c r="N38" i="3"/>
  <c r="O38" i="3" s="1"/>
  <c r="L38" i="3"/>
  <c r="H38" i="3"/>
  <c r="I38" i="3" s="1"/>
  <c r="F38" i="3"/>
  <c r="C38" i="3"/>
  <c r="AD37" i="3"/>
  <c r="AC37" i="3"/>
  <c r="AA37" i="3"/>
  <c r="W37" i="3"/>
  <c r="X37" i="3" s="1"/>
  <c r="U37" i="3"/>
  <c r="R37" i="3"/>
  <c r="O37" i="3"/>
  <c r="N37" i="3"/>
  <c r="L37" i="3"/>
  <c r="I37" i="3"/>
  <c r="H37" i="3"/>
  <c r="F37" i="3"/>
  <c r="C37" i="3"/>
  <c r="AC36" i="3"/>
  <c r="AD36" i="3" s="1"/>
  <c r="AA36" i="3"/>
  <c r="W36" i="3"/>
  <c r="X36" i="3" s="1"/>
  <c r="U36" i="3"/>
  <c r="R36" i="3"/>
  <c r="N36" i="3"/>
  <c r="O36" i="3" s="1"/>
  <c r="L36" i="3"/>
  <c r="I36" i="3"/>
  <c r="H36" i="3"/>
  <c r="F36" i="3"/>
  <c r="C36" i="3"/>
  <c r="AD35" i="3"/>
  <c r="AC35" i="3"/>
  <c r="AA35" i="3"/>
  <c r="W35" i="3"/>
  <c r="X35" i="3" s="1"/>
  <c r="U35" i="3"/>
  <c r="R35" i="3"/>
  <c r="N35" i="3"/>
  <c r="O35" i="3" s="1"/>
  <c r="L35" i="3"/>
  <c r="H35" i="3"/>
  <c r="I35" i="3" s="1"/>
  <c r="F35" i="3"/>
  <c r="C35" i="3"/>
  <c r="AD34" i="3"/>
  <c r="AC34" i="3"/>
  <c r="AA34" i="3"/>
  <c r="X34" i="3"/>
  <c r="W34" i="3"/>
  <c r="U34" i="3"/>
  <c r="R34" i="3"/>
  <c r="N34" i="3"/>
  <c r="O34" i="3" s="1"/>
  <c r="L34" i="3"/>
  <c r="H34" i="3"/>
  <c r="I34" i="3" s="1"/>
  <c r="F34" i="3"/>
  <c r="C34" i="3"/>
  <c r="AD33" i="3"/>
  <c r="AC33" i="3"/>
  <c r="AA33" i="3"/>
  <c r="W33" i="3"/>
  <c r="X33" i="3" s="1"/>
  <c r="U33" i="3"/>
  <c r="R33" i="3"/>
  <c r="O33" i="3"/>
  <c r="N33" i="3"/>
  <c r="L33" i="3"/>
  <c r="I33" i="3"/>
  <c r="H33" i="3"/>
  <c r="F33" i="3"/>
  <c r="C33" i="3"/>
  <c r="AD32" i="3"/>
  <c r="AC32" i="3"/>
  <c r="AA32" i="3"/>
  <c r="W32" i="3"/>
  <c r="X32" i="3" s="1"/>
  <c r="U32" i="3"/>
  <c r="R32" i="3"/>
  <c r="O32" i="3"/>
  <c r="N32" i="3"/>
  <c r="L32" i="3"/>
  <c r="I32" i="3"/>
  <c r="H32" i="3"/>
  <c r="F32" i="3"/>
  <c r="C32" i="3"/>
  <c r="AC31" i="3"/>
  <c r="AD31" i="3" s="1"/>
  <c r="AA31" i="3"/>
  <c r="X31" i="3"/>
  <c r="W31" i="3"/>
  <c r="U31" i="3"/>
  <c r="R31" i="3"/>
  <c r="N31" i="3"/>
  <c r="O31" i="3" s="1"/>
  <c r="L31" i="3"/>
  <c r="I31" i="3"/>
  <c r="H31" i="3"/>
  <c r="F31" i="3"/>
  <c r="C31" i="3"/>
  <c r="AA29" i="3"/>
  <c r="Z29" i="3"/>
  <c r="X29" i="3"/>
  <c r="W29" i="3"/>
  <c r="U29" i="3"/>
  <c r="T29" i="3"/>
  <c r="R29" i="3"/>
  <c r="Q29" i="3"/>
  <c r="L29" i="3"/>
  <c r="K29" i="3"/>
  <c r="F29" i="3"/>
  <c r="E29" i="3"/>
  <c r="B29" i="3"/>
  <c r="AC28" i="3"/>
  <c r="AD28" i="3" s="1"/>
  <c r="AA28" i="3"/>
  <c r="W28" i="3"/>
  <c r="X28" i="3" s="1"/>
  <c r="U28" i="3"/>
  <c r="R28" i="3"/>
  <c r="N28" i="3"/>
  <c r="O28" i="3" s="1"/>
  <c r="L28" i="3"/>
  <c r="I28" i="3"/>
  <c r="H28" i="3"/>
  <c r="F28" i="3"/>
  <c r="C28" i="3"/>
  <c r="AD27" i="3"/>
  <c r="AC27" i="3"/>
  <c r="AA27" i="3"/>
  <c r="X27" i="3"/>
  <c r="W27" i="3"/>
  <c r="U27" i="3"/>
  <c r="R27" i="3"/>
  <c r="N27" i="3"/>
  <c r="O27" i="3" s="1"/>
  <c r="L27" i="3"/>
  <c r="H27" i="3"/>
  <c r="I27" i="3" s="1"/>
  <c r="F27" i="3"/>
  <c r="C27" i="3"/>
  <c r="AD26" i="3"/>
  <c r="AC26" i="3"/>
  <c r="AA26" i="3"/>
  <c r="X26" i="3"/>
  <c r="W26" i="3"/>
  <c r="U26" i="3"/>
  <c r="R26" i="3"/>
  <c r="N26" i="3"/>
  <c r="O26" i="3" s="1"/>
  <c r="L26" i="3"/>
  <c r="H26" i="3"/>
  <c r="I26" i="3" s="1"/>
  <c r="F26" i="3"/>
  <c r="C26" i="3"/>
  <c r="AD25" i="3"/>
  <c r="AC25" i="3"/>
  <c r="AA25" i="3"/>
  <c r="W25" i="3"/>
  <c r="X25" i="3" s="1"/>
  <c r="U25" i="3"/>
  <c r="R25" i="3"/>
  <c r="O25" i="3"/>
  <c r="N25" i="3"/>
  <c r="L25" i="3"/>
  <c r="I25" i="3"/>
  <c r="H25" i="3"/>
  <c r="F25" i="3"/>
  <c r="C25" i="3"/>
  <c r="AC24" i="3"/>
  <c r="AD24" i="3" s="1"/>
  <c r="AA24" i="3"/>
  <c r="W24" i="3"/>
  <c r="X24" i="3" s="1"/>
  <c r="U24" i="3"/>
  <c r="R24" i="3"/>
  <c r="O24" i="3"/>
  <c r="N24" i="3"/>
  <c r="L24" i="3"/>
  <c r="I24" i="3"/>
  <c r="H24" i="3"/>
  <c r="F24" i="3"/>
  <c r="C24" i="3"/>
  <c r="AC23" i="3"/>
  <c r="AD23" i="3" s="1"/>
  <c r="AA23" i="3"/>
  <c r="W23" i="3"/>
  <c r="X23" i="3" s="1"/>
  <c r="U23" i="3"/>
  <c r="R23" i="3"/>
  <c r="N23" i="3"/>
  <c r="O23" i="3" s="1"/>
  <c r="L23" i="3"/>
  <c r="I23" i="3"/>
  <c r="H23" i="3"/>
  <c r="F23" i="3"/>
  <c r="C23" i="3"/>
  <c r="AD22" i="3"/>
  <c r="AC22" i="3"/>
  <c r="AA22" i="3"/>
  <c r="W22" i="3"/>
  <c r="X22" i="3" s="1"/>
  <c r="U22" i="3"/>
  <c r="R22" i="3"/>
  <c r="N22" i="3"/>
  <c r="O22" i="3" s="1"/>
  <c r="L22" i="3"/>
  <c r="H22" i="3"/>
  <c r="I22" i="3" s="1"/>
  <c r="F22" i="3"/>
  <c r="C22" i="3"/>
  <c r="AD21" i="3"/>
  <c r="AC21" i="3"/>
  <c r="AA21" i="3"/>
  <c r="W21" i="3"/>
  <c r="X21" i="3" s="1"/>
  <c r="U21" i="3"/>
  <c r="R21" i="3"/>
  <c r="N21" i="3"/>
  <c r="O21" i="3" s="1"/>
  <c r="L21" i="3"/>
  <c r="I21" i="3"/>
  <c r="H21" i="3"/>
  <c r="F21" i="3"/>
  <c r="C21" i="3"/>
  <c r="AC19" i="3"/>
  <c r="AD19" i="3" s="1"/>
  <c r="AA19" i="3"/>
  <c r="W19" i="3"/>
  <c r="X19" i="3" s="1"/>
  <c r="U19" i="3"/>
  <c r="R19" i="3"/>
  <c r="N19" i="3"/>
  <c r="O19" i="3" s="1"/>
  <c r="L19" i="3"/>
  <c r="I19" i="3"/>
  <c r="H19" i="3"/>
  <c r="F19" i="3"/>
  <c r="C19" i="3"/>
  <c r="AA18" i="3"/>
  <c r="Z18" i="3"/>
  <c r="U18" i="3"/>
  <c r="T18" i="3"/>
  <c r="R18" i="3"/>
  <c r="Q18" i="3"/>
  <c r="N18" i="3"/>
  <c r="O18" i="3" s="1"/>
  <c r="L18" i="3"/>
  <c r="K18" i="3"/>
  <c r="E18" i="3"/>
  <c r="F18" i="3" s="1"/>
  <c r="C18" i="3"/>
  <c r="B18" i="3"/>
  <c r="AD17" i="3"/>
  <c r="AC17" i="3"/>
  <c r="AA17" i="3"/>
  <c r="W17" i="3"/>
  <c r="X17" i="3" s="1"/>
  <c r="U17" i="3"/>
  <c r="R17" i="3"/>
  <c r="O17" i="3"/>
  <c r="N17" i="3"/>
  <c r="L17" i="3"/>
  <c r="H17" i="3"/>
  <c r="I17" i="3" s="1"/>
  <c r="F17" i="3"/>
  <c r="C17" i="3"/>
  <c r="AD16" i="3"/>
  <c r="AC16" i="3"/>
  <c r="AA16" i="3"/>
  <c r="W16" i="3"/>
  <c r="X16" i="3" s="1"/>
  <c r="U16" i="3"/>
  <c r="R16" i="3"/>
  <c r="O16" i="3"/>
  <c r="N16" i="3"/>
  <c r="L16" i="3"/>
  <c r="I16" i="3"/>
  <c r="H16" i="3"/>
  <c r="F16" i="3"/>
  <c r="C16" i="3"/>
  <c r="AD15" i="3"/>
  <c r="AC15" i="3"/>
  <c r="AA15" i="3"/>
  <c r="X15" i="3"/>
  <c r="W15" i="3"/>
  <c r="U15" i="3"/>
  <c r="R15" i="3"/>
  <c r="N15" i="3"/>
  <c r="O15" i="3" s="1"/>
  <c r="L15" i="3"/>
  <c r="H15" i="3"/>
  <c r="I15" i="3" s="1"/>
  <c r="F15" i="3"/>
  <c r="C15" i="3"/>
  <c r="AD14" i="3"/>
  <c r="AC14" i="3"/>
  <c r="AA14" i="3"/>
  <c r="X14" i="3"/>
  <c r="W14" i="3"/>
  <c r="U14" i="3"/>
  <c r="R14" i="3"/>
  <c r="N14" i="3"/>
  <c r="O14" i="3" s="1"/>
  <c r="L14" i="3"/>
  <c r="H14" i="3"/>
  <c r="I14" i="3" s="1"/>
  <c r="F14" i="3"/>
  <c r="C14" i="3"/>
  <c r="AD13" i="3"/>
  <c r="AC13" i="3"/>
  <c r="AA13" i="3"/>
  <c r="X13" i="3"/>
  <c r="W13" i="3"/>
  <c r="U13" i="3"/>
  <c r="R13" i="3"/>
  <c r="N13" i="3"/>
  <c r="O13" i="3" s="1"/>
  <c r="L13" i="3"/>
  <c r="H13" i="3"/>
  <c r="I13" i="3" s="1"/>
  <c r="F13" i="3"/>
  <c r="C13" i="3"/>
  <c r="AD12" i="3"/>
  <c r="AC12" i="3"/>
  <c r="AA12" i="3"/>
  <c r="W12" i="3"/>
  <c r="X12" i="3" s="1"/>
  <c r="U12" i="3"/>
  <c r="R12" i="3"/>
  <c r="O12" i="3"/>
  <c r="N12" i="3"/>
  <c r="L12" i="3"/>
  <c r="I12" i="3"/>
  <c r="H12" i="3"/>
  <c r="F12" i="3"/>
  <c r="C12" i="3"/>
  <c r="AD11" i="3"/>
  <c r="AC11" i="3"/>
  <c r="AA11" i="3"/>
  <c r="X11" i="3"/>
  <c r="W11" i="3"/>
  <c r="U11" i="3"/>
  <c r="R11" i="3"/>
  <c r="N11" i="3"/>
  <c r="O11" i="3" s="1"/>
  <c r="L11" i="3"/>
  <c r="I11" i="3"/>
  <c r="H11" i="3"/>
  <c r="F11" i="3"/>
  <c r="C11" i="3"/>
  <c r="AD10" i="3"/>
  <c r="AC10" i="3"/>
  <c r="AA10" i="3"/>
  <c r="X10" i="3"/>
  <c r="W10" i="3"/>
  <c r="U10" i="3"/>
  <c r="R10" i="3"/>
  <c r="N10" i="3"/>
  <c r="O10" i="3" s="1"/>
  <c r="L10" i="3"/>
  <c r="H10" i="3"/>
  <c r="I10" i="3" s="1"/>
  <c r="F10" i="3"/>
  <c r="C10" i="3"/>
  <c r="AD8" i="3"/>
  <c r="AC8" i="3"/>
  <c r="AA8" i="3"/>
  <c r="X8" i="3"/>
  <c r="W8" i="3"/>
  <c r="U8" i="3"/>
  <c r="R8" i="3"/>
  <c r="O8" i="3"/>
  <c r="N8" i="3"/>
  <c r="L8" i="3"/>
  <c r="H8" i="3"/>
  <c r="I8" i="3" s="1"/>
  <c r="F8" i="3"/>
  <c r="C8" i="3"/>
  <c r="AC444" i="2"/>
  <c r="W444" i="2"/>
  <c r="N444" i="2"/>
  <c r="H444" i="2"/>
  <c r="AC442" i="2"/>
  <c r="AD442" i="2" s="1"/>
  <c r="AA442" i="2"/>
  <c r="Z442" i="2"/>
  <c r="U442" i="2"/>
  <c r="T442" i="2"/>
  <c r="Q442" i="2"/>
  <c r="K442" i="2"/>
  <c r="L442" i="2" s="1"/>
  <c r="H442" i="2"/>
  <c r="I442" i="2" s="1"/>
  <c r="F442" i="2"/>
  <c r="E442" i="2"/>
  <c r="C442" i="2"/>
  <c r="B442" i="2"/>
  <c r="Z441" i="2"/>
  <c r="AA441" i="2" s="1"/>
  <c r="U441" i="2"/>
  <c r="T441" i="2"/>
  <c r="R441" i="2"/>
  <c r="Q441" i="2"/>
  <c r="W441" i="2" s="1"/>
  <c r="N441" i="2"/>
  <c r="L441" i="2"/>
  <c r="K441" i="2"/>
  <c r="H441" i="2"/>
  <c r="I441" i="2" s="1"/>
  <c r="F441" i="2"/>
  <c r="E441" i="2"/>
  <c r="B441" i="2"/>
  <c r="C441" i="2" s="1"/>
  <c r="AD440" i="2"/>
  <c r="AC440" i="2"/>
  <c r="AA440" i="2"/>
  <c r="W440" i="2"/>
  <c r="U440" i="2"/>
  <c r="R440" i="2"/>
  <c r="N440" i="2"/>
  <c r="L440" i="2"/>
  <c r="I440" i="2"/>
  <c r="H440" i="2"/>
  <c r="F440" i="2"/>
  <c r="C440" i="2"/>
  <c r="AC439" i="2"/>
  <c r="AD439" i="2" s="1"/>
  <c r="AA439" i="2"/>
  <c r="W439" i="2"/>
  <c r="X439" i="2" s="1"/>
  <c r="U439" i="2"/>
  <c r="R439" i="2"/>
  <c r="N439" i="2"/>
  <c r="L439" i="2"/>
  <c r="I439" i="2"/>
  <c r="H439" i="2"/>
  <c r="F439" i="2"/>
  <c r="C439" i="2"/>
  <c r="AD438" i="2"/>
  <c r="AC438" i="2"/>
  <c r="AA438" i="2"/>
  <c r="X438" i="2"/>
  <c r="W438" i="2"/>
  <c r="U438" i="2"/>
  <c r="R438" i="2"/>
  <c r="N438" i="2"/>
  <c r="L438" i="2"/>
  <c r="H438" i="2"/>
  <c r="I438" i="2" s="1"/>
  <c r="F438" i="2"/>
  <c r="C438" i="2"/>
  <c r="AC437" i="2"/>
  <c r="AD437" i="2" s="1"/>
  <c r="AA437" i="2"/>
  <c r="X437" i="2"/>
  <c r="W437" i="2"/>
  <c r="U437" i="2"/>
  <c r="R437" i="2"/>
  <c r="N437" i="2"/>
  <c r="L437" i="2"/>
  <c r="H437" i="2"/>
  <c r="I437" i="2" s="1"/>
  <c r="F437" i="2"/>
  <c r="C437" i="2"/>
  <c r="AD436" i="2"/>
  <c r="AC436" i="2"/>
  <c r="AA436" i="2"/>
  <c r="W436" i="2"/>
  <c r="U436" i="2"/>
  <c r="R436" i="2"/>
  <c r="N436" i="2"/>
  <c r="L436" i="2"/>
  <c r="I436" i="2"/>
  <c r="H436" i="2"/>
  <c r="F436" i="2"/>
  <c r="C436" i="2"/>
  <c r="AC435" i="2"/>
  <c r="AD435" i="2" s="1"/>
  <c r="AA435" i="2"/>
  <c r="W435" i="2"/>
  <c r="X435" i="2" s="1"/>
  <c r="U435" i="2"/>
  <c r="R435" i="2"/>
  <c r="N435" i="2"/>
  <c r="L435" i="2"/>
  <c r="I435" i="2"/>
  <c r="H435" i="2"/>
  <c r="F435" i="2"/>
  <c r="C435" i="2"/>
  <c r="AD434" i="2"/>
  <c r="AC434" i="2"/>
  <c r="AA434" i="2"/>
  <c r="X434" i="2"/>
  <c r="W434" i="2"/>
  <c r="U434" i="2"/>
  <c r="R434" i="2"/>
  <c r="N434" i="2"/>
  <c r="L434" i="2"/>
  <c r="H434" i="2"/>
  <c r="I434" i="2" s="1"/>
  <c r="F434" i="2"/>
  <c r="C434" i="2"/>
  <c r="AC433" i="2"/>
  <c r="AD433" i="2" s="1"/>
  <c r="AA433" i="2"/>
  <c r="W433" i="2"/>
  <c r="U433" i="2"/>
  <c r="R433" i="2"/>
  <c r="N433" i="2"/>
  <c r="L433" i="2"/>
  <c r="H433" i="2"/>
  <c r="I433" i="2" s="1"/>
  <c r="F433" i="2"/>
  <c r="C433" i="2"/>
  <c r="AD432" i="2"/>
  <c r="AC432" i="2"/>
  <c r="AA432" i="2"/>
  <c r="W432" i="2"/>
  <c r="X432" i="2" s="1"/>
  <c r="U432" i="2"/>
  <c r="R432" i="2"/>
  <c r="N432" i="2"/>
  <c r="L432" i="2"/>
  <c r="I432" i="2"/>
  <c r="H432" i="2"/>
  <c r="F432" i="2"/>
  <c r="C432" i="2"/>
  <c r="AA429" i="2"/>
  <c r="Z429" i="2"/>
  <c r="T429" i="2"/>
  <c r="U429" i="2" s="1"/>
  <c r="Q429" i="2"/>
  <c r="K429" i="2"/>
  <c r="L429" i="2" s="1"/>
  <c r="I429" i="2"/>
  <c r="H429" i="2"/>
  <c r="E429" i="2"/>
  <c r="F429" i="2" s="1"/>
  <c r="C429" i="2"/>
  <c r="B429" i="2"/>
  <c r="Z428" i="2"/>
  <c r="AA428" i="2" s="1"/>
  <c r="W428" i="2"/>
  <c r="X428" i="2" s="1"/>
  <c r="U428" i="2"/>
  <c r="T428" i="2"/>
  <c r="R428" i="2"/>
  <c r="Q428" i="2"/>
  <c r="AC428" i="2" s="1"/>
  <c r="AD428" i="2" s="1"/>
  <c r="K428" i="2"/>
  <c r="L428" i="2" s="1"/>
  <c r="E428" i="2"/>
  <c r="F428" i="2" s="1"/>
  <c r="C428" i="2"/>
  <c r="B428" i="2"/>
  <c r="AC427" i="2"/>
  <c r="AD427" i="2" s="1"/>
  <c r="AA427" i="2"/>
  <c r="W427" i="2"/>
  <c r="X427" i="2" s="1"/>
  <c r="U427" i="2"/>
  <c r="R427" i="2"/>
  <c r="N427" i="2"/>
  <c r="L427" i="2"/>
  <c r="I427" i="2"/>
  <c r="H427" i="2"/>
  <c r="F427" i="2"/>
  <c r="C427" i="2"/>
  <c r="AC426" i="2"/>
  <c r="AD426" i="2" s="1"/>
  <c r="AA426" i="2"/>
  <c r="W426" i="2"/>
  <c r="U426" i="2"/>
  <c r="R426" i="2"/>
  <c r="N426" i="2"/>
  <c r="L426" i="2"/>
  <c r="H426" i="2"/>
  <c r="I426" i="2" s="1"/>
  <c r="F426" i="2"/>
  <c r="C426" i="2"/>
  <c r="AC425" i="2"/>
  <c r="AD425" i="2" s="1"/>
  <c r="AA425" i="2"/>
  <c r="W425" i="2"/>
  <c r="U425" i="2"/>
  <c r="R425" i="2"/>
  <c r="N425" i="2"/>
  <c r="L425" i="2"/>
  <c r="H425" i="2"/>
  <c r="I425" i="2" s="1"/>
  <c r="F425" i="2"/>
  <c r="C425" i="2"/>
  <c r="AD424" i="2"/>
  <c r="AC424" i="2"/>
  <c r="AA424" i="2"/>
  <c r="X424" i="2"/>
  <c r="W424" i="2"/>
  <c r="U424" i="2"/>
  <c r="R424" i="2"/>
  <c r="N424" i="2"/>
  <c r="O424" i="2" s="1"/>
  <c r="L424" i="2"/>
  <c r="H424" i="2"/>
  <c r="I424" i="2" s="1"/>
  <c r="F424" i="2"/>
  <c r="C424" i="2"/>
  <c r="AC423" i="2"/>
  <c r="AD423" i="2" s="1"/>
  <c r="AA423" i="2"/>
  <c r="W423" i="2"/>
  <c r="X423" i="2" s="1"/>
  <c r="U423" i="2"/>
  <c r="R423" i="2"/>
  <c r="N423" i="2"/>
  <c r="L423" i="2"/>
  <c r="I423" i="2"/>
  <c r="H423" i="2"/>
  <c r="F423" i="2"/>
  <c r="C423" i="2"/>
  <c r="AC422" i="2"/>
  <c r="AD422" i="2" s="1"/>
  <c r="AA422" i="2"/>
  <c r="X422" i="2"/>
  <c r="W422" i="2"/>
  <c r="U422" i="2"/>
  <c r="R422" i="2"/>
  <c r="N422" i="2"/>
  <c r="L422" i="2"/>
  <c r="H422" i="2"/>
  <c r="I422" i="2" s="1"/>
  <c r="F422" i="2"/>
  <c r="C422" i="2"/>
  <c r="AC421" i="2"/>
  <c r="AD421" i="2" s="1"/>
  <c r="AA421" i="2"/>
  <c r="W421" i="2"/>
  <c r="U421" i="2"/>
  <c r="R421" i="2"/>
  <c r="N421" i="2"/>
  <c r="L421" i="2"/>
  <c r="I421" i="2"/>
  <c r="H421" i="2"/>
  <c r="F421" i="2"/>
  <c r="C421" i="2"/>
  <c r="AD420" i="2"/>
  <c r="AC420" i="2"/>
  <c r="AA420" i="2"/>
  <c r="X420" i="2"/>
  <c r="W420" i="2"/>
  <c r="U420" i="2"/>
  <c r="R420" i="2"/>
  <c r="N420" i="2"/>
  <c r="L420" i="2"/>
  <c r="H420" i="2"/>
  <c r="I420" i="2" s="1"/>
  <c r="F420" i="2"/>
  <c r="C420" i="2"/>
  <c r="AC419" i="2"/>
  <c r="AD419" i="2" s="1"/>
  <c r="AA419" i="2"/>
  <c r="W419" i="2"/>
  <c r="X419" i="2" s="1"/>
  <c r="U419" i="2"/>
  <c r="R419" i="2"/>
  <c r="O419" i="2"/>
  <c r="N419" i="2"/>
  <c r="L419" i="2"/>
  <c r="I419" i="2"/>
  <c r="H419" i="2"/>
  <c r="F419" i="2"/>
  <c r="C419" i="2"/>
  <c r="AC418" i="2"/>
  <c r="AD418" i="2" s="1"/>
  <c r="AA418" i="2"/>
  <c r="W418" i="2"/>
  <c r="U418" i="2"/>
  <c r="R418" i="2"/>
  <c r="N418" i="2"/>
  <c r="L418" i="2"/>
  <c r="I418" i="2"/>
  <c r="H418" i="2"/>
  <c r="F418" i="2"/>
  <c r="C418" i="2"/>
  <c r="AD417" i="2"/>
  <c r="AC417" i="2"/>
  <c r="AA417" i="2"/>
  <c r="X417" i="2"/>
  <c r="W417" i="2"/>
  <c r="U417" i="2"/>
  <c r="R417" i="2"/>
  <c r="N417" i="2"/>
  <c r="L417" i="2"/>
  <c r="H417" i="2"/>
  <c r="I417" i="2" s="1"/>
  <c r="F417" i="2"/>
  <c r="C417" i="2"/>
  <c r="AD416" i="2"/>
  <c r="AC416" i="2"/>
  <c r="AA416" i="2"/>
  <c r="W416" i="2"/>
  <c r="U416" i="2"/>
  <c r="R416" i="2"/>
  <c r="N416" i="2"/>
  <c r="L416" i="2"/>
  <c r="H416" i="2"/>
  <c r="I416" i="2" s="1"/>
  <c r="F416" i="2"/>
  <c r="C416" i="2"/>
  <c r="AD415" i="2"/>
  <c r="AC415" i="2"/>
  <c r="AA415" i="2"/>
  <c r="W415" i="2"/>
  <c r="X415" i="2" s="1"/>
  <c r="U415" i="2"/>
  <c r="R415" i="2"/>
  <c r="N415" i="2"/>
  <c r="L415" i="2"/>
  <c r="I415" i="2"/>
  <c r="H415" i="2"/>
  <c r="F415" i="2"/>
  <c r="C415" i="2"/>
  <c r="AD414" i="2"/>
  <c r="AC414" i="2"/>
  <c r="AA414" i="2"/>
  <c r="W414" i="2"/>
  <c r="U414" i="2"/>
  <c r="R414" i="2"/>
  <c r="N414" i="2"/>
  <c r="L414" i="2"/>
  <c r="H414" i="2"/>
  <c r="I414" i="2" s="1"/>
  <c r="F414" i="2"/>
  <c r="C414" i="2"/>
  <c r="AD413" i="2"/>
  <c r="AC413" i="2"/>
  <c r="AA413" i="2"/>
  <c r="W413" i="2"/>
  <c r="X413" i="2" s="1"/>
  <c r="U413" i="2"/>
  <c r="R413" i="2"/>
  <c r="N413" i="2"/>
  <c r="L413" i="2"/>
  <c r="I413" i="2"/>
  <c r="H413" i="2"/>
  <c r="F413" i="2"/>
  <c r="C413" i="2"/>
  <c r="AD412" i="2"/>
  <c r="AC412" i="2"/>
  <c r="AA412" i="2"/>
  <c r="W412" i="2"/>
  <c r="X412" i="2" s="1"/>
  <c r="U412" i="2"/>
  <c r="R412" i="2"/>
  <c r="N412" i="2"/>
  <c r="L412" i="2"/>
  <c r="H412" i="2"/>
  <c r="I412" i="2" s="1"/>
  <c r="F412" i="2"/>
  <c r="C412" i="2"/>
  <c r="AC411" i="2"/>
  <c r="AD411" i="2" s="1"/>
  <c r="AA411" i="2"/>
  <c r="W411" i="2"/>
  <c r="U411" i="2"/>
  <c r="R411" i="2"/>
  <c r="N411" i="2"/>
  <c r="L411" i="2"/>
  <c r="I411" i="2"/>
  <c r="H411" i="2"/>
  <c r="F411" i="2"/>
  <c r="C411" i="2"/>
  <c r="AC410" i="2"/>
  <c r="AD410" i="2" s="1"/>
  <c r="AA410" i="2"/>
  <c r="W410" i="2"/>
  <c r="X410" i="2" s="1"/>
  <c r="U410" i="2"/>
  <c r="R410" i="2"/>
  <c r="N410" i="2"/>
  <c r="L410" i="2"/>
  <c r="I410" i="2"/>
  <c r="H410" i="2"/>
  <c r="F410" i="2"/>
  <c r="C410" i="2"/>
  <c r="AD409" i="2"/>
  <c r="AC409" i="2"/>
  <c r="AA409" i="2"/>
  <c r="W409" i="2"/>
  <c r="X409" i="2" s="1"/>
  <c r="U409" i="2"/>
  <c r="R409" i="2"/>
  <c r="N409" i="2"/>
  <c r="L409" i="2"/>
  <c r="H409" i="2"/>
  <c r="I409" i="2" s="1"/>
  <c r="F409" i="2"/>
  <c r="C409" i="2"/>
  <c r="AD408" i="2"/>
  <c r="AC408" i="2"/>
  <c r="AA408" i="2"/>
  <c r="W408" i="2"/>
  <c r="U408" i="2"/>
  <c r="R408" i="2"/>
  <c r="O408" i="2"/>
  <c r="N408" i="2"/>
  <c r="L408" i="2"/>
  <c r="I408" i="2"/>
  <c r="H408" i="2"/>
  <c r="F408" i="2"/>
  <c r="C408" i="2"/>
  <c r="AC407" i="2"/>
  <c r="AD407" i="2" s="1"/>
  <c r="AA407" i="2"/>
  <c r="W407" i="2"/>
  <c r="U407" i="2"/>
  <c r="R407" i="2"/>
  <c r="N407" i="2"/>
  <c r="L407" i="2"/>
  <c r="I407" i="2"/>
  <c r="H407" i="2"/>
  <c r="F407" i="2"/>
  <c r="C407" i="2"/>
  <c r="Z403" i="2"/>
  <c r="AA403" i="2" s="1"/>
  <c r="W403" i="2"/>
  <c r="X403" i="2" s="1"/>
  <c r="U403" i="2"/>
  <c r="T403" i="2"/>
  <c r="R403" i="2"/>
  <c r="Q403" i="2"/>
  <c r="K403" i="2"/>
  <c r="L403" i="2" s="1"/>
  <c r="I403" i="2"/>
  <c r="F403" i="2"/>
  <c r="E403" i="2"/>
  <c r="B403" i="2"/>
  <c r="H403" i="2" s="1"/>
  <c r="AC402" i="2"/>
  <c r="AD402" i="2" s="1"/>
  <c r="AA402" i="2"/>
  <c r="W402" i="2"/>
  <c r="U402" i="2"/>
  <c r="R402" i="2"/>
  <c r="N402" i="2"/>
  <c r="L402" i="2"/>
  <c r="I402" i="2"/>
  <c r="H402" i="2"/>
  <c r="F402" i="2"/>
  <c r="C402" i="2"/>
  <c r="AC401" i="2"/>
  <c r="AD401" i="2" s="1"/>
  <c r="AA401" i="2"/>
  <c r="X401" i="2"/>
  <c r="W401" i="2"/>
  <c r="U401" i="2"/>
  <c r="R401" i="2"/>
  <c r="N401" i="2"/>
  <c r="L401" i="2"/>
  <c r="I401" i="2"/>
  <c r="H401" i="2"/>
  <c r="F401" i="2"/>
  <c r="C401" i="2"/>
  <c r="AD400" i="2"/>
  <c r="AC400" i="2"/>
  <c r="AA400" i="2"/>
  <c r="W400" i="2"/>
  <c r="X400" i="2" s="1"/>
  <c r="U400" i="2"/>
  <c r="R400" i="2"/>
  <c r="N400" i="2"/>
  <c r="L400" i="2"/>
  <c r="I400" i="2"/>
  <c r="H400" i="2"/>
  <c r="F400" i="2"/>
  <c r="C400" i="2"/>
  <c r="AD399" i="2"/>
  <c r="AC399" i="2"/>
  <c r="AA399" i="2"/>
  <c r="W399" i="2"/>
  <c r="U399" i="2"/>
  <c r="R399" i="2"/>
  <c r="N399" i="2"/>
  <c r="L399" i="2"/>
  <c r="I399" i="2"/>
  <c r="H399" i="2"/>
  <c r="F399" i="2"/>
  <c r="C399" i="2"/>
  <c r="AC398" i="2"/>
  <c r="AD398" i="2" s="1"/>
  <c r="AA398" i="2"/>
  <c r="X398" i="2"/>
  <c r="W398" i="2"/>
  <c r="U398" i="2"/>
  <c r="R398" i="2"/>
  <c r="N398" i="2"/>
  <c r="L398" i="2"/>
  <c r="H398" i="2"/>
  <c r="I398" i="2" s="1"/>
  <c r="F398" i="2"/>
  <c r="C398" i="2"/>
  <c r="AC397" i="2"/>
  <c r="AD397" i="2" s="1"/>
  <c r="AA397" i="2"/>
  <c r="X397" i="2"/>
  <c r="W397" i="2"/>
  <c r="U397" i="2"/>
  <c r="R397" i="2"/>
  <c r="N397" i="2"/>
  <c r="L397" i="2"/>
  <c r="H397" i="2"/>
  <c r="I397" i="2" s="1"/>
  <c r="F397" i="2"/>
  <c r="C397" i="2"/>
  <c r="AD396" i="2"/>
  <c r="AA396" i="2"/>
  <c r="Z396" i="2"/>
  <c r="T396" i="2"/>
  <c r="R396" i="2"/>
  <c r="Q396" i="2"/>
  <c r="AC396" i="2" s="1"/>
  <c r="K396" i="2"/>
  <c r="L396" i="2" s="1"/>
  <c r="I396" i="2"/>
  <c r="H396" i="2"/>
  <c r="F396" i="2"/>
  <c r="E396" i="2"/>
  <c r="C396" i="2"/>
  <c r="B396" i="2"/>
  <c r="AC395" i="2"/>
  <c r="AD395" i="2" s="1"/>
  <c r="AA395" i="2"/>
  <c r="X395" i="2"/>
  <c r="W395" i="2"/>
  <c r="U395" i="2"/>
  <c r="R395" i="2"/>
  <c r="N395" i="2"/>
  <c r="L395" i="2"/>
  <c r="H395" i="2"/>
  <c r="I395" i="2" s="1"/>
  <c r="F395" i="2"/>
  <c r="C395" i="2"/>
  <c r="AD394" i="2"/>
  <c r="AC394" i="2"/>
  <c r="AA394" i="2"/>
  <c r="W394" i="2"/>
  <c r="X394" i="2" s="1"/>
  <c r="U394" i="2"/>
  <c r="R394" i="2"/>
  <c r="N394" i="2"/>
  <c r="L394" i="2"/>
  <c r="I394" i="2"/>
  <c r="H394" i="2"/>
  <c r="F394" i="2"/>
  <c r="C394" i="2"/>
  <c r="Z393" i="2"/>
  <c r="AA393" i="2" s="1"/>
  <c r="T393" i="2"/>
  <c r="U393" i="2" s="1"/>
  <c r="Q393" i="2"/>
  <c r="L393" i="2"/>
  <c r="K393" i="2"/>
  <c r="E393" i="2"/>
  <c r="F393" i="2" s="1"/>
  <c r="B393" i="2"/>
  <c r="AD392" i="2"/>
  <c r="AC392" i="2"/>
  <c r="AA392" i="2"/>
  <c r="W392" i="2"/>
  <c r="X392" i="2" s="1"/>
  <c r="U392" i="2"/>
  <c r="R392" i="2"/>
  <c r="O392" i="2"/>
  <c r="N392" i="2"/>
  <c r="L392" i="2"/>
  <c r="H392" i="2"/>
  <c r="I392" i="2" s="1"/>
  <c r="F392" i="2"/>
  <c r="C392" i="2"/>
  <c r="AC391" i="2"/>
  <c r="AD391" i="2" s="1"/>
  <c r="AA391" i="2"/>
  <c r="W391" i="2"/>
  <c r="U391" i="2"/>
  <c r="R391" i="2"/>
  <c r="N391" i="2"/>
  <c r="L391" i="2"/>
  <c r="I391" i="2"/>
  <c r="H391" i="2"/>
  <c r="F391" i="2"/>
  <c r="C391" i="2"/>
  <c r="AC390" i="2"/>
  <c r="AD390" i="2" s="1"/>
  <c r="AA390" i="2"/>
  <c r="X390" i="2"/>
  <c r="W390" i="2"/>
  <c r="U390" i="2"/>
  <c r="R390" i="2"/>
  <c r="N390" i="2"/>
  <c r="L390" i="2"/>
  <c r="H390" i="2"/>
  <c r="I390" i="2" s="1"/>
  <c r="F390" i="2"/>
  <c r="C390" i="2"/>
  <c r="AC389" i="2"/>
  <c r="AD389" i="2" s="1"/>
  <c r="AA389" i="2"/>
  <c r="X389" i="2"/>
  <c r="W389" i="2"/>
  <c r="U389" i="2"/>
  <c r="R389" i="2"/>
  <c r="N389" i="2"/>
  <c r="L389" i="2"/>
  <c r="H389" i="2"/>
  <c r="I389" i="2" s="1"/>
  <c r="F389" i="2"/>
  <c r="C389" i="2"/>
  <c r="AD388" i="2"/>
  <c r="AC388" i="2"/>
  <c r="AA388" i="2"/>
  <c r="W388" i="2"/>
  <c r="X388" i="2" s="1"/>
  <c r="U388" i="2"/>
  <c r="R388" i="2"/>
  <c r="N388" i="2"/>
  <c r="L388" i="2"/>
  <c r="H388" i="2"/>
  <c r="I388" i="2" s="1"/>
  <c r="F388" i="2"/>
  <c r="C388" i="2"/>
  <c r="AC386" i="2"/>
  <c r="AD386" i="2" s="1"/>
  <c r="AA386" i="2"/>
  <c r="W386" i="2"/>
  <c r="U386" i="2"/>
  <c r="R386" i="2"/>
  <c r="N386" i="2"/>
  <c r="L386" i="2"/>
  <c r="I386" i="2"/>
  <c r="H386" i="2"/>
  <c r="F386" i="2"/>
  <c r="C386" i="2"/>
  <c r="AC385" i="2"/>
  <c r="AD385" i="2" s="1"/>
  <c r="AA385" i="2"/>
  <c r="W385" i="2"/>
  <c r="X385" i="2" s="1"/>
  <c r="U385" i="2"/>
  <c r="R385" i="2"/>
  <c r="N385" i="2"/>
  <c r="L385" i="2"/>
  <c r="H385" i="2"/>
  <c r="I385" i="2" s="1"/>
  <c r="F385" i="2"/>
  <c r="C385" i="2"/>
  <c r="AC383" i="2"/>
  <c r="AD383" i="2" s="1"/>
  <c r="AA383" i="2"/>
  <c r="W383" i="2"/>
  <c r="U383" i="2"/>
  <c r="R383" i="2"/>
  <c r="N383" i="2"/>
  <c r="L383" i="2"/>
  <c r="I383" i="2"/>
  <c r="H383" i="2"/>
  <c r="F383" i="2"/>
  <c r="C383" i="2"/>
  <c r="AD382" i="2"/>
  <c r="AC382" i="2"/>
  <c r="AA382" i="2"/>
  <c r="W382" i="2"/>
  <c r="X382" i="2" s="1"/>
  <c r="U382" i="2"/>
  <c r="R382" i="2"/>
  <c r="N382" i="2"/>
  <c r="L382" i="2"/>
  <c r="H382" i="2"/>
  <c r="I382" i="2" s="1"/>
  <c r="F382" i="2"/>
  <c r="C382" i="2"/>
  <c r="AC381" i="2"/>
  <c r="AD381" i="2" s="1"/>
  <c r="AA381" i="2"/>
  <c r="W381" i="2"/>
  <c r="U381" i="2"/>
  <c r="R381" i="2"/>
  <c r="N381" i="2"/>
  <c r="L381" i="2"/>
  <c r="I381" i="2"/>
  <c r="H381" i="2"/>
  <c r="F381" i="2"/>
  <c r="C381" i="2"/>
  <c r="AC380" i="2"/>
  <c r="AD380" i="2" s="1"/>
  <c r="AA380" i="2"/>
  <c r="X380" i="2"/>
  <c r="W380" i="2"/>
  <c r="U380" i="2"/>
  <c r="R380" i="2"/>
  <c r="N380" i="2"/>
  <c r="L380" i="2"/>
  <c r="H380" i="2"/>
  <c r="I380" i="2" s="1"/>
  <c r="F380" i="2"/>
  <c r="C380" i="2"/>
  <c r="AC379" i="2"/>
  <c r="AD379" i="2" s="1"/>
  <c r="AA379" i="2"/>
  <c r="X379" i="2"/>
  <c r="W379" i="2"/>
  <c r="U379" i="2"/>
  <c r="R379" i="2"/>
  <c r="N379" i="2"/>
  <c r="L379" i="2"/>
  <c r="H379" i="2"/>
  <c r="I379" i="2" s="1"/>
  <c r="F379" i="2"/>
  <c r="C379" i="2"/>
  <c r="AD378" i="2"/>
  <c r="AC378" i="2"/>
  <c r="AA378" i="2"/>
  <c r="W378" i="2"/>
  <c r="X378" i="2" s="1"/>
  <c r="U378" i="2"/>
  <c r="R378" i="2"/>
  <c r="N378" i="2"/>
  <c r="L378" i="2"/>
  <c r="H378" i="2"/>
  <c r="I378" i="2" s="1"/>
  <c r="F378" i="2"/>
  <c r="C378" i="2"/>
  <c r="AC377" i="2"/>
  <c r="AD377" i="2" s="1"/>
  <c r="AA377" i="2"/>
  <c r="W377" i="2"/>
  <c r="U377" i="2"/>
  <c r="R377" i="2"/>
  <c r="O377" i="2"/>
  <c r="N377" i="2"/>
  <c r="L377" i="2"/>
  <c r="I377" i="2"/>
  <c r="H377" i="2"/>
  <c r="F377" i="2"/>
  <c r="C377" i="2"/>
  <c r="AC376" i="2"/>
  <c r="AD376" i="2" s="1"/>
  <c r="AA376" i="2"/>
  <c r="W376" i="2"/>
  <c r="X376" i="2" s="1"/>
  <c r="U376" i="2"/>
  <c r="R376" i="2"/>
  <c r="N376" i="2"/>
  <c r="L376" i="2"/>
  <c r="H376" i="2"/>
  <c r="I376" i="2" s="1"/>
  <c r="F376" i="2"/>
  <c r="C376" i="2"/>
  <c r="AC375" i="2"/>
  <c r="AD375" i="2" s="1"/>
  <c r="AA375" i="2"/>
  <c r="X375" i="2"/>
  <c r="W375" i="2"/>
  <c r="U375" i="2"/>
  <c r="R375" i="2"/>
  <c r="N375" i="2"/>
  <c r="L375" i="2"/>
  <c r="I375" i="2"/>
  <c r="H375" i="2"/>
  <c r="F375" i="2"/>
  <c r="C375" i="2"/>
  <c r="AD374" i="2"/>
  <c r="AC374" i="2"/>
  <c r="AA374" i="2"/>
  <c r="W374" i="2"/>
  <c r="X374" i="2" s="1"/>
  <c r="U374" i="2"/>
  <c r="R374" i="2"/>
  <c r="N374" i="2"/>
  <c r="O374" i="2" s="1"/>
  <c r="L374" i="2"/>
  <c r="H374" i="2"/>
  <c r="I374" i="2" s="1"/>
  <c r="F374" i="2"/>
  <c r="C374" i="2"/>
  <c r="AC373" i="2"/>
  <c r="AD373" i="2" s="1"/>
  <c r="AA373" i="2"/>
  <c r="W373" i="2"/>
  <c r="U373" i="2"/>
  <c r="R373" i="2"/>
  <c r="N373" i="2"/>
  <c r="L373" i="2"/>
  <c r="I373" i="2"/>
  <c r="H373" i="2"/>
  <c r="F373" i="2"/>
  <c r="C373" i="2"/>
  <c r="AC372" i="2"/>
  <c r="AD372" i="2" s="1"/>
  <c r="AA372" i="2"/>
  <c r="X372" i="2"/>
  <c r="W372" i="2"/>
  <c r="U372" i="2"/>
  <c r="R372" i="2"/>
  <c r="N372" i="2"/>
  <c r="L372" i="2"/>
  <c r="H372" i="2"/>
  <c r="I372" i="2" s="1"/>
  <c r="F372" i="2"/>
  <c r="C372" i="2"/>
  <c r="AC371" i="2"/>
  <c r="AD371" i="2" s="1"/>
  <c r="AA371" i="2"/>
  <c r="X371" i="2"/>
  <c r="W371" i="2"/>
  <c r="U371" i="2"/>
  <c r="R371" i="2"/>
  <c r="N371" i="2"/>
  <c r="L371" i="2"/>
  <c r="H371" i="2"/>
  <c r="I371" i="2" s="1"/>
  <c r="F371" i="2"/>
  <c r="C371" i="2"/>
  <c r="AD370" i="2"/>
  <c r="AC370" i="2"/>
  <c r="AA370" i="2"/>
  <c r="W370" i="2"/>
  <c r="X370" i="2" s="1"/>
  <c r="U370" i="2"/>
  <c r="R370" i="2"/>
  <c r="N370" i="2"/>
  <c r="L370" i="2"/>
  <c r="H370" i="2"/>
  <c r="I370" i="2" s="1"/>
  <c r="F370" i="2"/>
  <c r="C370" i="2"/>
  <c r="AC369" i="2"/>
  <c r="AD369" i="2" s="1"/>
  <c r="AA369" i="2"/>
  <c r="W369" i="2"/>
  <c r="U369" i="2"/>
  <c r="R369" i="2"/>
  <c r="N369" i="2"/>
  <c r="L369" i="2"/>
  <c r="I369" i="2"/>
  <c r="H369" i="2"/>
  <c r="F369" i="2"/>
  <c r="C369" i="2"/>
  <c r="AC368" i="2"/>
  <c r="AD368" i="2" s="1"/>
  <c r="Z368" i="2"/>
  <c r="AA368" i="2" s="1"/>
  <c r="T368" i="2"/>
  <c r="U368" i="2" s="1"/>
  <c r="R368" i="2"/>
  <c r="Q368" i="2"/>
  <c r="L368" i="2"/>
  <c r="K368" i="2"/>
  <c r="E368" i="2"/>
  <c r="F368" i="2" s="1"/>
  <c r="B368" i="2"/>
  <c r="AD367" i="2"/>
  <c r="AC367" i="2"/>
  <c r="AA367" i="2"/>
  <c r="X367" i="2"/>
  <c r="W367" i="2"/>
  <c r="U367" i="2"/>
  <c r="R367" i="2"/>
  <c r="N367" i="2"/>
  <c r="L367" i="2"/>
  <c r="H367" i="2"/>
  <c r="I367" i="2" s="1"/>
  <c r="F367" i="2"/>
  <c r="C367" i="2"/>
  <c r="AC366" i="2"/>
  <c r="AD366" i="2" s="1"/>
  <c r="AA366" i="2"/>
  <c r="W366" i="2"/>
  <c r="U366" i="2"/>
  <c r="R366" i="2"/>
  <c r="N366" i="2"/>
  <c r="L366" i="2"/>
  <c r="I366" i="2"/>
  <c r="H366" i="2"/>
  <c r="F366" i="2"/>
  <c r="C366" i="2"/>
  <c r="AC365" i="2"/>
  <c r="AD365" i="2" s="1"/>
  <c r="AA365" i="2"/>
  <c r="W365" i="2"/>
  <c r="X365" i="2" s="1"/>
  <c r="U365" i="2"/>
  <c r="R365" i="2"/>
  <c r="N365" i="2"/>
  <c r="L365" i="2"/>
  <c r="H365" i="2"/>
  <c r="I365" i="2" s="1"/>
  <c r="F365" i="2"/>
  <c r="C365" i="2"/>
  <c r="AC364" i="2"/>
  <c r="AD364" i="2" s="1"/>
  <c r="AA364" i="2"/>
  <c r="W364" i="2"/>
  <c r="U364" i="2"/>
  <c r="R364" i="2"/>
  <c r="N364" i="2"/>
  <c r="L364" i="2"/>
  <c r="H364" i="2"/>
  <c r="I364" i="2" s="1"/>
  <c r="F364" i="2"/>
  <c r="C364" i="2"/>
  <c r="AD363" i="2"/>
  <c r="AC363" i="2"/>
  <c r="AA363" i="2"/>
  <c r="W363" i="2"/>
  <c r="X363" i="2" s="1"/>
  <c r="U363" i="2"/>
  <c r="R363" i="2"/>
  <c r="N363" i="2"/>
  <c r="L363" i="2"/>
  <c r="H363" i="2"/>
  <c r="I363" i="2" s="1"/>
  <c r="F363" i="2"/>
  <c r="C363" i="2"/>
  <c r="AC362" i="2"/>
  <c r="AD362" i="2" s="1"/>
  <c r="AA362" i="2"/>
  <c r="W362" i="2"/>
  <c r="U362" i="2"/>
  <c r="R362" i="2"/>
  <c r="N362" i="2"/>
  <c r="L362" i="2"/>
  <c r="I362" i="2"/>
  <c r="H362" i="2"/>
  <c r="F362" i="2"/>
  <c r="C362" i="2"/>
  <c r="AC361" i="2"/>
  <c r="AD361" i="2" s="1"/>
  <c r="AA361" i="2"/>
  <c r="X361" i="2"/>
  <c r="W361" i="2"/>
  <c r="U361" i="2"/>
  <c r="R361" i="2"/>
  <c r="N361" i="2"/>
  <c r="L361" i="2"/>
  <c r="H361" i="2"/>
  <c r="I361" i="2" s="1"/>
  <c r="F361" i="2"/>
  <c r="C361" i="2"/>
  <c r="AC360" i="2"/>
  <c r="AD360" i="2" s="1"/>
  <c r="AA360" i="2"/>
  <c r="X360" i="2"/>
  <c r="W360" i="2"/>
  <c r="U360" i="2"/>
  <c r="R360" i="2"/>
  <c r="N360" i="2"/>
  <c r="L360" i="2"/>
  <c r="H360" i="2"/>
  <c r="I360" i="2" s="1"/>
  <c r="F360" i="2"/>
  <c r="C360" i="2"/>
  <c r="Z358" i="2"/>
  <c r="AA358" i="2" s="1"/>
  <c r="W358" i="2"/>
  <c r="X358" i="2" s="1"/>
  <c r="T358" i="2"/>
  <c r="U358" i="2" s="1"/>
  <c r="R358" i="2"/>
  <c r="Q358" i="2"/>
  <c r="K358" i="2"/>
  <c r="N358" i="2" s="1"/>
  <c r="H358" i="2"/>
  <c r="I358" i="2" s="1"/>
  <c r="F358" i="2"/>
  <c r="E358" i="2"/>
  <c r="B358" i="2"/>
  <c r="C358" i="2" s="1"/>
  <c r="AD357" i="2"/>
  <c r="AC357" i="2"/>
  <c r="AA357" i="2"/>
  <c r="W357" i="2"/>
  <c r="X357" i="2" s="1"/>
  <c r="U357" i="2"/>
  <c r="R357" i="2"/>
  <c r="N357" i="2"/>
  <c r="L357" i="2"/>
  <c r="H357" i="2"/>
  <c r="I357" i="2" s="1"/>
  <c r="F357" i="2"/>
  <c r="C357" i="2"/>
  <c r="AC356" i="2"/>
  <c r="AD356" i="2" s="1"/>
  <c r="AA356" i="2"/>
  <c r="W356" i="2"/>
  <c r="U356" i="2"/>
  <c r="R356" i="2"/>
  <c r="N356" i="2"/>
  <c r="L356" i="2"/>
  <c r="I356" i="2"/>
  <c r="H356" i="2"/>
  <c r="F356" i="2"/>
  <c r="C356" i="2"/>
  <c r="AD355" i="2"/>
  <c r="AC355" i="2"/>
  <c r="AA355" i="2"/>
  <c r="W355" i="2"/>
  <c r="X355" i="2" s="1"/>
  <c r="U355" i="2"/>
  <c r="R355" i="2"/>
  <c r="N355" i="2"/>
  <c r="L355" i="2"/>
  <c r="H355" i="2"/>
  <c r="I355" i="2" s="1"/>
  <c r="F355" i="2"/>
  <c r="C355" i="2"/>
  <c r="AC354" i="2"/>
  <c r="AD354" i="2" s="1"/>
  <c r="AA354" i="2"/>
  <c r="W354" i="2"/>
  <c r="U354" i="2"/>
  <c r="R354" i="2"/>
  <c r="N354" i="2"/>
  <c r="L354" i="2"/>
  <c r="I354" i="2"/>
  <c r="H354" i="2"/>
  <c r="F354" i="2"/>
  <c r="C354" i="2"/>
  <c r="AC353" i="2"/>
  <c r="AD353" i="2" s="1"/>
  <c r="AA353" i="2"/>
  <c r="X353" i="2"/>
  <c r="W353" i="2"/>
  <c r="U353" i="2"/>
  <c r="R353" i="2"/>
  <c r="N353" i="2"/>
  <c r="L353" i="2"/>
  <c r="H353" i="2"/>
  <c r="I353" i="2" s="1"/>
  <c r="F353" i="2"/>
  <c r="C353" i="2"/>
  <c r="AC352" i="2"/>
  <c r="AD352" i="2" s="1"/>
  <c r="AA352" i="2"/>
  <c r="X352" i="2"/>
  <c r="W352" i="2"/>
  <c r="U352" i="2"/>
  <c r="R352" i="2"/>
  <c r="N352" i="2"/>
  <c r="L352" i="2"/>
  <c r="H352" i="2"/>
  <c r="I352" i="2" s="1"/>
  <c r="F352" i="2"/>
  <c r="C352" i="2"/>
  <c r="AD351" i="2"/>
  <c r="AC351" i="2"/>
  <c r="AA351" i="2"/>
  <c r="W351" i="2"/>
  <c r="X351" i="2" s="1"/>
  <c r="U351" i="2"/>
  <c r="R351" i="2"/>
  <c r="N351" i="2"/>
  <c r="L351" i="2"/>
  <c r="H351" i="2"/>
  <c r="I351" i="2" s="1"/>
  <c r="F351" i="2"/>
  <c r="C351" i="2"/>
  <c r="AC350" i="2"/>
  <c r="AD350" i="2" s="1"/>
  <c r="AA350" i="2"/>
  <c r="W350" i="2"/>
  <c r="U350" i="2"/>
  <c r="R350" i="2"/>
  <c r="N350" i="2"/>
  <c r="L350" i="2"/>
  <c r="I350" i="2"/>
  <c r="H350" i="2"/>
  <c r="F350" i="2"/>
  <c r="C350" i="2"/>
  <c r="AC349" i="2"/>
  <c r="AD349" i="2" s="1"/>
  <c r="AA349" i="2"/>
  <c r="W349" i="2"/>
  <c r="X349" i="2" s="1"/>
  <c r="U349" i="2"/>
  <c r="R349" i="2"/>
  <c r="N349" i="2"/>
  <c r="O349" i="2" s="1"/>
  <c r="L349" i="2"/>
  <c r="H349" i="2"/>
  <c r="I349" i="2" s="1"/>
  <c r="F349" i="2"/>
  <c r="C349" i="2"/>
  <c r="AC347" i="2"/>
  <c r="AD347" i="2" s="1"/>
  <c r="AA347" i="2"/>
  <c r="X347" i="2"/>
  <c r="W347" i="2"/>
  <c r="U347" i="2"/>
  <c r="R347" i="2"/>
  <c r="N347" i="2"/>
  <c r="L347" i="2"/>
  <c r="I347" i="2"/>
  <c r="H347" i="2"/>
  <c r="F347" i="2"/>
  <c r="C347" i="2"/>
  <c r="Z344" i="2"/>
  <c r="AA344" i="2" s="1"/>
  <c r="T344" i="2"/>
  <c r="U344" i="2" s="1"/>
  <c r="Q344" i="2"/>
  <c r="N344" i="2"/>
  <c r="L344" i="2"/>
  <c r="K344" i="2"/>
  <c r="E344" i="2"/>
  <c r="B344" i="2"/>
  <c r="C344" i="2" s="1"/>
  <c r="Z343" i="2"/>
  <c r="AA343" i="2" s="1"/>
  <c r="T343" i="2"/>
  <c r="U343" i="2" s="1"/>
  <c r="R343" i="2"/>
  <c r="Q343" i="2"/>
  <c r="AC343" i="2" s="1"/>
  <c r="AD343" i="2" s="1"/>
  <c r="K343" i="2"/>
  <c r="L343" i="2" s="1"/>
  <c r="F343" i="2"/>
  <c r="E343" i="2"/>
  <c r="B343" i="2"/>
  <c r="Z342" i="2"/>
  <c r="AA342" i="2" s="1"/>
  <c r="T342" i="2"/>
  <c r="U342" i="2" s="1"/>
  <c r="R342" i="2"/>
  <c r="Q342" i="2"/>
  <c r="L342" i="2"/>
  <c r="K342" i="2"/>
  <c r="E342" i="2"/>
  <c r="F342" i="2" s="1"/>
  <c r="B342" i="2"/>
  <c r="AD341" i="2"/>
  <c r="AC341" i="2"/>
  <c r="AA341" i="2"/>
  <c r="W341" i="2"/>
  <c r="X341" i="2" s="1"/>
  <c r="U341" i="2"/>
  <c r="R341" i="2"/>
  <c r="N341" i="2"/>
  <c r="O341" i="2" s="1"/>
  <c r="L341" i="2"/>
  <c r="H341" i="2"/>
  <c r="I341" i="2" s="1"/>
  <c r="F341" i="2"/>
  <c r="C341" i="2"/>
  <c r="AC340" i="2"/>
  <c r="AD340" i="2" s="1"/>
  <c r="AA340" i="2"/>
  <c r="W340" i="2"/>
  <c r="U340" i="2"/>
  <c r="R340" i="2"/>
  <c r="N340" i="2"/>
  <c r="L340" i="2"/>
  <c r="I340" i="2"/>
  <c r="H340" i="2"/>
  <c r="F340" i="2"/>
  <c r="C340" i="2"/>
  <c r="AD339" i="2"/>
  <c r="AC339" i="2"/>
  <c r="AA339" i="2"/>
  <c r="W339" i="2"/>
  <c r="X339" i="2" s="1"/>
  <c r="U339" i="2"/>
  <c r="R339" i="2"/>
  <c r="N339" i="2"/>
  <c r="L339" i="2"/>
  <c r="H339" i="2"/>
  <c r="I339" i="2" s="1"/>
  <c r="F339" i="2"/>
  <c r="C339" i="2"/>
  <c r="AC338" i="2"/>
  <c r="AD338" i="2" s="1"/>
  <c r="AA338" i="2"/>
  <c r="X338" i="2"/>
  <c r="W338" i="2"/>
  <c r="U338" i="2"/>
  <c r="R338" i="2"/>
  <c r="N338" i="2"/>
  <c r="L338" i="2"/>
  <c r="I338" i="2"/>
  <c r="H338" i="2"/>
  <c r="F338" i="2"/>
  <c r="C338" i="2"/>
  <c r="AD337" i="2"/>
  <c r="AC337" i="2"/>
  <c r="AA337" i="2"/>
  <c r="W337" i="2"/>
  <c r="X337" i="2" s="1"/>
  <c r="U337" i="2"/>
  <c r="R337" i="2"/>
  <c r="N337" i="2"/>
  <c r="L337" i="2"/>
  <c r="H337" i="2"/>
  <c r="I337" i="2" s="1"/>
  <c r="F337" i="2"/>
  <c r="C337" i="2"/>
  <c r="AC335" i="2"/>
  <c r="AD335" i="2" s="1"/>
  <c r="AA335" i="2"/>
  <c r="W335" i="2"/>
  <c r="U335" i="2"/>
  <c r="R335" i="2"/>
  <c r="N335" i="2"/>
  <c r="L335" i="2"/>
  <c r="I335" i="2"/>
  <c r="H335" i="2"/>
  <c r="F335" i="2"/>
  <c r="C335" i="2"/>
  <c r="AC334" i="2"/>
  <c r="AD334" i="2" s="1"/>
  <c r="AA334" i="2"/>
  <c r="W334" i="2"/>
  <c r="X334" i="2" s="1"/>
  <c r="U334" i="2"/>
  <c r="R334" i="2"/>
  <c r="N334" i="2"/>
  <c r="L334" i="2"/>
  <c r="H334" i="2"/>
  <c r="I334" i="2" s="1"/>
  <c r="F334" i="2"/>
  <c r="C334" i="2"/>
  <c r="AC333" i="2"/>
  <c r="AD333" i="2" s="1"/>
  <c r="AA333" i="2"/>
  <c r="X333" i="2"/>
  <c r="W333" i="2"/>
  <c r="U333" i="2"/>
  <c r="R333" i="2"/>
  <c r="N333" i="2"/>
  <c r="L333" i="2"/>
  <c r="H333" i="2"/>
  <c r="I333" i="2" s="1"/>
  <c r="F333" i="2"/>
  <c r="C333" i="2"/>
  <c r="AD332" i="2"/>
  <c r="AC332" i="2"/>
  <c r="AA332" i="2"/>
  <c r="W332" i="2"/>
  <c r="X332" i="2" s="1"/>
  <c r="U332" i="2"/>
  <c r="R332" i="2"/>
  <c r="N332" i="2"/>
  <c r="O332" i="2" s="1"/>
  <c r="L332" i="2"/>
  <c r="H332" i="2"/>
  <c r="I332" i="2" s="1"/>
  <c r="F332" i="2"/>
  <c r="C332" i="2"/>
  <c r="AC331" i="2"/>
  <c r="AD331" i="2" s="1"/>
  <c r="AA331" i="2"/>
  <c r="W331" i="2"/>
  <c r="U331" i="2"/>
  <c r="R331" i="2"/>
  <c r="N331" i="2"/>
  <c r="L331" i="2"/>
  <c r="I331" i="2"/>
  <c r="H331" i="2"/>
  <c r="F331" i="2"/>
  <c r="C331" i="2"/>
  <c r="AD330" i="2"/>
  <c r="AC330" i="2"/>
  <c r="AA330" i="2"/>
  <c r="W330" i="2"/>
  <c r="X330" i="2" s="1"/>
  <c r="U330" i="2"/>
  <c r="R330" i="2"/>
  <c r="N330" i="2"/>
  <c r="O330" i="2" s="1"/>
  <c r="L330" i="2"/>
  <c r="H330" i="2"/>
  <c r="I330" i="2" s="1"/>
  <c r="F330" i="2"/>
  <c r="C330" i="2"/>
  <c r="AC329" i="2"/>
  <c r="AD329" i="2" s="1"/>
  <c r="AA329" i="2"/>
  <c r="W329" i="2"/>
  <c r="U329" i="2"/>
  <c r="R329" i="2"/>
  <c r="N329" i="2"/>
  <c r="L329" i="2"/>
  <c r="I329" i="2"/>
  <c r="H329" i="2"/>
  <c r="F329" i="2"/>
  <c r="C329" i="2"/>
  <c r="AD328" i="2"/>
  <c r="AC328" i="2"/>
  <c r="AA328" i="2"/>
  <c r="W328" i="2"/>
  <c r="X328" i="2" s="1"/>
  <c r="U328" i="2"/>
  <c r="R328" i="2"/>
  <c r="N328" i="2"/>
  <c r="L328" i="2"/>
  <c r="H328" i="2"/>
  <c r="I328" i="2" s="1"/>
  <c r="F328" i="2"/>
  <c r="C328" i="2"/>
  <c r="AA325" i="2"/>
  <c r="Z325" i="2"/>
  <c r="W325" i="2"/>
  <c r="X325" i="2" s="1"/>
  <c r="U325" i="2"/>
  <c r="T325" i="2"/>
  <c r="Q325" i="2"/>
  <c r="K325" i="2"/>
  <c r="L325" i="2" s="1"/>
  <c r="E325" i="2"/>
  <c r="F325" i="2" s="1"/>
  <c r="C325" i="2"/>
  <c r="B325" i="2"/>
  <c r="N325" i="2" s="1"/>
  <c r="O325" i="2" s="1"/>
  <c r="AA324" i="2"/>
  <c r="Z324" i="2"/>
  <c r="U324" i="2"/>
  <c r="T324" i="2"/>
  <c r="Q324" i="2"/>
  <c r="N324" i="2"/>
  <c r="O324" i="2" s="1"/>
  <c r="K324" i="2"/>
  <c r="L324" i="2" s="1"/>
  <c r="E324" i="2"/>
  <c r="F324" i="2" s="1"/>
  <c r="B324" i="2"/>
  <c r="H324" i="2" s="1"/>
  <c r="I324" i="2" s="1"/>
  <c r="AC323" i="2"/>
  <c r="AD323" i="2" s="1"/>
  <c r="AA323" i="2"/>
  <c r="W323" i="2"/>
  <c r="U323" i="2"/>
  <c r="R323" i="2"/>
  <c r="N323" i="2"/>
  <c r="L323" i="2"/>
  <c r="I323" i="2"/>
  <c r="H323" i="2"/>
  <c r="F323" i="2"/>
  <c r="C323" i="2"/>
  <c r="AC322" i="2"/>
  <c r="AD322" i="2" s="1"/>
  <c r="AA322" i="2"/>
  <c r="W322" i="2"/>
  <c r="X322" i="2" s="1"/>
  <c r="U322" i="2"/>
  <c r="R322" i="2"/>
  <c r="N322" i="2"/>
  <c r="L322" i="2"/>
  <c r="H322" i="2"/>
  <c r="I322" i="2" s="1"/>
  <c r="F322" i="2"/>
  <c r="C322" i="2"/>
  <c r="AC321" i="2"/>
  <c r="AD321" i="2" s="1"/>
  <c r="AA321" i="2"/>
  <c r="X321" i="2"/>
  <c r="W321" i="2"/>
  <c r="U321" i="2"/>
  <c r="R321" i="2"/>
  <c r="N321" i="2"/>
  <c r="L321" i="2"/>
  <c r="I321" i="2"/>
  <c r="H321" i="2"/>
  <c r="F321" i="2"/>
  <c r="C321" i="2"/>
  <c r="AD320" i="2"/>
  <c r="AC320" i="2"/>
  <c r="AA320" i="2"/>
  <c r="W320" i="2"/>
  <c r="X320" i="2" s="1"/>
  <c r="U320" i="2"/>
  <c r="R320" i="2"/>
  <c r="N320" i="2"/>
  <c r="L320" i="2"/>
  <c r="H320" i="2"/>
  <c r="I320" i="2" s="1"/>
  <c r="F320" i="2"/>
  <c r="C320" i="2"/>
  <c r="AC319" i="2"/>
  <c r="AD319" i="2" s="1"/>
  <c r="AA319" i="2"/>
  <c r="W319" i="2"/>
  <c r="U319" i="2"/>
  <c r="R319" i="2"/>
  <c r="N319" i="2"/>
  <c r="L319" i="2"/>
  <c r="I319" i="2"/>
  <c r="H319" i="2"/>
  <c r="F319" i="2"/>
  <c r="C319" i="2"/>
  <c r="AD318" i="2"/>
  <c r="AC318" i="2"/>
  <c r="AA318" i="2"/>
  <c r="W318" i="2"/>
  <c r="X318" i="2" s="1"/>
  <c r="U318" i="2"/>
  <c r="R318" i="2"/>
  <c r="N318" i="2"/>
  <c r="L318" i="2"/>
  <c r="H318" i="2"/>
  <c r="I318" i="2" s="1"/>
  <c r="F318" i="2"/>
  <c r="C318" i="2"/>
  <c r="AC317" i="2"/>
  <c r="AD317" i="2" s="1"/>
  <c r="AA317" i="2"/>
  <c r="W317" i="2"/>
  <c r="U317" i="2"/>
  <c r="R317" i="2"/>
  <c r="N317" i="2"/>
  <c r="L317" i="2"/>
  <c r="I317" i="2"/>
  <c r="H317" i="2"/>
  <c r="F317" i="2"/>
  <c r="C317" i="2"/>
  <c r="AD316" i="2"/>
  <c r="AC316" i="2"/>
  <c r="AA316" i="2"/>
  <c r="W316" i="2"/>
  <c r="X316" i="2" s="1"/>
  <c r="U316" i="2"/>
  <c r="R316" i="2"/>
  <c r="N316" i="2"/>
  <c r="O316" i="2" s="1"/>
  <c r="L316" i="2"/>
  <c r="H316" i="2"/>
  <c r="I316" i="2" s="1"/>
  <c r="F316" i="2"/>
  <c r="C316" i="2"/>
  <c r="AC315" i="2"/>
  <c r="AD315" i="2" s="1"/>
  <c r="AA315" i="2"/>
  <c r="W315" i="2"/>
  <c r="U315" i="2"/>
  <c r="R315" i="2"/>
  <c r="N315" i="2"/>
  <c r="L315" i="2"/>
  <c r="I315" i="2"/>
  <c r="H315" i="2"/>
  <c r="F315" i="2"/>
  <c r="C315" i="2"/>
  <c r="AD314" i="2"/>
  <c r="AC314" i="2"/>
  <c r="AA314" i="2"/>
  <c r="X314" i="2"/>
  <c r="W314" i="2"/>
  <c r="U314" i="2"/>
  <c r="R314" i="2"/>
  <c r="N314" i="2"/>
  <c r="O314" i="2" s="1"/>
  <c r="L314" i="2"/>
  <c r="H314" i="2"/>
  <c r="I314" i="2" s="1"/>
  <c r="F314" i="2"/>
  <c r="C314" i="2"/>
  <c r="AC313" i="2"/>
  <c r="AD313" i="2" s="1"/>
  <c r="AA313" i="2"/>
  <c r="X313" i="2"/>
  <c r="W313" i="2"/>
  <c r="U313" i="2"/>
  <c r="R313" i="2"/>
  <c r="N313" i="2"/>
  <c r="L313" i="2"/>
  <c r="H313" i="2"/>
  <c r="I313" i="2" s="1"/>
  <c r="F313" i="2"/>
  <c r="C313" i="2"/>
  <c r="AD312" i="2"/>
  <c r="AC312" i="2"/>
  <c r="AA312" i="2"/>
  <c r="W312" i="2"/>
  <c r="U312" i="2"/>
  <c r="R312" i="2"/>
  <c r="N312" i="2"/>
  <c r="L312" i="2"/>
  <c r="H312" i="2"/>
  <c r="I312" i="2" s="1"/>
  <c r="F312" i="2"/>
  <c r="C312" i="2"/>
  <c r="AC311" i="2"/>
  <c r="AD311" i="2" s="1"/>
  <c r="AA311" i="2"/>
  <c r="W311" i="2"/>
  <c r="U311" i="2"/>
  <c r="R311" i="2"/>
  <c r="N311" i="2"/>
  <c r="L311" i="2"/>
  <c r="I311" i="2"/>
  <c r="H311" i="2"/>
  <c r="F311" i="2"/>
  <c r="C311" i="2"/>
  <c r="AD310" i="2"/>
  <c r="AC310" i="2"/>
  <c r="AA310" i="2"/>
  <c r="W310" i="2"/>
  <c r="X310" i="2" s="1"/>
  <c r="U310" i="2"/>
  <c r="R310" i="2"/>
  <c r="N310" i="2"/>
  <c r="O310" i="2" s="1"/>
  <c r="L310" i="2"/>
  <c r="H310" i="2"/>
  <c r="I310" i="2" s="1"/>
  <c r="F310" i="2"/>
  <c r="C310" i="2"/>
  <c r="AC309" i="2"/>
  <c r="AD309" i="2" s="1"/>
  <c r="AA309" i="2"/>
  <c r="X309" i="2"/>
  <c r="W309" i="2"/>
  <c r="U309" i="2"/>
  <c r="R309" i="2"/>
  <c r="N309" i="2"/>
  <c r="L309" i="2"/>
  <c r="I309" i="2"/>
  <c r="H309" i="2"/>
  <c r="F309" i="2"/>
  <c r="C309" i="2"/>
  <c r="AD308" i="2"/>
  <c r="AC308" i="2"/>
  <c r="AA308" i="2"/>
  <c r="W308" i="2"/>
  <c r="X308" i="2" s="1"/>
  <c r="U308" i="2"/>
  <c r="R308" i="2"/>
  <c r="N308" i="2"/>
  <c r="O308" i="2" s="1"/>
  <c r="L308" i="2"/>
  <c r="H308" i="2"/>
  <c r="I308" i="2" s="1"/>
  <c r="F308" i="2"/>
  <c r="C308" i="2"/>
  <c r="AC307" i="2"/>
  <c r="AD307" i="2" s="1"/>
  <c r="AA307" i="2"/>
  <c r="W307" i="2"/>
  <c r="U307" i="2"/>
  <c r="R307" i="2"/>
  <c r="N307" i="2"/>
  <c r="L307" i="2"/>
  <c r="I307" i="2"/>
  <c r="H307" i="2"/>
  <c r="F307" i="2"/>
  <c r="C307" i="2"/>
  <c r="AC306" i="2"/>
  <c r="AD306" i="2" s="1"/>
  <c r="AA306" i="2"/>
  <c r="W306" i="2"/>
  <c r="X306" i="2" s="1"/>
  <c r="U306" i="2"/>
  <c r="R306" i="2"/>
  <c r="N306" i="2"/>
  <c r="L306" i="2"/>
  <c r="H306" i="2"/>
  <c r="I306" i="2" s="1"/>
  <c r="F306" i="2"/>
  <c r="C306" i="2"/>
  <c r="AC305" i="2"/>
  <c r="AD305" i="2" s="1"/>
  <c r="AA305" i="2"/>
  <c r="X305" i="2"/>
  <c r="W305" i="2"/>
  <c r="U305" i="2"/>
  <c r="R305" i="2"/>
  <c r="N305" i="2"/>
  <c r="L305" i="2"/>
  <c r="I305" i="2"/>
  <c r="H305" i="2"/>
  <c r="F305" i="2"/>
  <c r="C305" i="2"/>
  <c r="AD304" i="2"/>
  <c r="AC304" i="2"/>
  <c r="AA304" i="2"/>
  <c r="W304" i="2"/>
  <c r="X304" i="2" s="1"/>
  <c r="U304" i="2"/>
  <c r="R304" i="2"/>
  <c r="N304" i="2"/>
  <c r="L304" i="2"/>
  <c r="H304" i="2"/>
  <c r="I304" i="2" s="1"/>
  <c r="F304" i="2"/>
  <c r="C304" i="2"/>
  <c r="AC303" i="2"/>
  <c r="AD303" i="2" s="1"/>
  <c r="AA303" i="2"/>
  <c r="W303" i="2"/>
  <c r="U303" i="2"/>
  <c r="R303" i="2"/>
  <c r="N303" i="2"/>
  <c r="L303" i="2"/>
  <c r="I303" i="2"/>
  <c r="H303" i="2"/>
  <c r="F303" i="2"/>
  <c r="C303" i="2"/>
  <c r="AD302" i="2"/>
  <c r="AC302" i="2"/>
  <c r="AA302" i="2"/>
  <c r="W302" i="2"/>
  <c r="X302" i="2" s="1"/>
  <c r="U302" i="2"/>
  <c r="R302" i="2"/>
  <c r="N302" i="2"/>
  <c r="L302" i="2"/>
  <c r="H302" i="2"/>
  <c r="I302" i="2" s="1"/>
  <c r="F302" i="2"/>
  <c r="C302" i="2"/>
  <c r="AC301" i="2"/>
  <c r="AD301" i="2" s="1"/>
  <c r="AA301" i="2"/>
  <c r="W301" i="2"/>
  <c r="U301" i="2"/>
  <c r="R301" i="2"/>
  <c r="N301" i="2"/>
  <c r="L301" i="2"/>
  <c r="I301" i="2"/>
  <c r="H301" i="2"/>
  <c r="F301" i="2"/>
  <c r="C301" i="2"/>
  <c r="AD300" i="2"/>
  <c r="AC300" i="2"/>
  <c r="AA300" i="2"/>
  <c r="W300" i="2"/>
  <c r="X300" i="2" s="1"/>
  <c r="U300" i="2"/>
  <c r="R300" i="2"/>
  <c r="N300" i="2"/>
  <c r="O300" i="2" s="1"/>
  <c r="L300" i="2"/>
  <c r="H300" i="2"/>
  <c r="I300" i="2" s="1"/>
  <c r="F300" i="2"/>
  <c r="C300" i="2"/>
  <c r="AC299" i="2"/>
  <c r="AD299" i="2" s="1"/>
  <c r="AA299" i="2"/>
  <c r="W299" i="2"/>
  <c r="U299" i="2"/>
  <c r="R299" i="2"/>
  <c r="N299" i="2"/>
  <c r="L299" i="2"/>
  <c r="I299" i="2"/>
  <c r="H299" i="2"/>
  <c r="F299" i="2"/>
  <c r="C299" i="2"/>
  <c r="AD298" i="2"/>
  <c r="AC298" i="2"/>
  <c r="AA298" i="2"/>
  <c r="X298" i="2"/>
  <c r="W298" i="2"/>
  <c r="U298" i="2"/>
  <c r="R298" i="2"/>
  <c r="N298" i="2"/>
  <c r="O298" i="2" s="1"/>
  <c r="L298" i="2"/>
  <c r="H298" i="2"/>
  <c r="I298" i="2" s="1"/>
  <c r="F298" i="2"/>
  <c r="C298" i="2"/>
  <c r="AC297" i="2"/>
  <c r="AD297" i="2" s="1"/>
  <c r="AA297" i="2"/>
  <c r="X297" i="2"/>
  <c r="W297" i="2"/>
  <c r="U297" i="2"/>
  <c r="R297" i="2"/>
  <c r="N297" i="2"/>
  <c r="L297" i="2"/>
  <c r="H297" i="2"/>
  <c r="I297" i="2" s="1"/>
  <c r="F297" i="2"/>
  <c r="C297" i="2"/>
  <c r="AD295" i="2"/>
  <c r="Z295" i="2"/>
  <c r="AA295" i="2" s="1"/>
  <c r="T295" i="2"/>
  <c r="U295" i="2" s="1"/>
  <c r="R295" i="2"/>
  <c r="Q295" i="2"/>
  <c r="AC295" i="2" s="1"/>
  <c r="K295" i="2"/>
  <c r="L295" i="2" s="1"/>
  <c r="F295" i="2"/>
  <c r="E295" i="2"/>
  <c r="B295" i="2"/>
  <c r="C295" i="2" s="1"/>
  <c r="AC294" i="2"/>
  <c r="AD294" i="2" s="1"/>
  <c r="AA294" i="2"/>
  <c r="X294" i="2"/>
  <c r="W294" i="2"/>
  <c r="U294" i="2"/>
  <c r="R294" i="2"/>
  <c r="N294" i="2"/>
  <c r="L294" i="2"/>
  <c r="H294" i="2"/>
  <c r="I294" i="2" s="1"/>
  <c r="F294" i="2"/>
  <c r="C294" i="2"/>
  <c r="AC293" i="2"/>
  <c r="AD293" i="2" s="1"/>
  <c r="AA293" i="2"/>
  <c r="X293" i="2"/>
  <c r="W293" i="2"/>
  <c r="U293" i="2"/>
  <c r="R293" i="2"/>
  <c r="N293" i="2"/>
  <c r="L293" i="2"/>
  <c r="H293" i="2"/>
  <c r="I293" i="2" s="1"/>
  <c r="F293" i="2"/>
  <c r="C293" i="2"/>
  <c r="AD292" i="2"/>
  <c r="AC292" i="2"/>
  <c r="AA292" i="2"/>
  <c r="X292" i="2"/>
  <c r="W292" i="2"/>
  <c r="U292" i="2"/>
  <c r="R292" i="2"/>
  <c r="N292" i="2"/>
  <c r="L292" i="2"/>
  <c r="H292" i="2"/>
  <c r="I292" i="2" s="1"/>
  <c r="F292" i="2"/>
  <c r="C292" i="2"/>
  <c r="AC291" i="2"/>
  <c r="AD291" i="2" s="1"/>
  <c r="AA291" i="2"/>
  <c r="W291" i="2"/>
  <c r="U291" i="2"/>
  <c r="R291" i="2"/>
  <c r="N291" i="2"/>
  <c r="L291" i="2"/>
  <c r="I291" i="2"/>
  <c r="H291" i="2"/>
  <c r="F291" i="2"/>
  <c r="C291" i="2"/>
  <c r="AC290" i="2"/>
  <c r="AD290" i="2" s="1"/>
  <c r="AA290" i="2"/>
  <c r="W290" i="2"/>
  <c r="X290" i="2" s="1"/>
  <c r="U290" i="2"/>
  <c r="R290" i="2"/>
  <c r="N290" i="2"/>
  <c r="L290" i="2"/>
  <c r="H290" i="2"/>
  <c r="I290" i="2" s="1"/>
  <c r="F290" i="2"/>
  <c r="C290" i="2"/>
  <c r="AC289" i="2"/>
  <c r="AD289" i="2" s="1"/>
  <c r="AA289" i="2"/>
  <c r="X289" i="2"/>
  <c r="W289" i="2"/>
  <c r="U289" i="2"/>
  <c r="R289" i="2"/>
  <c r="N289" i="2"/>
  <c r="L289" i="2"/>
  <c r="H289" i="2"/>
  <c r="I289" i="2" s="1"/>
  <c r="F289" i="2"/>
  <c r="C289" i="2"/>
  <c r="AD288" i="2"/>
  <c r="AC288" i="2"/>
  <c r="AA288" i="2"/>
  <c r="W288" i="2"/>
  <c r="X288" i="2" s="1"/>
  <c r="U288" i="2"/>
  <c r="R288" i="2"/>
  <c r="N288" i="2"/>
  <c r="L288" i="2"/>
  <c r="H288" i="2"/>
  <c r="I288" i="2" s="1"/>
  <c r="F288" i="2"/>
  <c r="C288" i="2"/>
  <c r="AC287" i="2"/>
  <c r="AD287" i="2" s="1"/>
  <c r="AA287" i="2"/>
  <c r="W287" i="2"/>
  <c r="U287" i="2"/>
  <c r="R287" i="2"/>
  <c r="N287" i="2"/>
  <c r="L287" i="2"/>
  <c r="I287" i="2"/>
  <c r="H287" i="2"/>
  <c r="F287" i="2"/>
  <c r="C287" i="2"/>
  <c r="AD286" i="2"/>
  <c r="AC286" i="2"/>
  <c r="AA286" i="2"/>
  <c r="X286" i="2"/>
  <c r="W286" i="2"/>
  <c r="U286" i="2"/>
  <c r="R286" i="2"/>
  <c r="N286" i="2"/>
  <c r="O286" i="2" s="1"/>
  <c r="L286" i="2"/>
  <c r="H286" i="2"/>
  <c r="I286" i="2" s="1"/>
  <c r="F286" i="2"/>
  <c r="C286" i="2"/>
  <c r="Z284" i="2"/>
  <c r="AA284" i="2" s="1"/>
  <c r="U284" i="2"/>
  <c r="T284" i="2"/>
  <c r="Q284" i="2"/>
  <c r="K284" i="2"/>
  <c r="L284" i="2" s="1"/>
  <c r="E284" i="2"/>
  <c r="F284" i="2" s="1"/>
  <c r="B284" i="2"/>
  <c r="AC283" i="2"/>
  <c r="AD283" i="2" s="1"/>
  <c r="AA283" i="2"/>
  <c r="W283" i="2"/>
  <c r="U283" i="2"/>
  <c r="R283" i="2"/>
  <c r="N283" i="2"/>
  <c r="L283" i="2"/>
  <c r="I283" i="2"/>
  <c r="H283" i="2"/>
  <c r="F283" i="2"/>
  <c r="C283" i="2"/>
  <c r="AD282" i="2"/>
  <c r="AC282" i="2"/>
  <c r="AA282" i="2"/>
  <c r="W282" i="2"/>
  <c r="X282" i="2" s="1"/>
  <c r="U282" i="2"/>
  <c r="R282" i="2"/>
  <c r="N282" i="2"/>
  <c r="L282" i="2"/>
  <c r="H282" i="2"/>
  <c r="I282" i="2" s="1"/>
  <c r="F282" i="2"/>
  <c r="C282" i="2"/>
  <c r="AC281" i="2"/>
  <c r="AD281" i="2" s="1"/>
  <c r="AA281" i="2"/>
  <c r="X281" i="2"/>
  <c r="W281" i="2"/>
  <c r="U281" i="2"/>
  <c r="R281" i="2"/>
  <c r="N281" i="2"/>
  <c r="L281" i="2"/>
  <c r="H281" i="2"/>
  <c r="I281" i="2" s="1"/>
  <c r="F281" i="2"/>
  <c r="C281" i="2"/>
  <c r="AD280" i="2"/>
  <c r="AC280" i="2"/>
  <c r="AA280" i="2"/>
  <c r="W280" i="2"/>
  <c r="X280" i="2" s="1"/>
  <c r="U280" i="2"/>
  <c r="R280" i="2"/>
  <c r="N280" i="2"/>
  <c r="O280" i="2" s="1"/>
  <c r="L280" i="2"/>
  <c r="H280" i="2"/>
  <c r="I280" i="2" s="1"/>
  <c r="F280" i="2"/>
  <c r="C280" i="2"/>
  <c r="AC279" i="2"/>
  <c r="AD279" i="2" s="1"/>
  <c r="AA279" i="2"/>
  <c r="W279" i="2"/>
  <c r="U279" i="2"/>
  <c r="R279" i="2"/>
  <c r="N279" i="2"/>
  <c r="L279" i="2"/>
  <c r="I279" i="2"/>
  <c r="H279" i="2"/>
  <c r="F279" i="2"/>
  <c r="C279" i="2"/>
  <c r="AC278" i="2"/>
  <c r="AD278" i="2" s="1"/>
  <c r="AA278" i="2"/>
  <c r="W278" i="2"/>
  <c r="X278" i="2" s="1"/>
  <c r="U278" i="2"/>
  <c r="R278" i="2"/>
  <c r="N278" i="2"/>
  <c r="L278" i="2"/>
  <c r="H278" i="2"/>
  <c r="I278" i="2" s="1"/>
  <c r="F278" i="2"/>
  <c r="C278" i="2"/>
  <c r="AC277" i="2"/>
  <c r="AD277" i="2" s="1"/>
  <c r="AA277" i="2"/>
  <c r="X277" i="2"/>
  <c r="W277" i="2"/>
  <c r="U277" i="2"/>
  <c r="R277" i="2"/>
  <c r="N277" i="2"/>
  <c r="L277" i="2"/>
  <c r="H277" i="2"/>
  <c r="I277" i="2" s="1"/>
  <c r="F277" i="2"/>
  <c r="C277" i="2"/>
  <c r="AD276" i="2"/>
  <c r="AC276" i="2"/>
  <c r="AA276" i="2"/>
  <c r="W276" i="2"/>
  <c r="X276" i="2" s="1"/>
  <c r="U276" i="2"/>
  <c r="R276" i="2"/>
  <c r="N276" i="2"/>
  <c r="L276" i="2"/>
  <c r="H276" i="2"/>
  <c r="I276" i="2" s="1"/>
  <c r="F276" i="2"/>
  <c r="C276" i="2"/>
  <c r="AC275" i="2"/>
  <c r="AD275" i="2" s="1"/>
  <c r="AA275" i="2"/>
  <c r="W275" i="2"/>
  <c r="U275" i="2"/>
  <c r="R275" i="2"/>
  <c r="N275" i="2"/>
  <c r="L275" i="2"/>
  <c r="I275" i="2"/>
  <c r="H275" i="2"/>
  <c r="F275" i="2"/>
  <c r="C275" i="2"/>
  <c r="AD273" i="2"/>
  <c r="AC273" i="2"/>
  <c r="Z273" i="2"/>
  <c r="AA273" i="2" s="1"/>
  <c r="T273" i="2"/>
  <c r="U273" i="2" s="1"/>
  <c r="R273" i="2"/>
  <c r="Q273" i="2"/>
  <c r="L273" i="2"/>
  <c r="K273" i="2"/>
  <c r="F273" i="2"/>
  <c r="E273" i="2"/>
  <c r="B273" i="2"/>
  <c r="AD272" i="2"/>
  <c r="AC272" i="2"/>
  <c r="AA272" i="2"/>
  <c r="W272" i="2"/>
  <c r="X272" i="2" s="1"/>
  <c r="U272" i="2"/>
  <c r="R272" i="2"/>
  <c r="N272" i="2"/>
  <c r="L272" i="2"/>
  <c r="H272" i="2"/>
  <c r="I272" i="2" s="1"/>
  <c r="F272" i="2"/>
  <c r="C272" i="2"/>
  <c r="AC271" i="2"/>
  <c r="AD271" i="2" s="1"/>
  <c r="AA271" i="2"/>
  <c r="W271" i="2"/>
  <c r="U271" i="2"/>
  <c r="R271" i="2"/>
  <c r="N271" i="2"/>
  <c r="L271" i="2"/>
  <c r="I271" i="2"/>
  <c r="H271" i="2"/>
  <c r="F271" i="2"/>
  <c r="C271" i="2"/>
  <c r="AC270" i="2"/>
  <c r="AD270" i="2" s="1"/>
  <c r="AA270" i="2"/>
  <c r="W270" i="2"/>
  <c r="X270" i="2" s="1"/>
  <c r="U270" i="2"/>
  <c r="R270" i="2"/>
  <c r="N270" i="2"/>
  <c r="L270" i="2"/>
  <c r="H270" i="2"/>
  <c r="I270" i="2" s="1"/>
  <c r="F270" i="2"/>
  <c r="C270" i="2"/>
  <c r="AC269" i="2"/>
  <c r="AD269" i="2" s="1"/>
  <c r="AA269" i="2"/>
  <c r="W269" i="2"/>
  <c r="U269" i="2"/>
  <c r="R269" i="2"/>
  <c r="N269" i="2"/>
  <c r="L269" i="2"/>
  <c r="H269" i="2"/>
  <c r="I269" i="2" s="1"/>
  <c r="F269" i="2"/>
  <c r="C269" i="2"/>
  <c r="Z267" i="2"/>
  <c r="AA267" i="2" s="1"/>
  <c r="T267" i="2"/>
  <c r="U267" i="2" s="1"/>
  <c r="R267" i="2"/>
  <c r="Q267" i="2"/>
  <c r="K267" i="2"/>
  <c r="L267" i="2" s="1"/>
  <c r="H267" i="2"/>
  <c r="I267" i="2" s="1"/>
  <c r="F267" i="2"/>
  <c r="E267" i="2"/>
  <c r="B267" i="2"/>
  <c r="AC266" i="2"/>
  <c r="AD266" i="2" s="1"/>
  <c r="AA266" i="2"/>
  <c r="W266" i="2"/>
  <c r="X266" i="2" s="1"/>
  <c r="U266" i="2"/>
  <c r="R266" i="2"/>
  <c r="N266" i="2"/>
  <c r="L266" i="2"/>
  <c r="H266" i="2"/>
  <c r="I266" i="2" s="1"/>
  <c r="F266" i="2"/>
  <c r="C266" i="2"/>
  <c r="AC265" i="2"/>
  <c r="AD265" i="2" s="1"/>
  <c r="AA265" i="2"/>
  <c r="X265" i="2"/>
  <c r="W265" i="2"/>
  <c r="U265" i="2"/>
  <c r="R265" i="2"/>
  <c r="N265" i="2"/>
  <c r="L265" i="2"/>
  <c r="I265" i="2"/>
  <c r="H265" i="2"/>
  <c r="F265" i="2"/>
  <c r="C265" i="2"/>
  <c r="Z263" i="2"/>
  <c r="AA263" i="2" s="1"/>
  <c r="T263" i="2"/>
  <c r="U263" i="2" s="1"/>
  <c r="R263" i="2"/>
  <c r="Q263" i="2"/>
  <c r="K263" i="2"/>
  <c r="L263" i="2" s="1"/>
  <c r="H263" i="2"/>
  <c r="I263" i="2" s="1"/>
  <c r="F263" i="2"/>
  <c r="E263" i="2"/>
  <c r="B263" i="2"/>
  <c r="Z262" i="2"/>
  <c r="AA262" i="2" s="1"/>
  <c r="T262" i="2"/>
  <c r="U262" i="2" s="1"/>
  <c r="Q262" i="2"/>
  <c r="N262" i="2"/>
  <c r="L262" i="2"/>
  <c r="K262" i="2"/>
  <c r="F262" i="2"/>
  <c r="E262" i="2"/>
  <c r="B262" i="2"/>
  <c r="AD261" i="2"/>
  <c r="AC261" i="2"/>
  <c r="AA261" i="2"/>
  <c r="W261" i="2"/>
  <c r="X261" i="2" s="1"/>
  <c r="U261" i="2"/>
  <c r="R261" i="2"/>
  <c r="N261" i="2"/>
  <c r="L261" i="2"/>
  <c r="H261" i="2"/>
  <c r="I261" i="2" s="1"/>
  <c r="F261" i="2"/>
  <c r="C261" i="2"/>
  <c r="AC260" i="2"/>
  <c r="AD260" i="2" s="1"/>
  <c r="AA260" i="2"/>
  <c r="W260" i="2"/>
  <c r="U260" i="2"/>
  <c r="R260" i="2"/>
  <c r="N260" i="2"/>
  <c r="L260" i="2"/>
  <c r="I260" i="2"/>
  <c r="H260" i="2"/>
  <c r="F260" i="2"/>
  <c r="C260" i="2"/>
  <c r="AC259" i="2"/>
  <c r="AD259" i="2" s="1"/>
  <c r="AA259" i="2"/>
  <c r="W259" i="2"/>
  <c r="X259" i="2" s="1"/>
  <c r="U259" i="2"/>
  <c r="R259" i="2"/>
  <c r="N259" i="2"/>
  <c r="L259" i="2"/>
  <c r="H259" i="2"/>
  <c r="I259" i="2" s="1"/>
  <c r="F259" i="2"/>
  <c r="C259" i="2"/>
  <c r="AC258" i="2"/>
  <c r="AD258" i="2" s="1"/>
  <c r="AA258" i="2"/>
  <c r="X258" i="2"/>
  <c r="W258" i="2"/>
  <c r="U258" i="2"/>
  <c r="R258" i="2"/>
  <c r="N258" i="2"/>
  <c r="L258" i="2"/>
  <c r="H258" i="2"/>
  <c r="I258" i="2" s="1"/>
  <c r="F258" i="2"/>
  <c r="C258" i="2"/>
  <c r="AD257" i="2"/>
  <c r="AC257" i="2"/>
  <c r="AA257" i="2"/>
  <c r="W257" i="2"/>
  <c r="X257" i="2" s="1"/>
  <c r="U257" i="2"/>
  <c r="R257" i="2"/>
  <c r="N257" i="2"/>
  <c r="L257" i="2"/>
  <c r="H257" i="2"/>
  <c r="I257" i="2" s="1"/>
  <c r="F257" i="2"/>
  <c r="C257" i="2"/>
  <c r="AC256" i="2"/>
  <c r="AD256" i="2" s="1"/>
  <c r="AA256" i="2"/>
  <c r="W256" i="2"/>
  <c r="U256" i="2"/>
  <c r="R256" i="2"/>
  <c r="N256" i="2"/>
  <c r="L256" i="2"/>
  <c r="I256" i="2"/>
  <c r="H256" i="2"/>
  <c r="F256" i="2"/>
  <c r="C256" i="2"/>
  <c r="AC255" i="2"/>
  <c r="AD255" i="2" s="1"/>
  <c r="AA255" i="2"/>
  <c r="W255" i="2"/>
  <c r="X255" i="2" s="1"/>
  <c r="U255" i="2"/>
  <c r="R255" i="2"/>
  <c r="N255" i="2"/>
  <c r="L255" i="2"/>
  <c r="H255" i="2"/>
  <c r="I255" i="2" s="1"/>
  <c r="F255" i="2"/>
  <c r="C255" i="2"/>
  <c r="AC254" i="2"/>
  <c r="AD254" i="2" s="1"/>
  <c r="AA254" i="2"/>
  <c r="X254" i="2"/>
  <c r="W254" i="2"/>
  <c r="U254" i="2"/>
  <c r="R254" i="2"/>
  <c r="N254" i="2"/>
  <c r="L254" i="2"/>
  <c r="H254" i="2"/>
  <c r="I254" i="2" s="1"/>
  <c r="F254" i="2"/>
  <c r="C254" i="2"/>
  <c r="AD253" i="2"/>
  <c r="AC253" i="2"/>
  <c r="AA253" i="2"/>
  <c r="W253" i="2"/>
  <c r="X253" i="2" s="1"/>
  <c r="U253" i="2"/>
  <c r="R253" i="2"/>
  <c r="N253" i="2"/>
  <c r="L253" i="2"/>
  <c r="H253" i="2"/>
  <c r="I253" i="2" s="1"/>
  <c r="F253" i="2"/>
  <c r="C253" i="2"/>
  <c r="AC252" i="2"/>
  <c r="AD252" i="2" s="1"/>
  <c r="AA252" i="2"/>
  <c r="W252" i="2"/>
  <c r="U252" i="2"/>
  <c r="R252" i="2"/>
  <c r="N252" i="2"/>
  <c r="L252" i="2"/>
  <c r="I252" i="2"/>
  <c r="H252" i="2"/>
  <c r="F252" i="2"/>
  <c r="C252" i="2"/>
  <c r="AC251" i="2"/>
  <c r="AD251" i="2" s="1"/>
  <c r="AA251" i="2"/>
  <c r="W251" i="2"/>
  <c r="X251" i="2" s="1"/>
  <c r="U251" i="2"/>
  <c r="R251" i="2"/>
  <c r="N251" i="2"/>
  <c r="L251" i="2"/>
  <c r="H251" i="2"/>
  <c r="I251" i="2" s="1"/>
  <c r="F251" i="2"/>
  <c r="C251" i="2"/>
  <c r="AC250" i="2"/>
  <c r="AD250" i="2" s="1"/>
  <c r="AA250" i="2"/>
  <c r="W250" i="2"/>
  <c r="U250" i="2"/>
  <c r="R250" i="2"/>
  <c r="N250" i="2"/>
  <c r="L250" i="2"/>
  <c r="I250" i="2"/>
  <c r="H250" i="2"/>
  <c r="F250" i="2"/>
  <c r="C250" i="2"/>
  <c r="AD249" i="2"/>
  <c r="AC249" i="2"/>
  <c r="AA249" i="2"/>
  <c r="W249" i="2"/>
  <c r="X249" i="2" s="1"/>
  <c r="U249" i="2"/>
  <c r="R249" i="2"/>
  <c r="N249" i="2"/>
  <c r="L249" i="2"/>
  <c r="H249" i="2"/>
  <c r="I249" i="2" s="1"/>
  <c r="F249" i="2"/>
  <c r="C249" i="2"/>
  <c r="AC248" i="2"/>
  <c r="AD248" i="2" s="1"/>
  <c r="AA248" i="2"/>
  <c r="W248" i="2"/>
  <c r="U248" i="2"/>
  <c r="R248" i="2"/>
  <c r="N248" i="2"/>
  <c r="L248" i="2"/>
  <c r="I248" i="2"/>
  <c r="H248" i="2"/>
  <c r="F248" i="2"/>
  <c r="C248" i="2"/>
  <c r="AC247" i="2"/>
  <c r="AD247" i="2" s="1"/>
  <c r="AA247" i="2"/>
  <c r="X247" i="2"/>
  <c r="W247" i="2"/>
  <c r="U247" i="2"/>
  <c r="R247" i="2"/>
  <c r="N247" i="2"/>
  <c r="O247" i="2" s="1"/>
  <c r="L247" i="2"/>
  <c r="H247" i="2"/>
  <c r="I247" i="2" s="1"/>
  <c r="F247" i="2"/>
  <c r="C247" i="2"/>
  <c r="AC246" i="2"/>
  <c r="AD246" i="2" s="1"/>
  <c r="AA246" i="2"/>
  <c r="X246" i="2"/>
  <c r="W246" i="2"/>
  <c r="U246" i="2"/>
  <c r="R246" i="2"/>
  <c r="N246" i="2"/>
  <c r="L246" i="2"/>
  <c r="H246" i="2"/>
  <c r="I246" i="2" s="1"/>
  <c r="F246" i="2"/>
  <c r="C246" i="2"/>
  <c r="AD245" i="2"/>
  <c r="AC245" i="2"/>
  <c r="AA245" i="2"/>
  <c r="W245" i="2"/>
  <c r="X245" i="2" s="1"/>
  <c r="U245" i="2"/>
  <c r="R245" i="2"/>
  <c r="N245" i="2"/>
  <c r="L245" i="2"/>
  <c r="H245" i="2"/>
  <c r="I245" i="2" s="1"/>
  <c r="F245" i="2"/>
  <c r="C245" i="2"/>
  <c r="AC244" i="2"/>
  <c r="AD244" i="2" s="1"/>
  <c r="AA244" i="2"/>
  <c r="W244" i="2"/>
  <c r="U244" i="2"/>
  <c r="R244" i="2"/>
  <c r="N244" i="2"/>
  <c r="L244" i="2"/>
  <c r="I244" i="2"/>
  <c r="H244" i="2"/>
  <c r="F244" i="2"/>
  <c r="C244" i="2"/>
  <c r="AC243" i="2"/>
  <c r="AD243" i="2" s="1"/>
  <c r="AA243" i="2"/>
  <c r="W243" i="2"/>
  <c r="X243" i="2" s="1"/>
  <c r="U243" i="2"/>
  <c r="R243" i="2"/>
  <c r="N243" i="2"/>
  <c r="L243" i="2"/>
  <c r="H243" i="2"/>
  <c r="I243" i="2" s="1"/>
  <c r="F243" i="2"/>
  <c r="C243" i="2"/>
  <c r="AC242" i="2"/>
  <c r="AD242" i="2" s="1"/>
  <c r="AA242" i="2"/>
  <c r="X242" i="2"/>
  <c r="W242" i="2"/>
  <c r="U242" i="2"/>
  <c r="R242" i="2"/>
  <c r="N242" i="2"/>
  <c r="L242" i="2"/>
  <c r="H242" i="2"/>
  <c r="I242" i="2" s="1"/>
  <c r="F242" i="2"/>
  <c r="C242" i="2"/>
  <c r="AD241" i="2"/>
  <c r="AC241" i="2"/>
  <c r="AA241" i="2"/>
  <c r="W241" i="2"/>
  <c r="X241" i="2" s="1"/>
  <c r="U241" i="2"/>
  <c r="R241" i="2"/>
  <c r="N241" i="2"/>
  <c r="O241" i="2" s="1"/>
  <c r="L241" i="2"/>
  <c r="H241" i="2"/>
  <c r="I241" i="2" s="1"/>
  <c r="F241" i="2"/>
  <c r="C241" i="2"/>
  <c r="AC240" i="2"/>
  <c r="AD240" i="2" s="1"/>
  <c r="AA240" i="2"/>
  <c r="W240" i="2"/>
  <c r="U240" i="2"/>
  <c r="R240" i="2"/>
  <c r="N240" i="2"/>
  <c r="L240" i="2"/>
  <c r="I240" i="2"/>
  <c r="H240" i="2"/>
  <c r="F240" i="2"/>
  <c r="C240" i="2"/>
  <c r="AC238" i="2"/>
  <c r="AD238" i="2" s="1"/>
  <c r="AA238" i="2"/>
  <c r="W238" i="2"/>
  <c r="X238" i="2" s="1"/>
  <c r="U238" i="2"/>
  <c r="R238" i="2"/>
  <c r="N238" i="2"/>
  <c r="L238" i="2"/>
  <c r="H238" i="2"/>
  <c r="I238" i="2" s="1"/>
  <c r="F238" i="2"/>
  <c r="C238" i="2"/>
  <c r="AC236" i="2"/>
  <c r="AD236" i="2" s="1"/>
  <c r="AA236" i="2"/>
  <c r="Z236" i="2"/>
  <c r="U236" i="2"/>
  <c r="T236" i="2"/>
  <c r="Q236" i="2"/>
  <c r="K236" i="2"/>
  <c r="L236" i="2" s="1"/>
  <c r="E236" i="2"/>
  <c r="F236" i="2" s="1"/>
  <c r="B236" i="2"/>
  <c r="AC235" i="2"/>
  <c r="AD235" i="2" s="1"/>
  <c r="AA235" i="2"/>
  <c r="W235" i="2"/>
  <c r="U235" i="2"/>
  <c r="R235" i="2"/>
  <c r="N235" i="2"/>
  <c r="L235" i="2"/>
  <c r="I235" i="2"/>
  <c r="H235" i="2"/>
  <c r="F235" i="2"/>
  <c r="C235" i="2"/>
  <c r="AD234" i="2"/>
  <c r="AC234" i="2"/>
  <c r="AA234" i="2"/>
  <c r="W234" i="2"/>
  <c r="X234" i="2" s="1"/>
  <c r="U234" i="2"/>
  <c r="R234" i="2"/>
  <c r="N234" i="2"/>
  <c r="O234" i="2" s="1"/>
  <c r="L234" i="2"/>
  <c r="H234" i="2"/>
  <c r="I234" i="2" s="1"/>
  <c r="F234" i="2"/>
  <c r="C234" i="2"/>
  <c r="AC233" i="2"/>
  <c r="AD233" i="2" s="1"/>
  <c r="AA233" i="2"/>
  <c r="X233" i="2"/>
  <c r="W233" i="2"/>
  <c r="U233" i="2"/>
  <c r="R233" i="2"/>
  <c r="N233" i="2"/>
  <c r="L233" i="2"/>
  <c r="H233" i="2"/>
  <c r="I233" i="2" s="1"/>
  <c r="F233" i="2"/>
  <c r="C233" i="2"/>
  <c r="AD232" i="2"/>
  <c r="AC232" i="2"/>
  <c r="AA232" i="2"/>
  <c r="W232" i="2"/>
  <c r="X232" i="2" s="1"/>
  <c r="U232" i="2"/>
  <c r="R232" i="2"/>
  <c r="N232" i="2"/>
  <c r="L232" i="2"/>
  <c r="H232" i="2"/>
  <c r="I232" i="2" s="1"/>
  <c r="F232" i="2"/>
  <c r="C232" i="2"/>
  <c r="AC231" i="2"/>
  <c r="AD231" i="2" s="1"/>
  <c r="AA231" i="2"/>
  <c r="W231" i="2"/>
  <c r="U231" i="2"/>
  <c r="R231" i="2"/>
  <c r="N231" i="2"/>
  <c r="L231" i="2"/>
  <c r="I231" i="2"/>
  <c r="H231" i="2"/>
  <c r="F231" i="2"/>
  <c r="C231" i="2"/>
  <c r="AC230" i="2"/>
  <c r="AD230" i="2" s="1"/>
  <c r="AA230" i="2"/>
  <c r="W230" i="2"/>
  <c r="X230" i="2" s="1"/>
  <c r="U230" i="2"/>
  <c r="R230" i="2"/>
  <c r="N230" i="2"/>
  <c r="L230" i="2"/>
  <c r="H230" i="2"/>
  <c r="I230" i="2" s="1"/>
  <c r="F230" i="2"/>
  <c r="C230" i="2"/>
  <c r="AC229" i="2"/>
  <c r="AD229" i="2" s="1"/>
  <c r="AA229" i="2"/>
  <c r="W229" i="2"/>
  <c r="U229" i="2"/>
  <c r="R229" i="2"/>
  <c r="N229" i="2"/>
  <c r="L229" i="2"/>
  <c r="H229" i="2"/>
  <c r="I229" i="2" s="1"/>
  <c r="F229" i="2"/>
  <c r="C229" i="2"/>
  <c r="Z227" i="2"/>
  <c r="AA227" i="2" s="1"/>
  <c r="T227" i="2"/>
  <c r="U227" i="2" s="1"/>
  <c r="R227" i="2"/>
  <c r="Q227" i="2"/>
  <c r="K227" i="2"/>
  <c r="L227" i="2" s="1"/>
  <c r="H227" i="2"/>
  <c r="I227" i="2" s="1"/>
  <c r="F227" i="2"/>
  <c r="E227" i="2"/>
  <c r="B227" i="2"/>
  <c r="AC226" i="2"/>
  <c r="AD226" i="2" s="1"/>
  <c r="AA226" i="2"/>
  <c r="W226" i="2"/>
  <c r="X226" i="2" s="1"/>
  <c r="U226" i="2"/>
  <c r="R226" i="2"/>
  <c r="N226" i="2"/>
  <c r="L226" i="2"/>
  <c r="H226" i="2"/>
  <c r="I226" i="2" s="1"/>
  <c r="F226" i="2"/>
  <c r="C226" i="2"/>
  <c r="AC225" i="2"/>
  <c r="AD225" i="2" s="1"/>
  <c r="AA225" i="2"/>
  <c r="X225" i="2"/>
  <c r="W225" i="2"/>
  <c r="U225" i="2"/>
  <c r="R225" i="2"/>
  <c r="N225" i="2"/>
  <c r="L225" i="2"/>
  <c r="H225" i="2"/>
  <c r="I225" i="2" s="1"/>
  <c r="F225" i="2"/>
  <c r="C225" i="2"/>
  <c r="AD224" i="2"/>
  <c r="AC224" i="2"/>
  <c r="AA224" i="2"/>
  <c r="W224" i="2"/>
  <c r="X224" i="2" s="1"/>
  <c r="U224" i="2"/>
  <c r="R224" i="2"/>
  <c r="N224" i="2"/>
  <c r="L224" i="2"/>
  <c r="H224" i="2"/>
  <c r="I224" i="2" s="1"/>
  <c r="F224" i="2"/>
  <c r="C224" i="2"/>
  <c r="AC223" i="2"/>
  <c r="AD223" i="2" s="1"/>
  <c r="AA223" i="2"/>
  <c r="W223" i="2"/>
  <c r="U223" i="2"/>
  <c r="R223" i="2"/>
  <c r="N223" i="2"/>
  <c r="L223" i="2"/>
  <c r="I223" i="2"/>
  <c r="H223" i="2"/>
  <c r="F223" i="2"/>
  <c r="C223" i="2"/>
  <c r="AC222" i="2"/>
  <c r="AD222" i="2" s="1"/>
  <c r="AA222" i="2"/>
  <c r="W222" i="2"/>
  <c r="X222" i="2" s="1"/>
  <c r="U222" i="2"/>
  <c r="R222" i="2"/>
  <c r="N222" i="2"/>
  <c r="L222" i="2"/>
  <c r="H222" i="2"/>
  <c r="I222" i="2" s="1"/>
  <c r="F222" i="2"/>
  <c r="C222" i="2"/>
  <c r="AC221" i="2"/>
  <c r="AD221" i="2" s="1"/>
  <c r="AA221" i="2"/>
  <c r="W221" i="2"/>
  <c r="U221" i="2"/>
  <c r="R221" i="2"/>
  <c r="N221" i="2"/>
  <c r="L221" i="2"/>
  <c r="I221" i="2"/>
  <c r="H221" i="2"/>
  <c r="F221" i="2"/>
  <c r="C221" i="2"/>
  <c r="AD220" i="2"/>
  <c r="AC220" i="2"/>
  <c r="AA220" i="2"/>
  <c r="W220" i="2"/>
  <c r="X220" i="2" s="1"/>
  <c r="U220" i="2"/>
  <c r="R220" i="2"/>
  <c r="N220" i="2"/>
  <c r="O220" i="2" s="1"/>
  <c r="L220" i="2"/>
  <c r="H220" i="2"/>
  <c r="I220" i="2" s="1"/>
  <c r="F220" i="2"/>
  <c r="C220" i="2"/>
  <c r="AC219" i="2"/>
  <c r="AD219" i="2" s="1"/>
  <c r="AA219" i="2"/>
  <c r="W219" i="2"/>
  <c r="U219" i="2"/>
  <c r="R219" i="2"/>
  <c r="N219" i="2"/>
  <c r="L219" i="2"/>
  <c r="I219" i="2"/>
  <c r="H219" i="2"/>
  <c r="F219" i="2"/>
  <c r="C219" i="2"/>
  <c r="Z218" i="2"/>
  <c r="AA218" i="2" s="1"/>
  <c r="T218" i="2"/>
  <c r="U218" i="2" s="1"/>
  <c r="Q218" i="2"/>
  <c r="N218" i="2"/>
  <c r="L218" i="2"/>
  <c r="K218" i="2"/>
  <c r="H218" i="2"/>
  <c r="I218" i="2" s="1"/>
  <c r="F218" i="2"/>
  <c r="E218" i="2"/>
  <c r="B218" i="2"/>
  <c r="C218" i="2" s="1"/>
  <c r="AD217" i="2"/>
  <c r="AC217" i="2"/>
  <c r="AA217" i="2"/>
  <c r="W217" i="2"/>
  <c r="X217" i="2" s="1"/>
  <c r="U217" i="2"/>
  <c r="R217" i="2"/>
  <c r="N217" i="2"/>
  <c r="L217" i="2"/>
  <c r="H217" i="2"/>
  <c r="I217" i="2" s="1"/>
  <c r="F217" i="2"/>
  <c r="C217" i="2"/>
  <c r="AC216" i="2"/>
  <c r="AD216" i="2" s="1"/>
  <c r="AA216" i="2"/>
  <c r="W216" i="2"/>
  <c r="U216" i="2"/>
  <c r="R216" i="2"/>
  <c r="N216" i="2"/>
  <c r="L216" i="2"/>
  <c r="I216" i="2"/>
  <c r="H216" i="2"/>
  <c r="F216" i="2"/>
  <c r="C216" i="2"/>
  <c r="AD215" i="2"/>
  <c r="AC215" i="2"/>
  <c r="AA215" i="2"/>
  <c r="W215" i="2"/>
  <c r="X215" i="2" s="1"/>
  <c r="U215" i="2"/>
  <c r="R215" i="2"/>
  <c r="N215" i="2"/>
  <c r="O215" i="2" s="1"/>
  <c r="L215" i="2"/>
  <c r="H215" i="2"/>
  <c r="I215" i="2" s="1"/>
  <c r="F215" i="2"/>
  <c r="C215" i="2"/>
  <c r="AC214" i="2"/>
  <c r="AD214" i="2" s="1"/>
  <c r="AA214" i="2"/>
  <c r="X214" i="2"/>
  <c r="W214" i="2"/>
  <c r="U214" i="2"/>
  <c r="R214" i="2"/>
  <c r="N214" i="2"/>
  <c r="L214" i="2"/>
  <c r="H214" i="2"/>
  <c r="I214" i="2" s="1"/>
  <c r="F214" i="2"/>
  <c r="C214" i="2"/>
  <c r="AD213" i="2"/>
  <c r="AC213" i="2"/>
  <c r="AA213" i="2"/>
  <c r="X213" i="2"/>
  <c r="W213" i="2"/>
  <c r="U213" i="2"/>
  <c r="R213" i="2"/>
  <c r="N213" i="2"/>
  <c r="O213" i="2" s="1"/>
  <c r="L213" i="2"/>
  <c r="H213" i="2"/>
  <c r="I213" i="2" s="1"/>
  <c r="F213" i="2"/>
  <c r="C213" i="2"/>
  <c r="AC211" i="2"/>
  <c r="AD211" i="2" s="1"/>
  <c r="AA211" i="2"/>
  <c r="W211" i="2"/>
  <c r="U211" i="2"/>
  <c r="R211" i="2"/>
  <c r="N211" i="2"/>
  <c r="L211" i="2"/>
  <c r="I211" i="2"/>
  <c r="H211" i="2"/>
  <c r="F211" i="2"/>
  <c r="C211" i="2"/>
  <c r="Z209" i="2"/>
  <c r="AA209" i="2" s="1"/>
  <c r="T209" i="2"/>
  <c r="U209" i="2" s="1"/>
  <c r="Q209" i="2"/>
  <c r="W209" i="2" s="1"/>
  <c r="X209" i="2" s="1"/>
  <c r="N209" i="2"/>
  <c r="L209" i="2"/>
  <c r="K209" i="2"/>
  <c r="E209" i="2"/>
  <c r="F209" i="2" s="1"/>
  <c r="B209" i="2"/>
  <c r="C209" i="2" s="1"/>
  <c r="AD208" i="2"/>
  <c r="AC208" i="2"/>
  <c r="AA208" i="2"/>
  <c r="X208" i="2"/>
  <c r="W208" i="2"/>
  <c r="U208" i="2"/>
  <c r="R208" i="2"/>
  <c r="N208" i="2"/>
  <c r="L208" i="2"/>
  <c r="H208" i="2"/>
  <c r="I208" i="2" s="1"/>
  <c r="F208" i="2"/>
  <c r="C208" i="2"/>
  <c r="AC207" i="2"/>
  <c r="AD207" i="2" s="1"/>
  <c r="AA207" i="2"/>
  <c r="W207" i="2"/>
  <c r="U207" i="2"/>
  <c r="R207" i="2"/>
  <c r="N207" i="2"/>
  <c r="L207" i="2"/>
  <c r="I207" i="2"/>
  <c r="H207" i="2"/>
  <c r="F207" i="2"/>
  <c r="C207" i="2"/>
  <c r="AC206" i="2"/>
  <c r="AD206" i="2" s="1"/>
  <c r="AA206" i="2"/>
  <c r="X206" i="2"/>
  <c r="W206" i="2"/>
  <c r="U206" i="2"/>
  <c r="R206" i="2"/>
  <c r="N206" i="2"/>
  <c r="O206" i="2" s="1"/>
  <c r="L206" i="2"/>
  <c r="H206" i="2"/>
  <c r="I206" i="2" s="1"/>
  <c r="F206" i="2"/>
  <c r="C206" i="2"/>
  <c r="AC205" i="2"/>
  <c r="AD205" i="2" s="1"/>
  <c r="AA205" i="2"/>
  <c r="X205" i="2"/>
  <c r="W205" i="2"/>
  <c r="U205" i="2"/>
  <c r="R205" i="2"/>
  <c r="N205" i="2"/>
  <c r="L205" i="2"/>
  <c r="H205" i="2"/>
  <c r="I205" i="2" s="1"/>
  <c r="F205" i="2"/>
  <c r="C205" i="2"/>
  <c r="AD204" i="2"/>
  <c r="AC204" i="2"/>
  <c r="AA204" i="2"/>
  <c r="W204" i="2"/>
  <c r="X204" i="2" s="1"/>
  <c r="U204" i="2"/>
  <c r="R204" i="2"/>
  <c r="N204" i="2"/>
  <c r="L204" i="2"/>
  <c r="H204" i="2"/>
  <c r="I204" i="2" s="1"/>
  <c r="F204" i="2"/>
  <c r="C204" i="2"/>
  <c r="AC203" i="2"/>
  <c r="AD203" i="2" s="1"/>
  <c r="AA203" i="2"/>
  <c r="W203" i="2"/>
  <c r="U203" i="2"/>
  <c r="R203" i="2"/>
  <c r="N203" i="2"/>
  <c r="L203" i="2"/>
  <c r="I203" i="2"/>
  <c r="H203" i="2"/>
  <c r="F203" i="2"/>
  <c r="C203" i="2"/>
  <c r="AC202" i="2"/>
  <c r="AD202" i="2" s="1"/>
  <c r="AA202" i="2"/>
  <c r="W202" i="2"/>
  <c r="X202" i="2" s="1"/>
  <c r="U202" i="2"/>
  <c r="R202" i="2"/>
  <c r="N202" i="2"/>
  <c r="O202" i="2" s="1"/>
  <c r="L202" i="2"/>
  <c r="H202" i="2"/>
  <c r="I202" i="2" s="1"/>
  <c r="F202" i="2"/>
  <c r="C202" i="2"/>
  <c r="AC201" i="2"/>
  <c r="AD201" i="2" s="1"/>
  <c r="AA201" i="2"/>
  <c r="X201" i="2"/>
  <c r="W201" i="2"/>
  <c r="U201" i="2"/>
  <c r="R201" i="2"/>
  <c r="N201" i="2"/>
  <c r="L201" i="2"/>
  <c r="H201" i="2"/>
  <c r="I201" i="2" s="1"/>
  <c r="F201" i="2"/>
  <c r="C201" i="2"/>
  <c r="B198" i="2"/>
  <c r="Z197" i="2"/>
  <c r="T197" i="2"/>
  <c r="U197" i="2" s="1"/>
  <c r="Q197" i="2"/>
  <c r="N197" i="2"/>
  <c r="L197" i="2"/>
  <c r="K197" i="2"/>
  <c r="H197" i="2"/>
  <c r="I197" i="2" s="1"/>
  <c r="F197" i="2"/>
  <c r="E197" i="2"/>
  <c r="B197" i="2"/>
  <c r="C197" i="2" s="1"/>
  <c r="Z196" i="2"/>
  <c r="AA196" i="2" s="1"/>
  <c r="T196" i="2"/>
  <c r="U196" i="2" s="1"/>
  <c r="R196" i="2"/>
  <c r="Q196" i="2"/>
  <c r="AC196" i="2" s="1"/>
  <c r="AD196" i="2" s="1"/>
  <c r="K196" i="2"/>
  <c r="L196" i="2" s="1"/>
  <c r="F196" i="2"/>
  <c r="E196" i="2"/>
  <c r="B196" i="2"/>
  <c r="AD195" i="2"/>
  <c r="AC195" i="2"/>
  <c r="AA195" i="2"/>
  <c r="X195" i="2"/>
  <c r="W195" i="2"/>
  <c r="U195" i="2"/>
  <c r="R195" i="2"/>
  <c r="N195" i="2"/>
  <c r="O195" i="2" s="1"/>
  <c r="L195" i="2"/>
  <c r="H195" i="2"/>
  <c r="I195" i="2" s="1"/>
  <c r="F195" i="2"/>
  <c r="C195" i="2"/>
  <c r="AC194" i="2"/>
  <c r="AD194" i="2" s="1"/>
  <c r="AA194" i="2"/>
  <c r="X194" i="2"/>
  <c r="W194" i="2"/>
  <c r="U194" i="2"/>
  <c r="R194" i="2"/>
  <c r="N194" i="2"/>
  <c r="L194" i="2"/>
  <c r="I194" i="2"/>
  <c r="H194" i="2"/>
  <c r="F194" i="2"/>
  <c r="C194" i="2"/>
  <c r="Z193" i="2"/>
  <c r="AA193" i="2" s="1"/>
  <c r="X193" i="2"/>
  <c r="W193" i="2"/>
  <c r="T193" i="2"/>
  <c r="U193" i="2" s="1"/>
  <c r="R193" i="2"/>
  <c r="Q193" i="2"/>
  <c r="AC193" i="2" s="1"/>
  <c r="AD193" i="2" s="1"/>
  <c r="N193" i="2"/>
  <c r="K193" i="2"/>
  <c r="L193" i="2" s="1"/>
  <c r="H193" i="2"/>
  <c r="I193" i="2" s="1"/>
  <c r="F193" i="2"/>
  <c r="E193" i="2"/>
  <c r="B193" i="2"/>
  <c r="C193" i="2" s="1"/>
  <c r="AD192" i="2"/>
  <c r="AC192" i="2"/>
  <c r="AA192" i="2"/>
  <c r="W192" i="2"/>
  <c r="X192" i="2" s="1"/>
  <c r="U192" i="2"/>
  <c r="R192" i="2"/>
  <c r="N192" i="2"/>
  <c r="L192" i="2"/>
  <c r="H192" i="2"/>
  <c r="I192" i="2" s="1"/>
  <c r="F192" i="2"/>
  <c r="C192" i="2"/>
  <c r="AC191" i="2"/>
  <c r="AD191" i="2" s="1"/>
  <c r="AA191" i="2"/>
  <c r="X191" i="2"/>
  <c r="W191" i="2"/>
  <c r="U191" i="2"/>
  <c r="R191" i="2"/>
  <c r="N191" i="2"/>
  <c r="L191" i="2"/>
  <c r="H191" i="2"/>
  <c r="I191" i="2" s="1"/>
  <c r="F191" i="2"/>
  <c r="C191" i="2"/>
  <c r="AD190" i="2"/>
  <c r="AC190" i="2"/>
  <c r="AA190" i="2"/>
  <c r="W190" i="2"/>
  <c r="X190" i="2" s="1"/>
  <c r="U190" i="2"/>
  <c r="R190" i="2"/>
  <c r="N190" i="2"/>
  <c r="O190" i="2" s="1"/>
  <c r="L190" i="2"/>
  <c r="H190" i="2"/>
  <c r="I190" i="2" s="1"/>
  <c r="F190" i="2"/>
  <c r="C190" i="2"/>
  <c r="AC189" i="2"/>
  <c r="AD189" i="2" s="1"/>
  <c r="AA189" i="2"/>
  <c r="W189" i="2"/>
  <c r="U189" i="2"/>
  <c r="R189" i="2"/>
  <c r="N189" i="2"/>
  <c r="L189" i="2"/>
  <c r="I189" i="2"/>
  <c r="H189" i="2"/>
  <c r="F189" i="2"/>
  <c r="C189" i="2"/>
  <c r="AC188" i="2"/>
  <c r="AD188" i="2" s="1"/>
  <c r="AA188" i="2"/>
  <c r="W188" i="2"/>
  <c r="X188" i="2" s="1"/>
  <c r="U188" i="2"/>
  <c r="R188" i="2"/>
  <c r="N188" i="2"/>
  <c r="L188" i="2"/>
  <c r="H188" i="2"/>
  <c r="I188" i="2" s="1"/>
  <c r="F188" i="2"/>
  <c r="C188" i="2"/>
  <c r="AC187" i="2"/>
  <c r="AD187" i="2" s="1"/>
  <c r="AA187" i="2"/>
  <c r="X187" i="2"/>
  <c r="W187" i="2"/>
  <c r="U187" i="2"/>
  <c r="R187" i="2"/>
  <c r="N187" i="2"/>
  <c r="L187" i="2"/>
  <c r="H187" i="2"/>
  <c r="I187" i="2" s="1"/>
  <c r="F187" i="2"/>
  <c r="C187" i="2"/>
  <c r="AD186" i="2"/>
  <c r="AC186" i="2"/>
  <c r="AA186" i="2"/>
  <c r="W186" i="2"/>
  <c r="X186" i="2" s="1"/>
  <c r="U186" i="2"/>
  <c r="R186" i="2"/>
  <c r="N186" i="2"/>
  <c r="L186" i="2"/>
  <c r="H186" i="2"/>
  <c r="I186" i="2" s="1"/>
  <c r="F186" i="2"/>
  <c r="C186" i="2"/>
  <c r="AC184" i="2"/>
  <c r="AD184" i="2" s="1"/>
  <c r="AA184" i="2"/>
  <c r="W184" i="2"/>
  <c r="U184" i="2"/>
  <c r="R184" i="2"/>
  <c r="N184" i="2"/>
  <c r="L184" i="2"/>
  <c r="I184" i="2"/>
  <c r="H184" i="2"/>
  <c r="F184" i="2"/>
  <c r="C184" i="2"/>
  <c r="AD183" i="2"/>
  <c r="AC183" i="2"/>
  <c r="AA183" i="2"/>
  <c r="W183" i="2"/>
  <c r="X183" i="2" s="1"/>
  <c r="U183" i="2"/>
  <c r="R183" i="2"/>
  <c r="N183" i="2"/>
  <c r="L183" i="2"/>
  <c r="H183" i="2"/>
  <c r="I183" i="2" s="1"/>
  <c r="F183" i="2"/>
  <c r="C183" i="2"/>
  <c r="AC182" i="2"/>
  <c r="AD182" i="2" s="1"/>
  <c r="Z182" i="2"/>
  <c r="AA182" i="2" s="1"/>
  <c r="U182" i="2"/>
  <c r="T182" i="2"/>
  <c r="Q182" i="2"/>
  <c r="R182" i="2" s="1"/>
  <c r="N182" i="2"/>
  <c r="K182" i="2"/>
  <c r="L182" i="2" s="1"/>
  <c r="E182" i="2"/>
  <c r="F182" i="2" s="1"/>
  <c r="C182" i="2"/>
  <c r="B182" i="2"/>
  <c r="AC181" i="2"/>
  <c r="AD181" i="2" s="1"/>
  <c r="AA181" i="2"/>
  <c r="W181" i="2"/>
  <c r="U181" i="2"/>
  <c r="R181" i="2"/>
  <c r="O181" i="2"/>
  <c r="N181" i="2"/>
  <c r="L181" i="2"/>
  <c r="I181" i="2"/>
  <c r="H181" i="2"/>
  <c r="F181" i="2"/>
  <c r="C181" i="2"/>
  <c r="AC180" i="2"/>
  <c r="AD180" i="2" s="1"/>
  <c r="AA180" i="2"/>
  <c r="X180" i="2"/>
  <c r="W180" i="2"/>
  <c r="U180" i="2"/>
  <c r="R180" i="2"/>
  <c r="N180" i="2"/>
  <c r="L180" i="2"/>
  <c r="H180" i="2"/>
  <c r="I180" i="2" s="1"/>
  <c r="F180" i="2"/>
  <c r="C180" i="2"/>
  <c r="AC179" i="2"/>
  <c r="AD179" i="2" s="1"/>
  <c r="AA179" i="2"/>
  <c r="W179" i="2"/>
  <c r="U179" i="2"/>
  <c r="R179" i="2"/>
  <c r="N179" i="2"/>
  <c r="L179" i="2"/>
  <c r="I179" i="2"/>
  <c r="H179" i="2"/>
  <c r="F179" i="2"/>
  <c r="C179" i="2"/>
  <c r="AD178" i="2"/>
  <c r="AC178" i="2"/>
  <c r="AA178" i="2"/>
  <c r="X178" i="2"/>
  <c r="W178" i="2"/>
  <c r="U178" i="2"/>
  <c r="R178" i="2"/>
  <c r="N178" i="2"/>
  <c r="L178" i="2"/>
  <c r="H178" i="2"/>
  <c r="I178" i="2" s="1"/>
  <c r="F178" i="2"/>
  <c r="C178" i="2"/>
  <c r="AC177" i="2"/>
  <c r="AD177" i="2" s="1"/>
  <c r="AA177" i="2"/>
  <c r="W177" i="2"/>
  <c r="U177" i="2"/>
  <c r="R177" i="2"/>
  <c r="N177" i="2"/>
  <c r="L177" i="2"/>
  <c r="I177" i="2"/>
  <c r="H177" i="2"/>
  <c r="F177" i="2"/>
  <c r="C177" i="2"/>
  <c r="AC175" i="2"/>
  <c r="AD175" i="2" s="1"/>
  <c r="AA175" i="2"/>
  <c r="X175" i="2"/>
  <c r="W175" i="2"/>
  <c r="U175" i="2"/>
  <c r="R175" i="2"/>
  <c r="N175" i="2"/>
  <c r="L175" i="2"/>
  <c r="H175" i="2"/>
  <c r="I175" i="2" s="1"/>
  <c r="F175" i="2"/>
  <c r="C175" i="2"/>
  <c r="N172" i="2"/>
  <c r="O172" i="2" s="1"/>
  <c r="E172" i="2"/>
  <c r="C172" i="2"/>
  <c r="B172" i="2"/>
  <c r="AA171" i="2"/>
  <c r="Z171" i="2"/>
  <c r="T171" i="2"/>
  <c r="U171" i="2" s="1"/>
  <c r="Q171" i="2"/>
  <c r="O171" i="2"/>
  <c r="K171" i="2"/>
  <c r="L171" i="2" s="1"/>
  <c r="H171" i="2"/>
  <c r="I171" i="2" s="1"/>
  <c r="E171" i="2"/>
  <c r="F171" i="2" s="1"/>
  <c r="C171" i="2"/>
  <c r="B171" i="2"/>
  <c r="N171" i="2" s="1"/>
  <c r="AC170" i="2"/>
  <c r="AD170" i="2" s="1"/>
  <c r="AA170" i="2"/>
  <c r="Z170" i="2"/>
  <c r="W170" i="2"/>
  <c r="X170" i="2" s="1"/>
  <c r="U170" i="2"/>
  <c r="T170" i="2"/>
  <c r="Q170" i="2"/>
  <c r="R170" i="2" s="1"/>
  <c r="K170" i="2"/>
  <c r="E170" i="2"/>
  <c r="F170" i="2" s="1"/>
  <c r="C170" i="2"/>
  <c r="B170" i="2"/>
  <c r="AC169" i="2"/>
  <c r="AD169" i="2" s="1"/>
  <c r="AA169" i="2"/>
  <c r="W169" i="2"/>
  <c r="U169" i="2"/>
  <c r="R169" i="2"/>
  <c r="N169" i="2"/>
  <c r="L169" i="2"/>
  <c r="I169" i="2"/>
  <c r="H169" i="2"/>
  <c r="F169" i="2"/>
  <c r="C169" i="2"/>
  <c r="AD168" i="2"/>
  <c r="AC168" i="2"/>
  <c r="AA168" i="2"/>
  <c r="W168" i="2"/>
  <c r="X168" i="2" s="1"/>
  <c r="U168" i="2"/>
  <c r="R168" i="2"/>
  <c r="N168" i="2"/>
  <c r="O168" i="2" s="1"/>
  <c r="L168" i="2"/>
  <c r="H168" i="2"/>
  <c r="I168" i="2" s="1"/>
  <c r="F168" i="2"/>
  <c r="C168" i="2"/>
  <c r="AC167" i="2"/>
  <c r="AD167" i="2" s="1"/>
  <c r="AA167" i="2"/>
  <c r="X167" i="2"/>
  <c r="W167" i="2"/>
  <c r="U167" i="2"/>
  <c r="R167" i="2"/>
  <c r="N167" i="2"/>
  <c r="L167" i="2"/>
  <c r="H167" i="2"/>
  <c r="I167" i="2" s="1"/>
  <c r="F167" i="2"/>
  <c r="C167" i="2"/>
  <c r="Z166" i="2"/>
  <c r="AA166" i="2" s="1"/>
  <c r="T166" i="2"/>
  <c r="R166" i="2"/>
  <c r="Q166" i="2"/>
  <c r="AC166" i="2" s="1"/>
  <c r="AD166" i="2" s="1"/>
  <c r="K166" i="2"/>
  <c r="F166" i="2"/>
  <c r="E166" i="2"/>
  <c r="B166" i="2"/>
  <c r="AC165" i="2"/>
  <c r="AD165" i="2" s="1"/>
  <c r="AA165" i="2"/>
  <c r="X165" i="2"/>
  <c r="W165" i="2"/>
  <c r="U165" i="2"/>
  <c r="R165" i="2"/>
  <c r="N165" i="2"/>
  <c r="L165" i="2"/>
  <c r="H165" i="2"/>
  <c r="I165" i="2" s="1"/>
  <c r="F165" i="2"/>
  <c r="C165" i="2"/>
  <c r="AC164" i="2"/>
  <c r="AD164" i="2" s="1"/>
  <c r="AA164" i="2"/>
  <c r="X164" i="2"/>
  <c r="W164" i="2"/>
  <c r="U164" i="2"/>
  <c r="R164" i="2"/>
  <c r="N164" i="2"/>
  <c r="L164" i="2"/>
  <c r="H164" i="2"/>
  <c r="I164" i="2" s="1"/>
  <c r="F164" i="2"/>
  <c r="C164" i="2"/>
  <c r="AD163" i="2"/>
  <c r="AC163" i="2"/>
  <c r="AA163" i="2"/>
  <c r="W163" i="2"/>
  <c r="X163" i="2" s="1"/>
  <c r="U163" i="2"/>
  <c r="R163" i="2"/>
  <c r="N163" i="2"/>
  <c r="L163" i="2"/>
  <c r="H163" i="2"/>
  <c r="I163" i="2" s="1"/>
  <c r="F163" i="2"/>
  <c r="C163" i="2"/>
  <c r="AC162" i="2"/>
  <c r="AD162" i="2" s="1"/>
  <c r="AA162" i="2"/>
  <c r="W162" i="2"/>
  <c r="U162" i="2"/>
  <c r="R162" i="2"/>
  <c r="N162" i="2"/>
  <c r="L162" i="2"/>
  <c r="I162" i="2"/>
  <c r="H162" i="2"/>
  <c r="F162" i="2"/>
  <c r="C162" i="2"/>
  <c r="AC161" i="2"/>
  <c r="AD161" i="2" s="1"/>
  <c r="AA161" i="2"/>
  <c r="W161" i="2"/>
  <c r="X161" i="2" s="1"/>
  <c r="U161" i="2"/>
  <c r="R161" i="2"/>
  <c r="N161" i="2"/>
  <c r="O161" i="2" s="1"/>
  <c r="L161" i="2"/>
  <c r="H161" i="2"/>
  <c r="I161" i="2" s="1"/>
  <c r="F161" i="2"/>
  <c r="C161" i="2"/>
  <c r="AC160" i="2"/>
  <c r="AD160" i="2" s="1"/>
  <c r="AA160" i="2"/>
  <c r="X160" i="2"/>
  <c r="W160" i="2"/>
  <c r="U160" i="2"/>
  <c r="R160" i="2"/>
  <c r="N160" i="2"/>
  <c r="L160" i="2"/>
  <c r="I160" i="2"/>
  <c r="H160" i="2"/>
  <c r="F160" i="2"/>
  <c r="C160" i="2"/>
  <c r="AD158" i="2"/>
  <c r="Z158" i="2"/>
  <c r="AA158" i="2" s="1"/>
  <c r="T158" i="2"/>
  <c r="U158" i="2" s="1"/>
  <c r="R158" i="2"/>
  <c r="Q158" i="2"/>
  <c r="AC158" i="2" s="1"/>
  <c r="L158" i="2"/>
  <c r="K158" i="2"/>
  <c r="F158" i="2"/>
  <c r="E158" i="2"/>
  <c r="B158" i="2"/>
  <c r="AD157" i="2"/>
  <c r="AC157" i="2"/>
  <c r="AA157" i="2"/>
  <c r="W157" i="2"/>
  <c r="X157" i="2" s="1"/>
  <c r="U157" i="2"/>
  <c r="R157" i="2"/>
  <c r="N157" i="2"/>
  <c r="O157" i="2" s="1"/>
  <c r="L157" i="2"/>
  <c r="H157" i="2"/>
  <c r="I157" i="2" s="1"/>
  <c r="F157" i="2"/>
  <c r="C157" i="2"/>
  <c r="AC156" i="2"/>
  <c r="AD156" i="2" s="1"/>
  <c r="AA156" i="2"/>
  <c r="X156" i="2"/>
  <c r="W156" i="2"/>
  <c r="U156" i="2"/>
  <c r="R156" i="2"/>
  <c r="N156" i="2"/>
  <c r="L156" i="2"/>
  <c r="I156" i="2"/>
  <c r="H156" i="2"/>
  <c r="F156" i="2"/>
  <c r="C156" i="2"/>
  <c r="AD155" i="2"/>
  <c r="AC155" i="2"/>
  <c r="AA155" i="2"/>
  <c r="W155" i="2"/>
  <c r="X155" i="2" s="1"/>
  <c r="U155" i="2"/>
  <c r="R155" i="2"/>
  <c r="N155" i="2"/>
  <c r="O155" i="2" s="1"/>
  <c r="L155" i="2"/>
  <c r="H155" i="2"/>
  <c r="I155" i="2" s="1"/>
  <c r="F155" i="2"/>
  <c r="C155" i="2"/>
  <c r="AC154" i="2"/>
  <c r="AD154" i="2" s="1"/>
  <c r="AA154" i="2"/>
  <c r="W154" i="2"/>
  <c r="U154" i="2"/>
  <c r="R154" i="2"/>
  <c r="N154" i="2"/>
  <c r="L154" i="2"/>
  <c r="I154" i="2"/>
  <c r="H154" i="2"/>
  <c r="F154" i="2"/>
  <c r="C154" i="2"/>
  <c r="AD153" i="2"/>
  <c r="AC153" i="2"/>
  <c r="AA153" i="2"/>
  <c r="W153" i="2"/>
  <c r="X153" i="2" s="1"/>
  <c r="U153" i="2"/>
  <c r="R153" i="2"/>
  <c r="N153" i="2"/>
  <c r="O153" i="2" s="1"/>
  <c r="L153" i="2"/>
  <c r="H153" i="2"/>
  <c r="I153" i="2" s="1"/>
  <c r="F153" i="2"/>
  <c r="C153" i="2"/>
  <c r="AC151" i="2"/>
  <c r="AD151" i="2" s="1"/>
  <c r="AA151" i="2"/>
  <c r="X151" i="2"/>
  <c r="W151" i="2"/>
  <c r="U151" i="2"/>
  <c r="R151" i="2"/>
  <c r="N151" i="2"/>
  <c r="L151" i="2"/>
  <c r="I151" i="2"/>
  <c r="H151" i="2"/>
  <c r="F151" i="2"/>
  <c r="C151" i="2"/>
  <c r="Z149" i="2"/>
  <c r="AA149" i="2" s="1"/>
  <c r="T149" i="2"/>
  <c r="U149" i="2" s="1"/>
  <c r="R149" i="2"/>
  <c r="Q149" i="2"/>
  <c r="AC149" i="2" s="1"/>
  <c r="AD149" i="2" s="1"/>
  <c r="N149" i="2"/>
  <c r="K149" i="2"/>
  <c r="L149" i="2" s="1"/>
  <c r="H149" i="2"/>
  <c r="I149" i="2" s="1"/>
  <c r="F149" i="2"/>
  <c r="E149" i="2"/>
  <c r="B149" i="2"/>
  <c r="C149" i="2" s="1"/>
  <c r="AD148" i="2"/>
  <c r="AC148" i="2"/>
  <c r="Z148" i="2"/>
  <c r="AA148" i="2" s="1"/>
  <c r="T148" i="2"/>
  <c r="U148" i="2" s="1"/>
  <c r="R148" i="2"/>
  <c r="Q148" i="2"/>
  <c r="L148" i="2"/>
  <c r="K148" i="2"/>
  <c r="E148" i="2"/>
  <c r="F148" i="2" s="1"/>
  <c r="B148" i="2"/>
  <c r="AD147" i="2"/>
  <c r="AC147" i="2"/>
  <c r="AA147" i="2"/>
  <c r="X147" i="2"/>
  <c r="W147" i="2"/>
  <c r="U147" i="2"/>
  <c r="R147" i="2"/>
  <c r="N147" i="2"/>
  <c r="O147" i="2" s="1"/>
  <c r="L147" i="2"/>
  <c r="H147" i="2"/>
  <c r="I147" i="2" s="1"/>
  <c r="F147" i="2"/>
  <c r="C147" i="2"/>
  <c r="AC146" i="2"/>
  <c r="AD146" i="2" s="1"/>
  <c r="AA146" i="2"/>
  <c r="W146" i="2"/>
  <c r="U146" i="2"/>
  <c r="R146" i="2"/>
  <c r="N146" i="2"/>
  <c r="L146" i="2"/>
  <c r="I146" i="2"/>
  <c r="H146" i="2"/>
  <c r="F146" i="2"/>
  <c r="C146" i="2"/>
  <c r="AD145" i="2"/>
  <c r="AC145" i="2"/>
  <c r="AA145" i="2"/>
  <c r="W145" i="2"/>
  <c r="X145" i="2" s="1"/>
  <c r="U145" i="2"/>
  <c r="R145" i="2"/>
  <c r="N145" i="2"/>
  <c r="O145" i="2" s="1"/>
  <c r="L145" i="2"/>
  <c r="H145" i="2"/>
  <c r="I145" i="2" s="1"/>
  <c r="F145" i="2"/>
  <c r="C145" i="2"/>
  <c r="AC144" i="2"/>
  <c r="AD144" i="2" s="1"/>
  <c r="AA144" i="2"/>
  <c r="X144" i="2"/>
  <c r="W144" i="2"/>
  <c r="U144" i="2"/>
  <c r="R144" i="2"/>
  <c r="N144" i="2"/>
  <c r="L144" i="2"/>
  <c r="H144" i="2"/>
  <c r="I144" i="2" s="1"/>
  <c r="F144" i="2"/>
  <c r="C144" i="2"/>
  <c r="AD143" i="2"/>
  <c r="AC143" i="2"/>
  <c r="AA143" i="2"/>
  <c r="W143" i="2"/>
  <c r="X143" i="2" s="1"/>
  <c r="U143" i="2"/>
  <c r="R143" i="2"/>
  <c r="N143" i="2"/>
  <c r="O143" i="2" s="1"/>
  <c r="L143" i="2"/>
  <c r="H143" i="2"/>
  <c r="I143" i="2" s="1"/>
  <c r="F143" i="2"/>
  <c r="C143" i="2"/>
  <c r="AC141" i="2"/>
  <c r="AD141" i="2" s="1"/>
  <c r="AA141" i="2"/>
  <c r="Z141" i="2"/>
  <c r="W141" i="2"/>
  <c r="X141" i="2" s="1"/>
  <c r="U141" i="2"/>
  <c r="T141" i="2"/>
  <c r="Q141" i="2"/>
  <c r="R141" i="2" s="1"/>
  <c r="K141" i="2"/>
  <c r="L141" i="2" s="1"/>
  <c r="E141" i="2"/>
  <c r="F141" i="2" s="1"/>
  <c r="C141" i="2"/>
  <c r="B141" i="2"/>
  <c r="AC140" i="2"/>
  <c r="AD140" i="2" s="1"/>
  <c r="AA140" i="2"/>
  <c r="X140" i="2"/>
  <c r="W140" i="2"/>
  <c r="U140" i="2"/>
  <c r="R140" i="2"/>
  <c r="N140" i="2"/>
  <c r="L140" i="2"/>
  <c r="H140" i="2"/>
  <c r="I140" i="2" s="1"/>
  <c r="F140" i="2"/>
  <c r="C140" i="2"/>
  <c r="AD139" i="2"/>
  <c r="AC139" i="2"/>
  <c r="AA139" i="2"/>
  <c r="W139" i="2"/>
  <c r="X139" i="2" s="1"/>
  <c r="U139" i="2"/>
  <c r="R139" i="2"/>
  <c r="N139" i="2"/>
  <c r="O139" i="2" s="1"/>
  <c r="L139" i="2"/>
  <c r="H139" i="2"/>
  <c r="I139" i="2" s="1"/>
  <c r="F139" i="2"/>
  <c r="C139" i="2"/>
  <c r="AC138" i="2"/>
  <c r="AD138" i="2" s="1"/>
  <c r="AA138" i="2"/>
  <c r="W138" i="2"/>
  <c r="U138" i="2"/>
  <c r="R138" i="2"/>
  <c r="N138" i="2"/>
  <c r="L138" i="2"/>
  <c r="I138" i="2"/>
  <c r="H138" i="2"/>
  <c r="F138" i="2"/>
  <c r="C138" i="2"/>
  <c r="AC137" i="2"/>
  <c r="AD137" i="2" s="1"/>
  <c r="AA137" i="2"/>
  <c r="W137" i="2"/>
  <c r="X137" i="2" s="1"/>
  <c r="U137" i="2"/>
  <c r="R137" i="2"/>
  <c r="N137" i="2"/>
  <c r="L137" i="2"/>
  <c r="H137" i="2"/>
  <c r="I137" i="2" s="1"/>
  <c r="F137" i="2"/>
  <c r="C137" i="2"/>
  <c r="AC136" i="2"/>
  <c r="AD136" i="2" s="1"/>
  <c r="AA136" i="2"/>
  <c r="X136" i="2"/>
  <c r="W136" i="2"/>
  <c r="U136" i="2"/>
  <c r="R136" i="2"/>
  <c r="N136" i="2"/>
  <c r="L136" i="2"/>
  <c r="I136" i="2"/>
  <c r="H136" i="2"/>
  <c r="F136" i="2"/>
  <c r="C136" i="2"/>
  <c r="AD135" i="2"/>
  <c r="AC135" i="2"/>
  <c r="AA135" i="2"/>
  <c r="X135" i="2"/>
  <c r="W135" i="2"/>
  <c r="U135" i="2"/>
  <c r="R135" i="2"/>
  <c r="N135" i="2"/>
  <c r="L135" i="2"/>
  <c r="H135" i="2"/>
  <c r="I135" i="2" s="1"/>
  <c r="F135" i="2"/>
  <c r="C135" i="2"/>
  <c r="AC134" i="2"/>
  <c r="AD134" i="2" s="1"/>
  <c r="AA134" i="2"/>
  <c r="W134" i="2"/>
  <c r="U134" i="2"/>
  <c r="R134" i="2"/>
  <c r="N134" i="2"/>
  <c r="L134" i="2"/>
  <c r="I134" i="2"/>
  <c r="H134" i="2"/>
  <c r="F134" i="2"/>
  <c r="C134" i="2"/>
  <c r="AC133" i="2"/>
  <c r="AD133" i="2" s="1"/>
  <c r="AA133" i="2"/>
  <c r="W133" i="2"/>
  <c r="X133" i="2" s="1"/>
  <c r="U133" i="2"/>
  <c r="R133" i="2"/>
  <c r="N133" i="2"/>
  <c r="L133" i="2"/>
  <c r="H133" i="2"/>
  <c r="I133" i="2" s="1"/>
  <c r="F133" i="2"/>
  <c r="C133" i="2"/>
  <c r="AC132" i="2"/>
  <c r="AD132" i="2" s="1"/>
  <c r="AA132" i="2"/>
  <c r="X132" i="2"/>
  <c r="W132" i="2"/>
  <c r="U132" i="2"/>
  <c r="R132" i="2"/>
  <c r="N132" i="2"/>
  <c r="L132" i="2"/>
  <c r="I132" i="2"/>
  <c r="H132" i="2"/>
  <c r="F132" i="2"/>
  <c r="C132" i="2"/>
  <c r="AD131" i="2"/>
  <c r="AC131" i="2"/>
  <c r="AA131" i="2"/>
  <c r="X131" i="2"/>
  <c r="W131" i="2"/>
  <c r="U131" i="2"/>
  <c r="R131" i="2"/>
  <c r="N131" i="2"/>
  <c r="L131" i="2"/>
  <c r="H131" i="2"/>
  <c r="I131" i="2" s="1"/>
  <c r="F131" i="2"/>
  <c r="C131" i="2"/>
  <c r="AC130" i="2"/>
  <c r="AD130" i="2" s="1"/>
  <c r="AA130" i="2"/>
  <c r="W130" i="2"/>
  <c r="U130" i="2"/>
  <c r="R130" i="2"/>
  <c r="N130" i="2"/>
  <c r="L130" i="2"/>
  <c r="I130" i="2"/>
  <c r="H130" i="2"/>
  <c r="F130" i="2"/>
  <c r="C130" i="2"/>
  <c r="AC129" i="2"/>
  <c r="AD129" i="2" s="1"/>
  <c r="AA129" i="2"/>
  <c r="X129" i="2"/>
  <c r="W129" i="2"/>
  <c r="U129" i="2"/>
  <c r="R129" i="2"/>
  <c r="N129" i="2"/>
  <c r="L129" i="2"/>
  <c r="H129" i="2"/>
  <c r="I129" i="2" s="1"/>
  <c r="F129" i="2"/>
  <c r="C129" i="2"/>
  <c r="AC127" i="2"/>
  <c r="AD127" i="2" s="1"/>
  <c r="AA127" i="2"/>
  <c r="X127" i="2"/>
  <c r="W127" i="2"/>
  <c r="U127" i="2"/>
  <c r="R127" i="2"/>
  <c r="N127" i="2"/>
  <c r="L127" i="2"/>
  <c r="I127" i="2"/>
  <c r="H127" i="2"/>
  <c r="F127" i="2"/>
  <c r="C127" i="2"/>
  <c r="Z124" i="2"/>
  <c r="AA124" i="2" s="1"/>
  <c r="W124" i="2"/>
  <c r="X124" i="2" s="1"/>
  <c r="T124" i="2"/>
  <c r="R124" i="2"/>
  <c r="Q124" i="2"/>
  <c r="K124" i="2"/>
  <c r="K172" i="2" s="1"/>
  <c r="L172" i="2" s="1"/>
  <c r="H124" i="2"/>
  <c r="I124" i="2" s="1"/>
  <c r="F124" i="2"/>
  <c r="E124" i="2"/>
  <c r="B124" i="2"/>
  <c r="C124" i="2" s="1"/>
  <c r="AC123" i="2"/>
  <c r="AD123" i="2" s="1"/>
  <c r="AA123" i="2"/>
  <c r="W123" i="2"/>
  <c r="X123" i="2" s="1"/>
  <c r="U123" i="2"/>
  <c r="R123" i="2"/>
  <c r="N123" i="2"/>
  <c r="L123" i="2"/>
  <c r="H123" i="2"/>
  <c r="I123" i="2" s="1"/>
  <c r="F123" i="2"/>
  <c r="C123" i="2"/>
  <c r="AC122" i="2"/>
  <c r="AD122" i="2" s="1"/>
  <c r="AA122" i="2"/>
  <c r="Z122" i="2"/>
  <c r="U122" i="2"/>
  <c r="T122" i="2"/>
  <c r="Q122" i="2"/>
  <c r="K122" i="2"/>
  <c r="L122" i="2" s="1"/>
  <c r="E122" i="2"/>
  <c r="F122" i="2" s="1"/>
  <c r="C122" i="2"/>
  <c r="B122" i="2"/>
  <c r="H122" i="2" s="1"/>
  <c r="I122" i="2" s="1"/>
  <c r="AC121" i="2"/>
  <c r="AD121" i="2" s="1"/>
  <c r="AA121" i="2"/>
  <c r="W121" i="2"/>
  <c r="U121" i="2"/>
  <c r="R121" i="2"/>
  <c r="N121" i="2"/>
  <c r="L121" i="2"/>
  <c r="I121" i="2"/>
  <c r="H121" i="2"/>
  <c r="F121" i="2"/>
  <c r="C121" i="2"/>
  <c r="AC120" i="2"/>
  <c r="AD120" i="2" s="1"/>
  <c r="AA120" i="2"/>
  <c r="W120" i="2"/>
  <c r="X120" i="2" s="1"/>
  <c r="U120" i="2"/>
  <c r="R120" i="2"/>
  <c r="N120" i="2"/>
  <c r="L120" i="2"/>
  <c r="H120" i="2"/>
  <c r="I120" i="2" s="1"/>
  <c r="F120" i="2"/>
  <c r="C120" i="2"/>
  <c r="AC119" i="2"/>
  <c r="AD119" i="2" s="1"/>
  <c r="AA119" i="2"/>
  <c r="X119" i="2"/>
  <c r="W119" i="2"/>
  <c r="U119" i="2"/>
  <c r="R119" i="2"/>
  <c r="N119" i="2"/>
  <c r="L119" i="2"/>
  <c r="I119" i="2"/>
  <c r="H119" i="2"/>
  <c r="F119" i="2"/>
  <c r="C119" i="2"/>
  <c r="Z118" i="2"/>
  <c r="AA118" i="2" s="1"/>
  <c r="T118" i="2"/>
  <c r="R118" i="2"/>
  <c r="Q118" i="2"/>
  <c r="K118" i="2"/>
  <c r="L118" i="2" s="1"/>
  <c r="F118" i="2"/>
  <c r="E118" i="2"/>
  <c r="B118" i="2"/>
  <c r="AD117" i="2"/>
  <c r="AC117" i="2"/>
  <c r="AA117" i="2"/>
  <c r="X117" i="2"/>
  <c r="W117" i="2"/>
  <c r="U117" i="2"/>
  <c r="R117" i="2"/>
  <c r="N117" i="2"/>
  <c r="O117" i="2" s="1"/>
  <c r="L117" i="2"/>
  <c r="H117" i="2"/>
  <c r="I117" i="2" s="1"/>
  <c r="F117" i="2"/>
  <c r="C117" i="2"/>
  <c r="AC116" i="2"/>
  <c r="AD116" i="2" s="1"/>
  <c r="AA116" i="2"/>
  <c r="X116" i="2"/>
  <c r="W116" i="2"/>
  <c r="U116" i="2"/>
  <c r="R116" i="2"/>
  <c r="N116" i="2"/>
  <c r="L116" i="2"/>
  <c r="H116" i="2"/>
  <c r="I116" i="2" s="1"/>
  <c r="F116" i="2"/>
  <c r="C116" i="2"/>
  <c r="AD115" i="2"/>
  <c r="AC115" i="2"/>
  <c r="AA115" i="2"/>
  <c r="W115" i="2"/>
  <c r="X115" i="2" s="1"/>
  <c r="U115" i="2"/>
  <c r="R115" i="2"/>
  <c r="N115" i="2"/>
  <c r="L115" i="2"/>
  <c r="H115" i="2"/>
  <c r="I115" i="2" s="1"/>
  <c r="F115" i="2"/>
  <c r="C115" i="2"/>
  <c r="AC114" i="2"/>
  <c r="AD114" i="2" s="1"/>
  <c r="AA114" i="2"/>
  <c r="W114" i="2"/>
  <c r="U114" i="2"/>
  <c r="R114" i="2"/>
  <c r="N114" i="2"/>
  <c r="L114" i="2"/>
  <c r="I114" i="2"/>
  <c r="H114" i="2"/>
  <c r="F114" i="2"/>
  <c r="C114" i="2"/>
  <c r="AC113" i="2"/>
  <c r="AD113" i="2" s="1"/>
  <c r="AA113" i="2"/>
  <c r="W113" i="2"/>
  <c r="X113" i="2" s="1"/>
  <c r="U113" i="2"/>
  <c r="R113" i="2"/>
  <c r="N113" i="2"/>
  <c r="O113" i="2" s="1"/>
  <c r="L113" i="2"/>
  <c r="H113" i="2"/>
  <c r="I113" i="2" s="1"/>
  <c r="F113" i="2"/>
  <c r="C113" i="2"/>
  <c r="AC112" i="2"/>
  <c r="AD112" i="2" s="1"/>
  <c r="AA112" i="2"/>
  <c r="W112" i="2"/>
  <c r="U112" i="2"/>
  <c r="R112" i="2"/>
  <c r="N112" i="2"/>
  <c r="L112" i="2"/>
  <c r="H112" i="2"/>
  <c r="I112" i="2" s="1"/>
  <c r="F112" i="2"/>
  <c r="C112" i="2"/>
  <c r="AD111" i="2"/>
  <c r="AC111" i="2"/>
  <c r="AA111" i="2"/>
  <c r="X111" i="2"/>
  <c r="W111" i="2"/>
  <c r="U111" i="2"/>
  <c r="R111" i="2"/>
  <c r="N111" i="2"/>
  <c r="L111" i="2"/>
  <c r="H111" i="2"/>
  <c r="I111" i="2" s="1"/>
  <c r="F111" i="2"/>
  <c r="C111" i="2"/>
  <c r="AC110" i="2"/>
  <c r="AD110" i="2" s="1"/>
  <c r="AA110" i="2"/>
  <c r="W110" i="2"/>
  <c r="U110" i="2"/>
  <c r="R110" i="2"/>
  <c r="N110" i="2"/>
  <c r="L110" i="2"/>
  <c r="I110" i="2"/>
  <c r="H110" i="2"/>
  <c r="F110" i="2"/>
  <c r="C110" i="2"/>
  <c r="AD109" i="2"/>
  <c r="AC109" i="2"/>
  <c r="AA109" i="2"/>
  <c r="X109" i="2"/>
  <c r="W109" i="2"/>
  <c r="U109" i="2"/>
  <c r="R109" i="2"/>
  <c r="N109" i="2"/>
  <c r="O109" i="2" s="1"/>
  <c r="L109" i="2"/>
  <c r="H109" i="2"/>
  <c r="I109" i="2" s="1"/>
  <c r="F109" i="2"/>
  <c r="C109" i="2"/>
  <c r="AC108" i="2"/>
  <c r="AD108" i="2" s="1"/>
  <c r="AA108" i="2"/>
  <c r="X108" i="2"/>
  <c r="W108" i="2"/>
  <c r="U108" i="2"/>
  <c r="R108" i="2"/>
  <c r="N108" i="2"/>
  <c r="L108" i="2"/>
  <c r="H108" i="2"/>
  <c r="I108" i="2" s="1"/>
  <c r="F108" i="2"/>
  <c r="C108" i="2"/>
  <c r="AD107" i="2"/>
  <c r="AC107" i="2"/>
  <c r="AA107" i="2"/>
  <c r="X107" i="2"/>
  <c r="W107" i="2"/>
  <c r="U107" i="2"/>
  <c r="R107" i="2"/>
  <c r="N107" i="2"/>
  <c r="O107" i="2" s="1"/>
  <c r="L107" i="2"/>
  <c r="H107" i="2"/>
  <c r="I107" i="2" s="1"/>
  <c r="F107" i="2"/>
  <c r="C107" i="2"/>
  <c r="AC106" i="2"/>
  <c r="AD106" i="2" s="1"/>
  <c r="AA106" i="2"/>
  <c r="W106" i="2"/>
  <c r="U106" i="2"/>
  <c r="R106" i="2"/>
  <c r="N106" i="2"/>
  <c r="L106" i="2"/>
  <c r="I106" i="2"/>
  <c r="H106" i="2"/>
  <c r="F106" i="2"/>
  <c r="C106" i="2"/>
  <c r="AD105" i="2"/>
  <c r="AC105" i="2"/>
  <c r="AA105" i="2"/>
  <c r="W105" i="2"/>
  <c r="X105" i="2" s="1"/>
  <c r="U105" i="2"/>
  <c r="R105" i="2"/>
  <c r="N105" i="2"/>
  <c r="L105" i="2"/>
  <c r="H105" i="2"/>
  <c r="I105" i="2" s="1"/>
  <c r="F105" i="2"/>
  <c r="C105" i="2"/>
  <c r="AC104" i="2"/>
  <c r="AD104" i="2" s="1"/>
  <c r="AA104" i="2"/>
  <c r="X104" i="2"/>
  <c r="W104" i="2"/>
  <c r="U104" i="2"/>
  <c r="R104" i="2"/>
  <c r="N104" i="2"/>
  <c r="L104" i="2"/>
  <c r="H104" i="2"/>
  <c r="I104" i="2" s="1"/>
  <c r="F104" i="2"/>
  <c r="C104" i="2"/>
  <c r="AD103" i="2"/>
  <c r="AC103" i="2"/>
  <c r="AA103" i="2"/>
  <c r="W103" i="2"/>
  <c r="X103" i="2" s="1"/>
  <c r="U103" i="2"/>
  <c r="R103" i="2"/>
  <c r="N103" i="2"/>
  <c r="O103" i="2" s="1"/>
  <c r="L103" i="2"/>
  <c r="H103" i="2"/>
  <c r="I103" i="2" s="1"/>
  <c r="F103" i="2"/>
  <c r="C103" i="2"/>
  <c r="AC102" i="2"/>
  <c r="AD102" i="2" s="1"/>
  <c r="AA102" i="2"/>
  <c r="W102" i="2"/>
  <c r="U102" i="2"/>
  <c r="R102" i="2"/>
  <c r="N102" i="2"/>
  <c r="L102" i="2"/>
  <c r="I102" i="2"/>
  <c r="H102" i="2"/>
  <c r="F102" i="2"/>
  <c r="C102" i="2"/>
  <c r="AD101" i="2"/>
  <c r="AC101" i="2"/>
  <c r="AA101" i="2"/>
  <c r="X101" i="2"/>
  <c r="W101" i="2"/>
  <c r="U101" i="2"/>
  <c r="R101" i="2"/>
  <c r="N101" i="2"/>
  <c r="O101" i="2" s="1"/>
  <c r="L101" i="2"/>
  <c r="H101" i="2"/>
  <c r="I101" i="2" s="1"/>
  <c r="F101" i="2"/>
  <c r="C101" i="2"/>
  <c r="AC100" i="2"/>
  <c r="AD100" i="2" s="1"/>
  <c r="AA100" i="2"/>
  <c r="X100" i="2"/>
  <c r="W100" i="2"/>
  <c r="U100" i="2"/>
  <c r="R100" i="2"/>
  <c r="N100" i="2"/>
  <c r="L100" i="2"/>
  <c r="H100" i="2"/>
  <c r="I100" i="2" s="1"/>
  <c r="F100" i="2"/>
  <c r="C100" i="2"/>
  <c r="AD99" i="2"/>
  <c r="AC99" i="2"/>
  <c r="AA99" i="2"/>
  <c r="X99" i="2"/>
  <c r="W99" i="2"/>
  <c r="U99" i="2"/>
  <c r="R99" i="2"/>
  <c r="O99" i="2"/>
  <c r="N99" i="2"/>
  <c r="L99" i="2"/>
  <c r="H99" i="2"/>
  <c r="I99" i="2" s="1"/>
  <c r="F99" i="2"/>
  <c r="C99" i="2"/>
  <c r="AC98" i="2"/>
  <c r="AD98" i="2" s="1"/>
  <c r="AA98" i="2"/>
  <c r="W98" i="2"/>
  <c r="U98" i="2"/>
  <c r="R98" i="2"/>
  <c r="N98" i="2"/>
  <c r="L98" i="2"/>
  <c r="I98" i="2"/>
  <c r="H98" i="2"/>
  <c r="F98" i="2"/>
  <c r="C98" i="2"/>
  <c r="AC97" i="2"/>
  <c r="AD97" i="2" s="1"/>
  <c r="AA97" i="2"/>
  <c r="X97" i="2"/>
  <c r="W97" i="2"/>
  <c r="U97" i="2"/>
  <c r="R97" i="2"/>
  <c r="N97" i="2"/>
  <c r="O97" i="2" s="1"/>
  <c r="L97" i="2"/>
  <c r="H97" i="2"/>
  <c r="I97" i="2" s="1"/>
  <c r="F97" i="2"/>
  <c r="C97" i="2"/>
  <c r="AC96" i="2"/>
  <c r="AD96" i="2" s="1"/>
  <c r="AA96" i="2"/>
  <c r="W96" i="2"/>
  <c r="U96" i="2"/>
  <c r="R96" i="2"/>
  <c r="N96" i="2"/>
  <c r="L96" i="2"/>
  <c r="I96" i="2"/>
  <c r="H96" i="2"/>
  <c r="F96" i="2"/>
  <c r="C96" i="2"/>
  <c r="AD95" i="2"/>
  <c r="AC95" i="2"/>
  <c r="AA95" i="2"/>
  <c r="X95" i="2"/>
  <c r="W95" i="2"/>
  <c r="U95" i="2"/>
  <c r="R95" i="2"/>
  <c r="N95" i="2"/>
  <c r="L95" i="2"/>
  <c r="H95" i="2"/>
  <c r="I95" i="2" s="1"/>
  <c r="F95" i="2"/>
  <c r="C95" i="2"/>
  <c r="AC94" i="2"/>
  <c r="AD94" i="2" s="1"/>
  <c r="AA94" i="2"/>
  <c r="W94" i="2"/>
  <c r="U94" i="2"/>
  <c r="R94" i="2"/>
  <c r="N94" i="2"/>
  <c r="L94" i="2"/>
  <c r="I94" i="2"/>
  <c r="H94" i="2"/>
  <c r="F94" i="2"/>
  <c r="C94" i="2"/>
  <c r="AD92" i="2"/>
  <c r="AC92" i="2"/>
  <c r="AA92" i="2"/>
  <c r="W92" i="2"/>
  <c r="X92" i="2" s="1"/>
  <c r="U92" i="2"/>
  <c r="R92" i="2"/>
  <c r="N92" i="2"/>
  <c r="L92" i="2"/>
  <c r="H92" i="2"/>
  <c r="I92" i="2" s="1"/>
  <c r="F92" i="2"/>
  <c r="C92" i="2"/>
  <c r="AC91" i="2"/>
  <c r="AD91" i="2" s="1"/>
  <c r="AA91" i="2"/>
  <c r="X91" i="2"/>
  <c r="W91" i="2"/>
  <c r="U91" i="2"/>
  <c r="R91" i="2"/>
  <c r="N91" i="2"/>
  <c r="L91" i="2"/>
  <c r="H91" i="2"/>
  <c r="I91" i="2" s="1"/>
  <c r="F91" i="2"/>
  <c r="C91" i="2"/>
  <c r="AD90" i="2"/>
  <c r="AC90" i="2"/>
  <c r="AA90" i="2"/>
  <c r="X90" i="2"/>
  <c r="W90" i="2"/>
  <c r="U90" i="2"/>
  <c r="R90" i="2"/>
  <c r="N90" i="2"/>
  <c r="L90" i="2"/>
  <c r="H90" i="2"/>
  <c r="I90" i="2" s="1"/>
  <c r="F90" i="2"/>
  <c r="C90" i="2"/>
  <c r="AC89" i="2"/>
  <c r="AD89" i="2" s="1"/>
  <c r="AA89" i="2"/>
  <c r="W89" i="2"/>
  <c r="U89" i="2"/>
  <c r="R89" i="2"/>
  <c r="N89" i="2"/>
  <c r="L89" i="2"/>
  <c r="I89" i="2"/>
  <c r="H89" i="2"/>
  <c r="F89" i="2"/>
  <c r="C89" i="2"/>
  <c r="Z88" i="2"/>
  <c r="AA88" i="2" s="1"/>
  <c r="T88" i="2"/>
  <c r="U88" i="2" s="1"/>
  <c r="Q88" i="2"/>
  <c r="W88" i="2" s="1"/>
  <c r="X88" i="2" s="1"/>
  <c r="N88" i="2"/>
  <c r="L88" i="2"/>
  <c r="K88" i="2"/>
  <c r="E88" i="2"/>
  <c r="F88" i="2" s="1"/>
  <c r="B88" i="2"/>
  <c r="C88" i="2" s="1"/>
  <c r="AD87" i="2"/>
  <c r="AC87" i="2"/>
  <c r="AA87" i="2"/>
  <c r="X87" i="2"/>
  <c r="W87" i="2"/>
  <c r="U87" i="2"/>
  <c r="R87" i="2"/>
  <c r="N87" i="2"/>
  <c r="L87" i="2"/>
  <c r="H87" i="2"/>
  <c r="I87" i="2" s="1"/>
  <c r="F87" i="2"/>
  <c r="C87" i="2"/>
  <c r="AC86" i="2"/>
  <c r="AD86" i="2" s="1"/>
  <c r="AA86" i="2"/>
  <c r="W86" i="2"/>
  <c r="U86" i="2"/>
  <c r="R86" i="2"/>
  <c r="N86" i="2"/>
  <c r="L86" i="2"/>
  <c r="I86" i="2"/>
  <c r="H86" i="2"/>
  <c r="F86" i="2"/>
  <c r="C86" i="2"/>
  <c r="AC85" i="2"/>
  <c r="AD85" i="2" s="1"/>
  <c r="AA85" i="2"/>
  <c r="X85" i="2"/>
  <c r="W85" i="2"/>
  <c r="U85" i="2"/>
  <c r="R85" i="2"/>
  <c r="N85" i="2"/>
  <c r="O85" i="2" s="1"/>
  <c r="L85" i="2"/>
  <c r="H85" i="2"/>
  <c r="I85" i="2" s="1"/>
  <c r="F85" i="2"/>
  <c r="C85" i="2"/>
  <c r="AC84" i="2"/>
  <c r="AD84" i="2" s="1"/>
  <c r="AA84" i="2"/>
  <c r="X84" i="2"/>
  <c r="W84" i="2"/>
  <c r="U84" i="2"/>
  <c r="R84" i="2"/>
  <c r="N84" i="2"/>
  <c r="L84" i="2"/>
  <c r="H84" i="2"/>
  <c r="I84" i="2" s="1"/>
  <c r="F84" i="2"/>
  <c r="C84" i="2"/>
  <c r="AD83" i="2"/>
  <c r="AC83" i="2"/>
  <c r="AA83" i="2"/>
  <c r="W83" i="2"/>
  <c r="X83" i="2" s="1"/>
  <c r="U83" i="2"/>
  <c r="R83" i="2"/>
  <c r="N83" i="2"/>
  <c r="L83" i="2"/>
  <c r="H83" i="2"/>
  <c r="I83" i="2" s="1"/>
  <c r="F83" i="2"/>
  <c r="C83" i="2"/>
  <c r="AC82" i="2"/>
  <c r="AD82" i="2" s="1"/>
  <c r="AA82" i="2"/>
  <c r="W82" i="2"/>
  <c r="U82" i="2"/>
  <c r="R82" i="2"/>
  <c r="N82" i="2"/>
  <c r="L82" i="2"/>
  <c r="I82" i="2"/>
  <c r="H82" i="2"/>
  <c r="F82" i="2"/>
  <c r="C82" i="2"/>
  <c r="AC81" i="2"/>
  <c r="AD81" i="2" s="1"/>
  <c r="AA81" i="2"/>
  <c r="W81" i="2"/>
  <c r="X81" i="2" s="1"/>
  <c r="U81" i="2"/>
  <c r="R81" i="2"/>
  <c r="N81" i="2"/>
  <c r="L81" i="2"/>
  <c r="H81" i="2"/>
  <c r="I81" i="2" s="1"/>
  <c r="F81" i="2"/>
  <c r="C81" i="2"/>
  <c r="AC80" i="2"/>
  <c r="AD80" i="2" s="1"/>
  <c r="AA80" i="2"/>
  <c r="X80" i="2"/>
  <c r="W80" i="2"/>
  <c r="U80" i="2"/>
  <c r="R80" i="2"/>
  <c r="N80" i="2"/>
  <c r="L80" i="2"/>
  <c r="H80" i="2"/>
  <c r="I80" i="2" s="1"/>
  <c r="F80" i="2"/>
  <c r="C80" i="2"/>
  <c r="AD79" i="2"/>
  <c r="AC79" i="2"/>
  <c r="AA79" i="2"/>
  <c r="X79" i="2"/>
  <c r="W79" i="2"/>
  <c r="U79" i="2"/>
  <c r="R79" i="2"/>
  <c r="N79" i="2"/>
  <c r="O79" i="2" s="1"/>
  <c r="L79" i="2"/>
  <c r="H79" i="2"/>
  <c r="I79" i="2" s="1"/>
  <c r="F79" i="2"/>
  <c r="C79" i="2"/>
  <c r="AC78" i="2"/>
  <c r="AD78" i="2" s="1"/>
  <c r="AA78" i="2"/>
  <c r="W78" i="2"/>
  <c r="U78" i="2"/>
  <c r="R78" i="2"/>
  <c r="N78" i="2"/>
  <c r="L78" i="2"/>
  <c r="I78" i="2"/>
  <c r="H78" i="2"/>
  <c r="F78" i="2"/>
  <c r="C78" i="2"/>
  <c r="AC77" i="2"/>
  <c r="AD77" i="2" s="1"/>
  <c r="AA77" i="2"/>
  <c r="X77" i="2"/>
  <c r="W77" i="2"/>
  <c r="U77" i="2"/>
  <c r="R77" i="2"/>
  <c r="N77" i="2"/>
  <c r="L77" i="2"/>
  <c r="H77" i="2"/>
  <c r="I77" i="2" s="1"/>
  <c r="F77" i="2"/>
  <c r="C77" i="2"/>
  <c r="AC76" i="2"/>
  <c r="AD76" i="2" s="1"/>
  <c r="AA76" i="2"/>
  <c r="X76" i="2"/>
  <c r="W76" i="2"/>
  <c r="U76" i="2"/>
  <c r="R76" i="2"/>
  <c r="N76" i="2"/>
  <c r="L76" i="2"/>
  <c r="H76" i="2"/>
  <c r="I76" i="2" s="1"/>
  <c r="F76" i="2"/>
  <c r="C76" i="2"/>
  <c r="AD75" i="2"/>
  <c r="AC75" i="2"/>
  <c r="AA75" i="2"/>
  <c r="X75" i="2"/>
  <c r="W75" i="2"/>
  <c r="U75" i="2"/>
  <c r="R75" i="2"/>
  <c r="N75" i="2"/>
  <c r="L75" i="2"/>
  <c r="H75" i="2"/>
  <c r="I75" i="2" s="1"/>
  <c r="F75" i="2"/>
  <c r="C75" i="2"/>
  <c r="AA73" i="2"/>
  <c r="Z73" i="2"/>
  <c r="T73" i="2"/>
  <c r="U73" i="2" s="1"/>
  <c r="Q73" i="2"/>
  <c r="K73" i="2"/>
  <c r="L73" i="2" s="1"/>
  <c r="E73" i="2"/>
  <c r="F73" i="2" s="1"/>
  <c r="C73" i="2"/>
  <c r="B73" i="2"/>
  <c r="AC72" i="2"/>
  <c r="AD72" i="2" s="1"/>
  <c r="AA72" i="2"/>
  <c r="X72" i="2"/>
  <c r="W72" i="2"/>
  <c r="U72" i="2"/>
  <c r="R72" i="2"/>
  <c r="N72" i="2"/>
  <c r="L72" i="2"/>
  <c r="H72" i="2"/>
  <c r="I72" i="2" s="1"/>
  <c r="F72" i="2"/>
  <c r="C72" i="2"/>
  <c r="AD71" i="2"/>
  <c r="AC71" i="2"/>
  <c r="AA71" i="2"/>
  <c r="W71" i="2"/>
  <c r="X71" i="2" s="1"/>
  <c r="U71" i="2"/>
  <c r="R71" i="2"/>
  <c r="N71" i="2"/>
  <c r="L71" i="2"/>
  <c r="H71" i="2"/>
  <c r="I71" i="2" s="1"/>
  <c r="F71" i="2"/>
  <c r="C71" i="2"/>
  <c r="AC70" i="2"/>
  <c r="AD70" i="2" s="1"/>
  <c r="AA70" i="2"/>
  <c r="W70" i="2"/>
  <c r="U70" i="2"/>
  <c r="R70" i="2"/>
  <c r="N70" i="2"/>
  <c r="L70" i="2"/>
  <c r="I70" i="2"/>
  <c r="H70" i="2"/>
  <c r="F70" i="2"/>
  <c r="C70" i="2"/>
  <c r="AC69" i="2"/>
  <c r="AD69" i="2" s="1"/>
  <c r="AA69" i="2"/>
  <c r="W69" i="2"/>
  <c r="X69" i="2" s="1"/>
  <c r="U69" i="2"/>
  <c r="R69" i="2"/>
  <c r="N69" i="2"/>
  <c r="L69" i="2"/>
  <c r="H69" i="2"/>
  <c r="I69" i="2" s="1"/>
  <c r="F69" i="2"/>
  <c r="C69" i="2"/>
  <c r="AC68" i="2"/>
  <c r="AD68" i="2" s="1"/>
  <c r="AA68" i="2"/>
  <c r="W68" i="2"/>
  <c r="U68" i="2"/>
  <c r="R68" i="2"/>
  <c r="N68" i="2"/>
  <c r="L68" i="2"/>
  <c r="H68" i="2"/>
  <c r="I68" i="2" s="1"/>
  <c r="F68" i="2"/>
  <c r="C68" i="2"/>
  <c r="AD67" i="2"/>
  <c r="AC67" i="2"/>
  <c r="AA67" i="2"/>
  <c r="X67" i="2"/>
  <c r="W67" i="2"/>
  <c r="U67" i="2"/>
  <c r="R67" i="2"/>
  <c r="N67" i="2"/>
  <c r="O67" i="2" s="1"/>
  <c r="L67" i="2"/>
  <c r="H67" i="2"/>
  <c r="I67" i="2" s="1"/>
  <c r="F67" i="2"/>
  <c r="C67" i="2"/>
  <c r="AC66" i="2"/>
  <c r="AD66" i="2" s="1"/>
  <c r="AA66" i="2"/>
  <c r="W66" i="2"/>
  <c r="U66" i="2"/>
  <c r="R66" i="2"/>
  <c r="N66" i="2"/>
  <c r="L66" i="2"/>
  <c r="I66" i="2"/>
  <c r="H66" i="2"/>
  <c r="F66" i="2"/>
  <c r="C66" i="2"/>
  <c r="AD65" i="2"/>
  <c r="AC65" i="2"/>
  <c r="AA65" i="2"/>
  <c r="W65" i="2"/>
  <c r="X65" i="2" s="1"/>
  <c r="U65" i="2"/>
  <c r="R65" i="2"/>
  <c r="O65" i="2"/>
  <c r="N65" i="2"/>
  <c r="L65" i="2"/>
  <c r="H65" i="2"/>
  <c r="I65" i="2" s="1"/>
  <c r="F65" i="2"/>
  <c r="C65" i="2"/>
  <c r="AC64" i="2"/>
  <c r="AD64" i="2" s="1"/>
  <c r="AA64" i="2"/>
  <c r="X64" i="2"/>
  <c r="W64" i="2"/>
  <c r="U64" i="2"/>
  <c r="R64" i="2"/>
  <c r="N64" i="2"/>
  <c r="L64" i="2"/>
  <c r="H64" i="2"/>
  <c r="I64" i="2" s="1"/>
  <c r="F64" i="2"/>
  <c r="C64" i="2"/>
  <c r="Z62" i="2"/>
  <c r="AA62" i="2" s="1"/>
  <c r="X62" i="2"/>
  <c r="W62" i="2"/>
  <c r="T62" i="2"/>
  <c r="U62" i="2" s="1"/>
  <c r="R62" i="2"/>
  <c r="Q62" i="2"/>
  <c r="AC62" i="2" s="1"/>
  <c r="AD62" i="2" s="1"/>
  <c r="N62" i="2"/>
  <c r="O62" i="2" s="1"/>
  <c r="L62" i="2"/>
  <c r="K62" i="2"/>
  <c r="H62" i="2"/>
  <c r="I62" i="2" s="1"/>
  <c r="F62" i="2"/>
  <c r="E62" i="2"/>
  <c r="B62" i="2"/>
  <c r="C62" i="2" s="1"/>
  <c r="AC61" i="2"/>
  <c r="AD61" i="2" s="1"/>
  <c r="Z61" i="2"/>
  <c r="AA61" i="2" s="1"/>
  <c r="T61" i="2"/>
  <c r="U61" i="2" s="1"/>
  <c r="R61" i="2"/>
  <c r="Q61" i="2"/>
  <c r="L61" i="2"/>
  <c r="K61" i="2"/>
  <c r="H61" i="2"/>
  <c r="I61" i="2" s="1"/>
  <c r="F61" i="2"/>
  <c r="E61" i="2"/>
  <c r="B61" i="2"/>
  <c r="AD60" i="2"/>
  <c r="AC60" i="2"/>
  <c r="AA60" i="2"/>
  <c r="W60" i="2"/>
  <c r="X60" i="2" s="1"/>
  <c r="U60" i="2"/>
  <c r="R60" i="2"/>
  <c r="N60" i="2"/>
  <c r="L60" i="2"/>
  <c r="H60" i="2"/>
  <c r="I60" i="2" s="1"/>
  <c r="F60" i="2"/>
  <c r="C60" i="2"/>
  <c r="AC59" i="2"/>
  <c r="AD59" i="2" s="1"/>
  <c r="AA59" i="2"/>
  <c r="W59" i="2"/>
  <c r="U59" i="2"/>
  <c r="R59" i="2"/>
  <c r="N59" i="2"/>
  <c r="L59" i="2"/>
  <c r="I59" i="2"/>
  <c r="H59" i="2"/>
  <c r="F59" i="2"/>
  <c r="C59" i="2"/>
  <c r="AC58" i="2"/>
  <c r="AD58" i="2" s="1"/>
  <c r="AA58" i="2"/>
  <c r="W58" i="2"/>
  <c r="X58" i="2" s="1"/>
  <c r="U58" i="2"/>
  <c r="R58" i="2"/>
  <c r="N58" i="2"/>
  <c r="L58" i="2"/>
  <c r="H58" i="2"/>
  <c r="I58" i="2" s="1"/>
  <c r="F58" i="2"/>
  <c r="C58" i="2"/>
  <c r="AC57" i="2"/>
  <c r="AD57" i="2" s="1"/>
  <c r="AA57" i="2"/>
  <c r="W57" i="2"/>
  <c r="U57" i="2"/>
  <c r="R57" i="2"/>
  <c r="N57" i="2"/>
  <c r="L57" i="2"/>
  <c r="H57" i="2"/>
  <c r="I57" i="2" s="1"/>
  <c r="F57" i="2"/>
  <c r="C57" i="2"/>
  <c r="AD56" i="2"/>
  <c r="AC56" i="2"/>
  <c r="AA56" i="2"/>
  <c r="W56" i="2"/>
  <c r="X56" i="2" s="1"/>
  <c r="U56" i="2"/>
  <c r="R56" i="2"/>
  <c r="N56" i="2"/>
  <c r="L56" i="2"/>
  <c r="H56" i="2"/>
  <c r="I56" i="2" s="1"/>
  <c r="F56" i="2"/>
  <c r="C56" i="2"/>
  <c r="AC55" i="2"/>
  <c r="AD55" i="2" s="1"/>
  <c r="AA55" i="2"/>
  <c r="W55" i="2"/>
  <c r="U55" i="2"/>
  <c r="R55" i="2"/>
  <c r="N55" i="2"/>
  <c r="L55" i="2"/>
  <c r="I55" i="2"/>
  <c r="H55" i="2"/>
  <c r="F55" i="2"/>
  <c r="C55" i="2"/>
  <c r="AD54" i="2"/>
  <c r="AC54" i="2"/>
  <c r="AA54" i="2"/>
  <c r="W54" i="2"/>
  <c r="X54" i="2" s="1"/>
  <c r="U54" i="2"/>
  <c r="R54" i="2"/>
  <c r="N54" i="2"/>
  <c r="O54" i="2" s="1"/>
  <c r="L54" i="2"/>
  <c r="H54" i="2"/>
  <c r="I54" i="2" s="1"/>
  <c r="F54" i="2"/>
  <c r="C54" i="2"/>
  <c r="AC53" i="2"/>
  <c r="AD53" i="2" s="1"/>
  <c r="AA53" i="2"/>
  <c r="X53" i="2"/>
  <c r="W53" i="2"/>
  <c r="U53" i="2"/>
  <c r="R53" i="2"/>
  <c r="N53" i="2"/>
  <c r="L53" i="2"/>
  <c r="H53" i="2"/>
  <c r="I53" i="2" s="1"/>
  <c r="F53" i="2"/>
  <c r="C53" i="2"/>
  <c r="AD52" i="2"/>
  <c r="AC52" i="2"/>
  <c r="AA52" i="2"/>
  <c r="X52" i="2"/>
  <c r="W52" i="2"/>
  <c r="U52" i="2"/>
  <c r="R52" i="2"/>
  <c r="N52" i="2"/>
  <c r="O52" i="2" s="1"/>
  <c r="L52" i="2"/>
  <c r="H52" i="2"/>
  <c r="I52" i="2" s="1"/>
  <c r="F52" i="2"/>
  <c r="C52" i="2"/>
  <c r="AC51" i="2"/>
  <c r="AD51" i="2" s="1"/>
  <c r="AA51" i="2"/>
  <c r="W51" i="2"/>
  <c r="U51" i="2"/>
  <c r="R51" i="2"/>
  <c r="N51" i="2"/>
  <c r="L51" i="2"/>
  <c r="I51" i="2"/>
  <c r="H51" i="2"/>
  <c r="F51" i="2"/>
  <c r="C51" i="2"/>
  <c r="AC50" i="2"/>
  <c r="AD50" i="2" s="1"/>
  <c r="AA50" i="2"/>
  <c r="W50" i="2"/>
  <c r="X50" i="2" s="1"/>
  <c r="U50" i="2"/>
  <c r="R50" i="2"/>
  <c r="N50" i="2"/>
  <c r="O50" i="2" s="1"/>
  <c r="L50" i="2"/>
  <c r="H50" i="2"/>
  <c r="I50" i="2" s="1"/>
  <c r="F50" i="2"/>
  <c r="C50" i="2"/>
  <c r="AC49" i="2"/>
  <c r="AD49" i="2" s="1"/>
  <c r="AA49" i="2"/>
  <c r="X49" i="2"/>
  <c r="W49" i="2"/>
  <c r="U49" i="2"/>
  <c r="R49" i="2"/>
  <c r="N49" i="2"/>
  <c r="L49" i="2"/>
  <c r="I49" i="2"/>
  <c r="H49" i="2"/>
  <c r="F49" i="2"/>
  <c r="C49" i="2"/>
  <c r="AD48" i="2"/>
  <c r="AC48" i="2"/>
  <c r="AA48" i="2"/>
  <c r="W48" i="2"/>
  <c r="X48" i="2" s="1"/>
  <c r="U48" i="2"/>
  <c r="R48" i="2"/>
  <c r="N48" i="2"/>
  <c r="O48" i="2" s="1"/>
  <c r="L48" i="2"/>
  <c r="H48" i="2"/>
  <c r="I48" i="2" s="1"/>
  <c r="F48" i="2"/>
  <c r="C48" i="2"/>
  <c r="AC47" i="2"/>
  <c r="AD47" i="2" s="1"/>
  <c r="AA47" i="2"/>
  <c r="W47" i="2"/>
  <c r="U47" i="2"/>
  <c r="R47" i="2"/>
  <c r="N47" i="2"/>
  <c r="L47" i="2"/>
  <c r="I47" i="2"/>
  <c r="H47" i="2"/>
  <c r="F47" i="2"/>
  <c r="C47" i="2"/>
  <c r="AD46" i="2"/>
  <c r="AC46" i="2"/>
  <c r="AA46" i="2"/>
  <c r="W46" i="2"/>
  <c r="X46" i="2" s="1"/>
  <c r="U46" i="2"/>
  <c r="R46" i="2"/>
  <c r="N46" i="2"/>
  <c r="O46" i="2" s="1"/>
  <c r="L46" i="2"/>
  <c r="H46" i="2"/>
  <c r="I46" i="2" s="1"/>
  <c r="F46" i="2"/>
  <c r="C46" i="2"/>
  <c r="AC44" i="2"/>
  <c r="AD44" i="2" s="1"/>
  <c r="AA44" i="2"/>
  <c r="X44" i="2"/>
  <c r="W44" i="2"/>
  <c r="U44" i="2"/>
  <c r="R44" i="2"/>
  <c r="N44" i="2"/>
  <c r="L44" i="2"/>
  <c r="I44" i="2"/>
  <c r="H44" i="2"/>
  <c r="F44" i="2"/>
  <c r="C44" i="2"/>
  <c r="AD43" i="2"/>
  <c r="AC43" i="2"/>
  <c r="AA43" i="2"/>
  <c r="W43" i="2"/>
  <c r="X43" i="2" s="1"/>
  <c r="U43" i="2"/>
  <c r="R43" i="2"/>
  <c r="N43" i="2"/>
  <c r="L43" i="2"/>
  <c r="H43" i="2"/>
  <c r="I43" i="2" s="1"/>
  <c r="F43" i="2"/>
  <c r="C43" i="2"/>
  <c r="AC42" i="2"/>
  <c r="AD42" i="2" s="1"/>
  <c r="AA42" i="2"/>
  <c r="W42" i="2"/>
  <c r="U42" i="2"/>
  <c r="R42" i="2"/>
  <c r="N42" i="2"/>
  <c r="L42" i="2"/>
  <c r="I42" i="2"/>
  <c r="H42" i="2"/>
  <c r="F42" i="2"/>
  <c r="C42" i="2"/>
  <c r="Z40" i="2"/>
  <c r="AA40" i="2" s="1"/>
  <c r="T40" i="2"/>
  <c r="U40" i="2" s="1"/>
  <c r="R40" i="2"/>
  <c r="Q40" i="2"/>
  <c r="L40" i="2"/>
  <c r="K40" i="2"/>
  <c r="E40" i="2"/>
  <c r="F40" i="2" s="1"/>
  <c r="B40" i="2"/>
  <c r="AD39" i="2"/>
  <c r="AC39" i="2"/>
  <c r="AA39" i="2"/>
  <c r="W39" i="2"/>
  <c r="X39" i="2" s="1"/>
  <c r="U39" i="2"/>
  <c r="R39" i="2"/>
  <c r="N39" i="2"/>
  <c r="L39" i="2"/>
  <c r="H39" i="2"/>
  <c r="I39" i="2" s="1"/>
  <c r="F39" i="2"/>
  <c r="C39" i="2"/>
  <c r="AC38" i="2"/>
  <c r="AD38" i="2" s="1"/>
  <c r="AA38" i="2"/>
  <c r="W38" i="2"/>
  <c r="U38" i="2"/>
  <c r="R38" i="2"/>
  <c r="N38" i="2"/>
  <c r="L38" i="2"/>
  <c r="I38" i="2"/>
  <c r="H38" i="2"/>
  <c r="F38" i="2"/>
  <c r="C38" i="2"/>
  <c r="AC37" i="2"/>
  <c r="AD37" i="2" s="1"/>
  <c r="AA37" i="2"/>
  <c r="X37" i="2"/>
  <c r="W37" i="2"/>
  <c r="U37" i="2"/>
  <c r="R37" i="2"/>
  <c r="N37" i="2"/>
  <c r="L37" i="2"/>
  <c r="H37" i="2"/>
  <c r="I37" i="2" s="1"/>
  <c r="F37" i="2"/>
  <c r="C37" i="2"/>
  <c r="AC36" i="2"/>
  <c r="AD36" i="2" s="1"/>
  <c r="AA36" i="2"/>
  <c r="X36" i="2"/>
  <c r="W36" i="2"/>
  <c r="U36" i="2"/>
  <c r="R36" i="2"/>
  <c r="N36" i="2"/>
  <c r="L36" i="2"/>
  <c r="H36" i="2"/>
  <c r="I36" i="2" s="1"/>
  <c r="F36" i="2"/>
  <c r="C36" i="2"/>
  <c r="AC35" i="2"/>
  <c r="AD35" i="2" s="1"/>
  <c r="AA35" i="2"/>
  <c r="W35" i="2"/>
  <c r="X35" i="2" s="1"/>
  <c r="U35" i="2"/>
  <c r="R35" i="2"/>
  <c r="N35" i="2"/>
  <c r="L35" i="2"/>
  <c r="H35" i="2"/>
  <c r="I35" i="2" s="1"/>
  <c r="F35" i="2"/>
  <c r="C35" i="2"/>
  <c r="AC34" i="2"/>
  <c r="AD34" i="2" s="1"/>
  <c r="AA34" i="2"/>
  <c r="X34" i="2"/>
  <c r="W34" i="2"/>
  <c r="U34" i="2"/>
  <c r="R34" i="2"/>
  <c r="N34" i="2"/>
  <c r="L34" i="2"/>
  <c r="H34" i="2"/>
  <c r="I34" i="2" s="1"/>
  <c r="F34" i="2"/>
  <c r="C34" i="2"/>
  <c r="AC33" i="2"/>
  <c r="AD33" i="2" s="1"/>
  <c r="AA33" i="2"/>
  <c r="X33" i="2"/>
  <c r="W33" i="2"/>
  <c r="U33" i="2"/>
  <c r="R33" i="2"/>
  <c r="N33" i="2"/>
  <c r="L33" i="2"/>
  <c r="H33" i="2"/>
  <c r="I33" i="2" s="1"/>
  <c r="F33" i="2"/>
  <c r="C33" i="2"/>
  <c r="AC32" i="2"/>
  <c r="AD32" i="2" s="1"/>
  <c r="AA32" i="2"/>
  <c r="X32" i="2"/>
  <c r="W32" i="2"/>
  <c r="U32" i="2"/>
  <c r="R32" i="2"/>
  <c r="N32" i="2"/>
  <c r="L32" i="2"/>
  <c r="I32" i="2"/>
  <c r="H32" i="2"/>
  <c r="F32" i="2"/>
  <c r="C32" i="2"/>
  <c r="AD31" i="2"/>
  <c r="AC31" i="2"/>
  <c r="AA31" i="2"/>
  <c r="W31" i="2"/>
  <c r="X31" i="2" s="1"/>
  <c r="U31" i="2"/>
  <c r="R31" i="2"/>
  <c r="N31" i="2"/>
  <c r="O31" i="2" s="1"/>
  <c r="L31" i="2"/>
  <c r="H31" i="2"/>
  <c r="I31" i="2" s="1"/>
  <c r="F31" i="2"/>
  <c r="C31" i="2"/>
  <c r="AC29" i="2"/>
  <c r="AD29" i="2" s="1"/>
  <c r="AA29" i="2"/>
  <c r="Z29" i="2"/>
  <c r="W29" i="2"/>
  <c r="X29" i="2" s="1"/>
  <c r="U29" i="2"/>
  <c r="T29" i="2"/>
  <c r="Q29" i="2"/>
  <c r="R29" i="2" s="1"/>
  <c r="N29" i="2"/>
  <c r="O29" i="2" s="1"/>
  <c r="K29" i="2"/>
  <c r="L29" i="2" s="1"/>
  <c r="H29" i="2"/>
  <c r="I29" i="2" s="1"/>
  <c r="E29" i="2"/>
  <c r="F29" i="2" s="1"/>
  <c r="B29" i="2"/>
  <c r="C29" i="2" s="1"/>
  <c r="AC28" i="2"/>
  <c r="AD28" i="2" s="1"/>
  <c r="AA28" i="2"/>
  <c r="X28" i="2"/>
  <c r="W28" i="2"/>
  <c r="U28" i="2"/>
  <c r="R28" i="2"/>
  <c r="N28" i="2"/>
  <c r="L28" i="2"/>
  <c r="H28" i="2"/>
  <c r="I28" i="2" s="1"/>
  <c r="F28" i="2"/>
  <c r="C28" i="2"/>
  <c r="AC27" i="2"/>
  <c r="AD27" i="2" s="1"/>
  <c r="AA27" i="2"/>
  <c r="W27" i="2"/>
  <c r="X27" i="2" s="1"/>
  <c r="U27" i="2"/>
  <c r="R27" i="2"/>
  <c r="N27" i="2"/>
  <c r="L27" i="2"/>
  <c r="I27" i="2"/>
  <c r="H27" i="2"/>
  <c r="F27" i="2"/>
  <c r="C27" i="2"/>
  <c r="AC26" i="2"/>
  <c r="AD26" i="2" s="1"/>
  <c r="AA26" i="2"/>
  <c r="W26" i="2"/>
  <c r="X26" i="2" s="1"/>
  <c r="U26" i="2"/>
  <c r="R26" i="2"/>
  <c r="N26" i="2"/>
  <c r="L26" i="2"/>
  <c r="I26" i="2"/>
  <c r="H26" i="2"/>
  <c r="F26" i="2"/>
  <c r="C26" i="2"/>
  <c r="AD25" i="2"/>
  <c r="AC25" i="2"/>
  <c r="AA25" i="2"/>
  <c r="W25" i="2"/>
  <c r="X25" i="2" s="1"/>
  <c r="U25" i="2"/>
  <c r="R25" i="2"/>
  <c r="N25" i="2"/>
  <c r="O25" i="2" s="1"/>
  <c r="L25" i="2"/>
  <c r="H25" i="2"/>
  <c r="I25" i="2" s="1"/>
  <c r="F25" i="2"/>
  <c r="C25" i="2"/>
  <c r="AC24" i="2"/>
  <c r="AD24" i="2" s="1"/>
  <c r="AA24" i="2"/>
  <c r="W24" i="2"/>
  <c r="X24" i="2" s="1"/>
  <c r="U24" i="2"/>
  <c r="R24" i="2"/>
  <c r="N24" i="2"/>
  <c r="L24" i="2"/>
  <c r="H24" i="2"/>
  <c r="I24" i="2" s="1"/>
  <c r="F24" i="2"/>
  <c r="C24" i="2"/>
  <c r="AC23" i="2"/>
  <c r="AD23" i="2" s="1"/>
  <c r="AA23" i="2"/>
  <c r="W23" i="2"/>
  <c r="X23" i="2" s="1"/>
  <c r="U23" i="2"/>
  <c r="R23" i="2"/>
  <c r="N23" i="2"/>
  <c r="L23" i="2"/>
  <c r="H23" i="2"/>
  <c r="I23" i="2" s="1"/>
  <c r="F23" i="2"/>
  <c r="C23" i="2"/>
  <c r="AC22" i="2"/>
  <c r="AD22" i="2" s="1"/>
  <c r="AA22" i="2"/>
  <c r="X22" i="2"/>
  <c r="W22" i="2"/>
  <c r="U22" i="2"/>
  <c r="R22" i="2"/>
  <c r="N22" i="2"/>
  <c r="L22" i="2"/>
  <c r="I22" i="2"/>
  <c r="H22" i="2"/>
  <c r="F22" i="2"/>
  <c r="C22" i="2"/>
  <c r="AD21" i="2"/>
  <c r="AC21" i="2"/>
  <c r="AA21" i="2"/>
  <c r="W21" i="2"/>
  <c r="X21" i="2" s="1"/>
  <c r="U21" i="2"/>
  <c r="R21" i="2"/>
  <c r="N21" i="2"/>
  <c r="L21" i="2"/>
  <c r="I21" i="2"/>
  <c r="H21" i="2"/>
  <c r="F21" i="2"/>
  <c r="C21" i="2"/>
  <c r="AC19" i="2"/>
  <c r="AD19" i="2" s="1"/>
  <c r="AA19" i="2"/>
  <c r="W19" i="2"/>
  <c r="X19" i="2" s="1"/>
  <c r="U19" i="2"/>
  <c r="R19" i="2"/>
  <c r="N19" i="2"/>
  <c r="L19" i="2"/>
  <c r="H19" i="2"/>
  <c r="I19" i="2" s="1"/>
  <c r="F19" i="2"/>
  <c r="C19" i="2"/>
  <c r="AC18" i="2"/>
  <c r="AD18" i="2" s="1"/>
  <c r="Z18" i="2"/>
  <c r="AA18" i="2" s="1"/>
  <c r="T18" i="2"/>
  <c r="R18" i="2"/>
  <c r="Q18" i="2"/>
  <c r="K18" i="2"/>
  <c r="L18" i="2" s="1"/>
  <c r="E18" i="2"/>
  <c r="B18" i="2"/>
  <c r="C18" i="2" s="1"/>
  <c r="AC17" i="2"/>
  <c r="AD17" i="2" s="1"/>
  <c r="AA17" i="2"/>
  <c r="X17" i="2"/>
  <c r="W17" i="2"/>
  <c r="U17" i="2"/>
  <c r="R17" i="2"/>
  <c r="N17" i="2"/>
  <c r="L17" i="2"/>
  <c r="H17" i="2"/>
  <c r="I17" i="2" s="1"/>
  <c r="F17" i="2"/>
  <c r="C17" i="2"/>
  <c r="AC16" i="2"/>
  <c r="AD16" i="2" s="1"/>
  <c r="AA16" i="2"/>
  <c r="X16" i="2"/>
  <c r="W16" i="2"/>
  <c r="U16" i="2"/>
  <c r="R16" i="2"/>
  <c r="N16" i="2"/>
  <c r="L16" i="2"/>
  <c r="I16" i="2"/>
  <c r="H16" i="2"/>
  <c r="F16" i="2"/>
  <c r="C16" i="2"/>
  <c r="AD15" i="2"/>
  <c r="AC15" i="2"/>
  <c r="AA15" i="2"/>
  <c r="W15" i="2"/>
  <c r="X15" i="2" s="1"/>
  <c r="U15" i="2"/>
  <c r="R15" i="2"/>
  <c r="N15" i="2"/>
  <c r="O15" i="2" s="1"/>
  <c r="L15" i="2"/>
  <c r="H15" i="2"/>
  <c r="I15" i="2" s="1"/>
  <c r="F15" i="2"/>
  <c r="C15" i="2"/>
  <c r="AD14" i="2"/>
  <c r="AC14" i="2"/>
  <c r="AA14" i="2"/>
  <c r="X14" i="2"/>
  <c r="W14" i="2"/>
  <c r="U14" i="2"/>
  <c r="R14" i="2"/>
  <c r="N14" i="2"/>
  <c r="O14" i="2" s="1"/>
  <c r="L14" i="2"/>
  <c r="H14" i="2"/>
  <c r="I14" i="2" s="1"/>
  <c r="F14" i="2"/>
  <c r="C14" i="2"/>
  <c r="AC13" i="2"/>
  <c r="AD13" i="2" s="1"/>
  <c r="AA13" i="2"/>
  <c r="X13" i="2"/>
  <c r="W13" i="2"/>
  <c r="U13" i="2"/>
  <c r="R13" i="2"/>
  <c r="N13" i="2"/>
  <c r="L13" i="2"/>
  <c r="H13" i="2"/>
  <c r="I13" i="2" s="1"/>
  <c r="F13" i="2"/>
  <c r="C13" i="2"/>
  <c r="AC12" i="2"/>
  <c r="AD12" i="2" s="1"/>
  <c r="AA12" i="2"/>
  <c r="X12" i="2"/>
  <c r="W12" i="2"/>
  <c r="U12" i="2"/>
  <c r="R12" i="2"/>
  <c r="N12" i="2"/>
  <c r="L12" i="2"/>
  <c r="I12" i="2"/>
  <c r="H12" i="2"/>
  <c r="F12" i="2"/>
  <c r="C12" i="2"/>
  <c r="AD11" i="2"/>
  <c r="AC11" i="2"/>
  <c r="AA11" i="2"/>
  <c r="W11" i="2"/>
  <c r="X11" i="2" s="1"/>
  <c r="U11" i="2"/>
  <c r="R11" i="2"/>
  <c r="N11" i="2"/>
  <c r="L11" i="2"/>
  <c r="H11" i="2"/>
  <c r="I11" i="2" s="1"/>
  <c r="F11" i="2"/>
  <c r="C11" i="2"/>
  <c r="AD10" i="2"/>
  <c r="AC10" i="2"/>
  <c r="AA10" i="2"/>
  <c r="X10" i="2"/>
  <c r="W10" i="2"/>
  <c r="U10" i="2"/>
  <c r="R10" i="2"/>
  <c r="N10" i="2"/>
  <c r="O10" i="2" s="1"/>
  <c r="L10" i="2"/>
  <c r="H10" i="2"/>
  <c r="I10" i="2" s="1"/>
  <c r="F10" i="2"/>
  <c r="C10" i="2"/>
  <c r="AC8" i="2"/>
  <c r="AD8" i="2" s="1"/>
  <c r="AA8" i="2"/>
  <c r="X8" i="2"/>
  <c r="W8" i="2"/>
  <c r="U8" i="2"/>
  <c r="R8" i="2"/>
  <c r="N8" i="2"/>
  <c r="L8" i="2"/>
  <c r="H8" i="2"/>
  <c r="I8" i="2" s="1"/>
  <c r="F8" i="2"/>
  <c r="C8" i="2"/>
  <c r="AC444" i="1"/>
  <c r="W444" i="1"/>
  <c r="N444" i="1"/>
  <c r="O440" i="1" s="1"/>
  <c r="H444" i="1"/>
  <c r="Z442" i="1"/>
  <c r="AA442" i="1" s="1"/>
  <c r="T442" i="1"/>
  <c r="Q442" i="1"/>
  <c r="R442" i="1" s="1"/>
  <c r="L442" i="1"/>
  <c r="K442" i="1"/>
  <c r="N442" i="1" s="1"/>
  <c r="O442" i="1" s="1"/>
  <c r="H442" i="1"/>
  <c r="I442" i="1" s="1"/>
  <c r="E442" i="1"/>
  <c r="F442" i="1" s="1"/>
  <c r="C442" i="1"/>
  <c r="B442" i="1"/>
  <c r="AC441" i="1"/>
  <c r="AD441" i="1" s="1"/>
  <c r="AA441" i="1"/>
  <c r="Z441" i="1"/>
  <c r="T441" i="1"/>
  <c r="U441" i="1" s="1"/>
  <c r="R441" i="1"/>
  <c r="Q441" i="1"/>
  <c r="N441" i="1"/>
  <c r="O441" i="1" s="1"/>
  <c r="K441" i="1"/>
  <c r="L441" i="1" s="1"/>
  <c r="H441" i="1"/>
  <c r="I441" i="1" s="1"/>
  <c r="F441" i="1"/>
  <c r="E441" i="1"/>
  <c r="B441" i="1"/>
  <c r="C441" i="1" s="1"/>
  <c r="AC440" i="1"/>
  <c r="AD440" i="1" s="1"/>
  <c r="AA440" i="1"/>
  <c r="W440" i="1"/>
  <c r="X440" i="1" s="1"/>
  <c r="U440" i="1"/>
  <c r="R440" i="1"/>
  <c r="N440" i="1"/>
  <c r="L440" i="1"/>
  <c r="I440" i="1"/>
  <c r="H440" i="1"/>
  <c r="F440" i="1"/>
  <c r="C440" i="1"/>
  <c r="AD439" i="1"/>
  <c r="AC439" i="1"/>
  <c r="AA439" i="1"/>
  <c r="W439" i="1"/>
  <c r="X439" i="1" s="1"/>
  <c r="U439" i="1"/>
  <c r="R439" i="1"/>
  <c r="N439" i="1"/>
  <c r="O439" i="1" s="1"/>
  <c r="L439" i="1"/>
  <c r="H439" i="1"/>
  <c r="I439" i="1" s="1"/>
  <c r="F439" i="1"/>
  <c r="C439" i="1"/>
  <c r="AD438" i="1"/>
  <c r="AC438" i="1"/>
  <c r="AA438" i="1"/>
  <c r="X438" i="1"/>
  <c r="W438" i="1"/>
  <c r="U438" i="1"/>
  <c r="R438" i="1"/>
  <c r="N438" i="1"/>
  <c r="L438" i="1"/>
  <c r="H438" i="1"/>
  <c r="I438" i="1" s="1"/>
  <c r="F438" i="1"/>
  <c r="C438" i="1"/>
  <c r="AC437" i="1"/>
  <c r="AD437" i="1" s="1"/>
  <c r="AA437" i="1"/>
  <c r="W437" i="1"/>
  <c r="X437" i="1" s="1"/>
  <c r="U437" i="1"/>
  <c r="R437" i="1"/>
  <c r="N437" i="1"/>
  <c r="L437" i="1"/>
  <c r="I437" i="1"/>
  <c r="H437" i="1"/>
  <c r="F437" i="1"/>
  <c r="C437" i="1"/>
  <c r="AC436" i="1"/>
  <c r="AD436" i="1" s="1"/>
  <c r="AA436" i="1"/>
  <c r="W436" i="1"/>
  <c r="X436" i="1" s="1"/>
  <c r="U436" i="1"/>
  <c r="R436" i="1"/>
  <c r="N436" i="1"/>
  <c r="L436" i="1"/>
  <c r="I436" i="1"/>
  <c r="H436" i="1"/>
  <c r="F436" i="1"/>
  <c r="C436" i="1"/>
  <c r="AD435" i="1"/>
  <c r="AC435" i="1"/>
  <c r="AA435" i="1"/>
  <c r="W435" i="1"/>
  <c r="X435" i="1" s="1"/>
  <c r="U435" i="1"/>
  <c r="R435" i="1"/>
  <c r="N435" i="1"/>
  <c r="O435" i="1" s="1"/>
  <c r="L435" i="1"/>
  <c r="H435" i="1"/>
  <c r="I435" i="1" s="1"/>
  <c r="F435" i="1"/>
  <c r="C435" i="1"/>
  <c r="AD434" i="1"/>
  <c r="AC434" i="1"/>
  <c r="AA434" i="1"/>
  <c r="X434" i="1"/>
  <c r="W434" i="1"/>
  <c r="U434" i="1"/>
  <c r="R434" i="1"/>
  <c r="O434" i="1"/>
  <c r="N434" i="1"/>
  <c r="L434" i="1"/>
  <c r="H434" i="1"/>
  <c r="I434" i="1" s="1"/>
  <c r="F434" i="1"/>
  <c r="C434" i="1"/>
  <c r="AC433" i="1"/>
  <c r="AD433" i="1" s="1"/>
  <c r="AA433" i="1"/>
  <c r="W433" i="1"/>
  <c r="X433" i="1" s="1"/>
  <c r="U433" i="1"/>
  <c r="R433" i="1"/>
  <c r="N433" i="1"/>
  <c r="L433" i="1"/>
  <c r="I433" i="1"/>
  <c r="H433" i="1"/>
  <c r="F433" i="1"/>
  <c r="C433" i="1"/>
  <c r="AC432" i="1"/>
  <c r="AD432" i="1" s="1"/>
  <c r="AA432" i="1"/>
  <c r="W432" i="1"/>
  <c r="X432" i="1" s="1"/>
  <c r="U432" i="1"/>
  <c r="R432" i="1"/>
  <c r="N432" i="1"/>
  <c r="L432" i="1"/>
  <c r="I432" i="1"/>
  <c r="H432" i="1"/>
  <c r="F432" i="1"/>
  <c r="C432" i="1"/>
  <c r="Z429" i="1"/>
  <c r="AA429" i="1" s="1"/>
  <c r="T429" i="1"/>
  <c r="U429" i="1" s="1"/>
  <c r="R429" i="1"/>
  <c r="Q429" i="1"/>
  <c r="AC429" i="1" s="1"/>
  <c r="AD429" i="1" s="1"/>
  <c r="K429" i="1"/>
  <c r="L429" i="1" s="1"/>
  <c r="E429" i="1"/>
  <c r="H429" i="1" s="1"/>
  <c r="I429" i="1" s="1"/>
  <c r="B429" i="1"/>
  <c r="C429" i="1" s="1"/>
  <c r="Z428" i="1"/>
  <c r="AA428" i="1" s="1"/>
  <c r="T428" i="1"/>
  <c r="U428" i="1" s="1"/>
  <c r="R428" i="1"/>
  <c r="Q428" i="1"/>
  <c r="AC428" i="1" s="1"/>
  <c r="AD428" i="1" s="1"/>
  <c r="L428" i="1"/>
  <c r="K428" i="1"/>
  <c r="E428" i="1"/>
  <c r="F428" i="1" s="1"/>
  <c r="C428" i="1"/>
  <c r="B428" i="1"/>
  <c r="N428" i="1" s="1"/>
  <c r="O428" i="1" s="1"/>
  <c r="AC427" i="1"/>
  <c r="AD427" i="1" s="1"/>
  <c r="AA427" i="1"/>
  <c r="W427" i="1"/>
  <c r="X427" i="1" s="1"/>
  <c r="U427" i="1"/>
  <c r="R427" i="1"/>
  <c r="O427" i="1"/>
  <c r="N427" i="1"/>
  <c r="L427" i="1"/>
  <c r="H427" i="1"/>
  <c r="I427" i="1" s="1"/>
  <c r="F427" i="1"/>
  <c r="C427" i="1"/>
  <c r="AC426" i="1"/>
  <c r="AD426" i="1" s="1"/>
  <c r="AA426" i="1"/>
  <c r="X426" i="1"/>
  <c r="W426" i="1"/>
  <c r="U426" i="1"/>
  <c r="R426" i="1"/>
  <c r="N426" i="1"/>
  <c r="L426" i="1"/>
  <c r="I426" i="1"/>
  <c r="H426" i="1"/>
  <c r="F426" i="1"/>
  <c r="C426" i="1"/>
  <c r="AD425" i="1"/>
  <c r="AC425" i="1"/>
  <c r="AA425" i="1"/>
  <c r="W425" i="1"/>
  <c r="X425" i="1" s="1"/>
  <c r="U425" i="1"/>
  <c r="R425" i="1"/>
  <c r="N425" i="1"/>
  <c r="L425" i="1"/>
  <c r="I425" i="1"/>
  <c r="H425" i="1"/>
  <c r="F425" i="1"/>
  <c r="C425" i="1"/>
  <c r="AC424" i="1"/>
  <c r="AD424" i="1" s="1"/>
  <c r="AA424" i="1"/>
  <c r="W424" i="1"/>
  <c r="X424" i="1" s="1"/>
  <c r="U424" i="1"/>
  <c r="R424" i="1"/>
  <c r="O424" i="1"/>
  <c r="N424" i="1"/>
  <c r="L424" i="1"/>
  <c r="H424" i="1"/>
  <c r="I424" i="1" s="1"/>
  <c r="F424" i="1"/>
  <c r="C424" i="1"/>
  <c r="AC423" i="1"/>
  <c r="AD423" i="1" s="1"/>
  <c r="AA423" i="1"/>
  <c r="W423" i="1"/>
  <c r="X423" i="1" s="1"/>
  <c r="U423" i="1"/>
  <c r="R423" i="1"/>
  <c r="N423" i="1"/>
  <c r="L423" i="1"/>
  <c r="H423" i="1"/>
  <c r="I423" i="1" s="1"/>
  <c r="F423" i="1"/>
  <c r="C423" i="1"/>
  <c r="AC422" i="1"/>
  <c r="AD422" i="1" s="1"/>
  <c r="AA422" i="1"/>
  <c r="X422" i="1"/>
  <c r="W422" i="1"/>
  <c r="U422" i="1"/>
  <c r="R422" i="1"/>
  <c r="O422" i="1"/>
  <c r="N422" i="1"/>
  <c r="L422" i="1"/>
  <c r="I422" i="1"/>
  <c r="H422" i="1"/>
  <c r="F422" i="1"/>
  <c r="C422" i="1"/>
  <c r="AD421" i="1"/>
  <c r="AC421" i="1"/>
  <c r="AA421" i="1"/>
  <c r="W421" i="1"/>
  <c r="X421" i="1" s="1"/>
  <c r="U421" i="1"/>
  <c r="R421" i="1"/>
  <c r="N421" i="1"/>
  <c r="O421" i="1" s="1"/>
  <c r="L421" i="1"/>
  <c r="I421" i="1"/>
  <c r="H421" i="1"/>
  <c r="F421" i="1"/>
  <c r="C421" i="1"/>
  <c r="AC420" i="1"/>
  <c r="AD420" i="1" s="1"/>
  <c r="AA420" i="1"/>
  <c r="W420" i="1"/>
  <c r="X420" i="1" s="1"/>
  <c r="U420" i="1"/>
  <c r="R420" i="1"/>
  <c r="N420" i="1"/>
  <c r="L420" i="1"/>
  <c r="H420" i="1"/>
  <c r="I420" i="1" s="1"/>
  <c r="F420" i="1"/>
  <c r="C420" i="1"/>
  <c r="AC419" i="1"/>
  <c r="AD419" i="1" s="1"/>
  <c r="AA419" i="1"/>
  <c r="W419" i="1"/>
  <c r="X419" i="1" s="1"/>
  <c r="U419" i="1"/>
  <c r="R419" i="1"/>
  <c r="O419" i="1"/>
  <c r="N419" i="1"/>
  <c r="L419" i="1"/>
  <c r="H419" i="1"/>
  <c r="I419" i="1" s="1"/>
  <c r="F419" i="1"/>
  <c r="C419" i="1"/>
  <c r="AC418" i="1"/>
  <c r="AD418" i="1" s="1"/>
  <c r="AA418" i="1"/>
  <c r="X418" i="1"/>
  <c r="W418" i="1"/>
  <c r="U418" i="1"/>
  <c r="R418" i="1"/>
  <c r="N418" i="1"/>
  <c r="L418" i="1"/>
  <c r="I418" i="1"/>
  <c r="H418" i="1"/>
  <c r="F418" i="1"/>
  <c r="C418" i="1"/>
  <c r="AD417" i="1"/>
  <c r="AC417" i="1"/>
  <c r="AA417" i="1"/>
  <c r="W417" i="1"/>
  <c r="X417" i="1" s="1"/>
  <c r="U417" i="1"/>
  <c r="R417" i="1"/>
  <c r="N417" i="1"/>
  <c r="L417" i="1"/>
  <c r="I417" i="1"/>
  <c r="H417" i="1"/>
  <c r="F417" i="1"/>
  <c r="C417" i="1"/>
  <c r="AC416" i="1"/>
  <c r="AD416" i="1" s="1"/>
  <c r="AA416" i="1"/>
  <c r="W416" i="1"/>
  <c r="X416" i="1" s="1"/>
  <c r="U416" i="1"/>
  <c r="R416" i="1"/>
  <c r="O416" i="1"/>
  <c r="N416" i="1"/>
  <c r="L416" i="1"/>
  <c r="H416" i="1"/>
  <c r="I416" i="1" s="1"/>
  <c r="F416" i="1"/>
  <c r="C416" i="1"/>
  <c r="AC415" i="1"/>
  <c r="AD415" i="1" s="1"/>
  <c r="AA415" i="1"/>
  <c r="W415" i="1"/>
  <c r="X415" i="1" s="1"/>
  <c r="U415" i="1"/>
  <c r="R415" i="1"/>
  <c r="N415" i="1"/>
  <c r="O415" i="1" s="1"/>
  <c r="L415" i="1"/>
  <c r="H415" i="1"/>
  <c r="I415" i="1" s="1"/>
  <c r="F415" i="1"/>
  <c r="C415" i="1"/>
  <c r="AC414" i="1"/>
  <c r="AD414" i="1" s="1"/>
  <c r="AA414" i="1"/>
  <c r="X414" i="1"/>
  <c r="W414" i="1"/>
  <c r="U414" i="1"/>
  <c r="R414" i="1"/>
  <c r="O414" i="1"/>
  <c r="N414" i="1"/>
  <c r="L414" i="1"/>
  <c r="H414" i="1"/>
  <c r="I414" i="1" s="1"/>
  <c r="F414" i="1"/>
  <c r="C414" i="1"/>
  <c r="AD413" i="1"/>
  <c r="AC413" i="1"/>
  <c r="AA413" i="1"/>
  <c r="W413" i="1"/>
  <c r="X413" i="1" s="1"/>
  <c r="U413" i="1"/>
  <c r="R413" i="1"/>
  <c r="N413" i="1"/>
  <c r="O413" i="1" s="1"/>
  <c r="L413" i="1"/>
  <c r="I413" i="1"/>
  <c r="H413" i="1"/>
  <c r="F413" i="1"/>
  <c r="C413" i="1"/>
  <c r="AC412" i="1"/>
  <c r="AD412" i="1" s="1"/>
  <c r="AA412" i="1"/>
  <c r="W412" i="1"/>
  <c r="X412" i="1" s="1"/>
  <c r="U412" i="1"/>
  <c r="R412" i="1"/>
  <c r="N412" i="1"/>
  <c r="L412" i="1"/>
  <c r="H412" i="1"/>
  <c r="I412" i="1" s="1"/>
  <c r="F412" i="1"/>
  <c r="C412" i="1"/>
  <c r="AC411" i="1"/>
  <c r="AD411" i="1" s="1"/>
  <c r="AA411" i="1"/>
  <c r="W411" i="1"/>
  <c r="X411" i="1" s="1"/>
  <c r="U411" i="1"/>
  <c r="R411" i="1"/>
  <c r="O411" i="1"/>
  <c r="N411" i="1"/>
  <c r="L411" i="1"/>
  <c r="H411" i="1"/>
  <c r="I411" i="1" s="1"/>
  <c r="F411" i="1"/>
  <c r="C411" i="1"/>
  <c r="AC410" i="1"/>
  <c r="AD410" i="1" s="1"/>
  <c r="AA410" i="1"/>
  <c r="X410" i="1"/>
  <c r="W410" i="1"/>
  <c r="U410" i="1"/>
  <c r="R410" i="1"/>
  <c r="N410" i="1"/>
  <c r="L410" i="1"/>
  <c r="I410" i="1"/>
  <c r="H410" i="1"/>
  <c r="F410" i="1"/>
  <c r="C410" i="1"/>
  <c r="AC409" i="1"/>
  <c r="AD409" i="1" s="1"/>
  <c r="AA409" i="1"/>
  <c r="W409" i="1"/>
  <c r="X409" i="1" s="1"/>
  <c r="U409" i="1"/>
  <c r="R409" i="1"/>
  <c r="N409" i="1"/>
  <c r="L409" i="1"/>
  <c r="I409" i="1"/>
  <c r="H409" i="1"/>
  <c r="F409" i="1"/>
  <c r="C409" i="1"/>
  <c r="AC408" i="1"/>
  <c r="AD408" i="1" s="1"/>
  <c r="AA408" i="1"/>
  <c r="W408" i="1"/>
  <c r="X408" i="1" s="1"/>
  <c r="U408" i="1"/>
  <c r="R408" i="1"/>
  <c r="O408" i="1"/>
  <c r="N408" i="1"/>
  <c r="L408" i="1"/>
  <c r="H408" i="1"/>
  <c r="I408" i="1" s="1"/>
  <c r="F408" i="1"/>
  <c r="C408" i="1"/>
  <c r="AC407" i="1"/>
  <c r="AD407" i="1" s="1"/>
  <c r="AA407" i="1"/>
  <c r="W407" i="1"/>
  <c r="X407" i="1" s="1"/>
  <c r="U407" i="1"/>
  <c r="R407" i="1"/>
  <c r="N407" i="1"/>
  <c r="O407" i="1" s="1"/>
  <c r="L407" i="1"/>
  <c r="H407" i="1"/>
  <c r="I407" i="1" s="1"/>
  <c r="F407" i="1"/>
  <c r="C407" i="1"/>
  <c r="Z403" i="1"/>
  <c r="AA403" i="1" s="1"/>
  <c r="T403" i="1"/>
  <c r="U403" i="1" s="1"/>
  <c r="Q403" i="1"/>
  <c r="R403" i="1" s="1"/>
  <c r="K403" i="1"/>
  <c r="N403" i="1" s="1"/>
  <c r="O403" i="1" s="1"/>
  <c r="E403" i="1"/>
  <c r="C403" i="1"/>
  <c r="B403" i="1"/>
  <c r="AC402" i="1"/>
  <c r="AD402" i="1" s="1"/>
  <c r="AA402" i="1"/>
  <c r="X402" i="1"/>
  <c r="W402" i="1"/>
  <c r="U402" i="1"/>
  <c r="R402" i="1"/>
  <c r="N402" i="1"/>
  <c r="O402" i="1" s="1"/>
  <c r="L402" i="1"/>
  <c r="I402" i="1"/>
  <c r="H402" i="1"/>
  <c r="F402" i="1"/>
  <c r="C402" i="1"/>
  <c r="AD401" i="1"/>
  <c r="AC401" i="1"/>
  <c r="AA401" i="1"/>
  <c r="W401" i="1"/>
  <c r="X401" i="1" s="1"/>
  <c r="U401" i="1"/>
  <c r="R401" i="1"/>
  <c r="O401" i="1"/>
  <c r="N401" i="1"/>
  <c r="L401" i="1"/>
  <c r="H401" i="1"/>
  <c r="I401" i="1" s="1"/>
  <c r="F401" i="1"/>
  <c r="C401" i="1"/>
  <c r="AC400" i="1"/>
  <c r="AD400" i="1" s="1"/>
  <c r="AA400" i="1"/>
  <c r="X400" i="1"/>
  <c r="W400" i="1"/>
  <c r="U400" i="1"/>
  <c r="R400" i="1"/>
  <c r="O400" i="1"/>
  <c r="N400" i="1"/>
  <c r="L400" i="1"/>
  <c r="I400" i="1"/>
  <c r="H400" i="1"/>
  <c r="F400" i="1"/>
  <c r="C400" i="1"/>
  <c r="AC399" i="1"/>
  <c r="AD399" i="1" s="1"/>
  <c r="AA399" i="1"/>
  <c r="W399" i="1"/>
  <c r="X399" i="1" s="1"/>
  <c r="U399" i="1"/>
  <c r="R399" i="1"/>
  <c r="N399" i="1"/>
  <c r="O399" i="1" s="1"/>
  <c r="L399" i="1"/>
  <c r="H399" i="1"/>
  <c r="I399" i="1" s="1"/>
  <c r="F399" i="1"/>
  <c r="C399" i="1"/>
  <c r="AD398" i="1"/>
  <c r="AC398" i="1"/>
  <c r="AA398" i="1"/>
  <c r="X398" i="1"/>
  <c r="W398" i="1"/>
  <c r="U398" i="1"/>
  <c r="R398" i="1"/>
  <c r="O398" i="1"/>
  <c r="N398" i="1"/>
  <c r="L398" i="1"/>
  <c r="H398" i="1"/>
  <c r="I398" i="1" s="1"/>
  <c r="F398" i="1"/>
  <c r="C398" i="1"/>
  <c r="AC397" i="1"/>
  <c r="AD397" i="1" s="1"/>
  <c r="AA397" i="1"/>
  <c r="W397" i="1"/>
  <c r="X397" i="1" s="1"/>
  <c r="U397" i="1"/>
  <c r="R397" i="1"/>
  <c r="N397" i="1"/>
  <c r="O397" i="1" s="1"/>
  <c r="L397" i="1"/>
  <c r="I397" i="1"/>
  <c r="H397" i="1"/>
  <c r="F397" i="1"/>
  <c r="C397" i="1"/>
  <c r="Z396" i="1"/>
  <c r="AC396" i="1" s="1"/>
  <c r="AD396" i="1" s="1"/>
  <c r="X396" i="1"/>
  <c r="W396" i="1"/>
  <c r="T396" i="1"/>
  <c r="U396" i="1" s="1"/>
  <c r="Q396" i="1"/>
  <c r="R396" i="1" s="1"/>
  <c r="K396" i="1"/>
  <c r="L396" i="1" s="1"/>
  <c r="E396" i="1"/>
  <c r="F396" i="1" s="1"/>
  <c r="B396" i="1"/>
  <c r="H396" i="1" s="1"/>
  <c r="I396" i="1" s="1"/>
  <c r="AC395" i="1"/>
  <c r="AD395" i="1" s="1"/>
  <c r="AA395" i="1"/>
  <c r="X395" i="1"/>
  <c r="W395" i="1"/>
  <c r="U395" i="1"/>
  <c r="R395" i="1"/>
  <c r="O395" i="1"/>
  <c r="N395" i="1"/>
  <c r="L395" i="1"/>
  <c r="I395" i="1"/>
  <c r="H395" i="1"/>
  <c r="F395" i="1"/>
  <c r="C395" i="1"/>
  <c r="AC394" i="1"/>
  <c r="AD394" i="1" s="1"/>
  <c r="AA394" i="1"/>
  <c r="W394" i="1"/>
  <c r="X394" i="1" s="1"/>
  <c r="U394" i="1"/>
  <c r="R394" i="1"/>
  <c r="N394" i="1"/>
  <c r="O394" i="1" s="1"/>
  <c r="L394" i="1"/>
  <c r="H394" i="1"/>
  <c r="I394" i="1" s="1"/>
  <c r="F394" i="1"/>
  <c r="C394" i="1"/>
  <c r="Z393" i="1"/>
  <c r="AA393" i="1" s="1"/>
  <c r="T393" i="1"/>
  <c r="U393" i="1" s="1"/>
  <c r="Q393" i="1"/>
  <c r="R393" i="1" s="1"/>
  <c r="K393" i="1"/>
  <c r="N393" i="1" s="1"/>
  <c r="O393" i="1" s="1"/>
  <c r="E393" i="1"/>
  <c r="C393" i="1"/>
  <c r="B393" i="1"/>
  <c r="AC392" i="1"/>
  <c r="AD392" i="1" s="1"/>
  <c r="AA392" i="1"/>
  <c r="X392" i="1"/>
  <c r="W392" i="1"/>
  <c r="U392" i="1"/>
  <c r="R392" i="1"/>
  <c r="N392" i="1"/>
  <c r="O392" i="1" s="1"/>
  <c r="L392" i="1"/>
  <c r="I392" i="1"/>
  <c r="H392" i="1"/>
  <c r="F392" i="1"/>
  <c r="C392" i="1"/>
  <c r="AD391" i="1"/>
  <c r="AC391" i="1"/>
  <c r="AA391" i="1"/>
  <c r="W391" i="1"/>
  <c r="X391" i="1" s="1"/>
  <c r="U391" i="1"/>
  <c r="R391" i="1"/>
  <c r="O391" i="1"/>
  <c r="N391" i="1"/>
  <c r="L391" i="1"/>
  <c r="H391" i="1"/>
  <c r="I391" i="1" s="1"/>
  <c r="F391" i="1"/>
  <c r="C391" i="1"/>
  <c r="AC390" i="1"/>
  <c r="AD390" i="1" s="1"/>
  <c r="AA390" i="1"/>
  <c r="X390" i="1"/>
  <c r="W390" i="1"/>
  <c r="U390" i="1"/>
  <c r="R390" i="1"/>
  <c r="O390" i="1"/>
  <c r="N390" i="1"/>
  <c r="L390" i="1"/>
  <c r="I390" i="1"/>
  <c r="H390" i="1"/>
  <c r="F390" i="1"/>
  <c r="C390" i="1"/>
  <c r="AC389" i="1"/>
  <c r="AD389" i="1" s="1"/>
  <c r="AA389" i="1"/>
  <c r="W389" i="1"/>
  <c r="X389" i="1" s="1"/>
  <c r="U389" i="1"/>
  <c r="R389" i="1"/>
  <c r="N389" i="1"/>
  <c r="O389" i="1" s="1"/>
  <c r="L389" i="1"/>
  <c r="H389" i="1"/>
  <c r="I389" i="1" s="1"/>
  <c r="F389" i="1"/>
  <c r="C389" i="1"/>
  <c r="AD388" i="1"/>
  <c r="AC388" i="1"/>
  <c r="AA388" i="1"/>
  <c r="X388" i="1"/>
  <c r="W388" i="1"/>
  <c r="U388" i="1"/>
  <c r="R388" i="1"/>
  <c r="O388" i="1"/>
  <c r="N388" i="1"/>
  <c r="L388" i="1"/>
  <c r="H388" i="1"/>
  <c r="I388" i="1" s="1"/>
  <c r="F388" i="1"/>
  <c r="C388" i="1"/>
  <c r="AC386" i="1"/>
  <c r="AD386" i="1" s="1"/>
  <c r="AA386" i="1"/>
  <c r="W386" i="1"/>
  <c r="X386" i="1" s="1"/>
  <c r="U386" i="1"/>
  <c r="R386" i="1"/>
  <c r="N386" i="1"/>
  <c r="O386" i="1" s="1"/>
  <c r="L386" i="1"/>
  <c r="I386" i="1"/>
  <c r="H386" i="1"/>
  <c r="F386" i="1"/>
  <c r="C386" i="1"/>
  <c r="AC385" i="1"/>
  <c r="AD385" i="1" s="1"/>
  <c r="AA385" i="1"/>
  <c r="W385" i="1"/>
  <c r="X385" i="1" s="1"/>
  <c r="U385" i="1"/>
  <c r="R385" i="1"/>
  <c r="N385" i="1"/>
  <c r="L385" i="1"/>
  <c r="H385" i="1"/>
  <c r="I385" i="1" s="1"/>
  <c r="F385" i="1"/>
  <c r="C385" i="1"/>
  <c r="AC383" i="1"/>
  <c r="AD383" i="1" s="1"/>
  <c r="AA383" i="1"/>
  <c r="X383" i="1"/>
  <c r="W383" i="1"/>
  <c r="U383" i="1"/>
  <c r="R383" i="1"/>
  <c r="O383" i="1"/>
  <c r="N383" i="1"/>
  <c r="L383" i="1"/>
  <c r="H383" i="1"/>
  <c r="I383" i="1" s="1"/>
  <c r="F383" i="1"/>
  <c r="C383" i="1"/>
  <c r="AC382" i="1"/>
  <c r="AD382" i="1" s="1"/>
  <c r="AA382" i="1"/>
  <c r="X382" i="1"/>
  <c r="W382" i="1"/>
  <c r="U382" i="1"/>
  <c r="R382" i="1"/>
  <c r="N382" i="1"/>
  <c r="O382" i="1" s="1"/>
  <c r="L382" i="1"/>
  <c r="I382" i="1"/>
  <c r="H382" i="1"/>
  <c r="F382" i="1"/>
  <c r="C382" i="1"/>
  <c r="AD381" i="1"/>
  <c r="AC381" i="1"/>
  <c r="AA381" i="1"/>
  <c r="X381" i="1"/>
  <c r="W381" i="1"/>
  <c r="U381" i="1"/>
  <c r="R381" i="1"/>
  <c r="N381" i="1"/>
  <c r="O381" i="1" s="1"/>
  <c r="L381" i="1"/>
  <c r="H381" i="1"/>
  <c r="I381" i="1" s="1"/>
  <c r="F381" i="1"/>
  <c r="C381" i="1"/>
  <c r="AC380" i="1"/>
  <c r="AD380" i="1" s="1"/>
  <c r="AA380" i="1"/>
  <c r="X380" i="1"/>
  <c r="W380" i="1"/>
  <c r="U380" i="1"/>
  <c r="R380" i="1"/>
  <c r="O380" i="1"/>
  <c r="N380" i="1"/>
  <c r="L380" i="1"/>
  <c r="H380" i="1"/>
  <c r="I380" i="1" s="1"/>
  <c r="F380" i="1"/>
  <c r="C380" i="1"/>
  <c r="AD379" i="1"/>
  <c r="AC379" i="1"/>
  <c r="AA379" i="1"/>
  <c r="W379" i="1"/>
  <c r="X379" i="1" s="1"/>
  <c r="U379" i="1"/>
  <c r="R379" i="1"/>
  <c r="N379" i="1"/>
  <c r="O379" i="1" s="1"/>
  <c r="L379" i="1"/>
  <c r="H379" i="1"/>
  <c r="I379" i="1" s="1"/>
  <c r="F379" i="1"/>
  <c r="C379" i="1"/>
  <c r="AD378" i="1"/>
  <c r="AC378" i="1"/>
  <c r="AA378" i="1"/>
  <c r="X378" i="1"/>
  <c r="W378" i="1"/>
  <c r="U378" i="1"/>
  <c r="R378" i="1"/>
  <c r="N378" i="1"/>
  <c r="O378" i="1" s="1"/>
  <c r="L378" i="1"/>
  <c r="H378" i="1"/>
  <c r="I378" i="1" s="1"/>
  <c r="F378" i="1"/>
  <c r="C378" i="1"/>
  <c r="AC377" i="1"/>
  <c r="AD377" i="1" s="1"/>
  <c r="AA377" i="1"/>
  <c r="W377" i="1"/>
  <c r="X377" i="1" s="1"/>
  <c r="U377" i="1"/>
  <c r="R377" i="1"/>
  <c r="N377" i="1"/>
  <c r="O377" i="1" s="1"/>
  <c r="L377" i="1"/>
  <c r="I377" i="1"/>
  <c r="H377" i="1"/>
  <c r="F377" i="1"/>
  <c r="C377" i="1"/>
  <c r="AC376" i="1"/>
  <c r="AD376" i="1" s="1"/>
  <c r="AA376" i="1"/>
  <c r="W376" i="1"/>
  <c r="X376" i="1" s="1"/>
  <c r="U376" i="1"/>
  <c r="R376" i="1"/>
  <c r="O376" i="1"/>
  <c r="N376" i="1"/>
  <c r="L376" i="1"/>
  <c r="H376" i="1"/>
  <c r="I376" i="1" s="1"/>
  <c r="F376" i="1"/>
  <c r="C376" i="1"/>
  <c r="AC375" i="1"/>
  <c r="AD375" i="1" s="1"/>
  <c r="AA375" i="1"/>
  <c r="X375" i="1"/>
  <c r="W375" i="1"/>
  <c r="U375" i="1"/>
  <c r="R375" i="1"/>
  <c r="O375" i="1"/>
  <c r="N375" i="1"/>
  <c r="L375" i="1"/>
  <c r="H375" i="1"/>
  <c r="I375" i="1" s="1"/>
  <c r="F375" i="1"/>
  <c r="C375" i="1"/>
  <c r="AC374" i="1"/>
  <c r="AD374" i="1" s="1"/>
  <c r="AA374" i="1"/>
  <c r="X374" i="1"/>
  <c r="W374" i="1"/>
  <c r="U374" i="1"/>
  <c r="R374" i="1"/>
  <c r="N374" i="1"/>
  <c r="O374" i="1" s="1"/>
  <c r="L374" i="1"/>
  <c r="I374" i="1"/>
  <c r="H374" i="1"/>
  <c r="F374" i="1"/>
  <c r="C374" i="1"/>
  <c r="AD373" i="1"/>
  <c r="AC373" i="1"/>
  <c r="AA373" i="1"/>
  <c r="W373" i="1"/>
  <c r="X373" i="1" s="1"/>
  <c r="U373" i="1"/>
  <c r="R373" i="1"/>
  <c r="O373" i="1"/>
  <c r="N373" i="1"/>
  <c r="L373" i="1"/>
  <c r="H373" i="1"/>
  <c r="I373" i="1" s="1"/>
  <c r="F373" i="1"/>
  <c r="C373" i="1"/>
  <c r="AC372" i="1"/>
  <c r="AD372" i="1" s="1"/>
  <c r="AA372" i="1"/>
  <c r="X372" i="1"/>
  <c r="W372" i="1"/>
  <c r="U372" i="1"/>
  <c r="R372" i="1"/>
  <c r="O372" i="1"/>
  <c r="N372" i="1"/>
  <c r="L372" i="1"/>
  <c r="I372" i="1"/>
  <c r="H372" i="1"/>
  <c r="F372" i="1"/>
  <c r="C372" i="1"/>
  <c r="AC371" i="1"/>
  <c r="AD371" i="1" s="1"/>
  <c r="AA371" i="1"/>
  <c r="W371" i="1"/>
  <c r="X371" i="1" s="1"/>
  <c r="U371" i="1"/>
  <c r="R371" i="1"/>
  <c r="N371" i="1"/>
  <c r="O371" i="1" s="1"/>
  <c r="L371" i="1"/>
  <c r="H371" i="1"/>
  <c r="I371" i="1" s="1"/>
  <c r="F371" i="1"/>
  <c r="C371" i="1"/>
  <c r="AD370" i="1"/>
  <c r="AC370" i="1"/>
  <c r="AA370" i="1"/>
  <c r="X370" i="1"/>
  <c r="W370" i="1"/>
  <c r="U370" i="1"/>
  <c r="R370" i="1"/>
  <c r="O370" i="1"/>
  <c r="N370" i="1"/>
  <c r="L370" i="1"/>
  <c r="H370" i="1"/>
  <c r="I370" i="1" s="1"/>
  <c r="F370" i="1"/>
  <c r="C370" i="1"/>
  <c r="AC369" i="1"/>
  <c r="AD369" i="1" s="1"/>
  <c r="AA369" i="1"/>
  <c r="W369" i="1"/>
  <c r="X369" i="1" s="1"/>
  <c r="U369" i="1"/>
  <c r="R369" i="1"/>
  <c r="N369" i="1"/>
  <c r="O369" i="1" s="1"/>
  <c r="L369" i="1"/>
  <c r="I369" i="1"/>
  <c r="H369" i="1"/>
  <c r="F369" i="1"/>
  <c r="C369" i="1"/>
  <c r="Z368" i="1"/>
  <c r="AC368" i="1" s="1"/>
  <c r="AD368" i="1" s="1"/>
  <c r="X368" i="1"/>
  <c r="W368" i="1"/>
  <c r="T368" i="1"/>
  <c r="U368" i="1" s="1"/>
  <c r="Q368" i="1"/>
  <c r="R368" i="1" s="1"/>
  <c r="K368" i="1"/>
  <c r="L368" i="1" s="1"/>
  <c r="E368" i="1"/>
  <c r="F368" i="1" s="1"/>
  <c r="B368" i="1"/>
  <c r="H368" i="1" s="1"/>
  <c r="I368" i="1" s="1"/>
  <c r="AC367" i="1"/>
  <c r="AD367" i="1" s="1"/>
  <c r="AA367" i="1"/>
  <c r="X367" i="1"/>
  <c r="W367" i="1"/>
  <c r="U367" i="1"/>
  <c r="R367" i="1"/>
  <c r="O367" i="1"/>
  <c r="N367" i="1"/>
  <c r="L367" i="1"/>
  <c r="I367" i="1"/>
  <c r="H367" i="1"/>
  <c r="F367" i="1"/>
  <c r="C367" i="1"/>
  <c r="AC366" i="1"/>
  <c r="AD366" i="1" s="1"/>
  <c r="AA366" i="1"/>
  <c r="W366" i="1"/>
  <c r="X366" i="1" s="1"/>
  <c r="U366" i="1"/>
  <c r="R366" i="1"/>
  <c r="N366" i="1"/>
  <c r="O366" i="1" s="1"/>
  <c r="L366" i="1"/>
  <c r="H366" i="1"/>
  <c r="I366" i="1" s="1"/>
  <c r="F366" i="1"/>
  <c r="C366" i="1"/>
  <c r="AC365" i="1"/>
  <c r="AD365" i="1" s="1"/>
  <c r="AA365" i="1"/>
  <c r="W365" i="1"/>
  <c r="X365" i="1" s="1"/>
  <c r="U365" i="1"/>
  <c r="R365" i="1"/>
  <c r="O365" i="1"/>
  <c r="N365" i="1"/>
  <c r="L365" i="1"/>
  <c r="H365" i="1"/>
  <c r="I365" i="1" s="1"/>
  <c r="F365" i="1"/>
  <c r="C365" i="1"/>
  <c r="AC364" i="1"/>
  <c r="AD364" i="1" s="1"/>
  <c r="AA364" i="1"/>
  <c r="W364" i="1"/>
  <c r="X364" i="1" s="1"/>
  <c r="U364" i="1"/>
  <c r="R364" i="1"/>
  <c r="N364" i="1"/>
  <c r="O364" i="1" s="1"/>
  <c r="L364" i="1"/>
  <c r="H364" i="1"/>
  <c r="I364" i="1" s="1"/>
  <c r="F364" i="1"/>
  <c r="C364" i="1"/>
  <c r="AC363" i="1"/>
  <c r="AD363" i="1" s="1"/>
  <c r="AA363" i="1"/>
  <c r="X363" i="1"/>
  <c r="W363" i="1"/>
  <c r="U363" i="1"/>
  <c r="R363" i="1"/>
  <c r="N363" i="1"/>
  <c r="O363" i="1" s="1"/>
  <c r="L363" i="1"/>
  <c r="H363" i="1"/>
  <c r="I363" i="1" s="1"/>
  <c r="F363" i="1"/>
  <c r="C363" i="1"/>
  <c r="AC362" i="1"/>
  <c r="AD362" i="1" s="1"/>
  <c r="AA362" i="1"/>
  <c r="X362" i="1"/>
  <c r="W362" i="1"/>
  <c r="U362" i="1"/>
  <c r="R362" i="1"/>
  <c r="O362" i="1"/>
  <c r="N362" i="1"/>
  <c r="L362" i="1"/>
  <c r="H362" i="1"/>
  <c r="I362" i="1" s="1"/>
  <c r="F362" i="1"/>
  <c r="C362" i="1"/>
  <c r="AC361" i="1"/>
  <c r="AD361" i="1" s="1"/>
  <c r="AA361" i="1"/>
  <c r="W361" i="1"/>
  <c r="X361" i="1" s="1"/>
  <c r="U361" i="1"/>
  <c r="R361" i="1"/>
  <c r="O361" i="1"/>
  <c r="N361" i="1"/>
  <c r="L361" i="1"/>
  <c r="I361" i="1"/>
  <c r="H361" i="1"/>
  <c r="F361" i="1"/>
  <c r="C361" i="1"/>
  <c r="AD360" i="1"/>
  <c r="AC360" i="1"/>
  <c r="AA360" i="1"/>
  <c r="X360" i="1"/>
  <c r="W360" i="1"/>
  <c r="U360" i="1"/>
  <c r="R360" i="1"/>
  <c r="N360" i="1"/>
  <c r="O360" i="1" s="1"/>
  <c r="L360" i="1"/>
  <c r="H360" i="1"/>
  <c r="I360" i="1" s="1"/>
  <c r="F360" i="1"/>
  <c r="C360" i="1"/>
  <c r="Z358" i="1"/>
  <c r="AC358" i="1" s="1"/>
  <c r="AD358" i="1" s="1"/>
  <c r="T358" i="1"/>
  <c r="R358" i="1"/>
  <c r="Q358" i="1"/>
  <c r="K358" i="1"/>
  <c r="L358" i="1" s="1"/>
  <c r="H358" i="1"/>
  <c r="I358" i="1" s="1"/>
  <c r="F358" i="1"/>
  <c r="E358" i="1"/>
  <c r="B358" i="1"/>
  <c r="C358" i="1" s="1"/>
  <c r="AC357" i="1"/>
  <c r="AD357" i="1" s="1"/>
  <c r="AA357" i="1"/>
  <c r="W357" i="1"/>
  <c r="X357" i="1" s="1"/>
  <c r="U357" i="1"/>
  <c r="R357" i="1"/>
  <c r="N357" i="1"/>
  <c r="L357" i="1"/>
  <c r="I357" i="1"/>
  <c r="H357" i="1"/>
  <c r="F357" i="1"/>
  <c r="C357" i="1"/>
  <c r="AD356" i="1"/>
  <c r="AC356" i="1"/>
  <c r="AA356" i="1"/>
  <c r="W356" i="1"/>
  <c r="X356" i="1" s="1"/>
  <c r="U356" i="1"/>
  <c r="R356" i="1"/>
  <c r="O356" i="1"/>
  <c r="N356" i="1"/>
  <c r="L356" i="1"/>
  <c r="H356" i="1"/>
  <c r="I356" i="1" s="1"/>
  <c r="F356" i="1"/>
  <c r="C356" i="1"/>
  <c r="AC355" i="1"/>
  <c r="AD355" i="1" s="1"/>
  <c r="AA355" i="1"/>
  <c r="X355" i="1"/>
  <c r="W355" i="1"/>
  <c r="U355" i="1"/>
  <c r="R355" i="1"/>
  <c r="O355" i="1"/>
  <c r="N355" i="1"/>
  <c r="L355" i="1"/>
  <c r="I355" i="1"/>
  <c r="H355" i="1"/>
  <c r="F355" i="1"/>
  <c r="C355" i="1"/>
  <c r="AC354" i="1"/>
  <c r="AD354" i="1" s="1"/>
  <c r="AA354" i="1"/>
  <c r="W354" i="1"/>
  <c r="X354" i="1" s="1"/>
  <c r="U354" i="1"/>
  <c r="R354" i="1"/>
  <c r="N354" i="1"/>
  <c r="O354" i="1" s="1"/>
  <c r="L354" i="1"/>
  <c r="H354" i="1"/>
  <c r="I354" i="1" s="1"/>
  <c r="F354" i="1"/>
  <c r="C354" i="1"/>
  <c r="AC353" i="1"/>
  <c r="AD353" i="1" s="1"/>
  <c r="AA353" i="1"/>
  <c r="W353" i="1"/>
  <c r="X353" i="1" s="1"/>
  <c r="U353" i="1"/>
  <c r="R353" i="1"/>
  <c r="O353" i="1"/>
  <c r="N353" i="1"/>
  <c r="L353" i="1"/>
  <c r="H353" i="1"/>
  <c r="I353" i="1" s="1"/>
  <c r="F353" i="1"/>
  <c r="C353" i="1"/>
  <c r="AC352" i="1"/>
  <c r="AD352" i="1" s="1"/>
  <c r="AA352" i="1"/>
  <c r="W352" i="1"/>
  <c r="X352" i="1" s="1"/>
  <c r="U352" i="1"/>
  <c r="R352" i="1"/>
  <c r="N352" i="1"/>
  <c r="O352" i="1" s="1"/>
  <c r="L352" i="1"/>
  <c r="H352" i="1"/>
  <c r="I352" i="1" s="1"/>
  <c r="F352" i="1"/>
  <c r="C352" i="1"/>
  <c r="AC351" i="1"/>
  <c r="AD351" i="1" s="1"/>
  <c r="AA351" i="1"/>
  <c r="X351" i="1"/>
  <c r="W351" i="1"/>
  <c r="U351" i="1"/>
  <c r="R351" i="1"/>
  <c r="N351" i="1"/>
  <c r="O351" i="1" s="1"/>
  <c r="L351" i="1"/>
  <c r="H351" i="1"/>
  <c r="I351" i="1" s="1"/>
  <c r="F351" i="1"/>
  <c r="C351" i="1"/>
  <c r="AC350" i="1"/>
  <c r="AD350" i="1" s="1"/>
  <c r="AA350" i="1"/>
  <c r="X350" i="1"/>
  <c r="W350" i="1"/>
  <c r="U350" i="1"/>
  <c r="R350" i="1"/>
  <c r="O350" i="1"/>
  <c r="N350" i="1"/>
  <c r="L350" i="1"/>
  <c r="H350" i="1"/>
  <c r="I350" i="1" s="1"/>
  <c r="F350" i="1"/>
  <c r="C350" i="1"/>
  <c r="AC349" i="1"/>
  <c r="AD349" i="1" s="1"/>
  <c r="AA349" i="1"/>
  <c r="W349" i="1"/>
  <c r="X349" i="1" s="1"/>
  <c r="U349" i="1"/>
  <c r="R349" i="1"/>
  <c r="O349" i="1"/>
  <c r="N349" i="1"/>
  <c r="L349" i="1"/>
  <c r="I349" i="1"/>
  <c r="H349" i="1"/>
  <c r="F349" i="1"/>
  <c r="C349" i="1"/>
  <c r="AD347" i="1"/>
  <c r="AC347" i="1"/>
  <c r="AA347" i="1"/>
  <c r="X347" i="1"/>
  <c r="W347" i="1"/>
  <c r="U347" i="1"/>
  <c r="R347" i="1"/>
  <c r="N347" i="1"/>
  <c r="O347" i="1" s="1"/>
  <c r="L347" i="1"/>
  <c r="H347" i="1"/>
  <c r="I347" i="1" s="1"/>
  <c r="F347" i="1"/>
  <c r="C347" i="1"/>
  <c r="AC344" i="1"/>
  <c r="AD344" i="1" s="1"/>
  <c r="AA344" i="1"/>
  <c r="Z344" i="1"/>
  <c r="W344" i="1"/>
  <c r="X344" i="1" s="1"/>
  <c r="U344" i="1"/>
  <c r="T344" i="1"/>
  <c r="Q344" i="1"/>
  <c r="R344" i="1" s="1"/>
  <c r="K344" i="1"/>
  <c r="N344" i="1" s="1"/>
  <c r="O344" i="1" s="1"/>
  <c r="I344" i="1"/>
  <c r="H344" i="1"/>
  <c r="E344" i="1"/>
  <c r="F344" i="1" s="1"/>
  <c r="B344" i="1"/>
  <c r="C344" i="1" s="1"/>
  <c r="Z343" i="1"/>
  <c r="AA343" i="1" s="1"/>
  <c r="W343" i="1"/>
  <c r="X343" i="1" s="1"/>
  <c r="T343" i="1"/>
  <c r="U343" i="1" s="1"/>
  <c r="Q343" i="1"/>
  <c r="R343" i="1" s="1"/>
  <c r="K343" i="1"/>
  <c r="E343" i="1"/>
  <c r="F343" i="1" s="1"/>
  <c r="C343" i="1"/>
  <c r="B343" i="1"/>
  <c r="H343" i="1" s="1"/>
  <c r="I343" i="1" s="1"/>
  <c r="AC342" i="1"/>
  <c r="AD342" i="1" s="1"/>
  <c r="AA342" i="1"/>
  <c r="Z342" i="1"/>
  <c r="T342" i="1"/>
  <c r="U342" i="1" s="1"/>
  <c r="Q342" i="1"/>
  <c r="R342" i="1" s="1"/>
  <c r="N342" i="1"/>
  <c r="O342" i="1" s="1"/>
  <c r="L342" i="1"/>
  <c r="K342" i="1"/>
  <c r="E342" i="1"/>
  <c r="F342" i="1" s="1"/>
  <c r="B342" i="1"/>
  <c r="H342" i="1" s="1"/>
  <c r="I342" i="1" s="1"/>
  <c r="AD341" i="1"/>
  <c r="AC341" i="1"/>
  <c r="AA341" i="1"/>
  <c r="X341" i="1"/>
  <c r="W341" i="1"/>
  <c r="U341" i="1"/>
  <c r="R341" i="1"/>
  <c r="N341" i="1"/>
  <c r="O341" i="1" s="1"/>
  <c r="L341" i="1"/>
  <c r="H341" i="1"/>
  <c r="I341" i="1" s="1"/>
  <c r="F341" i="1"/>
  <c r="C341" i="1"/>
  <c r="AC340" i="1"/>
  <c r="AD340" i="1" s="1"/>
  <c r="AA340" i="1"/>
  <c r="X340" i="1"/>
  <c r="W340" i="1"/>
  <c r="U340" i="1"/>
  <c r="R340" i="1"/>
  <c r="O340" i="1"/>
  <c r="N340" i="1"/>
  <c r="L340" i="1"/>
  <c r="I340" i="1"/>
  <c r="H340" i="1"/>
  <c r="F340" i="1"/>
  <c r="C340" i="1"/>
  <c r="AC339" i="1"/>
  <c r="AD339" i="1" s="1"/>
  <c r="AA339" i="1"/>
  <c r="W339" i="1"/>
  <c r="X339" i="1" s="1"/>
  <c r="U339" i="1"/>
  <c r="R339" i="1"/>
  <c r="N339" i="1"/>
  <c r="L339" i="1"/>
  <c r="I339" i="1"/>
  <c r="H339" i="1"/>
  <c r="F339" i="1"/>
  <c r="C339" i="1"/>
  <c r="AD338" i="1"/>
  <c r="AC338" i="1"/>
  <c r="AA338" i="1"/>
  <c r="W338" i="1"/>
  <c r="X338" i="1" s="1"/>
  <c r="U338" i="1"/>
  <c r="R338" i="1"/>
  <c r="O338" i="1"/>
  <c r="N338" i="1"/>
  <c r="L338" i="1"/>
  <c r="H338" i="1"/>
  <c r="I338" i="1" s="1"/>
  <c r="F338" i="1"/>
  <c r="C338" i="1"/>
  <c r="AC337" i="1"/>
  <c r="AD337" i="1" s="1"/>
  <c r="AA337" i="1"/>
  <c r="X337" i="1"/>
  <c r="W337" i="1"/>
  <c r="U337" i="1"/>
  <c r="R337" i="1"/>
  <c r="O337" i="1"/>
  <c r="N337" i="1"/>
  <c r="L337" i="1"/>
  <c r="I337" i="1"/>
  <c r="H337" i="1"/>
  <c r="F337" i="1"/>
  <c r="C337" i="1"/>
  <c r="AC335" i="1"/>
  <c r="AD335" i="1" s="1"/>
  <c r="AA335" i="1"/>
  <c r="W335" i="1"/>
  <c r="X335" i="1" s="1"/>
  <c r="U335" i="1"/>
  <c r="R335" i="1"/>
  <c r="N335" i="1"/>
  <c r="O335" i="1" s="1"/>
  <c r="L335" i="1"/>
  <c r="H335" i="1"/>
  <c r="I335" i="1" s="1"/>
  <c r="F335" i="1"/>
  <c r="C335" i="1"/>
  <c r="AC334" i="1"/>
  <c r="AD334" i="1" s="1"/>
  <c r="AA334" i="1"/>
  <c r="W334" i="1"/>
  <c r="X334" i="1" s="1"/>
  <c r="U334" i="1"/>
  <c r="R334" i="1"/>
  <c r="O334" i="1"/>
  <c r="N334" i="1"/>
  <c r="L334" i="1"/>
  <c r="H334" i="1"/>
  <c r="I334" i="1" s="1"/>
  <c r="F334" i="1"/>
  <c r="C334" i="1"/>
  <c r="AC333" i="1"/>
  <c r="AD333" i="1" s="1"/>
  <c r="AA333" i="1"/>
  <c r="W333" i="1"/>
  <c r="X333" i="1" s="1"/>
  <c r="U333" i="1"/>
  <c r="R333" i="1"/>
  <c r="N333" i="1"/>
  <c r="O333" i="1" s="1"/>
  <c r="L333" i="1"/>
  <c r="H333" i="1"/>
  <c r="I333" i="1" s="1"/>
  <c r="F333" i="1"/>
  <c r="C333" i="1"/>
  <c r="AC332" i="1"/>
  <c r="AD332" i="1" s="1"/>
  <c r="AA332" i="1"/>
  <c r="X332" i="1"/>
  <c r="W332" i="1"/>
  <c r="U332" i="1"/>
  <c r="R332" i="1"/>
  <c r="N332" i="1"/>
  <c r="O332" i="1" s="1"/>
  <c r="L332" i="1"/>
  <c r="H332" i="1"/>
  <c r="I332" i="1" s="1"/>
  <c r="F332" i="1"/>
  <c r="C332" i="1"/>
  <c r="AC331" i="1"/>
  <c r="AD331" i="1" s="1"/>
  <c r="AA331" i="1"/>
  <c r="X331" i="1"/>
  <c r="W331" i="1"/>
  <c r="U331" i="1"/>
  <c r="R331" i="1"/>
  <c r="O331" i="1"/>
  <c r="N331" i="1"/>
  <c r="L331" i="1"/>
  <c r="H331" i="1"/>
  <c r="I331" i="1" s="1"/>
  <c r="F331" i="1"/>
  <c r="C331" i="1"/>
  <c r="AC330" i="1"/>
  <c r="AD330" i="1" s="1"/>
  <c r="AA330" i="1"/>
  <c r="W330" i="1"/>
  <c r="X330" i="1" s="1"/>
  <c r="U330" i="1"/>
  <c r="R330" i="1"/>
  <c r="O330" i="1"/>
  <c r="N330" i="1"/>
  <c r="L330" i="1"/>
  <c r="I330" i="1"/>
  <c r="H330" i="1"/>
  <c r="F330" i="1"/>
  <c r="C330" i="1"/>
  <c r="AD329" i="1"/>
  <c r="AC329" i="1"/>
  <c r="AA329" i="1"/>
  <c r="X329" i="1"/>
  <c r="W329" i="1"/>
  <c r="U329" i="1"/>
  <c r="R329" i="1"/>
  <c r="N329" i="1"/>
  <c r="O329" i="1" s="1"/>
  <c r="L329" i="1"/>
  <c r="H329" i="1"/>
  <c r="I329" i="1" s="1"/>
  <c r="F329" i="1"/>
  <c r="C329" i="1"/>
  <c r="AC328" i="1"/>
  <c r="AD328" i="1" s="1"/>
  <c r="AA328" i="1"/>
  <c r="X328" i="1"/>
  <c r="W328" i="1"/>
  <c r="U328" i="1"/>
  <c r="R328" i="1"/>
  <c r="O328" i="1"/>
  <c r="N328" i="1"/>
  <c r="L328" i="1"/>
  <c r="H328" i="1"/>
  <c r="I328" i="1" s="1"/>
  <c r="F328" i="1"/>
  <c r="C328" i="1"/>
  <c r="Z325" i="1"/>
  <c r="AA325" i="1" s="1"/>
  <c r="T325" i="1"/>
  <c r="U325" i="1" s="1"/>
  <c r="Q325" i="1"/>
  <c r="K325" i="1"/>
  <c r="L325" i="1" s="1"/>
  <c r="E325" i="1"/>
  <c r="F325" i="1" s="1"/>
  <c r="C325" i="1"/>
  <c r="B325" i="1"/>
  <c r="N325" i="1" s="1"/>
  <c r="O325" i="1" s="1"/>
  <c r="Z324" i="1"/>
  <c r="AA324" i="1" s="1"/>
  <c r="T324" i="1"/>
  <c r="R324" i="1"/>
  <c r="Q324" i="1"/>
  <c r="K324" i="1"/>
  <c r="N324" i="1" s="1"/>
  <c r="O324" i="1" s="1"/>
  <c r="H324" i="1"/>
  <c r="I324" i="1" s="1"/>
  <c r="F324" i="1"/>
  <c r="E324" i="1"/>
  <c r="B324" i="1"/>
  <c r="C324" i="1" s="1"/>
  <c r="AC323" i="1"/>
  <c r="AD323" i="1" s="1"/>
  <c r="AA323" i="1"/>
  <c r="W323" i="1"/>
  <c r="X323" i="1" s="1"/>
  <c r="U323" i="1"/>
  <c r="R323" i="1"/>
  <c r="N323" i="1"/>
  <c r="O323" i="1" s="1"/>
  <c r="L323" i="1"/>
  <c r="I323" i="1"/>
  <c r="H323" i="1"/>
  <c r="F323" i="1"/>
  <c r="C323" i="1"/>
  <c r="AC322" i="1"/>
  <c r="AD322" i="1" s="1"/>
  <c r="AA322" i="1"/>
  <c r="W322" i="1"/>
  <c r="X322" i="1" s="1"/>
  <c r="U322" i="1"/>
  <c r="R322" i="1"/>
  <c r="O322" i="1"/>
  <c r="N322" i="1"/>
  <c r="L322" i="1"/>
  <c r="H322" i="1"/>
  <c r="I322" i="1" s="1"/>
  <c r="F322" i="1"/>
  <c r="C322" i="1"/>
  <c r="AC321" i="1"/>
  <c r="AD321" i="1" s="1"/>
  <c r="AA321" i="1"/>
  <c r="X321" i="1"/>
  <c r="W321" i="1"/>
  <c r="U321" i="1"/>
  <c r="R321" i="1"/>
  <c r="O321" i="1"/>
  <c r="N321" i="1"/>
  <c r="L321" i="1"/>
  <c r="H321" i="1"/>
  <c r="I321" i="1" s="1"/>
  <c r="F321" i="1"/>
  <c r="C321" i="1"/>
  <c r="AC320" i="1"/>
  <c r="AD320" i="1" s="1"/>
  <c r="AA320" i="1"/>
  <c r="X320" i="1"/>
  <c r="W320" i="1"/>
  <c r="U320" i="1"/>
  <c r="R320" i="1"/>
  <c r="N320" i="1"/>
  <c r="O320" i="1" s="1"/>
  <c r="L320" i="1"/>
  <c r="I320" i="1"/>
  <c r="H320" i="1"/>
  <c r="F320" i="1"/>
  <c r="C320" i="1"/>
  <c r="AD319" i="1"/>
  <c r="AC319" i="1"/>
  <c r="AA319" i="1"/>
  <c r="W319" i="1"/>
  <c r="X319" i="1" s="1"/>
  <c r="U319" i="1"/>
  <c r="R319" i="1"/>
  <c r="O319" i="1"/>
  <c r="N319" i="1"/>
  <c r="L319" i="1"/>
  <c r="H319" i="1"/>
  <c r="I319" i="1" s="1"/>
  <c r="F319" i="1"/>
  <c r="C319" i="1"/>
  <c r="AC318" i="1"/>
  <c r="AD318" i="1" s="1"/>
  <c r="AA318" i="1"/>
  <c r="X318" i="1"/>
  <c r="W318" i="1"/>
  <c r="U318" i="1"/>
  <c r="R318" i="1"/>
  <c r="O318" i="1"/>
  <c r="N318" i="1"/>
  <c r="L318" i="1"/>
  <c r="I318" i="1"/>
  <c r="H318" i="1"/>
  <c r="F318" i="1"/>
  <c r="C318" i="1"/>
  <c r="AC317" i="1"/>
  <c r="AD317" i="1" s="1"/>
  <c r="AA317" i="1"/>
  <c r="W317" i="1"/>
  <c r="X317" i="1" s="1"/>
  <c r="U317" i="1"/>
  <c r="R317" i="1"/>
  <c r="N317" i="1"/>
  <c r="O317" i="1" s="1"/>
  <c r="L317" i="1"/>
  <c r="H317" i="1"/>
  <c r="I317" i="1" s="1"/>
  <c r="F317" i="1"/>
  <c r="C317" i="1"/>
  <c r="AD316" i="1"/>
  <c r="AC316" i="1"/>
  <c r="AA316" i="1"/>
  <c r="X316" i="1"/>
  <c r="W316" i="1"/>
  <c r="U316" i="1"/>
  <c r="R316" i="1"/>
  <c r="O316" i="1"/>
  <c r="N316" i="1"/>
  <c r="L316" i="1"/>
  <c r="H316" i="1"/>
  <c r="I316" i="1" s="1"/>
  <c r="F316" i="1"/>
  <c r="C316" i="1"/>
  <c r="AC315" i="1"/>
  <c r="AD315" i="1" s="1"/>
  <c r="AA315" i="1"/>
  <c r="W315" i="1"/>
  <c r="X315" i="1" s="1"/>
  <c r="U315" i="1"/>
  <c r="R315" i="1"/>
  <c r="N315" i="1"/>
  <c r="O315" i="1" s="1"/>
  <c r="L315" i="1"/>
  <c r="I315" i="1"/>
  <c r="H315" i="1"/>
  <c r="F315" i="1"/>
  <c r="C315" i="1"/>
  <c r="AC314" i="1"/>
  <c r="AD314" i="1" s="1"/>
  <c r="AA314" i="1"/>
  <c r="W314" i="1"/>
  <c r="X314" i="1" s="1"/>
  <c r="U314" i="1"/>
  <c r="R314" i="1"/>
  <c r="O314" i="1"/>
  <c r="N314" i="1"/>
  <c r="L314" i="1"/>
  <c r="H314" i="1"/>
  <c r="I314" i="1" s="1"/>
  <c r="F314" i="1"/>
  <c r="C314" i="1"/>
  <c r="AC313" i="1"/>
  <c r="AD313" i="1" s="1"/>
  <c r="AA313" i="1"/>
  <c r="X313" i="1"/>
  <c r="W313" i="1"/>
  <c r="U313" i="1"/>
  <c r="R313" i="1"/>
  <c r="O313" i="1"/>
  <c r="N313" i="1"/>
  <c r="L313" i="1"/>
  <c r="H313" i="1"/>
  <c r="I313" i="1" s="1"/>
  <c r="F313" i="1"/>
  <c r="C313" i="1"/>
  <c r="AC312" i="1"/>
  <c r="AD312" i="1" s="1"/>
  <c r="AA312" i="1"/>
  <c r="X312" i="1"/>
  <c r="W312" i="1"/>
  <c r="U312" i="1"/>
  <c r="R312" i="1"/>
  <c r="N312" i="1"/>
  <c r="O312" i="1" s="1"/>
  <c r="L312" i="1"/>
  <c r="I312" i="1"/>
  <c r="H312" i="1"/>
  <c r="F312" i="1"/>
  <c r="C312" i="1"/>
  <c r="AD311" i="1"/>
  <c r="AC311" i="1"/>
  <c r="AA311" i="1"/>
  <c r="X311" i="1"/>
  <c r="W311" i="1"/>
  <c r="U311" i="1"/>
  <c r="R311" i="1"/>
  <c r="N311" i="1"/>
  <c r="O311" i="1" s="1"/>
  <c r="L311" i="1"/>
  <c r="H311" i="1"/>
  <c r="I311" i="1" s="1"/>
  <c r="F311" i="1"/>
  <c r="C311" i="1"/>
  <c r="AC310" i="1"/>
  <c r="AD310" i="1" s="1"/>
  <c r="AA310" i="1"/>
  <c r="X310" i="1"/>
  <c r="W310" i="1"/>
  <c r="U310" i="1"/>
  <c r="R310" i="1"/>
  <c r="O310" i="1"/>
  <c r="N310" i="1"/>
  <c r="L310" i="1"/>
  <c r="H310" i="1"/>
  <c r="I310" i="1" s="1"/>
  <c r="F310" i="1"/>
  <c r="C310" i="1"/>
  <c r="AD309" i="1"/>
  <c r="AC309" i="1"/>
  <c r="AA309" i="1"/>
  <c r="W309" i="1"/>
  <c r="X309" i="1" s="1"/>
  <c r="U309" i="1"/>
  <c r="R309" i="1"/>
  <c r="N309" i="1"/>
  <c r="O309" i="1" s="1"/>
  <c r="L309" i="1"/>
  <c r="H309" i="1"/>
  <c r="I309" i="1" s="1"/>
  <c r="F309" i="1"/>
  <c r="C309" i="1"/>
  <c r="AD308" i="1"/>
  <c r="AC308" i="1"/>
  <c r="AA308" i="1"/>
  <c r="X308" i="1"/>
  <c r="W308" i="1"/>
  <c r="U308" i="1"/>
  <c r="R308" i="1"/>
  <c r="N308" i="1"/>
  <c r="O308" i="1" s="1"/>
  <c r="L308" i="1"/>
  <c r="H308" i="1"/>
  <c r="I308" i="1" s="1"/>
  <c r="F308" i="1"/>
  <c r="C308" i="1"/>
  <c r="AC307" i="1"/>
  <c r="AD307" i="1" s="1"/>
  <c r="AA307" i="1"/>
  <c r="W307" i="1"/>
  <c r="X307" i="1" s="1"/>
  <c r="U307" i="1"/>
  <c r="R307" i="1"/>
  <c r="N307" i="1"/>
  <c r="O307" i="1" s="1"/>
  <c r="L307" i="1"/>
  <c r="I307" i="1"/>
  <c r="H307" i="1"/>
  <c r="F307" i="1"/>
  <c r="C307" i="1"/>
  <c r="AC306" i="1"/>
  <c r="AD306" i="1" s="1"/>
  <c r="AA306" i="1"/>
  <c r="W306" i="1"/>
  <c r="X306" i="1" s="1"/>
  <c r="U306" i="1"/>
  <c r="R306" i="1"/>
  <c r="O306" i="1"/>
  <c r="N306" i="1"/>
  <c r="L306" i="1"/>
  <c r="H306" i="1"/>
  <c r="I306" i="1" s="1"/>
  <c r="F306" i="1"/>
  <c r="C306" i="1"/>
  <c r="AC305" i="1"/>
  <c r="AD305" i="1" s="1"/>
  <c r="AA305" i="1"/>
  <c r="X305" i="1"/>
  <c r="W305" i="1"/>
  <c r="U305" i="1"/>
  <c r="R305" i="1"/>
  <c r="O305" i="1"/>
  <c r="N305" i="1"/>
  <c r="L305" i="1"/>
  <c r="H305" i="1"/>
  <c r="I305" i="1" s="1"/>
  <c r="F305" i="1"/>
  <c r="C305" i="1"/>
  <c r="AC304" i="1"/>
  <c r="AD304" i="1" s="1"/>
  <c r="AA304" i="1"/>
  <c r="X304" i="1"/>
  <c r="W304" i="1"/>
  <c r="U304" i="1"/>
  <c r="R304" i="1"/>
  <c r="N304" i="1"/>
  <c r="O304" i="1" s="1"/>
  <c r="L304" i="1"/>
  <c r="I304" i="1"/>
  <c r="H304" i="1"/>
  <c r="F304" i="1"/>
  <c r="C304" i="1"/>
  <c r="AD303" i="1"/>
  <c r="AC303" i="1"/>
  <c r="AA303" i="1"/>
  <c r="W303" i="1"/>
  <c r="X303" i="1" s="1"/>
  <c r="U303" i="1"/>
  <c r="R303" i="1"/>
  <c r="O303" i="1"/>
  <c r="N303" i="1"/>
  <c r="L303" i="1"/>
  <c r="H303" i="1"/>
  <c r="I303" i="1" s="1"/>
  <c r="F303" i="1"/>
  <c r="C303" i="1"/>
  <c r="AC302" i="1"/>
  <c r="AD302" i="1" s="1"/>
  <c r="AA302" i="1"/>
  <c r="X302" i="1"/>
  <c r="W302" i="1"/>
  <c r="U302" i="1"/>
  <c r="R302" i="1"/>
  <c r="O302" i="1"/>
  <c r="N302" i="1"/>
  <c r="L302" i="1"/>
  <c r="I302" i="1"/>
  <c r="H302" i="1"/>
  <c r="F302" i="1"/>
  <c r="C302" i="1"/>
  <c r="AC301" i="1"/>
  <c r="AD301" i="1" s="1"/>
  <c r="AA301" i="1"/>
  <c r="W301" i="1"/>
  <c r="X301" i="1" s="1"/>
  <c r="U301" i="1"/>
  <c r="R301" i="1"/>
  <c r="N301" i="1"/>
  <c r="O301" i="1" s="1"/>
  <c r="L301" i="1"/>
  <c r="H301" i="1"/>
  <c r="I301" i="1" s="1"/>
  <c r="F301" i="1"/>
  <c r="C301" i="1"/>
  <c r="AD300" i="1"/>
  <c r="AC300" i="1"/>
  <c r="AA300" i="1"/>
  <c r="X300" i="1"/>
  <c r="W300" i="1"/>
  <c r="U300" i="1"/>
  <c r="R300" i="1"/>
  <c r="O300" i="1"/>
  <c r="N300" i="1"/>
  <c r="L300" i="1"/>
  <c r="H300" i="1"/>
  <c r="I300" i="1" s="1"/>
  <c r="F300" i="1"/>
  <c r="C300" i="1"/>
  <c r="AC299" i="1"/>
  <c r="AD299" i="1" s="1"/>
  <c r="AA299" i="1"/>
  <c r="W299" i="1"/>
  <c r="X299" i="1" s="1"/>
  <c r="U299" i="1"/>
  <c r="R299" i="1"/>
  <c r="N299" i="1"/>
  <c r="O299" i="1" s="1"/>
  <c r="L299" i="1"/>
  <c r="I299" i="1"/>
  <c r="H299" i="1"/>
  <c r="F299" i="1"/>
  <c r="C299" i="1"/>
  <c r="AC298" i="1"/>
  <c r="AD298" i="1" s="1"/>
  <c r="AA298" i="1"/>
  <c r="W298" i="1"/>
  <c r="X298" i="1" s="1"/>
  <c r="U298" i="1"/>
  <c r="R298" i="1"/>
  <c r="O298" i="1"/>
  <c r="N298" i="1"/>
  <c r="L298" i="1"/>
  <c r="H298" i="1"/>
  <c r="I298" i="1" s="1"/>
  <c r="F298" i="1"/>
  <c r="C298" i="1"/>
  <c r="AC297" i="1"/>
  <c r="AD297" i="1" s="1"/>
  <c r="AA297" i="1"/>
  <c r="X297" i="1"/>
  <c r="W297" i="1"/>
  <c r="U297" i="1"/>
  <c r="R297" i="1"/>
  <c r="O297" i="1"/>
  <c r="N297" i="1"/>
  <c r="L297" i="1"/>
  <c r="H297" i="1"/>
  <c r="I297" i="1" s="1"/>
  <c r="F297" i="1"/>
  <c r="C297" i="1"/>
  <c r="AC295" i="1"/>
  <c r="AD295" i="1" s="1"/>
  <c r="AA295" i="1"/>
  <c r="Z295" i="1"/>
  <c r="T295" i="1"/>
  <c r="U295" i="1" s="1"/>
  <c r="Q295" i="1"/>
  <c r="W295" i="1" s="1"/>
  <c r="X295" i="1" s="1"/>
  <c r="K295" i="1"/>
  <c r="L295" i="1" s="1"/>
  <c r="F295" i="1"/>
  <c r="E295" i="1"/>
  <c r="B295" i="1"/>
  <c r="AC294" i="1"/>
  <c r="AD294" i="1" s="1"/>
  <c r="AA294" i="1"/>
  <c r="W294" i="1"/>
  <c r="X294" i="1" s="1"/>
  <c r="U294" i="1"/>
  <c r="R294" i="1"/>
  <c r="O294" i="1"/>
  <c r="N294" i="1"/>
  <c r="L294" i="1"/>
  <c r="H294" i="1"/>
  <c r="I294" i="1" s="1"/>
  <c r="F294" i="1"/>
  <c r="C294" i="1"/>
  <c r="AC293" i="1"/>
  <c r="AD293" i="1" s="1"/>
  <c r="AA293" i="1"/>
  <c r="X293" i="1"/>
  <c r="W293" i="1"/>
  <c r="U293" i="1"/>
  <c r="R293" i="1"/>
  <c r="O293" i="1"/>
  <c r="N293" i="1"/>
  <c r="L293" i="1"/>
  <c r="H293" i="1"/>
  <c r="I293" i="1" s="1"/>
  <c r="F293" i="1"/>
  <c r="C293" i="1"/>
  <c r="AC292" i="1"/>
  <c r="AD292" i="1" s="1"/>
  <c r="AA292" i="1"/>
  <c r="X292" i="1"/>
  <c r="W292" i="1"/>
  <c r="U292" i="1"/>
  <c r="R292" i="1"/>
  <c r="N292" i="1"/>
  <c r="O292" i="1" s="1"/>
  <c r="L292" i="1"/>
  <c r="I292" i="1"/>
  <c r="H292" i="1"/>
  <c r="F292" i="1"/>
  <c r="C292" i="1"/>
  <c r="AD291" i="1"/>
  <c r="AC291" i="1"/>
  <c r="AA291" i="1"/>
  <c r="W291" i="1"/>
  <c r="X291" i="1" s="1"/>
  <c r="U291" i="1"/>
  <c r="R291" i="1"/>
  <c r="O291" i="1"/>
  <c r="N291" i="1"/>
  <c r="L291" i="1"/>
  <c r="H291" i="1"/>
  <c r="I291" i="1" s="1"/>
  <c r="F291" i="1"/>
  <c r="C291" i="1"/>
  <c r="AC290" i="1"/>
  <c r="AD290" i="1" s="1"/>
  <c r="AA290" i="1"/>
  <c r="X290" i="1"/>
  <c r="W290" i="1"/>
  <c r="U290" i="1"/>
  <c r="R290" i="1"/>
  <c r="O290" i="1"/>
  <c r="N290" i="1"/>
  <c r="L290" i="1"/>
  <c r="I290" i="1"/>
  <c r="H290" i="1"/>
  <c r="F290" i="1"/>
  <c r="C290" i="1"/>
  <c r="AC289" i="1"/>
  <c r="AD289" i="1" s="1"/>
  <c r="AA289" i="1"/>
  <c r="W289" i="1"/>
  <c r="X289" i="1" s="1"/>
  <c r="U289" i="1"/>
  <c r="R289" i="1"/>
  <c r="N289" i="1"/>
  <c r="O289" i="1" s="1"/>
  <c r="L289" i="1"/>
  <c r="H289" i="1"/>
  <c r="I289" i="1" s="1"/>
  <c r="F289" i="1"/>
  <c r="C289" i="1"/>
  <c r="AD288" i="1"/>
  <c r="AC288" i="1"/>
  <c r="AA288" i="1"/>
  <c r="X288" i="1"/>
  <c r="W288" i="1"/>
  <c r="U288" i="1"/>
  <c r="R288" i="1"/>
  <c r="O288" i="1"/>
  <c r="N288" i="1"/>
  <c r="L288" i="1"/>
  <c r="H288" i="1"/>
  <c r="I288" i="1" s="1"/>
  <c r="F288" i="1"/>
  <c r="C288" i="1"/>
  <c r="AD287" i="1"/>
  <c r="AC287" i="1"/>
  <c r="AA287" i="1"/>
  <c r="W287" i="1"/>
  <c r="X287" i="1" s="1"/>
  <c r="U287" i="1"/>
  <c r="R287" i="1"/>
  <c r="N287" i="1"/>
  <c r="O287" i="1" s="1"/>
  <c r="L287" i="1"/>
  <c r="I287" i="1"/>
  <c r="H287" i="1"/>
  <c r="F287" i="1"/>
  <c r="C287" i="1"/>
  <c r="AC286" i="1"/>
  <c r="AD286" i="1" s="1"/>
  <c r="AA286" i="1"/>
  <c r="W286" i="1"/>
  <c r="X286" i="1" s="1"/>
  <c r="U286" i="1"/>
  <c r="R286" i="1"/>
  <c r="O286" i="1"/>
  <c r="N286" i="1"/>
  <c r="L286" i="1"/>
  <c r="H286" i="1"/>
  <c r="I286" i="1" s="1"/>
  <c r="F286" i="1"/>
  <c r="C286" i="1"/>
  <c r="Z284" i="1"/>
  <c r="AA284" i="1" s="1"/>
  <c r="T284" i="1"/>
  <c r="W284" i="1" s="1"/>
  <c r="X284" i="1" s="1"/>
  <c r="R284" i="1"/>
  <c r="Q284" i="1"/>
  <c r="K284" i="1"/>
  <c r="N284" i="1" s="1"/>
  <c r="O284" i="1" s="1"/>
  <c r="H284" i="1"/>
  <c r="I284" i="1" s="1"/>
  <c r="F284" i="1"/>
  <c r="E284" i="1"/>
  <c r="B284" i="1"/>
  <c r="C284" i="1" s="1"/>
  <c r="AC283" i="1"/>
  <c r="AD283" i="1" s="1"/>
  <c r="AA283" i="1"/>
  <c r="W283" i="1"/>
  <c r="X283" i="1" s="1"/>
  <c r="U283" i="1"/>
  <c r="R283" i="1"/>
  <c r="N283" i="1"/>
  <c r="O283" i="1" s="1"/>
  <c r="L283" i="1"/>
  <c r="I283" i="1"/>
  <c r="H283" i="1"/>
  <c r="F283" i="1"/>
  <c r="C283" i="1"/>
  <c r="AC282" i="1"/>
  <c r="AD282" i="1" s="1"/>
  <c r="AA282" i="1"/>
  <c r="W282" i="1"/>
  <c r="X282" i="1" s="1"/>
  <c r="U282" i="1"/>
  <c r="R282" i="1"/>
  <c r="O282" i="1"/>
  <c r="N282" i="1"/>
  <c r="L282" i="1"/>
  <c r="H282" i="1"/>
  <c r="I282" i="1" s="1"/>
  <c r="F282" i="1"/>
  <c r="C282" i="1"/>
  <c r="AC281" i="1"/>
  <c r="AD281" i="1" s="1"/>
  <c r="AA281" i="1"/>
  <c r="X281" i="1"/>
  <c r="W281" i="1"/>
  <c r="U281" i="1"/>
  <c r="R281" i="1"/>
  <c r="O281" i="1"/>
  <c r="N281" i="1"/>
  <c r="L281" i="1"/>
  <c r="H281" i="1"/>
  <c r="I281" i="1" s="1"/>
  <c r="F281" i="1"/>
  <c r="C281" i="1"/>
  <c r="AC280" i="1"/>
  <c r="AD280" i="1" s="1"/>
  <c r="AA280" i="1"/>
  <c r="X280" i="1"/>
  <c r="W280" i="1"/>
  <c r="U280" i="1"/>
  <c r="R280" i="1"/>
  <c r="N280" i="1"/>
  <c r="O280" i="1" s="1"/>
  <c r="L280" i="1"/>
  <c r="I280" i="1"/>
  <c r="H280" i="1"/>
  <c r="F280" i="1"/>
  <c r="C280" i="1"/>
  <c r="AD279" i="1"/>
  <c r="AC279" i="1"/>
  <c r="AA279" i="1"/>
  <c r="W279" i="1"/>
  <c r="X279" i="1" s="1"/>
  <c r="U279" i="1"/>
  <c r="R279" i="1"/>
  <c r="O279" i="1"/>
  <c r="N279" i="1"/>
  <c r="L279" i="1"/>
  <c r="H279" i="1"/>
  <c r="I279" i="1" s="1"/>
  <c r="F279" i="1"/>
  <c r="C279" i="1"/>
  <c r="AC278" i="1"/>
  <c r="AD278" i="1" s="1"/>
  <c r="AA278" i="1"/>
  <c r="X278" i="1"/>
  <c r="W278" i="1"/>
  <c r="U278" i="1"/>
  <c r="R278" i="1"/>
  <c r="O278" i="1"/>
  <c r="N278" i="1"/>
  <c r="L278" i="1"/>
  <c r="I278" i="1"/>
  <c r="H278" i="1"/>
  <c r="F278" i="1"/>
  <c r="C278" i="1"/>
  <c r="AC277" i="1"/>
  <c r="AD277" i="1" s="1"/>
  <c r="AA277" i="1"/>
  <c r="W277" i="1"/>
  <c r="X277" i="1" s="1"/>
  <c r="U277" i="1"/>
  <c r="R277" i="1"/>
  <c r="N277" i="1"/>
  <c r="O277" i="1" s="1"/>
  <c r="L277" i="1"/>
  <c r="H277" i="1"/>
  <c r="I277" i="1" s="1"/>
  <c r="F277" i="1"/>
  <c r="C277" i="1"/>
  <c r="AD276" i="1"/>
  <c r="AC276" i="1"/>
  <c r="AA276" i="1"/>
  <c r="X276" i="1"/>
  <c r="W276" i="1"/>
  <c r="U276" i="1"/>
  <c r="R276" i="1"/>
  <c r="O276" i="1"/>
  <c r="N276" i="1"/>
  <c r="L276" i="1"/>
  <c r="H276" i="1"/>
  <c r="I276" i="1" s="1"/>
  <c r="F276" i="1"/>
  <c r="C276" i="1"/>
  <c r="AC275" i="1"/>
  <c r="AD275" i="1" s="1"/>
  <c r="AA275" i="1"/>
  <c r="W275" i="1"/>
  <c r="X275" i="1" s="1"/>
  <c r="U275" i="1"/>
  <c r="R275" i="1"/>
  <c r="N275" i="1"/>
  <c r="O275" i="1" s="1"/>
  <c r="L275" i="1"/>
  <c r="I275" i="1"/>
  <c r="H275" i="1"/>
  <c r="F275" i="1"/>
  <c r="C275" i="1"/>
  <c r="Z273" i="1"/>
  <c r="X273" i="1"/>
  <c r="W273" i="1"/>
  <c r="T273" i="1"/>
  <c r="U273" i="1" s="1"/>
  <c r="Q273" i="1"/>
  <c r="R273" i="1" s="1"/>
  <c r="K273" i="1"/>
  <c r="L273" i="1" s="1"/>
  <c r="E273" i="1"/>
  <c r="F273" i="1" s="1"/>
  <c r="B273" i="1"/>
  <c r="H273" i="1" s="1"/>
  <c r="I273" i="1" s="1"/>
  <c r="AC272" i="1"/>
  <c r="AD272" i="1" s="1"/>
  <c r="AA272" i="1"/>
  <c r="X272" i="1"/>
  <c r="W272" i="1"/>
  <c r="U272" i="1"/>
  <c r="R272" i="1"/>
  <c r="O272" i="1"/>
  <c r="N272" i="1"/>
  <c r="L272" i="1"/>
  <c r="I272" i="1"/>
  <c r="H272" i="1"/>
  <c r="F272" i="1"/>
  <c r="C272" i="1"/>
  <c r="AC271" i="1"/>
  <c r="AD271" i="1" s="1"/>
  <c r="AA271" i="1"/>
  <c r="W271" i="1"/>
  <c r="X271" i="1" s="1"/>
  <c r="U271" i="1"/>
  <c r="R271" i="1"/>
  <c r="N271" i="1"/>
  <c r="O271" i="1" s="1"/>
  <c r="L271" i="1"/>
  <c r="H271" i="1"/>
  <c r="I271" i="1" s="1"/>
  <c r="F271" i="1"/>
  <c r="C271" i="1"/>
  <c r="AC270" i="1"/>
  <c r="AD270" i="1" s="1"/>
  <c r="AA270" i="1"/>
  <c r="W270" i="1"/>
  <c r="X270" i="1" s="1"/>
  <c r="U270" i="1"/>
  <c r="R270" i="1"/>
  <c r="O270" i="1"/>
  <c r="N270" i="1"/>
  <c r="L270" i="1"/>
  <c r="H270" i="1"/>
  <c r="I270" i="1" s="1"/>
  <c r="F270" i="1"/>
  <c r="C270" i="1"/>
  <c r="AC269" i="1"/>
  <c r="AD269" i="1" s="1"/>
  <c r="AA269" i="1"/>
  <c r="W269" i="1"/>
  <c r="X269" i="1" s="1"/>
  <c r="U269" i="1"/>
  <c r="R269" i="1"/>
  <c r="N269" i="1"/>
  <c r="O269" i="1" s="1"/>
  <c r="L269" i="1"/>
  <c r="H269" i="1"/>
  <c r="I269" i="1" s="1"/>
  <c r="F269" i="1"/>
  <c r="C269" i="1"/>
  <c r="Z267" i="1"/>
  <c r="W267" i="1"/>
  <c r="X267" i="1" s="1"/>
  <c r="U267" i="1"/>
  <c r="T267" i="1"/>
  <c r="Q267" i="1"/>
  <c r="R267" i="1" s="1"/>
  <c r="K267" i="1"/>
  <c r="L267" i="1" s="1"/>
  <c r="I267" i="1"/>
  <c r="H267" i="1"/>
  <c r="E267" i="1"/>
  <c r="F267" i="1" s="1"/>
  <c r="B267" i="1"/>
  <c r="C267" i="1" s="1"/>
  <c r="AC266" i="1"/>
  <c r="AD266" i="1" s="1"/>
  <c r="AA266" i="1"/>
  <c r="X266" i="1"/>
  <c r="W266" i="1"/>
  <c r="U266" i="1"/>
  <c r="R266" i="1"/>
  <c r="O266" i="1"/>
  <c r="N266" i="1"/>
  <c r="L266" i="1"/>
  <c r="H266" i="1"/>
  <c r="I266" i="1" s="1"/>
  <c r="F266" i="1"/>
  <c r="C266" i="1"/>
  <c r="AC265" i="1"/>
  <c r="AD265" i="1" s="1"/>
  <c r="AA265" i="1"/>
  <c r="W265" i="1"/>
  <c r="X265" i="1" s="1"/>
  <c r="U265" i="1"/>
  <c r="R265" i="1"/>
  <c r="N265" i="1"/>
  <c r="O265" i="1" s="1"/>
  <c r="L265" i="1"/>
  <c r="H265" i="1"/>
  <c r="I265" i="1" s="1"/>
  <c r="F265" i="1"/>
  <c r="C265" i="1"/>
  <c r="Z263" i="1"/>
  <c r="AA263" i="1" s="1"/>
  <c r="U263" i="1"/>
  <c r="T263" i="1"/>
  <c r="Q263" i="1"/>
  <c r="K263" i="1"/>
  <c r="L263" i="1" s="1"/>
  <c r="E263" i="1"/>
  <c r="F263" i="1" s="1"/>
  <c r="C263" i="1"/>
  <c r="B263" i="1"/>
  <c r="N263" i="1" s="1"/>
  <c r="O263" i="1" s="1"/>
  <c r="Z262" i="1"/>
  <c r="AA262" i="1" s="1"/>
  <c r="U262" i="1"/>
  <c r="T262" i="1"/>
  <c r="Q262" i="1"/>
  <c r="R262" i="1" s="1"/>
  <c r="K262" i="1"/>
  <c r="N262" i="1" s="1"/>
  <c r="O262" i="1" s="1"/>
  <c r="E262" i="1"/>
  <c r="F262" i="1" s="1"/>
  <c r="C262" i="1"/>
  <c r="B262" i="1"/>
  <c r="AC261" i="1"/>
  <c r="AD261" i="1" s="1"/>
  <c r="AA261" i="1"/>
  <c r="X261" i="1"/>
  <c r="W261" i="1"/>
  <c r="U261" i="1"/>
  <c r="R261" i="1"/>
  <c r="N261" i="1"/>
  <c r="O261" i="1" s="1"/>
  <c r="L261" i="1"/>
  <c r="I261" i="1"/>
  <c r="H261" i="1"/>
  <c r="F261" i="1"/>
  <c r="C261" i="1"/>
  <c r="AD260" i="1"/>
  <c r="AC260" i="1"/>
  <c r="AA260" i="1"/>
  <c r="W260" i="1"/>
  <c r="X260" i="1" s="1"/>
  <c r="U260" i="1"/>
  <c r="R260" i="1"/>
  <c r="O260" i="1"/>
  <c r="N260" i="1"/>
  <c r="L260" i="1"/>
  <c r="H260" i="1"/>
  <c r="I260" i="1" s="1"/>
  <c r="F260" i="1"/>
  <c r="C260" i="1"/>
  <c r="AC259" i="1"/>
  <c r="AD259" i="1" s="1"/>
  <c r="AA259" i="1"/>
  <c r="X259" i="1"/>
  <c r="W259" i="1"/>
  <c r="U259" i="1"/>
  <c r="R259" i="1"/>
  <c r="O259" i="1"/>
  <c r="N259" i="1"/>
  <c r="L259" i="1"/>
  <c r="I259" i="1"/>
  <c r="H259" i="1"/>
  <c r="F259" i="1"/>
  <c r="C259" i="1"/>
  <c r="AC258" i="1"/>
  <c r="AD258" i="1" s="1"/>
  <c r="AA258" i="1"/>
  <c r="W258" i="1"/>
  <c r="X258" i="1" s="1"/>
  <c r="U258" i="1"/>
  <c r="R258" i="1"/>
  <c r="N258" i="1"/>
  <c r="O258" i="1" s="1"/>
  <c r="L258" i="1"/>
  <c r="H258" i="1"/>
  <c r="I258" i="1" s="1"/>
  <c r="F258" i="1"/>
  <c r="C258" i="1"/>
  <c r="AD257" i="1"/>
  <c r="AC257" i="1"/>
  <c r="AA257" i="1"/>
  <c r="X257" i="1"/>
  <c r="W257" i="1"/>
  <c r="U257" i="1"/>
  <c r="R257" i="1"/>
  <c r="O257" i="1"/>
  <c r="N257" i="1"/>
  <c r="L257" i="1"/>
  <c r="H257" i="1"/>
  <c r="I257" i="1" s="1"/>
  <c r="F257" i="1"/>
  <c r="C257" i="1"/>
  <c r="AD256" i="1"/>
  <c r="AC256" i="1"/>
  <c r="AA256" i="1"/>
  <c r="W256" i="1"/>
  <c r="X256" i="1" s="1"/>
  <c r="U256" i="1"/>
  <c r="R256" i="1"/>
  <c r="N256" i="1"/>
  <c r="O256" i="1" s="1"/>
  <c r="L256" i="1"/>
  <c r="I256" i="1"/>
  <c r="H256" i="1"/>
  <c r="F256" i="1"/>
  <c r="C256" i="1"/>
  <c r="AC255" i="1"/>
  <c r="AD255" i="1" s="1"/>
  <c r="AA255" i="1"/>
  <c r="W255" i="1"/>
  <c r="X255" i="1" s="1"/>
  <c r="U255" i="1"/>
  <c r="R255" i="1"/>
  <c r="O255" i="1"/>
  <c r="N255" i="1"/>
  <c r="L255" i="1"/>
  <c r="H255" i="1"/>
  <c r="I255" i="1" s="1"/>
  <c r="F255" i="1"/>
  <c r="C255" i="1"/>
  <c r="AC254" i="1"/>
  <c r="AD254" i="1" s="1"/>
  <c r="AA254" i="1"/>
  <c r="X254" i="1"/>
  <c r="W254" i="1"/>
  <c r="U254" i="1"/>
  <c r="R254" i="1"/>
  <c r="O254" i="1"/>
  <c r="N254" i="1"/>
  <c r="L254" i="1"/>
  <c r="H254" i="1"/>
  <c r="I254" i="1" s="1"/>
  <c r="F254" i="1"/>
  <c r="C254" i="1"/>
  <c r="AC253" i="1"/>
  <c r="AD253" i="1" s="1"/>
  <c r="AA253" i="1"/>
  <c r="X253" i="1"/>
  <c r="W253" i="1"/>
  <c r="U253" i="1"/>
  <c r="R253" i="1"/>
  <c r="N253" i="1"/>
  <c r="O253" i="1" s="1"/>
  <c r="L253" i="1"/>
  <c r="I253" i="1"/>
  <c r="H253" i="1"/>
  <c r="F253" i="1"/>
  <c r="C253" i="1"/>
  <c r="AD252" i="1"/>
  <c r="AC252" i="1"/>
  <c r="AA252" i="1"/>
  <c r="X252" i="1"/>
  <c r="W252" i="1"/>
  <c r="U252" i="1"/>
  <c r="R252" i="1"/>
  <c r="N252" i="1"/>
  <c r="O252" i="1" s="1"/>
  <c r="L252" i="1"/>
  <c r="H252" i="1"/>
  <c r="I252" i="1" s="1"/>
  <c r="F252" i="1"/>
  <c r="C252" i="1"/>
  <c r="AC251" i="1"/>
  <c r="AD251" i="1" s="1"/>
  <c r="AA251" i="1"/>
  <c r="X251" i="1"/>
  <c r="W251" i="1"/>
  <c r="U251" i="1"/>
  <c r="R251" i="1"/>
  <c r="O251" i="1"/>
  <c r="N251" i="1"/>
  <c r="L251" i="1"/>
  <c r="H251" i="1"/>
  <c r="I251" i="1" s="1"/>
  <c r="F251" i="1"/>
  <c r="C251" i="1"/>
  <c r="AD250" i="1"/>
  <c r="AC250" i="1"/>
  <c r="AA250" i="1"/>
  <c r="W250" i="1"/>
  <c r="X250" i="1" s="1"/>
  <c r="U250" i="1"/>
  <c r="R250" i="1"/>
  <c r="O250" i="1"/>
  <c r="N250" i="1"/>
  <c r="L250" i="1"/>
  <c r="H250" i="1"/>
  <c r="I250" i="1" s="1"/>
  <c r="F250" i="1"/>
  <c r="C250" i="1"/>
  <c r="AD249" i="1"/>
  <c r="AC249" i="1"/>
  <c r="AA249" i="1"/>
  <c r="X249" i="1"/>
  <c r="W249" i="1"/>
  <c r="U249" i="1"/>
  <c r="R249" i="1"/>
  <c r="N249" i="1"/>
  <c r="O249" i="1" s="1"/>
  <c r="L249" i="1"/>
  <c r="H249" i="1"/>
  <c r="I249" i="1" s="1"/>
  <c r="F249" i="1"/>
  <c r="C249" i="1"/>
  <c r="AC248" i="1"/>
  <c r="AD248" i="1" s="1"/>
  <c r="AA248" i="1"/>
  <c r="W248" i="1"/>
  <c r="X248" i="1" s="1"/>
  <c r="U248" i="1"/>
  <c r="R248" i="1"/>
  <c r="N248" i="1"/>
  <c r="O248" i="1" s="1"/>
  <c r="L248" i="1"/>
  <c r="I248" i="1"/>
  <c r="H248" i="1"/>
  <c r="F248" i="1"/>
  <c r="C248" i="1"/>
  <c r="AC247" i="1"/>
  <c r="AD247" i="1" s="1"/>
  <c r="AA247" i="1"/>
  <c r="W247" i="1"/>
  <c r="X247" i="1" s="1"/>
  <c r="U247" i="1"/>
  <c r="R247" i="1"/>
  <c r="O247" i="1"/>
  <c r="N247" i="1"/>
  <c r="L247" i="1"/>
  <c r="H247" i="1"/>
  <c r="I247" i="1" s="1"/>
  <c r="F247" i="1"/>
  <c r="C247" i="1"/>
  <c r="AC246" i="1"/>
  <c r="AD246" i="1" s="1"/>
  <c r="AA246" i="1"/>
  <c r="X246" i="1"/>
  <c r="W246" i="1"/>
  <c r="U246" i="1"/>
  <c r="R246" i="1"/>
  <c r="O246" i="1"/>
  <c r="N246" i="1"/>
  <c r="L246" i="1"/>
  <c r="H246" i="1"/>
  <c r="I246" i="1" s="1"/>
  <c r="F246" i="1"/>
  <c r="C246" i="1"/>
  <c r="AC245" i="1"/>
  <c r="AD245" i="1" s="1"/>
  <c r="AA245" i="1"/>
  <c r="X245" i="1"/>
  <c r="W245" i="1"/>
  <c r="U245" i="1"/>
  <c r="R245" i="1"/>
  <c r="N245" i="1"/>
  <c r="O245" i="1" s="1"/>
  <c r="L245" i="1"/>
  <c r="I245" i="1"/>
  <c r="H245" i="1"/>
  <c r="F245" i="1"/>
  <c r="C245" i="1"/>
  <c r="AD244" i="1"/>
  <c r="AC244" i="1"/>
  <c r="AA244" i="1"/>
  <c r="W244" i="1"/>
  <c r="X244" i="1" s="1"/>
  <c r="U244" i="1"/>
  <c r="R244" i="1"/>
  <c r="O244" i="1"/>
  <c r="N244" i="1"/>
  <c r="L244" i="1"/>
  <c r="H244" i="1"/>
  <c r="I244" i="1" s="1"/>
  <c r="F244" i="1"/>
  <c r="C244" i="1"/>
  <c r="AC243" i="1"/>
  <c r="AD243" i="1" s="1"/>
  <c r="AA243" i="1"/>
  <c r="X243" i="1"/>
  <c r="W243" i="1"/>
  <c r="U243" i="1"/>
  <c r="R243" i="1"/>
  <c r="O243" i="1"/>
  <c r="N243" i="1"/>
  <c r="L243" i="1"/>
  <c r="I243" i="1"/>
  <c r="H243" i="1"/>
  <c r="F243" i="1"/>
  <c r="C243" i="1"/>
  <c r="AC242" i="1"/>
  <c r="AD242" i="1" s="1"/>
  <c r="AA242" i="1"/>
  <c r="W242" i="1"/>
  <c r="X242" i="1" s="1"/>
  <c r="U242" i="1"/>
  <c r="R242" i="1"/>
  <c r="N242" i="1"/>
  <c r="O242" i="1" s="1"/>
  <c r="L242" i="1"/>
  <c r="H242" i="1"/>
  <c r="I242" i="1" s="1"/>
  <c r="F242" i="1"/>
  <c r="C242" i="1"/>
  <c r="AD241" i="1"/>
  <c r="AC241" i="1"/>
  <c r="AA241" i="1"/>
  <c r="X241" i="1"/>
  <c r="W241" i="1"/>
  <c r="U241" i="1"/>
  <c r="R241" i="1"/>
  <c r="O241" i="1"/>
  <c r="N241" i="1"/>
  <c r="L241" i="1"/>
  <c r="H241" i="1"/>
  <c r="I241" i="1" s="1"/>
  <c r="F241" i="1"/>
  <c r="C241" i="1"/>
  <c r="AC240" i="1"/>
  <c r="AD240" i="1" s="1"/>
  <c r="AA240" i="1"/>
  <c r="W240" i="1"/>
  <c r="X240" i="1" s="1"/>
  <c r="U240" i="1"/>
  <c r="R240" i="1"/>
  <c r="N240" i="1"/>
  <c r="O240" i="1" s="1"/>
  <c r="L240" i="1"/>
  <c r="I240" i="1"/>
  <c r="H240" i="1"/>
  <c r="F240" i="1"/>
  <c r="C240" i="1"/>
  <c r="AC238" i="1"/>
  <c r="AD238" i="1" s="1"/>
  <c r="AA238" i="1"/>
  <c r="X238" i="1"/>
  <c r="W238" i="1"/>
  <c r="U238" i="1"/>
  <c r="R238" i="1"/>
  <c r="O238" i="1"/>
  <c r="N238" i="1"/>
  <c r="L238" i="1"/>
  <c r="H238" i="1"/>
  <c r="I238" i="1" s="1"/>
  <c r="F238" i="1"/>
  <c r="C238" i="1"/>
  <c r="Z236" i="1"/>
  <c r="AA236" i="1" s="1"/>
  <c r="U236" i="1"/>
  <c r="T236" i="1"/>
  <c r="W236" i="1" s="1"/>
  <c r="X236" i="1" s="1"/>
  <c r="R236" i="1"/>
  <c r="Q236" i="1"/>
  <c r="K236" i="1"/>
  <c r="N236" i="1" s="1"/>
  <c r="O236" i="1" s="1"/>
  <c r="H236" i="1"/>
  <c r="I236" i="1" s="1"/>
  <c r="F236" i="1"/>
  <c r="E236" i="1"/>
  <c r="B236" i="1"/>
  <c r="C236" i="1" s="1"/>
  <c r="AC235" i="1"/>
  <c r="AD235" i="1" s="1"/>
  <c r="AA235" i="1"/>
  <c r="W235" i="1"/>
  <c r="X235" i="1" s="1"/>
  <c r="U235" i="1"/>
  <c r="R235" i="1"/>
  <c r="N235" i="1"/>
  <c r="O235" i="1" s="1"/>
  <c r="L235" i="1"/>
  <c r="I235" i="1"/>
  <c r="H235" i="1"/>
  <c r="F235" i="1"/>
  <c r="C235" i="1"/>
  <c r="AC234" i="1"/>
  <c r="AD234" i="1" s="1"/>
  <c r="AA234" i="1"/>
  <c r="W234" i="1"/>
  <c r="X234" i="1" s="1"/>
  <c r="U234" i="1"/>
  <c r="R234" i="1"/>
  <c r="O234" i="1"/>
  <c r="N234" i="1"/>
  <c r="L234" i="1"/>
  <c r="H234" i="1"/>
  <c r="I234" i="1" s="1"/>
  <c r="F234" i="1"/>
  <c r="C234" i="1"/>
  <c r="AC233" i="1"/>
  <c r="AD233" i="1" s="1"/>
  <c r="AA233" i="1"/>
  <c r="X233" i="1"/>
  <c r="W233" i="1"/>
  <c r="U233" i="1"/>
  <c r="R233" i="1"/>
  <c r="O233" i="1"/>
  <c r="N233" i="1"/>
  <c r="L233" i="1"/>
  <c r="H233" i="1"/>
  <c r="I233" i="1" s="1"/>
  <c r="F233" i="1"/>
  <c r="C233" i="1"/>
  <c r="AC232" i="1"/>
  <c r="AD232" i="1" s="1"/>
  <c r="AA232" i="1"/>
  <c r="X232" i="1"/>
  <c r="W232" i="1"/>
  <c r="U232" i="1"/>
  <c r="R232" i="1"/>
  <c r="N232" i="1"/>
  <c r="O232" i="1" s="1"/>
  <c r="L232" i="1"/>
  <c r="I232" i="1"/>
  <c r="H232" i="1"/>
  <c r="F232" i="1"/>
  <c r="C232" i="1"/>
  <c r="AD231" i="1"/>
  <c r="AC231" i="1"/>
  <c r="AA231" i="1"/>
  <c r="W231" i="1"/>
  <c r="X231" i="1" s="1"/>
  <c r="U231" i="1"/>
  <c r="R231" i="1"/>
  <c r="O231" i="1"/>
  <c r="N231" i="1"/>
  <c r="L231" i="1"/>
  <c r="H231" i="1"/>
  <c r="I231" i="1" s="1"/>
  <c r="F231" i="1"/>
  <c r="C231" i="1"/>
  <c r="AC230" i="1"/>
  <c r="AD230" i="1" s="1"/>
  <c r="AA230" i="1"/>
  <c r="X230" i="1"/>
  <c r="W230" i="1"/>
  <c r="U230" i="1"/>
  <c r="R230" i="1"/>
  <c r="O230" i="1"/>
  <c r="N230" i="1"/>
  <c r="L230" i="1"/>
  <c r="I230" i="1"/>
  <c r="H230" i="1"/>
  <c r="F230" i="1"/>
  <c r="C230" i="1"/>
  <c r="AC229" i="1"/>
  <c r="AD229" i="1" s="1"/>
  <c r="AA229" i="1"/>
  <c r="W229" i="1"/>
  <c r="X229" i="1" s="1"/>
  <c r="U229" i="1"/>
  <c r="R229" i="1"/>
  <c r="N229" i="1"/>
  <c r="O229" i="1" s="1"/>
  <c r="L229" i="1"/>
  <c r="H229" i="1"/>
  <c r="I229" i="1" s="1"/>
  <c r="F229" i="1"/>
  <c r="C229" i="1"/>
  <c r="Z227" i="1"/>
  <c r="AA227" i="1" s="1"/>
  <c r="T227" i="1"/>
  <c r="U227" i="1" s="1"/>
  <c r="R227" i="1"/>
  <c r="Q227" i="1"/>
  <c r="AC227" i="1" s="1"/>
  <c r="AD227" i="1" s="1"/>
  <c r="K227" i="1"/>
  <c r="L227" i="1" s="1"/>
  <c r="F227" i="1"/>
  <c r="E227" i="1"/>
  <c r="H227" i="1" s="1"/>
  <c r="I227" i="1" s="1"/>
  <c r="C227" i="1"/>
  <c r="B227" i="1"/>
  <c r="AC226" i="1"/>
  <c r="AD226" i="1" s="1"/>
  <c r="AA226" i="1"/>
  <c r="X226" i="1"/>
  <c r="W226" i="1"/>
  <c r="U226" i="1"/>
  <c r="R226" i="1"/>
  <c r="O226" i="1"/>
  <c r="N226" i="1"/>
  <c r="L226" i="1"/>
  <c r="I226" i="1"/>
  <c r="H226" i="1"/>
  <c r="F226" i="1"/>
  <c r="C226" i="1"/>
  <c r="AD225" i="1"/>
  <c r="AC225" i="1"/>
  <c r="AA225" i="1"/>
  <c r="W225" i="1"/>
  <c r="X225" i="1" s="1"/>
  <c r="U225" i="1"/>
  <c r="R225" i="1"/>
  <c r="N225" i="1"/>
  <c r="O225" i="1" s="1"/>
  <c r="L225" i="1"/>
  <c r="H225" i="1"/>
  <c r="I225" i="1" s="1"/>
  <c r="F225" i="1"/>
  <c r="C225" i="1"/>
  <c r="AD224" i="1"/>
  <c r="AC224" i="1"/>
  <c r="AA224" i="1"/>
  <c r="X224" i="1"/>
  <c r="W224" i="1"/>
  <c r="U224" i="1"/>
  <c r="R224" i="1"/>
  <c r="O224" i="1"/>
  <c r="N224" i="1"/>
  <c r="L224" i="1"/>
  <c r="H224" i="1"/>
  <c r="I224" i="1" s="1"/>
  <c r="F224" i="1"/>
  <c r="C224" i="1"/>
  <c r="AC223" i="1"/>
  <c r="AD223" i="1" s="1"/>
  <c r="AA223" i="1"/>
  <c r="W223" i="1"/>
  <c r="X223" i="1" s="1"/>
  <c r="U223" i="1"/>
  <c r="R223" i="1"/>
  <c r="N223" i="1"/>
  <c r="O223" i="1" s="1"/>
  <c r="L223" i="1"/>
  <c r="I223" i="1"/>
  <c r="H223" i="1"/>
  <c r="F223" i="1"/>
  <c r="C223" i="1"/>
  <c r="AC222" i="1"/>
  <c r="AD222" i="1" s="1"/>
  <c r="AA222" i="1"/>
  <c r="W222" i="1"/>
  <c r="X222" i="1" s="1"/>
  <c r="U222" i="1"/>
  <c r="R222" i="1"/>
  <c r="O222" i="1"/>
  <c r="N222" i="1"/>
  <c r="L222" i="1"/>
  <c r="H222" i="1"/>
  <c r="I222" i="1" s="1"/>
  <c r="F222" i="1"/>
  <c r="C222" i="1"/>
  <c r="AC221" i="1"/>
  <c r="AD221" i="1" s="1"/>
  <c r="AA221" i="1"/>
  <c r="X221" i="1"/>
  <c r="W221" i="1"/>
  <c r="U221" i="1"/>
  <c r="R221" i="1"/>
  <c r="O221" i="1"/>
  <c r="N221" i="1"/>
  <c r="L221" i="1"/>
  <c r="H221" i="1"/>
  <c r="I221" i="1" s="1"/>
  <c r="F221" i="1"/>
  <c r="C221" i="1"/>
  <c r="AC220" i="1"/>
  <c r="AD220" i="1" s="1"/>
  <c r="AA220" i="1"/>
  <c r="X220" i="1"/>
  <c r="W220" i="1"/>
  <c r="U220" i="1"/>
  <c r="R220" i="1"/>
  <c r="N220" i="1"/>
  <c r="O220" i="1" s="1"/>
  <c r="L220" i="1"/>
  <c r="I220" i="1"/>
  <c r="H220" i="1"/>
  <c r="F220" i="1"/>
  <c r="C220" i="1"/>
  <c r="AD219" i="1"/>
  <c r="AC219" i="1"/>
  <c r="AA219" i="1"/>
  <c r="X219" i="1"/>
  <c r="W219" i="1"/>
  <c r="U219" i="1"/>
  <c r="R219" i="1"/>
  <c r="O219" i="1"/>
  <c r="N219" i="1"/>
  <c r="L219" i="1"/>
  <c r="H219" i="1"/>
  <c r="I219" i="1" s="1"/>
  <c r="F219" i="1"/>
  <c r="C219" i="1"/>
  <c r="AC218" i="1"/>
  <c r="AD218" i="1" s="1"/>
  <c r="AA218" i="1"/>
  <c r="Z218" i="1"/>
  <c r="U218" i="1"/>
  <c r="T218" i="1"/>
  <c r="W218" i="1" s="1"/>
  <c r="X218" i="1" s="1"/>
  <c r="Q218" i="1"/>
  <c r="R218" i="1" s="1"/>
  <c r="N218" i="1"/>
  <c r="O218" i="1" s="1"/>
  <c r="L218" i="1"/>
  <c r="K218" i="1"/>
  <c r="E218" i="1"/>
  <c r="F218" i="1" s="1"/>
  <c r="B218" i="1"/>
  <c r="AD217" i="1"/>
  <c r="AC217" i="1"/>
  <c r="AA217" i="1"/>
  <c r="X217" i="1"/>
  <c r="W217" i="1"/>
  <c r="U217" i="1"/>
  <c r="R217" i="1"/>
  <c r="N217" i="1"/>
  <c r="O217" i="1" s="1"/>
  <c r="L217" i="1"/>
  <c r="H217" i="1"/>
  <c r="I217" i="1" s="1"/>
  <c r="F217" i="1"/>
  <c r="C217" i="1"/>
  <c r="AC216" i="1"/>
  <c r="AD216" i="1" s="1"/>
  <c r="AA216" i="1"/>
  <c r="X216" i="1"/>
  <c r="W216" i="1"/>
  <c r="U216" i="1"/>
  <c r="R216" i="1"/>
  <c r="O216" i="1"/>
  <c r="N216" i="1"/>
  <c r="L216" i="1"/>
  <c r="I216" i="1"/>
  <c r="H216" i="1"/>
  <c r="F216" i="1"/>
  <c r="C216" i="1"/>
  <c r="AC215" i="1"/>
  <c r="AD215" i="1" s="1"/>
  <c r="AA215" i="1"/>
  <c r="W215" i="1"/>
  <c r="X215" i="1" s="1"/>
  <c r="U215" i="1"/>
  <c r="R215" i="1"/>
  <c r="N215" i="1"/>
  <c r="L215" i="1"/>
  <c r="I215" i="1"/>
  <c r="H215" i="1"/>
  <c r="F215" i="1"/>
  <c r="C215" i="1"/>
  <c r="AD214" i="1"/>
  <c r="AC214" i="1"/>
  <c r="AA214" i="1"/>
  <c r="X214" i="1"/>
  <c r="W214" i="1"/>
  <c r="U214" i="1"/>
  <c r="R214" i="1"/>
  <c r="O214" i="1"/>
  <c r="N214" i="1"/>
  <c r="L214" i="1"/>
  <c r="H214" i="1"/>
  <c r="I214" i="1" s="1"/>
  <c r="F214" i="1"/>
  <c r="C214" i="1"/>
  <c r="AC213" i="1"/>
  <c r="AD213" i="1" s="1"/>
  <c r="AA213" i="1"/>
  <c r="X213" i="1"/>
  <c r="W213" i="1"/>
  <c r="U213" i="1"/>
  <c r="R213" i="1"/>
  <c r="O213" i="1"/>
  <c r="N213" i="1"/>
  <c r="L213" i="1"/>
  <c r="I213" i="1"/>
  <c r="H213" i="1"/>
  <c r="F213" i="1"/>
  <c r="C213" i="1"/>
  <c r="AD211" i="1"/>
  <c r="AC211" i="1"/>
  <c r="AA211" i="1"/>
  <c r="W211" i="1"/>
  <c r="X211" i="1" s="1"/>
  <c r="U211" i="1"/>
  <c r="R211" i="1"/>
  <c r="N211" i="1"/>
  <c r="O211" i="1" s="1"/>
  <c r="L211" i="1"/>
  <c r="H211" i="1"/>
  <c r="I211" i="1" s="1"/>
  <c r="F211" i="1"/>
  <c r="C211" i="1"/>
  <c r="Z209" i="1"/>
  <c r="AA209" i="1" s="1"/>
  <c r="T209" i="1"/>
  <c r="U209" i="1" s="1"/>
  <c r="Q209" i="1"/>
  <c r="R209" i="1" s="1"/>
  <c r="L209" i="1"/>
  <c r="K209" i="1"/>
  <c r="N209" i="1" s="1"/>
  <c r="O209" i="1" s="1"/>
  <c r="E209" i="1"/>
  <c r="F209" i="1" s="1"/>
  <c r="C209" i="1"/>
  <c r="B209" i="1"/>
  <c r="AC208" i="1"/>
  <c r="AD208" i="1" s="1"/>
  <c r="AA208" i="1"/>
  <c r="X208" i="1"/>
  <c r="W208" i="1"/>
  <c r="U208" i="1"/>
  <c r="R208" i="1"/>
  <c r="N208" i="1"/>
  <c r="O208" i="1" s="1"/>
  <c r="L208" i="1"/>
  <c r="I208" i="1"/>
  <c r="H208" i="1"/>
  <c r="F208" i="1"/>
  <c r="C208" i="1"/>
  <c r="AD207" i="1"/>
  <c r="AC207" i="1"/>
  <c r="AA207" i="1"/>
  <c r="X207" i="1"/>
  <c r="W207" i="1"/>
  <c r="U207" i="1"/>
  <c r="R207" i="1"/>
  <c r="O207" i="1"/>
  <c r="N207" i="1"/>
  <c r="L207" i="1"/>
  <c r="H207" i="1"/>
  <c r="I207" i="1" s="1"/>
  <c r="F207" i="1"/>
  <c r="C207" i="1"/>
  <c r="AC206" i="1"/>
  <c r="AD206" i="1" s="1"/>
  <c r="AA206" i="1"/>
  <c r="X206" i="1"/>
  <c r="W206" i="1"/>
  <c r="U206" i="1"/>
  <c r="R206" i="1"/>
  <c r="O206" i="1"/>
  <c r="N206" i="1"/>
  <c r="L206" i="1"/>
  <c r="I206" i="1"/>
  <c r="H206" i="1"/>
  <c r="F206" i="1"/>
  <c r="C206" i="1"/>
  <c r="AD205" i="1"/>
  <c r="AC205" i="1"/>
  <c r="AA205" i="1"/>
  <c r="X205" i="1"/>
  <c r="W205" i="1"/>
  <c r="U205" i="1"/>
  <c r="R205" i="1"/>
  <c r="N205" i="1"/>
  <c r="O205" i="1" s="1"/>
  <c r="L205" i="1"/>
  <c r="H205" i="1"/>
  <c r="I205" i="1" s="1"/>
  <c r="F205" i="1"/>
  <c r="C205" i="1"/>
  <c r="AD204" i="1"/>
  <c r="AC204" i="1"/>
  <c r="AA204" i="1"/>
  <c r="X204" i="1"/>
  <c r="W204" i="1"/>
  <c r="U204" i="1"/>
  <c r="R204" i="1"/>
  <c r="O204" i="1"/>
  <c r="N204" i="1"/>
  <c r="L204" i="1"/>
  <c r="H204" i="1"/>
  <c r="I204" i="1" s="1"/>
  <c r="F204" i="1"/>
  <c r="C204" i="1"/>
  <c r="AC203" i="1"/>
  <c r="AD203" i="1" s="1"/>
  <c r="AA203" i="1"/>
  <c r="W203" i="1"/>
  <c r="X203" i="1" s="1"/>
  <c r="U203" i="1"/>
  <c r="R203" i="1"/>
  <c r="N203" i="1"/>
  <c r="O203" i="1" s="1"/>
  <c r="L203" i="1"/>
  <c r="I203" i="1"/>
  <c r="H203" i="1"/>
  <c r="F203" i="1"/>
  <c r="C203" i="1"/>
  <c r="AC202" i="1"/>
  <c r="AD202" i="1" s="1"/>
  <c r="AA202" i="1"/>
  <c r="W202" i="1"/>
  <c r="X202" i="1" s="1"/>
  <c r="U202" i="1"/>
  <c r="R202" i="1"/>
  <c r="O202" i="1"/>
  <c r="N202" i="1"/>
  <c r="L202" i="1"/>
  <c r="H202" i="1"/>
  <c r="I202" i="1" s="1"/>
  <c r="F202" i="1"/>
  <c r="C202" i="1"/>
  <c r="AC201" i="1"/>
  <c r="AD201" i="1" s="1"/>
  <c r="AA201" i="1"/>
  <c r="X201" i="1"/>
  <c r="W201" i="1"/>
  <c r="U201" i="1"/>
  <c r="R201" i="1"/>
  <c r="O201" i="1"/>
  <c r="N201" i="1"/>
  <c r="L201" i="1"/>
  <c r="H201" i="1"/>
  <c r="I201" i="1" s="1"/>
  <c r="F201" i="1"/>
  <c r="C201" i="1"/>
  <c r="Z197" i="1"/>
  <c r="AA197" i="1" s="1"/>
  <c r="T197" i="1"/>
  <c r="U197" i="1" s="1"/>
  <c r="Q197" i="1"/>
  <c r="K197" i="1"/>
  <c r="L197" i="1" s="1"/>
  <c r="E197" i="1"/>
  <c r="F197" i="1" s="1"/>
  <c r="C197" i="1"/>
  <c r="B197" i="1"/>
  <c r="N197" i="1" s="1"/>
  <c r="O197" i="1" s="1"/>
  <c r="AA196" i="1"/>
  <c r="Z196" i="1"/>
  <c r="AC196" i="1" s="1"/>
  <c r="AD196" i="1" s="1"/>
  <c r="T196" i="1"/>
  <c r="W196" i="1" s="1"/>
  <c r="X196" i="1" s="1"/>
  <c r="R196" i="1"/>
  <c r="Q196" i="1"/>
  <c r="N196" i="1"/>
  <c r="O196" i="1" s="1"/>
  <c r="K196" i="1"/>
  <c r="L196" i="1" s="1"/>
  <c r="H196" i="1"/>
  <c r="I196" i="1" s="1"/>
  <c r="F196" i="1"/>
  <c r="E196" i="1"/>
  <c r="B196" i="1"/>
  <c r="C196" i="1" s="1"/>
  <c r="AC195" i="1"/>
  <c r="AD195" i="1" s="1"/>
  <c r="AA195" i="1"/>
  <c r="W195" i="1"/>
  <c r="X195" i="1" s="1"/>
  <c r="U195" i="1"/>
  <c r="R195" i="1"/>
  <c r="N195" i="1"/>
  <c r="L195" i="1"/>
  <c r="I195" i="1"/>
  <c r="H195" i="1"/>
  <c r="F195" i="1"/>
  <c r="C195" i="1"/>
  <c r="AD194" i="1"/>
  <c r="AC194" i="1"/>
  <c r="AA194" i="1"/>
  <c r="X194" i="1"/>
  <c r="W194" i="1"/>
  <c r="U194" i="1"/>
  <c r="R194" i="1"/>
  <c r="O194" i="1"/>
  <c r="N194" i="1"/>
  <c r="L194" i="1"/>
  <c r="H194" i="1"/>
  <c r="I194" i="1" s="1"/>
  <c r="F194" i="1"/>
  <c r="C194" i="1"/>
  <c r="AC193" i="1"/>
  <c r="AD193" i="1" s="1"/>
  <c r="AA193" i="1"/>
  <c r="Z193" i="1"/>
  <c r="T193" i="1"/>
  <c r="U193" i="1" s="1"/>
  <c r="R193" i="1"/>
  <c r="Q193" i="1"/>
  <c r="W193" i="1" s="1"/>
  <c r="X193" i="1" s="1"/>
  <c r="K193" i="1"/>
  <c r="L193" i="1" s="1"/>
  <c r="F193" i="1"/>
  <c r="E193" i="1"/>
  <c r="B193" i="1"/>
  <c r="AD192" i="1"/>
  <c r="AC192" i="1"/>
  <c r="AA192" i="1"/>
  <c r="W192" i="1"/>
  <c r="X192" i="1" s="1"/>
  <c r="U192" i="1"/>
  <c r="R192" i="1"/>
  <c r="N192" i="1"/>
  <c r="O192" i="1" s="1"/>
  <c r="L192" i="1"/>
  <c r="H192" i="1"/>
  <c r="I192" i="1" s="1"/>
  <c r="F192" i="1"/>
  <c r="C192" i="1"/>
  <c r="AC191" i="1"/>
  <c r="AD191" i="1" s="1"/>
  <c r="AA191" i="1"/>
  <c r="X191" i="1"/>
  <c r="W191" i="1"/>
  <c r="U191" i="1"/>
  <c r="R191" i="1"/>
  <c r="O191" i="1"/>
  <c r="N191" i="1"/>
  <c r="L191" i="1"/>
  <c r="I191" i="1"/>
  <c r="H191" i="1"/>
  <c r="F191" i="1"/>
  <c r="C191" i="1"/>
  <c r="AD190" i="1"/>
  <c r="AC190" i="1"/>
  <c r="AA190" i="1"/>
  <c r="W190" i="1"/>
  <c r="X190" i="1" s="1"/>
  <c r="U190" i="1"/>
  <c r="R190" i="1"/>
  <c r="N190" i="1"/>
  <c r="O190" i="1" s="1"/>
  <c r="L190" i="1"/>
  <c r="H190" i="1"/>
  <c r="I190" i="1" s="1"/>
  <c r="F190" i="1"/>
  <c r="C190" i="1"/>
  <c r="AC189" i="1"/>
  <c r="AD189" i="1" s="1"/>
  <c r="AA189" i="1"/>
  <c r="X189" i="1"/>
  <c r="W189" i="1"/>
  <c r="U189" i="1"/>
  <c r="R189" i="1"/>
  <c r="O189" i="1"/>
  <c r="N189" i="1"/>
  <c r="L189" i="1"/>
  <c r="I189" i="1"/>
  <c r="H189" i="1"/>
  <c r="F189" i="1"/>
  <c r="C189" i="1"/>
  <c r="AD188" i="1"/>
  <c r="AC188" i="1"/>
  <c r="AA188" i="1"/>
  <c r="W188" i="1"/>
  <c r="X188" i="1" s="1"/>
  <c r="U188" i="1"/>
  <c r="R188" i="1"/>
  <c r="N188" i="1"/>
  <c r="O188" i="1" s="1"/>
  <c r="L188" i="1"/>
  <c r="H188" i="1"/>
  <c r="I188" i="1" s="1"/>
  <c r="F188" i="1"/>
  <c r="C188" i="1"/>
  <c r="AC187" i="1"/>
  <c r="AD187" i="1" s="1"/>
  <c r="AA187" i="1"/>
  <c r="X187" i="1"/>
  <c r="W187" i="1"/>
  <c r="U187" i="1"/>
  <c r="R187" i="1"/>
  <c r="O187" i="1"/>
  <c r="N187" i="1"/>
  <c r="L187" i="1"/>
  <c r="I187" i="1"/>
  <c r="H187" i="1"/>
  <c r="F187" i="1"/>
  <c r="C187" i="1"/>
  <c r="AD186" i="1"/>
  <c r="AC186" i="1"/>
  <c r="AA186" i="1"/>
  <c r="W186" i="1"/>
  <c r="X186" i="1" s="1"/>
  <c r="U186" i="1"/>
  <c r="R186" i="1"/>
  <c r="N186" i="1"/>
  <c r="O186" i="1" s="1"/>
  <c r="L186" i="1"/>
  <c r="H186" i="1"/>
  <c r="I186" i="1" s="1"/>
  <c r="F186" i="1"/>
  <c r="C186" i="1"/>
  <c r="AC184" i="1"/>
  <c r="AD184" i="1" s="1"/>
  <c r="AA184" i="1"/>
  <c r="X184" i="1"/>
  <c r="W184" i="1"/>
  <c r="U184" i="1"/>
  <c r="R184" i="1"/>
  <c r="O184" i="1"/>
  <c r="N184" i="1"/>
  <c r="L184" i="1"/>
  <c r="I184" i="1"/>
  <c r="H184" i="1"/>
  <c r="F184" i="1"/>
  <c r="C184" i="1"/>
  <c r="AD183" i="1"/>
  <c r="AC183" i="1"/>
  <c r="AA183" i="1"/>
  <c r="W183" i="1"/>
  <c r="X183" i="1" s="1"/>
  <c r="U183" i="1"/>
  <c r="R183" i="1"/>
  <c r="N183" i="1"/>
  <c r="O183" i="1" s="1"/>
  <c r="L183" i="1"/>
  <c r="H183" i="1"/>
  <c r="I183" i="1" s="1"/>
  <c r="F183" i="1"/>
  <c r="C183" i="1"/>
  <c r="AC182" i="1"/>
  <c r="AD182" i="1" s="1"/>
  <c r="AA182" i="1"/>
  <c r="Z182" i="1"/>
  <c r="U182" i="1"/>
  <c r="T182" i="1"/>
  <c r="Q182" i="1"/>
  <c r="O182" i="1"/>
  <c r="K182" i="1"/>
  <c r="L182" i="1" s="1"/>
  <c r="E182" i="1"/>
  <c r="F182" i="1" s="1"/>
  <c r="C182" i="1"/>
  <c r="B182" i="1"/>
  <c r="N182" i="1" s="1"/>
  <c r="AC181" i="1"/>
  <c r="AD181" i="1" s="1"/>
  <c r="AA181" i="1"/>
  <c r="X181" i="1"/>
  <c r="W181" i="1"/>
  <c r="U181" i="1"/>
  <c r="R181" i="1"/>
  <c r="O181" i="1"/>
  <c r="N181" i="1"/>
  <c r="L181" i="1"/>
  <c r="I181" i="1"/>
  <c r="H181" i="1"/>
  <c r="F181" i="1"/>
  <c r="C181" i="1"/>
  <c r="AD180" i="1"/>
  <c r="AC180" i="1"/>
  <c r="AA180" i="1"/>
  <c r="W180" i="1"/>
  <c r="X180" i="1" s="1"/>
  <c r="U180" i="1"/>
  <c r="R180" i="1"/>
  <c r="N180" i="1"/>
  <c r="O180" i="1" s="1"/>
  <c r="L180" i="1"/>
  <c r="H180" i="1"/>
  <c r="I180" i="1" s="1"/>
  <c r="F180" i="1"/>
  <c r="C180" i="1"/>
  <c r="AC179" i="1"/>
  <c r="AD179" i="1" s="1"/>
  <c r="AA179" i="1"/>
  <c r="X179" i="1"/>
  <c r="W179" i="1"/>
  <c r="U179" i="1"/>
  <c r="R179" i="1"/>
  <c r="O179" i="1"/>
  <c r="N179" i="1"/>
  <c r="L179" i="1"/>
  <c r="I179" i="1"/>
  <c r="H179" i="1"/>
  <c r="F179" i="1"/>
  <c r="C179" i="1"/>
  <c r="AD178" i="1"/>
  <c r="AC178" i="1"/>
  <c r="AA178" i="1"/>
  <c r="W178" i="1"/>
  <c r="X178" i="1" s="1"/>
  <c r="U178" i="1"/>
  <c r="R178" i="1"/>
  <c r="N178" i="1"/>
  <c r="O178" i="1" s="1"/>
  <c r="L178" i="1"/>
  <c r="H178" i="1"/>
  <c r="I178" i="1" s="1"/>
  <c r="F178" i="1"/>
  <c r="C178" i="1"/>
  <c r="AC177" i="1"/>
  <c r="AD177" i="1" s="1"/>
  <c r="AA177" i="1"/>
  <c r="X177" i="1"/>
  <c r="W177" i="1"/>
  <c r="U177" i="1"/>
  <c r="R177" i="1"/>
  <c r="O177" i="1"/>
  <c r="N177" i="1"/>
  <c r="L177" i="1"/>
  <c r="I177" i="1"/>
  <c r="H177" i="1"/>
  <c r="F177" i="1"/>
  <c r="C177" i="1"/>
  <c r="AD175" i="1"/>
  <c r="AC175" i="1"/>
  <c r="AA175" i="1"/>
  <c r="W175" i="1"/>
  <c r="X175" i="1" s="1"/>
  <c r="U175" i="1"/>
  <c r="R175" i="1"/>
  <c r="N175" i="1"/>
  <c r="O175" i="1" s="1"/>
  <c r="L175" i="1"/>
  <c r="H175" i="1"/>
  <c r="I175" i="1" s="1"/>
  <c r="F175" i="1"/>
  <c r="C175" i="1"/>
  <c r="Q172" i="1"/>
  <c r="AA171" i="1"/>
  <c r="Z171" i="1"/>
  <c r="W171" i="1"/>
  <c r="X171" i="1" s="1"/>
  <c r="U171" i="1"/>
  <c r="T171" i="1"/>
  <c r="T172" i="1" s="1"/>
  <c r="Q171" i="1"/>
  <c r="R171" i="1" s="1"/>
  <c r="K171" i="1"/>
  <c r="L171" i="1" s="1"/>
  <c r="I171" i="1"/>
  <c r="H171" i="1"/>
  <c r="E171" i="1"/>
  <c r="F171" i="1" s="1"/>
  <c r="B171" i="1"/>
  <c r="C171" i="1" s="1"/>
  <c r="AC170" i="1"/>
  <c r="AD170" i="1" s="1"/>
  <c r="AA170" i="1"/>
  <c r="Z170" i="1"/>
  <c r="T170" i="1"/>
  <c r="U170" i="1" s="1"/>
  <c r="Q170" i="1"/>
  <c r="K170" i="1"/>
  <c r="L170" i="1" s="1"/>
  <c r="E170" i="1"/>
  <c r="F170" i="1" s="1"/>
  <c r="C170" i="1"/>
  <c r="B170" i="1"/>
  <c r="N170" i="1" s="1"/>
  <c r="O170" i="1" s="1"/>
  <c r="AC169" i="1"/>
  <c r="AD169" i="1" s="1"/>
  <c r="AA169" i="1"/>
  <c r="X169" i="1"/>
  <c r="W169" i="1"/>
  <c r="U169" i="1"/>
  <c r="R169" i="1"/>
  <c r="O169" i="1"/>
  <c r="N169" i="1"/>
  <c r="L169" i="1"/>
  <c r="H169" i="1"/>
  <c r="I169" i="1" s="1"/>
  <c r="F169" i="1"/>
  <c r="C169" i="1"/>
  <c r="AD168" i="1"/>
  <c r="AC168" i="1"/>
  <c r="AA168" i="1"/>
  <c r="W168" i="1"/>
  <c r="X168" i="1" s="1"/>
  <c r="U168" i="1"/>
  <c r="R168" i="1"/>
  <c r="N168" i="1"/>
  <c r="O168" i="1" s="1"/>
  <c r="L168" i="1"/>
  <c r="H168" i="1"/>
  <c r="I168" i="1" s="1"/>
  <c r="F168" i="1"/>
  <c r="C168" i="1"/>
  <c r="AC167" i="1"/>
  <c r="AD167" i="1" s="1"/>
  <c r="AA167" i="1"/>
  <c r="X167" i="1"/>
  <c r="W167" i="1"/>
  <c r="U167" i="1"/>
  <c r="R167" i="1"/>
  <c r="O167" i="1"/>
  <c r="N167" i="1"/>
  <c r="L167" i="1"/>
  <c r="I167" i="1"/>
  <c r="H167" i="1"/>
  <c r="F167" i="1"/>
  <c r="C167" i="1"/>
  <c r="Z166" i="1"/>
  <c r="AA166" i="1" s="1"/>
  <c r="X166" i="1"/>
  <c r="W166" i="1"/>
  <c r="T166" i="1"/>
  <c r="U166" i="1" s="1"/>
  <c r="Q166" i="1"/>
  <c r="R166" i="1" s="1"/>
  <c r="L166" i="1"/>
  <c r="K166" i="1"/>
  <c r="E166" i="1"/>
  <c r="F166" i="1" s="1"/>
  <c r="B166" i="1"/>
  <c r="AD165" i="1"/>
  <c r="AC165" i="1"/>
  <c r="AA165" i="1"/>
  <c r="W165" i="1"/>
  <c r="X165" i="1" s="1"/>
  <c r="U165" i="1"/>
  <c r="R165" i="1"/>
  <c r="O165" i="1"/>
  <c r="N165" i="1"/>
  <c r="L165" i="1"/>
  <c r="H165" i="1"/>
  <c r="I165" i="1" s="1"/>
  <c r="F165" i="1"/>
  <c r="C165" i="1"/>
  <c r="AC164" i="1"/>
  <c r="AD164" i="1" s="1"/>
  <c r="AA164" i="1"/>
  <c r="X164" i="1"/>
  <c r="W164" i="1"/>
  <c r="U164" i="1"/>
  <c r="R164" i="1"/>
  <c r="O164" i="1"/>
  <c r="N164" i="1"/>
  <c r="L164" i="1"/>
  <c r="I164" i="1"/>
  <c r="H164" i="1"/>
  <c r="F164" i="1"/>
  <c r="C164" i="1"/>
  <c r="AC163" i="1"/>
  <c r="AD163" i="1" s="1"/>
  <c r="AA163" i="1"/>
  <c r="W163" i="1"/>
  <c r="X163" i="1" s="1"/>
  <c r="U163" i="1"/>
  <c r="R163" i="1"/>
  <c r="N163" i="1"/>
  <c r="O163" i="1" s="1"/>
  <c r="L163" i="1"/>
  <c r="H163" i="1"/>
  <c r="I163" i="1" s="1"/>
  <c r="F163" i="1"/>
  <c r="C163" i="1"/>
  <c r="AC162" i="1"/>
  <c r="AD162" i="1" s="1"/>
  <c r="AA162" i="1"/>
  <c r="X162" i="1"/>
  <c r="W162" i="1"/>
  <c r="U162" i="1"/>
  <c r="R162" i="1"/>
  <c r="O162" i="1"/>
  <c r="N162" i="1"/>
  <c r="L162" i="1"/>
  <c r="H162" i="1"/>
  <c r="I162" i="1" s="1"/>
  <c r="F162" i="1"/>
  <c r="C162" i="1"/>
  <c r="AD161" i="1"/>
  <c r="AC161" i="1"/>
  <c r="AA161" i="1"/>
  <c r="W161" i="1"/>
  <c r="X161" i="1" s="1"/>
  <c r="U161" i="1"/>
  <c r="R161" i="1"/>
  <c r="N161" i="1"/>
  <c r="O161" i="1" s="1"/>
  <c r="L161" i="1"/>
  <c r="H161" i="1"/>
  <c r="I161" i="1" s="1"/>
  <c r="F161" i="1"/>
  <c r="C161" i="1"/>
  <c r="AC160" i="1"/>
  <c r="AD160" i="1" s="1"/>
  <c r="AA160" i="1"/>
  <c r="X160" i="1"/>
  <c r="W160" i="1"/>
  <c r="U160" i="1"/>
  <c r="R160" i="1"/>
  <c r="O160" i="1"/>
  <c r="N160" i="1"/>
  <c r="L160" i="1"/>
  <c r="I160" i="1"/>
  <c r="H160" i="1"/>
  <c r="F160" i="1"/>
  <c r="C160" i="1"/>
  <c r="Z158" i="1"/>
  <c r="AA158" i="1" s="1"/>
  <c r="T158" i="1"/>
  <c r="U158" i="1" s="1"/>
  <c r="Q158" i="1"/>
  <c r="W158" i="1" s="1"/>
  <c r="X158" i="1" s="1"/>
  <c r="L158" i="1"/>
  <c r="K158" i="1"/>
  <c r="E158" i="1"/>
  <c r="F158" i="1" s="1"/>
  <c r="B158" i="1"/>
  <c r="AD157" i="1"/>
  <c r="AC157" i="1"/>
  <c r="AA157" i="1"/>
  <c r="W157" i="1"/>
  <c r="X157" i="1" s="1"/>
  <c r="U157" i="1"/>
  <c r="R157" i="1"/>
  <c r="N157" i="1"/>
  <c r="O157" i="1" s="1"/>
  <c r="L157" i="1"/>
  <c r="H157" i="1"/>
  <c r="I157" i="1" s="1"/>
  <c r="F157" i="1"/>
  <c r="C157" i="1"/>
  <c r="AC156" i="1"/>
  <c r="AD156" i="1" s="1"/>
  <c r="AA156" i="1"/>
  <c r="X156" i="1"/>
  <c r="W156" i="1"/>
  <c r="U156" i="1"/>
  <c r="R156" i="1"/>
  <c r="O156" i="1"/>
  <c r="N156" i="1"/>
  <c r="L156" i="1"/>
  <c r="H156" i="1"/>
  <c r="I156" i="1" s="1"/>
  <c r="F156" i="1"/>
  <c r="C156" i="1"/>
  <c r="AC155" i="1"/>
  <c r="AD155" i="1" s="1"/>
  <c r="AA155" i="1"/>
  <c r="W155" i="1"/>
  <c r="X155" i="1" s="1"/>
  <c r="U155" i="1"/>
  <c r="R155" i="1"/>
  <c r="N155" i="1"/>
  <c r="O155" i="1" s="1"/>
  <c r="L155" i="1"/>
  <c r="H155" i="1"/>
  <c r="I155" i="1" s="1"/>
  <c r="F155" i="1"/>
  <c r="C155" i="1"/>
  <c r="AC154" i="1"/>
  <c r="AD154" i="1" s="1"/>
  <c r="AA154" i="1"/>
  <c r="X154" i="1"/>
  <c r="W154" i="1"/>
  <c r="U154" i="1"/>
  <c r="R154" i="1"/>
  <c r="O154" i="1"/>
  <c r="N154" i="1"/>
  <c r="L154" i="1"/>
  <c r="H154" i="1"/>
  <c r="I154" i="1" s="1"/>
  <c r="F154" i="1"/>
  <c r="C154" i="1"/>
  <c r="AC153" i="1"/>
  <c r="AD153" i="1" s="1"/>
  <c r="AA153" i="1"/>
  <c r="W153" i="1"/>
  <c r="X153" i="1" s="1"/>
  <c r="U153" i="1"/>
  <c r="R153" i="1"/>
  <c r="O153" i="1"/>
  <c r="N153" i="1"/>
  <c r="L153" i="1"/>
  <c r="H153" i="1"/>
  <c r="I153" i="1" s="1"/>
  <c r="F153" i="1"/>
  <c r="C153" i="1"/>
  <c r="AC151" i="1"/>
  <c r="AD151" i="1" s="1"/>
  <c r="AA151" i="1"/>
  <c r="X151" i="1"/>
  <c r="W151" i="1"/>
  <c r="U151" i="1"/>
  <c r="R151" i="1"/>
  <c r="O151" i="1"/>
  <c r="N151" i="1"/>
  <c r="L151" i="1"/>
  <c r="H151" i="1"/>
  <c r="I151" i="1" s="1"/>
  <c r="F151" i="1"/>
  <c r="C151" i="1"/>
  <c r="Z149" i="1"/>
  <c r="AA149" i="1" s="1"/>
  <c r="W149" i="1"/>
  <c r="X149" i="1" s="1"/>
  <c r="T149" i="1"/>
  <c r="U149" i="1" s="1"/>
  <c r="Q149" i="1"/>
  <c r="R149" i="1" s="1"/>
  <c r="K149" i="1"/>
  <c r="L149" i="1" s="1"/>
  <c r="E149" i="1"/>
  <c r="F149" i="1" s="1"/>
  <c r="B149" i="1"/>
  <c r="Z148" i="1"/>
  <c r="AA148" i="1" s="1"/>
  <c r="T148" i="1"/>
  <c r="U148" i="1" s="1"/>
  <c r="Q148" i="1"/>
  <c r="AC148" i="1" s="1"/>
  <c r="AD148" i="1" s="1"/>
  <c r="K148" i="1"/>
  <c r="L148" i="1" s="1"/>
  <c r="E148" i="1"/>
  <c r="H148" i="1" s="1"/>
  <c r="I148" i="1" s="1"/>
  <c r="B148" i="1"/>
  <c r="C148" i="1" s="1"/>
  <c r="AC147" i="1"/>
  <c r="AD147" i="1" s="1"/>
  <c r="AA147" i="1"/>
  <c r="W147" i="1"/>
  <c r="X147" i="1" s="1"/>
  <c r="U147" i="1"/>
  <c r="R147" i="1"/>
  <c r="N147" i="1"/>
  <c r="O147" i="1" s="1"/>
  <c r="L147" i="1"/>
  <c r="H147" i="1"/>
  <c r="I147" i="1" s="1"/>
  <c r="F147" i="1"/>
  <c r="C147" i="1"/>
  <c r="AC146" i="1"/>
  <c r="AD146" i="1" s="1"/>
  <c r="AA146" i="1"/>
  <c r="X146" i="1"/>
  <c r="W146" i="1"/>
  <c r="U146" i="1"/>
  <c r="R146" i="1"/>
  <c r="O146" i="1"/>
  <c r="N146" i="1"/>
  <c r="L146" i="1"/>
  <c r="H146" i="1"/>
  <c r="I146" i="1" s="1"/>
  <c r="F146" i="1"/>
  <c r="C146" i="1"/>
  <c r="AD145" i="1"/>
  <c r="AC145" i="1"/>
  <c r="AA145" i="1"/>
  <c r="W145" i="1"/>
  <c r="X145" i="1" s="1"/>
  <c r="U145" i="1"/>
  <c r="R145" i="1"/>
  <c r="N145" i="1"/>
  <c r="O145" i="1" s="1"/>
  <c r="L145" i="1"/>
  <c r="H145" i="1"/>
  <c r="I145" i="1" s="1"/>
  <c r="F145" i="1"/>
  <c r="C145" i="1"/>
  <c r="AC144" i="1"/>
  <c r="AD144" i="1" s="1"/>
  <c r="AA144" i="1"/>
  <c r="X144" i="1"/>
  <c r="W144" i="1"/>
  <c r="U144" i="1"/>
  <c r="R144" i="1"/>
  <c r="O144" i="1"/>
  <c r="N144" i="1"/>
  <c r="L144" i="1"/>
  <c r="I144" i="1"/>
  <c r="H144" i="1"/>
  <c r="F144" i="1"/>
  <c r="C144" i="1"/>
  <c r="AC143" i="1"/>
  <c r="AD143" i="1" s="1"/>
  <c r="AA143" i="1"/>
  <c r="W143" i="1"/>
  <c r="X143" i="1" s="1"/>
  <c r="U143" i="1"/>
  <c r="R143" i="1"/>
  <c r="N143" i="1"/>
  <c r="O143" i="1" s="1"/>
  <c r="L143" i="1"/>
  <c r="H143" i="1"/>
  <c r="I143" i="1" s="1"/>
  <c r="F143" i="1"/>
  <c r="C143" i="1"/>
  <c r="AA141" i="1"/>
  <c r="Z141" i="1"/>
  <c r="W141" i="1"/>
  <c r="X141" i="1" s="1"/>
  <c r="U141" i="1"/>
  <c r="T141" i="1"/>
  <c r="Q141" i="1"/>
  <c r="R141" i="1" s="1"/>
  <c r="K141" i="1"/>
  <c r="L141" i="1" s="1"/>
  <c r="H141" i="1"/>
  <c r="I141" i="1" s="1"/>
  <c r="E141" i="1"/>
  <c r="F141" i="1" s="1"/>
  <c r="B141" i="1"/>
  <c r="C141" i="1" s="1"/>
  <c r="AC140" i="1"/>
  <c r="AD140" i="1" s="1"/>
  <c r="AA140" i="1"/>
  <c r="X140" i="1"/>
  <c r="W140" i="1"/>
  <c r="U140" i="1"/>
  <c r="R140" i="1"/>
  <c r="O140" i="1"/>
  <c r="N140" i="1"/>
  <c r="L140" i="1"/>
  <c r="H140" i="1"/>
  <c r="I140" i="1" s="1"/>
  <c r="F140" i="1"/>
  <c r="C140" i="1"/>
  <c r="AD139" i="1"/>
  <c r="AC139" i="1"/>
  <c r="AA139" i="1"/>
  <c r="W139" i="1"/>
  <c r="X139" i="1" s="1"/>
  <c r="U139" i="1"/>
  <c r="R139" i="1"/>
  <c r="N139" i="1"/>
  <c r="O139" i="1" s="1"/>
  <c r="L139" i="1"/>
  <c r="H139" i="1"/>
  <c r="I139" i="1" s="1"/>
  <c r="F139" i="1"/>
  <c r="C139" i="1"/>
  <c r="AC138" i="1"/>
  <c r="AD138" i="1" s="1"/>
  <c r="AA138" i="1"/>
  <c r="X138" i="1"/>
  <c r="W138" i="1"/>
  <c r="U138" i="1"/>
  <c r="R138" i="1"/>
  <c r="O138" i="1"/>
  <c r="N138" i="1"/>
  <c r="L138" i="1"/>
  <c r="I138" i="1"/>
  <c r="H138" i="1"/>
  <c r="F138" i="1"/>
  <c r="C138" i="1"/>
  <c r="AC137" i="1"/>
  <c r="AD137" i="1" s="1"/>
  <c r="AA137" i="1"/>
  <c r="W137" i="1"/>
  <c r="X137" i="1" s="1"/>
  <c r="U137" i="1"/>
  <c r="R137" i="1"/>
  <c r="N137" i="1"/>
  <c r="O137" i="1" s="1"/>
  <c r="L137" i="1"/>
  <c r="H137" i="1"/>
  <c r="I137" i="1" s="1"/>
  <c r="F137" i="1"/>
  <c r="C137" i="1"/>
  <c r="AC136" i="1"/>
  <c r="AD136" i="1" s="1"/>
  <c r="AA136" i="1"/>
  <c r="X136" i="1"/>
  <c r="W136" i="1"/>
  <c r="U136" i="1"/>
  <c r="R136" i="1"/>
  <c r="O136" i="1"/>
  <c r="N136" i="1"/>
  <c r="L136" i="1"/>
  <c r="H136" i="1"/>
  <c r="I136" i="1" s="1"/>
  <c r="F136" i="1"/>
  <c r="C136" i="1"/>
  <c r="AC135" i="1"/>
  <c r="AD135" i="1" s="1"/>
  <c r="AA135" i="1"/>
  <c r="X135" i="1"/>
  <c r="W135" i="1"/>
  <c r="U135" i="1"/>
  <c r="R135" i="1"/>
  <c r="N135" i="1"/>
  <c r="O135" i="1" s="1"/>
  <c r="L135" i="1"/>
  <c r="H135" i="1"/>
  <c r="I135" i="1" s="1"/>
  <c r="F135" i="1"/>
  <c r="C135" i="1"/>
  <c r="AC134" i="1"/>
  <c r="AD134" i="1" s="1"/>
  <c r="AA134" i="1"/>
  <c r="X134" i="1"/>
  <c r="W134" i="1"/>
  <c r="U134" i="1"/>
  <c r="R134" i="1"/>
  <c r="O134" i="1"/>
  <c r="N134" i="1"/>
  <c r="L134" i="1"/>
  <c r="H134" i="1"/>
  <c r="I134" i="1" s="1"/>
  <c r="F134" i="1"/>
  <c r="C134" i="1"/>
  <c r="AC133" i="1"/>
  <c r="AD133" i="1" s="1"/>
  <c r="AA133" i="1"/>
  <c r="W133" i="1"/>
  <c r="X133" i="1" s="1"/>
  <c r="U133" i="1"/>
  <c r="R133" i="1"/>
  <c r="N133" i="1"/>
  <c r="O133" i="1" s="1"/>
  <c r="L133" i="1"/>
  <c r="H133" i="1"/>
  <c r="I133" i="1" s="1"/>
  <c r="F133" i="1"/>
  <c r="C133" i="1"/>
  <c r="AC132" i="1"/>
  <c r="AD132" i="1" s="1"/>
  <c r="AA132" i="1"/>
  <c r="X132" i="1"/>
  <c r="W132" i="1"/>
  <c r="U132" i="1"/>
  <c r="R132" i="1"/>
  <c r="O132" i="1"/>
  <c r="N132" i="1"/>
  <c r="L132" i="1"/>
  <c r="I132" i="1"/>
  <c r="H132" i="1"/>
  <c r="F132" i="1"/>
  <c r="C132" i="1"/>
  <c r="AC131" i="1"/>
  <c r="AD131" i="1" s="1"/>
  <c r="AA131" i="1"/>
  <c r="W131" i="1"/>
  <c r="X131" i="1" s="1"/>
  <c r="U131" i="1"/>
  <c r="R131" i="1"/>
  <c r="N131" i="1"/>
  <c r="O131" i="1" s="1"/>
  <c r="L131" i="1"/>
  <c r="H131" i="1"/>
  <c r="I131" i="1" s="1"/>
  <c r="F131" i="1"/>
  <c r="C131" i="1"/>
  <c r="AC130" i="1"/>
  <c r="AD130" i="1" s="1"/>
  <c r="AA130" i="1"/>
  <c r="X130" i="1"/>
  <c r="W130" i="1"/>
  <c r="U130" i="1"/>
  <c r="R130" i="1"/>
  <c r="O130" i="1"/>
  <c r="N130" i="1"/>
  <c r="L130" i="1"/>
  <c r="H130" i="1"/>
  <c r="I130" i="1" s="1"/>
  <c r="F130" i="1"/>
  <c r="C130" i="1"/>
  <c r="AD129" i="1"/>
  <c r="AC129" i="1"/>
  <c r="AA129" i="1"/>
  <c r="W129" i="1"/>
  <c r="X129" i="1" s="1"/>
  <c r="U129" i="1"/>
  <c r="R129" i="1"/>
  <c r="N129" i="1"/>
  <c r="O129" i="1" s="1"/>
  <c r="L129" i="1"/>
  <c r="H129" i="1"/>
  <c r="I129" i="1" s="1"/>
  <c r="F129" i="1"/>
  <c r="C129" i="1"/>
  <c r="AC127" i="1"/>
  <c r="AD127" i="1" s="1"/>
  <c r="AA127" i="1"/>
  <c r="X127" i="1"/>
  <c r="W127" i="1"/>
  <c r="U127" i="1"/>
  <c r="R127" i="1"/>
  <c r="O127" i="1"/>
  <c r="N127" i="1"/>
  <c r="L127" i="1"/>
  <c r="H127" i="1"/>
  <c r="I127" i="1" s="1"/>
  <c r="F127" i="1"/>
  <c r="C127" i="1"/>
  <c r="Z124" i="1"/>
  <c r="AC124" i="1" s="1"/>
  <c r="AD124" i="1" s="1"/>
  <c r="T124" i="1"/>
  <c r="U124" i="1" s="1"/>
  <c r="Q124" i="1"/>
  <c r="W124" i="1" s="1"/>
  <c r="X124" i="1" s="1"/>
  <c r="K124" i="1"/>
  <c r="K172" i="1" s="1"/>
  <c r="E124" i="1"/>
  <c r="E172" i="1" s="1"/>
  <c r="B124" i="1"/>
  <c r="AC123" i="1"/>
  <c r="AD123" i="1" s="1"/>
  <c r="AA123" i="1"/>
  <c r="W123" i="1"/>
  <c r="X123" i="1" s="1"/>
  <c r="U123" i="1"/>
  <c r="R123" i="1"/>
  <c r="N123" i="1"/>
  <c r="O123" i="1" s="1"/>
  <c r="L123" i="1"/>
  <c r="H123" i="1"/>
  <c r="I123" i="1" s="1"/>
  <c r="F123" i="1"/>
  <c r="C123" i="1"/>
  <c r="AC122" i="1"/>
  <c r="AD122" i="1" s="1"/>
  <c r="Z122" i="1"/>
  <c r="AA122" i="1" s="1"/>
  <c r="T122" i="1"/>
  <c r="U122" i="1" s="1"/>
  <c r="Q122" i="1"/>
  <c r="N122" i="1"/>
  <c r="O122" i="1" s="1"/>
  <c r="K122" i="1"/>
  <c r="L122" i="1" s="1"/>
  <c r="E122" i="1"/>
  <c r="F122" i="1" s="1"/>
  <c r="B122" i="1"/>
  <c r="C122" i="1" s="1"/>
  <c r="AC121" i="1"/>
  <c r="AD121" i="1" s="1"/>
  <c r="AA121" i="1"/>
  <c r="X121" i="1"/>
  <c r="W121" i="1"/>
  <c r="U121" i="1"/>
  <c r="R121" i="1"/>
  <c r="O121" i="1"/>
  <c r="N121" i="1"/>
  <c r="L121" i="1"/>
  <c r="H121" i="1"/>
  <c r="I121" i="1" s="1"/>
  <c r="F121" i="1"/>
  <c r="C121" i="1"/>
  <c r="AC120" i="1"/>
  <c r="AD120" i="1" s="1"/>
  <c r="AA120" i="1"/>
  <c r="W120" i="1"/>
  <c r="X120" i="1" s="1"/>
  <c r="U120" i="1"/>
  <c r="R120" i="1"/>
  <c r="N120" i="1"/>
  <c r="O120" i="1" s="1"/>
  <c r="L120" i="1"/>
  <c r="H120" i="1"/>
  <c r="I120" i="1" s="1"/>
  <c r="F120" i="1"/>
  <c r="C120" i="1"/>
  <c r="AC119" i="1"/>
  <c r="AD119" i="1" s="1"/>
  <c r="AA119" i="1"/>
  <c r="X119" i="1"/>
  <c r="W119" i="1"/>
  <c r="U119" i="1"/>
  <c r="R119" i="1"/>
  <c r="O119" i="1"/>
  <c r="N119" i="1"/>
  <c r="L119" i="1"/>
  <c r="I119" i="1"/>
  <c r="H119" i="1"/>
  <c r="F119" i="1"/>
  <c r="C119" i="1"/>
  <c r="AC118" i="1"/>
  <c r="AD118" i="1" s="1"/>
  <c r="Z118" i="1"/>
  <c r="AA118" i="1" s="1"/>
  <c r="W118" i="1"/>
  <c r="X118" i="1" s="1"/>
  <c r="T118" i="1"/>
  <c r="U118" i="1" s="1"/>
  <c r="Q118" i="1"/>
  <c r="R118" i="1" s="1"/>
  <c r="L118" i="1"/>
  <c r="K118" i="1"/>
  <c r="N118" i="1" s="1"/>
  <c r="O118" i="1" s="1"/>
  <c r="E118" i="1"/>
  <c r="F118" i="1" s="1"/>
  <c r="B118" i="1"/>
  <c r="AC117" i="1"/>
  <c r="AD117" i="1" s="1"/>
  <c r="AA117" i="1"/>
  <c r="W117" i="1"/>
  <c r="X117" i="1" s="1"/>
  <c r="U117" i="1"/>
  <c r="R117" i="1"/>
  <c r="O117" i="1"/>
  <c r="N117" i="1"/>
  <c r="L117" i="1"/>
  <c r="H117" i="1"/>
  <c r="I117" i="1" s="1"/>
  <c r="F117" i="1"/>
  <c r="C117" i="1"/>
  <c r="AC116" i="1"/>
  <c r="AD116" i="1" s="1"/>
  <c r="AA116" i="1"/>
  <c r="X116" i="1"/>
  <c r="W116" i="1"/>
  <c r="U116" i="1"/>
  <c r="R116" i="1"/>
  <c r="O116" i="1"/>
  <c r="N116" i="1"/>
  <c r="L116" i="1"/>
  <c r="H116" i="1"/>
  <c r="I116" i="1" s="1"/>
  <c r="F116" i="1"/>
  <c r="C116" i="1"/>
  <c r="AC115" i="1"/>
  <c r="AD115" i="1" s="1"/>
  <c r="AA115" i="1"/>
  <c r="W115" i="1"/>
  <c r="X115" i="1" s="1"/>
  <c r="U115" i="1"/>
  <c r="R115" i="1"/>
  <c r="N115" i="1"/>
  <c r="O115" i="1" s="1"/>
  <c r="L115" i="1"/>
  <c r="H115" i="1"/>
  <c r="I115" i="1" s="1"/>
  <c r="F115" i="1"/>
  <c r="C115" i="1"/>
  <c r="AC114" i="1"/>
  <c r="AD114" i="1" s="1"/>
  <c r="AA114" i="1"/>
  <c r="X114" i="1"/>
  <c r="W114" i="1"/>
  <c r="U114" i="1"/>
  <c r="R114" i="1"/>
  <c r="O114" i="1"/>
  <c r="N114" i="1"/>
  <c r="L114" i="1"/>
  <c r="I114" i="1"/>
  <c r="H114" i="1"/>
  <c r="F114" i="1"/>
  <c r="C114" i="1"/>
  <c r="AC113" i="1"/>
  <c r="AD113" i="1" s="1"/>
  <c r="AA113" i="1"/>
  <c r="W113" i="1"/>
  <c r="X113" i="1" s="1"/>
  <c r="U113" i="1"/>
  <c r="R113" i="1"/>
  <c r="N113" i="1"/>
  <c r="O113" i="1" s="1"/>
  <c r="L113" i="1"/>
  <c r="H113" i="1"/>
  <c r="I113" i="1" s="1"/>
  <c r="F113" i="1"/>
  <c r="C113" i="1"/>
  <c r="AC112" i="1"/>
  <c r="AD112" i="1" s="1"/>
  <c r="AA112" i="1"/>
  <c r="X112" i="1"/>
  <c r="W112" i="1"/>
  <c r="U112" i="1"/>
  <c r="R112" i="1"/>
  <c r="O112" i="1"/>
  <c r="N112" i="1"/>
  <c r="L112" i="1"/>
  <c r="H112" i="1"/>
  <c r="I112" i="1" s="1"/>
  <c r="F112" i="1"/>
  <c r="C112" i="1"/>
  <c r="AD111" i="1"/>
  <c r="AC111" i="1"/>
  <c r="AA111" i="1"/>
  <c r="X111" i="1"/>
  <c r="W111" i="1"/>
  <c r="U111" i="1"/>
  <c r="R111" i="1"/>
  <c r="N111" i="1"/>
  <c r="O111" i="1" s="1"/>
  <c r="L111" i="1"/>
  <c r="H111" i="1"/>
  <c r="I111" i="1" s="1"/>
  <c r="F111" i="1"/>
  <c r="C111" i="1"/>
  <c r="AC110" i="1"/>
  <c r="AD110" i="1" s="1"/>
  <c r="AA110" i="1"/>
  <c r="X110" i="1"/>
  <c r="W110" i="1"/>
  <c r="U110" i="1"/>
  <c r="R110" i="1"/>
  <c r="O110" i="1"/>
  <c r="N110" i="1"/>
  <c r="L110" i="1"/>
  <c r="H110" i="1"/>
  <c r="I110" i="1" s="1"/>
  <c r="F110" i="1"/>
  <c r="C110" i="1"/>
  <c r="AC109" i="1"/>
  <c r="AD109" i="1" s="1"/>
  <c r="AA109" i="1"/>
  <c r="W109" i="1"/>
  <c r="X109" i="1" s="1"/>
  <c r="U109" i="1"/>
  <c r="R109" i="1"/>
  <c r="N109" i="1"/>
  <c r="O109" i="1" s="1"/>
  <c r="L109" i="1"/>
  <c r="H109" i="1"/>
  <c r="I109" i="1" s="1"/>
  <c r="F109" i="1"/>
  <c r="C109" i="1"/>
  <c r="AC108" i="1"/>
  <c r="AD108" i="1" s="1"/>
  <c r="AA108" i="1"/>
  <c r="X108" i="1"/>
  <c r="W108" i="1"/>
  <c r="U108" i="1"/>
  <c r="R108" i="1"/>
  <c r="O108" i="1"/>
  <c r="N108" i="1"/>
  <c r="L108" i="1"/>
  <c r="H108" i="1"/>
  <c r="I108" i="1" s="1"/>
  <c r="F108" i="1"/>
  <c r="C108" i="1"/>
  <c r="AC107" i="1"/>
  <c r="AD107" i="1" s="1"/>
  <c r="AA107" i="1"/>
  <c r="W107" i="1"/>
  <c r="X107" i="1" s="1"/>
  <c r="U107" i="1"/>
  <c r="R107" i="1"/>
  <c r="N107" i="1"/>
  <c r="O107" i="1" s="1"/>
  <c r="L107" i="1"/>
  <c r="H107" i="1"/>
  <c r="I107" i="1" s="1"/>
  <c r="F107" i="1"/>
  <c r="C107" i="1"/>
  <c r="AC106" i="1"/>
  <c r="AD106" i="1" s="1"/>
  <c r="AA106" i="1"/>
  <c r="X106" i="1"/>
  <c r="W106" i="1"/>
  <c r="U106" i="1"/>
  <c r="R106" i="1"/>
  <c r="O106" i="1"/>
  <c r="N106" i="1"/>
  <c r="L106" i="1"/>
  <c r="H106" i="1"/>
  <c r="I106" i="1" s="1"/>
  <c r="F106" i="1"/>
  <c r="C106" i="1"/>
  <c r="AD105" i="1"/>
  <c r="AC105" i="1"/>
  <c r="AA105" i="1"/>
  <c r="W105" i="1"/>
  <c r="X105" i="1" s="1"/>
  <c r="U105" i="1"/>
  <c r="R105" i="1"/>
  <c r="N105" i="1"/>
  <c r="O105" i="1" s="1"/>
  <c r="L105" i="1"/>
  <c r="H105" i="1"/>
  <c r="I105" i="1" s="1"/>
  <c r="F105" i="1"/>
  <c r="C105" i="1"/>
  <c r="AC104" i="1"/>
  <c r="AD104" i="1" s="1"/>
  <c r="AA104" i="1"/>
  <c r="X104" i="1"/>
  <c r="W104" i="1"/>
  <c r="U104" i="1"/>
  <c r="R104" i="1"/>
  <c r="O104" i="1"/>
  <c r="N104" i="1"/>
  <c r="L104" i="1"/>
  <c r="I104" i="1"/>
  <c r="H104" i="1"/>
  <c r="F104" i="1"/>
  <c r="C104" i="1"/>
  <c r="AC103" i="1"/>
  <c r="AD103" i="1" s="1"/>
  <c r="AA103" i="1"/>
  <c r="W103" i="1"/>
  <c r="X103" i="1" s="1"/>
  <c r="U103" i="1"/>
  <c r="R103" i="1"/>
  <c r="N103" i="1"/>
  <c r="O103" i="1" s="1"/>
  <c r="L103" i="1"/>
  <c r="H103" i="1"/>
  <c r="I103" i="1" s="1"/>
  <c r="F103" i="1"/>
  <c r="C103" i="1"/>
  <c r="AC102" i="1"/>
  <c r="AD102" i="1" s="1"/>
  <c r="AA102" i="1"/>
  <c r="X102" i="1"/>
  <c r="W102" i="1"/>
  <c r="U102" i="1"/>
  <c r="R102" i="1"/>
  <c r="O102" i="1"/>
  <c r="N102" i="1"/>
  <c r="L102" i="1"/>
  <c r="H102" i="1"/>
  <c r="I102" i="1" s="1"/>
  <c r="F102" i="1"/>
  <c r="C102" i="1"/>
  <c r="AC101" i="1"/>
  <c r="AD101" i="1" s="1"/>
  <c r="AA101" i="1"/>
  <c r="W101" i="1"/>
  <c r="X101" i="1" s="1"/>
  <c r="U101" i="1"/>
  <c r="R101" i="1"/>
  <c r="O101" i="1"/>
  <c r="N101" i="1"/>
  <c r="L101" i="1"/>
  <c r="H101" i="1"/>
  <c r="I101" i="1" s="1"/>
  <c r="F101" i="1"/>
  <c r="C101" i="1"/>
  <c r="AC100" i="1"/>
  <c r="AD100" i="1" s="1"/>
  <c r="AA100" i="1"/>
  <c r="X100" i="1"/>
  <c r="W100" i="1"/>
  <c r="U100" i="1"/>
  <c r="R100" i="1"/>
  <c r="O100" i="1"/>
  <c r="N100" i="1"/>
  <c r="L100" i="1"/>
  <c r="H100" i="1"/>
  <c r="I100" i="1" s="1"/>
  <c r="F100" i="1"/>
  <c r="C100" i="1"/>
  <c r="AC99" i="1"/>
  <c r="AD99" i="1" s="1"/>
  <c r="AA99" i="1"/>
  <c r="W99" i="1"/>
  <c r="X99" i="1" s="1"/>
  <c r="U99" i="1"/>
  <c r="R99" i="1"/>
  <c r="N99" i="1"/>
  <c r="O99" i="1" s="1"/>
  <c r="L99" i="1"/>
  <c r="H99" i="1"/>
  <c r="I99" i="1" s="1"/>
  <c r="F99" i="1"/>
  <c r="C99" i="1"/>
  <c r="AC98" i="1"/>
  <c r="AD98" i="1" s="1"/>
  <c r="AA98" i="1"/>
  <c r="X98" i="1"/>
  <c r="W98" i="1"/>
  <c r="U98" i="1"/>
  <c r="R98" i="1"/>
  <c r="O98" i="1"/>
  <c r="N98" i="1"/>
  <c r="L98" i="1"/>
  <c r="I98" i="1"/>
  <c r="H98" i="1"/>
  <c r="F98" i="1"/>
  <c r="C98" i="1"/>
  <c r="AC97" i="1"/>
  <c r="AD97" i="1" s="1"/>
  <c r="AA97" i="1"/>
  <c r="W97" i="1"/>
  <c r="X97" i="1" s="1"/>
  <c r="U97" i="1"/>
  <c r="R97" i="1"/>
  <c r="N97" i="1"/>
  <c r="O97" i="1" s="1"/>
  <c r="L97" i="1"/>
  <c r="H97" i="1"/>
  <c r="I97" i="1" s="1"/>
  <c r="F97" i="1"/>
  <c r="C97" i="1"/>
  <c r="AC96" i="1"/>
  <c r="AD96" i="1" s="1"/>
  <c r="AA96" i="1"/>
  <c r="X96" i="1"/>
  <c r="W96" i="1"/>
  <c r="U96" i="1"/>
  <c r="R96" i="1"/>
  <c r="O96" i="1"/>
  <c r="N96" i="1"/>
  <c r="L96" i="1"/>
  <c r="H96" i="1"/>
  <c r="I96" i="1" s="1"/>
  <c r="F96" i="1"/>
  <c r="C96" i="1"/>
  <c r="AC95" i="1"/>
  <c r="AD95" i="1" s="1"/>
  <c r="AA95" i="1"/>
  <c r="X95" i="1"/>
  <c r="W95" i="1"/>
  <c r="U95" i="1"/>
  <c r="R95" i="1"/>
  <c r="N95" i="1"/>
  <c r="O95" i="1" s="1"/>
  <c r="L95" i="1"/>
  <c r="H95" i="1"/>
  <c r="I95" i="1" s="1"/>
  <c r="F95" i="1"/>
  <c r="C95" i="1"/>
  <c r="AC94" i="1"/>
  <c r="AD94" i="1" s="1"/>
  <c r="AA94" i="1"/>
  <c r="X94" i="1"/>
  <c r="W94" i="1"/>
  <c r="U94" i="1"/>
  <c r="R94" i="1"/>
  <c r="O94" i="1"/>
  <c r="N94" i="1"/>
  <c r="L94" i="1"/>
  <c r="H94" i="1"/>
  <c r="I94" i="1" s="1"/>
  <c r="F94" i="1"/>
  <c r="C94" i="1"/>
  <c r="AC92" i="1"/>
  <c r="AD92" i="1" s="1"/>
  <c r="AA92" i="1"/>
  <c r="W92" i="1"/>
  <c r="X92" i="1" s="1"/>
  <c r="U92" i="1"/>
  <c r="R92" i="1"/>
  <c r="N92" i="1"/>
  <c r="O92" i="1" s="1"/>
  <c r="L92" i="1"/>
  <c r="H92" i="1"/>
  <c r="I92" i="1" s="1"/>
  <c r="F92" i="1"/>
  <c r="C92" i="1"/>
  <c r="AC91" i="1"/>
  <c r="AD91" i="1" s="1"/>
  <c r="AA91" i="1"/>
  <c r="X91" i="1"/>
  <c r="W91" i="1"/>
  <c r="U91" i="1"/>
  <c r="R91" i="1"/>
  <c r="O91" i="1"/>
  <c r="N91" i="1"/>
  <c r="L91" i="1"/>
  <c r="H91" i="1"/>
  <c r="I91" i="1" s="1"/>
  <c r="F91" i="1"/>
  <c r="C91" i="1"/>
  <c r="AC90" i="1"/>
  <c r="AD90" i="1" s="1"/>
  <c r="AA90" i="1"/>
  <c r="W90" i="1"/>
  <c r="X90" i="1" s="1"/>
  <c r="U90" i="1"/>
  <c r="R90" i="1"/>
  <c r="N90" i="1"/>
  <c r="O90" i="1" s="1"/>
  <c r="L90" i="1"/>
  <c r="H90" i="1"/>
  <c r="I90" i="1" s="1"/>
  <c r="F90" i="1"/>
  <c r="C90" i="1"/>
  <c r="AC89" i="1"/>
  <c r="AD89" i="1" s="1"/>
  <c r="AA89" i="1"/>
  <c r="X89" i="1"/>
  <c r="W89" i="1"/>
  <c r="U89" i="1"/>
  <c r="R89" i="1"/>
  <c r="O89" i="1"/>
  <c r="N89" i="1"/>
  <c r="L89" i="1"/>
  <c r="H89" i="1"/>
  <c r="I89" i="1" s="1"/>
  <c r="F89" i="1"/>
  <c r="C89" i="1"/>
  <c r="Z88" i="1"/>
  <c r="AA88" i="1" s="1"/>
  <c r="T88" i="1"/>
  <c r="U88" i="1" s="1"/>
  <c r="Q88" i="1"/>
  <c r="AC88" i="1" s="1"/>
  <c r="AD88" i="1" s="1"/>
  <c r="L88" i="1"/>
  <c r="K88" i="1"/>
  <c r="E88" i="1"/>
  <c r="H88" i="1" s="1"/>
  <c r="I88" i="1" s="1"/>
  <c r="B88" i="1"/>
  <c r="C88" i="1" s="1"/>
  <c r="AC87" i="1"/>
  <c r="AD87" i="1" s="1"/>
  <c r="AA87" i="1"/>
  <c r="W87" i="1"/>
  <c r="X87" i="1" s="1"/>
  <c r="U87" i="1"/>
  <c r="R87" i="1"/>
  <c r="N87" i="1"/>
  <c r="O87" i="1" s="1"/>
  <c r="L87" i="1"/>
  <c r="H87" i="1"/>
  <c r="I87" i="1" s="1"/>
  <c r="F87" i="1"/>
  <c r="C87" i="1"/>
  <c r="AC86" i="1"/>
  <c r="AD86" i="1" s="1"/>
  <c r="AA86" i="1"/>
  <c r="X86" i="1"/>
  <c r="W86" i="1"/>
  <c r="U86" i="1"/>
  <c r="R86" i="1"/>
  <c r="O86" i="1"/>
  <c r="N86" i="1"/>
  <c r="L86" i="1"/>
  <c r="H86" i="1"/>
  <c r="I86" i="1" s="1"/>
  <c r="F86" i="1"/>
  <c r="C86" i="1"/>
  <c r="AC85" i="1"/>
  <c r="AD85" i="1" s="1"/>
  <c r="AA85" i="1"/>
  <c r="W85" i="1"/>
  <c r="X85" i="1" s="1"/>
  <c r="U85" i="1"/>
  <c r="R85" i="1"/>
  <c r="N85" i="1"/>
  <c r="O85" i="1" s="1"/>
  <c r="L85" i="1"/>
  <c r="H85" i="1"/>
  <c r="I85" i="1" s="1"/>
  <c r="F85" i="1"/>
  <c r="C85" i="1"/>
  <c r="AC84" i="1"/>
  <c r="AD84" i="1" s="1"/>
  <c r="AA84" i="1"/>
  <c r="X84" i="1"/>
  <c r="W84" i="1"/>
  <c r="U84" i="1"/>
  <c r="R84" i="1"/>
  <c r="O84" i="1"/>
  <c r="N84" i="1"/>
  <c r="L84" i="1"/>
  <c r="H84" i="1"/>
  <c r="I84" i="1" s="1"/>
  <c r="F84" i="1"/>
  <c r="C84" i="1"/>
  <c r="AD83" i="1"/>
  <c r="AC83" i="1"/>
  <c r="AA83" i="1"/>
  <c r="W83" i="1"/>
  <c r="X83" i="1" s="1"/>
  <c r="U83" i="1"/>
  <c r="R83" i="1"/>
  <c r="N83" i="1"/>
  <c r="O83" i="1" s="1"/>
  <c r="L83" i="1"/>
  <c r="H83" i="1"/>
  <c r="I83" i="1" s="1"/>
  <c r="F83" i="1"/>
  <c r="C83" i="1"/>
  <c r="AC82" i="1"/>
  <c r="AD82" i="1" s="1"/>
  <c r="AA82" i="1"/>
  <c r="X82" i="1"/>
  <c r="W82" i="1"/>
  <c r="U82" i="1"/>
  <c r="R82" i="1"/>
  <c r="O82" i="1"/>
  <c r="N82" i="1"/>
  <c r="L82" i="1"/>
  <c r="H82" i="1"/>
  <c r="I82" i="1" s="1"/>
  <c r="F82" i="1"/>
  <c r="C82" i="1"/>
  <c r="AC81" i="1"/>
  <c r="AD81" i="1" s="1"/>
  <c r="AA81" i="1"/>
  <c r="W81" i="1"/>
  <c r="X81" i="1" s="1"/>
  <c r="U81" i="1"/>
  <c r="R81" i="1"/>
  <c r="O81" i="1"/>
  <c r="N81" i="1"/>
  <c r="L81" i="1"/>
  <c r="H81" i="1"/>
  <c r="I81" i="1" s="1"/>
  <c r="F81" i="1"/>
  <c r="C81" i="1"/>
  <c r="AC80" i="1"/>
  <c r="AD80" i="1" s="1"/>
  <c r="AA80" i="1"/>
  <c r="X80" i="1"/>
  <c r="W80" i="1"/>
  <c r="U80" i="1"/>
  <c r="R80" i="1"/>
  <c r="O80" i="1"/>
  <c r="N80" i="1"/>
  <c r="L80" i="1"/>
  <c r="H80" i="1"/>
  <c r="I80" i="1" s="1"/>
  <c r="F80" i="1"/>
  <c r="C80" i="1"/>
  <c r="AC79" i="1"/>
  <c r="AD79" i="1" s="1"/>
  <c r="AA79" i="1"/>
  <c r="W79" i="1"/>
  <c r="X79" i="1" s="1"/>
  <c r="U79" i="1"/>
  <c r="R79" i="1"/>
  <c r="N79" i="1"/>
  <c r="O79" i="1" s="1"/>
  <c r="L79" i="1"/>
  <c r="H79" i="1"/>
  <c r="I79" i="1" s="1"/>
  <c r="F79" i="1"/>
  <c r="C79" i="1"/>
  <c r="AC78" i="1"/>
  <c r="AD78" i="1" s="1"/>
  <c r="AA78" i="1"/>
  <c r="X78" i="1"/>
  <c r="W78" i="1"/>
  <c r="U78" i="1"/>
  <c r="R78" i="1"/>
  <c r="O78" i="1"/>
  <c r="N78" i="1"/>
  <c r="L78" i="1"/>
  <c r="H78" i="1"/>
  <c r="I78" i="1" s="1"/>
  <c r="F78" i="1"/>
  <c r="C78" i="1"/>
  <c r="AC77" i="1"/>
  <c r="AD77" i="1" s="1"/>
  <c r="AA77" i="1"/>
  <c r="X77" i="1"/>
  <c r="W77" i="1"/>
  <c r="U77" i="1"/>
  <c r="R77" i="1"/>
  <c r="N77" i="1"/>
  <c r="O77" i="1" s="1"/>
  <c r="L77" i="1"/>
  <c r="H77" i="1"/>
  <c r="I77" i="1" s="1"/>
  <c r="F77" i="1"/>
  <c r="C77" i="1"/>
  <c r="AC76" i="1"/>
  <c r="AD76" i="1" s="1"/>
  <c r="AA76" i="1"/>
  <c r="X76" i="1"/>
  <c r="W76" i="1"/>
  <c r="U76" i="1"/>
  <c r="R76" i="1"/>
  <c r="O76" i="1"/>
  <c r="N76" i="1"/>
  <c r="L76" i="1"/>
  <c r="H76" i="1"/>
  <c r="I76" i="1" s="1"/>
  <c r="F76" i="1"/>
  <c r="C76" i="1"/>
  <c r="AC75" i="1"/>
  <c r="AD75" i="1" s="1"/>
  <c r="AA75" i="1"/>
  <c r="W75" i="1"/>
  <c r="X75" i="1" s="1"/>
  <c r="U75" i="1"/>
  <c r="R75" i="1"/>
  <c r="N75" i="1"/>
  <c r="O75" i="1" s="1"/>
  <c r="L75" i="1"/>
  <c r="H75" i="1"/>
  <c r="I75" i="1" s="1"/>
  <c r="F75" i="1"/>
  <c r="C75" i="1"/>
  <c r="Z73" i="1"/>
  <c r="AC73" i="1" s="1"/>
  <c r="AD73" i="1" s="1"/>
  <c r="W73" i="1"/>
  <c r="X73" i="1" s="1"/>
  <c r="U73" i="1"/>
  <c r="T73" i="1"/>
  <c r="Q73" i="1"/>
  <c r="R73" i="1" s="1"/>
  <c r="K73" i="1"/>
  <c r="L73" i="1" s="1"/>
  <c r="E73" i="1"/>
  <c r="F73" i="1" s="1"/>
  <c r="B73" i="1"/>
  <c r="C73" i="1" s="1"/>
  <c r="AC72" i="1"/>
  <c r="AD72" i="1" s="1"/>
  <c r="AA72" i="1"/>
  <c r="X72" i="1"/>
  <c r="W72" i="1"/>
  <c r="U72" i="1"/>
  <c r="R72" i="1"/>
  <c r="O72" i="1"/>
  <c r="N72" i="1"/>
  <c r="L72" i="1"/>
  <c r="H72" i="1"/>
  <c r="I72" i="1" s="1"/>
  <c r="F72" i="1"/>
  <c r="C72" i="1"/>
  <c r="AD71" i="1"/>
  <c r="AC71" i="1"/>
  <c r="AA71" i="1"/>
  <c r="W71" i="1"/>
  <c r="X71" i="1" s="1"/>
  <c r="U71" i="1"/>
  <c r="R71" i="1"/>
  <c r="N71" i="1"/>
  <c r="O71" i="1" s="1"/>
  <c r="L71" i="1"/>
  <c r="H71" i="1"/>
  <c r="I71" i="1" s="1"/>
  <c r="F71" i="1"/>
  <c r="C71" i="1"/>
  <c r="AC70" i="1"/>
  <c r="AD70" i="1" s="1"/>
  <c r="AA70" i="1"/>
  <c r="X70" i="1"/>
  <c r="W70" i="1"/>
  <c r="U70" i="1"/>
  <c r="R70" i="1"/>
  <c r="O70" i="1"/>
  <c r="N70" i="1"/>
  <c r="L70" i="1"/>
  <c r="H70" i="1"/>
  <c r="I70" i="1" s="1"/>
  <c r="F70" i="1"/>
  <c r="C70" i="1"/>
  <c r="AC69" i="1"/>
  <c r="AD69" i="1" s="1"/>
  <c r="AA69" i="1"/>
  <c r="W69" i="1"/>
  <c r="X69" i="1" s="1"/>
  <c r="U69" i="1"/>
  <c r="R69" i="1"/>
  <c r="N69" i="1"/>
  <c r="O69" i="1" s="1"/>
  <c r="L69" i="1"/>
  <c r="H69" i="1"/>
  <c r="I69" i="1" s="1"/>
  <c r="F69" i="1"/>
  <c r="C69" i="1"/>
  <c r="AC68" i="1"/>
  <c r="AD68" i="1" s="1"/>
  <c r="AA68" i="1"/>
  <c r="X68" i="1"/>
  <c r="W68" i="1"/>
  <c r="U68" i="1"/>
  <c r="R68" i="1"/>
  <c r="O68" i="1"/>
  <c r="N68" i="1"/>
  <c r="L68" i="1"/>
  <c r="I68" i="1"/>
  <c r="H68" i="1"/>
  <c r="F68" i="1"/>
  <c r="C68" i="1"/>
  <c r="AC67" i="1"/>
  <c r="AD67" i="1" s="1"/>
  <c r="AA67" i="1"/>
  <c r="W67" i="1"/>
  <c r="X67" i="1" s="1"/>
  <c r="U67" i="1"/>
  <c r="R67" i="1"/>
  <c r="N67" i="1"/>
  <c r="O67" i="1" s="1"/>
  <c r="L67" i="1"/>
  <c r="H67" i="1"/>
  <c r="I67" i="1" s="1"/>
  <c r="F67" i="1"/>
  <c r="C67" i="1"/>
  <c r="AC66" i="1"/>
  <c r="AD66" i="1" s="1"/>
  <c r="AA66" i="1"/>
  <c r="X66" i="1"/>
  <c r="W66" i="1"/>
  <c r="U66" i="1"/>
  <c r="R66" i="1"/>
  <c r="O66" i="1"/>
  <c r="N66" i="1"/>
  <c r="L66" i="1"/>
  <c r="H66" i="1"/>
  <c r="I66" i="1" s="1"/>
  <c r="F66" i="1"/>
  <c r="C66" i="1"/>
  <c r="AC65" i="1"/>
  <c r="AD65" i="1" s="1"/>
  <c r="AA65" i="1"/>
  <c r="W65" i="1"/>
  <c r="X65" i="1" s="1"/>
  <c r="U65" i="1"/>
  <c r="R65" i="1"/>
  <c r="N65" i="1"/>
  <c r="O65" i="1" s="1"/>
  <c r="L65" i="1"/>
  <c r="H65" i="1"/>
  <c r="I65" i="1" s="1"/>
  <c r="F65" i="1"/>
  <c r="C65" i="1"/>
  <c r="AC64" i="1"/>
  <c r="AD64" i="1" s="1"/>
  <c r="AA64" i="1"/>
  <c r="X64" i="1"/>
  <c r="W64" i="1"/>
  <c r="U64" i="1"/>
  <c r="R64" i="1"/>
  <c r="O64" i="1"/>
  <c r="N64" i="1"/>
  <c r="L64" i="1"/>
  <c r="H64" i="1"/>
  <c r="I64" i="1" s="1"/>
  <c r="F64" i="1"/>
  <c r="C64" i="1"/>
  <c r="Z62" i="1"/>
  <c r="AA62" i="1" s="1"/>
  <c r="T62" i="1"/>
  <c r="U62" i="1" s="1"/>
  <c r="Q62" i="1"/>
  <c r="AC62" i="1" s="1"/>
  <c r="AD62" i="1" s="1"/>
  <c r="N62" i="1"/>
  <c r="O62" i="1" s="1"/>
  <c r="K62" i="1"/>
  <c r="L62" i="1" s="1"/>
  <c r="E62" i="1"/>
  <c r="F62" i="1" s="1"/>
  <c r="B62" i="1"/>
  <c r="C62" i="1" s="1"/>
  <c r="AC61" i="1"/>
  <c r="AD61" i="1" s="1"/>
  <c r="Z61" i="1"/>
  <c r="AA61" i="1" s="1"/>
  <c r="T61" i="1"/>
  <c r="U61" i="1" s="1"/>
  <c r="Q61" i="1"/>
  <c r="W61" i="1" s="1"/>
  <c r="X61" i="1" s="1"/>
  <c r="N61" i="1"/>
  <c r="O61" i="1" s="1"/>
  <c r="L61" i="1"/>
  <c r="K61" i="1"/>
  <c r="E61" i="1"/>
  <c r="F61" i="1" s="1"/>
  <c r="B61" i="1"/>
  <c r="C61" i="1" s="1"/>
  <c r="AC60" i="1"/>
  <c r="AD60" i="1" s="1"/>
  <c r="AA60" i="1"/>
  <c r="W60" i="1"/>
  <c r="X60" i="1" s="1"/>
  <c r="U60" i="1"/>
  <c r="R60" i="1"/>
  <c r="N60" i="1"/>
  <c r="O60" i="1" s="1"/>
  <c r="L60" i="1"/>
  <c r="H60" i="1"/>
  <c r="I60" i="1" s="1"/>
  <c r="F60" i="1"/>
  <c r="C60" i="1"/>
  <c r="AC59" i="1"/>
  <c r="AD59" i="1" s="1"/>
  <c r="AA59" i="1"/>
  <c r="X59" i="1"/>
  <c r="W59" i="1"/>
  <c r="U59" i="1"/>
  <c r="R59" i="1"/>
  <c r="O59" i="1"/>
  <c r="N59" i="1"/>
  <c r="L59" i="1"/>
  <c r="H59" i="1"/>
  <c r="I59" i="1" s="1"/>
  <c r="F59" i="1"/>
  <c r="C59" i="1"/>
  <c r="AD58" i="1"/>
  <c r="AC58" i="1"/>
  <c r="AA58" i="1"/>
  <c r="W58" i="1"/>
  <c r="X58" i="1" s="1"/>
  <c r="U58" i="1"/>
  <c r="R58" i="1"/>
  <c r="N58" i="1"/>
  <c r="O58" i="1" s="1"/>
  <c r="L58" i="1"/>
  <c r="H58" i="1"/>
  <c r="I58" i="1" s="1"/>
  <c r="F58" i="1"/>
  <c r="C58" i="1"/>
  <c r="AC57" i="1"/>
  <c r="AD57" i="1" s="1"/>
  <c r="AA57" i="1"/>
  <c r="X57" i="1"/>
  <c r="W57" i="1"/>
  <c r="U57" i="1"/>
  <c r="R57" i="1"/>
  <c r="O57" i="1"/>
  <c r="N57" i="1"/>
  <c r="L57" i="1"/>
  <c r="H57" i="1"/>
  <c r="I57" i="1" s="1"/>
  <c r="F57" i="1"/>
  <c r="C57" i="1"/>
  <c r="AC56" i="1"/>
  <c r="AD56" i="1" s="1"/>
  <c r="AA56" i="1"/>
  <c r="W56" i="1"/>
  <c r="X56" i="1" s="1"/>
  <c r="U56" i="1"/>
  <c r="R56" i="1"/>
  <c r="N56" i="1"/>
  <c r="O56" i="1" s="1"/>
  <c r="L56" i="1"/>
  <c r="H56" i="1"/>
  <c r="I56" i="1" s="1"/>
  <c r="F56" i="1"/>
  <c r="C56" i="1"/>
  <c r="AC55" i="1"/>
  <c r="AD55" i="1" s="1"/>
  <c r="AA55" i="1"/>
  <c r="X55" i="1"/>
  <c r="W55" i="1"/>
  <c r="U55" i="1"/>
  <c r="R55" i="1"/>
  <c r="O55" i="1"/>
  <c r="N55" i="1"/>
  <c r="L55" i="1"/>
  <c r="I55" i="1"/>
  <c r="H55" i="1"/>
  <c r="F55" i="1"/>
  <c r="C55" i="1"/>
  <c r="AC54" i="1"/>
  <c r="AD54" i="1" s="1"/>
  <c r="AA54" i="1"/>
  <c r="W54" i="1"/>
  <c r="X54" i="1" s="1"/>
  <c r="U54" i="1"/>
  <c r="R54" i="1"/>
  <c r="N54" i="1"/>
  <c r="O54" i="1" s="1"/>
  <c r="L54" i="1"/>
  <c r="H54" i="1"/>
  <c r="I54" i="1" s="1"/>
  <c r="F54" i="1"/>
  <c r="C54" i="1"/>
  <c r="AC53" i="1"/>
  <c r="AD53" i="1" s="1"/>
  <c r="AA53" i="1"/>
  <c r="X53" i="1"/>
  <c r="W53" i="1"/>
  <c r="U53" i="1"/>
  <c r="R53" i="1"/>
  <c r="O53" i="1"/>
  <c r="N53" i="1"/>
  <c r="L53" i="1"/>
  <c r="H53" i="1"/>
  <c r="I53" i="1" s="1"/>
  <c r="F53" i="1"/>
  <c r="C53" i="1"/>
  <c r="AC52" i="1"/>
  <c r="AD52" i="1" s="1"/>
  <c r="AA52" i="1"/>
  <c r="W52" i="1"/>
  <c r="X52" i="1" s="1"/>
  <c r="U52" i="1"/>
  <c r="R52" i="1"/>
  <c r="N52" i="1"/>
  <c r="O52" i="1" s="1"/>
  <c r="L52" i="1"/>
  <c r="H52" i="1"/>
  <c r="I52" i="1" s="1"/>
  <c r="F52" i="1"/>
  <c r="C52" i="1"/>
  <c r="AC51" i="1"/>
  <c r="AD51" i="1" s="1"/>
  <c r="AA51" i="1"/>
  <c r="X51" i="1"/>
  <c r="W51" i="1"/>
  <c r="U51" i="1"/>
  <c r="R51" i="1"/>
  <c r="O51" i="1"/>
  <c r="N51" i="1"/>
  <c r="L51" i="1"/>
  <c r="H51" i="1"/>
  <c r="I51" i="1" s="1"/>
  <c r="F51" i="1"/>
  <c r="C51" i="1"/>
  <c r="AD50" i="1"/>
  <c r="AC50" i="1"/>
  <c r="AA50" i="1"/>
  <c r="W50" i="1"/>
  <c r="X50" i="1" s="1"/>
  <c r="U50" i="1"/>
  <c r="R50" i="1"/>
  <c r="N50" i="1"/>
  <c r="O50" i="1" s="1"/>
  <c r="L50" i="1"/>
  <c r="H50" i="1"/>
  <c r="I50" i="1" s="1"/>
  <c r="F50" i="1"/>
  <c r="C50" i="1"/>
  <c r="AC49" i="1"/>
  <c r="AD49" i="1" s="1"/>
  <c r="AA49" i="1"/>
  <c r="X49" i="1"/>
  <c r="W49" i="1"/>
  <c r="U49" i="1"/>
  <c r="R49" i="1"/>
  <c r="O49" i="1"/>
  <c r="N49" i="1"/>
  <c r="L49" i="1"/>
  <c r="H49" i="1"/>
  <c r="I49" i="1" s="1"/>
  <c r="F49" i="1"/>
  <c r="C49" i="1"/>
  <c r="AC48" i="1"/>
  <c r="AD48" i="1" s="1"/>
  <c r="AA48" i="1"/>
  <c r="W48" i="1"/>
  <c r="X48" i="1" s="1"/>
  <c r="U48" i="1"/>
  <c r="R48" i="1"/>
  <c r="N48" i="1"/>
  <c r="O48" i="1" s="1"/>
  <c r="L48" i="1"/>
  <c r="H48" i="1"/>
  <c r="I48" i="1" s="1"/>
  <c r="F48" i="1"/>
  <c r="C48" i="1"/>
  <c r="AC47" i="1"/>
  <c r="AD47" i="1" s="1"/>
  <c r="AA47" i="1"/>
  <c r="X47" i="1"/>
  <c r="W47" i="1"/>
  <c r="U47" i="1"/>
  <c r="R47" i="1"/>
  <c r="O47" i="1"/>
  <c r="N47" i="1"/>
  <c r="L47" i="1"/>
  <c r="I47" i="1"/>
  <c r="H47" i="1"/>
  <c r="F47" i="1"/>
  <c r="C47" i="1"/>
  <c r="AC46" i="1"/>
  <c r="AD46" i="1" s="1"/>
  <c r="AA46" i="1"/>
  <c r="W46" i="1"/>
  <c r="X46" i="1" s="1"/>
  <c r="U46" i="1"/>
  <c r="R46" i="1"/>
  <c r="N46" i="1"/>
  <c r="O46" i="1" s="1"/>
  <c r="L46" i="1"/>
  <c r="H46" i="1"/>
  <c r="I46" i="1" s="1"/>
  <c r="F46" i="1"/>
  <c r="C46" i="1"/>
  <c r="AC44" i="1"/>
  <c r="AD44" i="1" s="1"/>
  <c r="AA44" i="1"/>
  <c r="X44" i="1"/>
  <c r="W44" i="1"/>
  <c r="U44" i="1"/>
  <c r="R44" i="1"/>
  <c r="O44" i="1"/>
  <c r="N44" i="1"/>
  <c r="L44" i="1"/>
  <c r="H44" i="1"/>
  <c r="I44" i="1" s="1"/>
  <c r="F44" i="1"/>
  <c r="C44" i="1"/>
  <c r="AC43" i="1"/>
  <c r="AD43" i="1" s="1"/>
  <c r="AA43" i="1"/>
  <c r="W43" i="1"/>
  <c r="X43" i="1" s="1"/>
  <c r="U43" i="1"/>
  <c r="R43" i="1"/>
  <c r="N43" i="1"/>
  <c r="O43" i="1" s="1"/>
  <c r="L43" i="1"/>
  <c r="H43" i="1"/>
  <c r="I43" i="1" s="1"/>
  <c r="F43" i="1"/>
  <c r="C43" i="1"/>
  <c r="AC42" i="1"/>
  <c r="AD42" i="1" s="1"/>
  <c r="AA42" i="1"/>
  <c r="X42" i="1"/>
  <c r="W42" i="1"/>
  <c r="U42" i="1"/>
  <c r="R42" i="1"/>
  <c r="O42" i="1"/>
  <c r="N42" i="1"/>
  <c r="L42" i="1"/>
  <c r="H42" i="1"/>
  <c r="I42" i="1" s="1"/>
  <c r="F42" i="1"/>
  <c r="C42" i="1"/>
  <c r="Z40" i="1"/>
  <c r="AA40" i="1" s="1"/>
  <c r="T40" i="1"/>
  <c r="U40" i="1" s="1"/>
  <c r="Q40" i="1"/>
  <c r="AC40" i="1" s="1"/>
  <c r="AD40" i="1" s="1"/>
  <c r="N40" i="1"/>
  <c r="O40" i="1" s="1"/>
  <c r="K40" i="1"/>
  <c r="L40" i="1" s="1"/>
  <c r="E40" i="1"/>
  <c r="F40" i="1" s="1"/>
  <c r="B40" i="1"/>
  <c r="C40" i="1" s="1"/>
  <c r="AC39" i="1"/>
  <c r="AD39" i="1" s="1"/>
  <c r="AA39" i="1"/>
  <c r="W39" i="1"/>
  <c r="X39" i="1" s="1"/>
  <c r="U39" i="1"/>
  <c r="R39" i="1"/>
  <c r="N39" i="1"/>
  <c r="O39" i="1" s="1"/>
  <c r="L39" i="1"/>
  <c r="H39" i="1"/>
  <c r="I39" i="1" s="1"/>
  <c r="F39" i="1"/>
  <c r="C39" i="1"/>
  <c r="AC38" i="1"/>
  <c r="AD38" i="1" s="1"/>
  <c r="AA38" i="1"/>
  <c r="X38" i="1"/>
  <c r="W38" i="1"/>
  <c r="U38" i="1"/>
  <c r="R38" i="1"/>
  <c r="O38" i="1"/>
  <c r="N38" i="1"/>
  <c r="L38" i="1"/>
  <c r="H38" i="1"/>
  <c r="I38" i="1" s="1"/>
  <c r="F38" i="1"/>
  <c r="C38" i="1"/>
  <c r="AC37" i="1"/>
  <c r="AD37" i="1" s="1"/>
  <c r="AA37" i="1"/>
  <c r="W37" i="1"/>
  <c r="X37" i="1" s="1"/>
  <c r="U37" i="1"/>
  <c r="R37" i="1"/>
  <c r="O37" i="1"/>
  <c r="N37" i="1"/>
  <c r="L37" i="1"/>
  <c r="H37" i="1"/>
  <c r="I37" i="1" s="1"/>
  <c r="F37" i="1"/>
  <c r="C37" i="1"/>
  <c r="AC36" i="1"/>
  <c r="AD36" i="1" s="1"/>
  <c r="AA36" i="1"/>
  <c r="X36" i="1"/>
  <c r="W36" i="1"/>
  <c r="U36" i="1"/>
  <c r="R36" i="1"/>
  <c r="O36" i="1"/>
  <c r="N36" i="1"/>
  <c r="L36" i="1"/>
  <c r="H36" i="1"/>
  <c r="I36" i="1" s="1"/>
  <c r="F36" i="1"/>
  <c r="C36" i="1"/>
  <c r="AC35" i="1"/>
  <c r="AD35" i="1" s="1"/>
  <c r="AA35" i="1"/>
  <c r="W35" i="1"/>
  <c r="X35" i="1" s="1"/>
  <c r="U35" i="1"/>
  <c r="R35" i="1"/>
  <c r="N35" i="1"/>
  <c r="O35" i="1" s="1"/>
  <c r="L35" i="1"/>
  <c r="H35" i="1"/>
  <c r="I35" i="1" s="1"/>
  <c r="F35" i="1"/>
  <c r="C35" i="1"/>
  <c r="AC34" i="1"/>
  <c r="AD34" i="1" s="1"/>
  <c r="AA34" i="1"/>
  <c r="X34" i="1"/>
  <c r="W34" i="1"/>
  <c r="U34" i="1"/>
  <c r="R34" i="1"/>
  <c r="O34" i="1"/>
  <c r="N34" i="1"/>
  <c r="L34" i="1"/>
  <c r="H34" i="1"/>
  <c r="I34" i="1" s="1"/>
  <c r="F34" i="1"/>
  <c r="C34" i="1"/>
  <c r="AC33" i="1"/>
  <c r="AD33" i="1" s="1"/>
  <c r="AA33" i="1"/>
  <c r="X33" i="1"/>
  <c r="W33" i="1"/>
  <c r="U33" i="1"/>
  <c r="R33" i="1"/>
  <c r="N33" i="1"/>
  <c r="O33" i="1" s="1"/>
  <c r="L33" i="1"/>
  <c r="H33" i="1"/>
  <c r="I33" i="1" s="1"/>
  <c r="F33" i="1"/>
  <c r="C33" i="1"/>
  <c r="AC32" i="1"/>
  <c r="AD32" i="1" s="1"/>
  <c r="AA32" i="1"/>
  <c r="X32" i="1"/>
  <c r="W32" i="1"/>
  <c r="U32" i="1"/>
  <c r="R32" i="1"/>
  <c r="O32" i="1"/>
  <c r="N32" i="1"/>
  <c r="L32" i="1"/>
  <c r="H32" i="1"/>
  <c r="I32" i="1" s="1"/>
  <c r="F32" i="1"/>
  <c r="C32" i="1"/>
  <c r="AC31" i="1"/>
  <c r="AD31" i="1" s="1"/>
  <c r="AA31" i="1"/>
  <c r="W31" i="1"/>
  <c r="X31" i="1" s="1"/>
  <c r="U31" i="1"/>
  <c r="R31" i="1"/>
  <c r="N31" i="1"/>
  <c r="O31" i="1" s="1"/>
  <c r="L31" i="1"/>
  <c r="H31" i="1"/>
  <c r="I31" i="1" s="1"/>
  <c r="F31" i="1"/>
  <c r="C31" i="1"/>
  <c r="Z29" i="1"/>
  <c r="AC29" i="1" s="1"/>
  <c r="AD29" i="1" s="1"/>
  <c r="W29" i="1"/>
  <c r="X29" i="1" s="1"/>
  <c r="U29" i="1"/>
  <c r="T29" i="1"/>
  <c r="Q29" i="1"/>
  <c r="R29" i="1" s="1"/>
  <c r="K29" i="1"/>
  <c r="L29" i="1" s="1"/>
  <c r="E29" i="1"/>
  <c r="F29" i="1" s="1"/>
  <c r="B29" i="1"/>
  <c r="C29" i="1" s="1"/>
  <c r="AC28" i="1"/>
  <c r="AD28" i="1" s="1"/>
  <c r="AA28" i="1"/>
  <c r="X28" i="1"/>
  <c r="W28" i="1"/>
  <c r="U28" i="1"/>
  <c r="R28" i="1"/>
  <c r="O28" i="1"/>
  <c r="N28" i="1"/>
  <c r="L28" i="1"/>
  <c r="H28" i="1"/>
  <c r="I28" i="1" s="1"/>
  <c r="F28" i="1"/>
  <c r="C28" i="1"/>
  <c r="AD27" i="1"/>
  <c r="AC27" i="1"/>
  <c r="AA27" i="1"/>
  <c r="W27" i="1"/>
  <c r="X27" i="1" s="1"/>
  <c r="U27" i="1"/>
  <c r="R27" i="1"/>
  <c r="N27" i="1"/>
  <c r="O27" i="1" s="1"/>
  <c r="L27" i="1"/>
  <c r="H27" i="1"/>
  <c r="I27" i="1" s="1"/>
  <c r="F27" i="1"/>
  <c r="C27" i="1"/>
  <c r="AC26" i="1"/>
  <c r="AD26" i="1" s="1"/>
  <c r="AA26" i="1"/>
  <c r="X26" i="1"/>
  <c r="W26" i="1"/>
  <c r="U26" i="1"/>
  <c r="R26" i="1"/>
  <c r="O26" i="1"/>
  <c r="N26" i="1"/>
  <c r="L26" i="1"/>
  <c r="H26" i="1"/>
  <c r="I26" i="1" s="1"/>
  <c r="F26" i="1"/>
  <c r="C26" i="1"/>
  <c r="AC25" i="1"/>
  <c r="AD25" i="1" s="1"/>
  <c r="AA25" i="1"/>
  <c r="W25" i="1"/>
  <c r="X25" i="1" s="1"/>
  <c r="U25" i="1"/>
  <c r="R25" i="1"/>
  <c r="N25" i="1"/>
  <c r="O25" i="1" s="1"/>
  <c r="L25" i="1"/>
  <c r="H25" i="1"/>
  <c r="I25" i="1" s="1"/>
  <c r="F25" i="1"/>
  <c r="C25" i="1"/>
  <c r="AC24" i="1"/>
  <c r="AD24" i="1" s="1"/>
  <c r="AA24" i="1"/>
  <c r="X24" i="1"/>
  <c r="W24" i="1"/>
  <c r="U24" i="1"/>
  <c r="R24" i="1"/>
  <c r="O24" i="1"/>
  <c r="N24" i="1"/>
  <c r="L24" i="1"/>
  <c r="I24" i="1"/>
  <c r="H24" i="1"/>
  <c r="F24" i="1"/>
  <c r="C24" i="1"/>
  <c r="AC23" i="1"/>
  <c r="AD23" i="1" s="1"/>
  <c r="AA23" i="1"/>
  <c r="W23" i="1"/>
  <c r="X23" i="1" s="1"/>
  <c r="U23" i="1"/>
  <c r="R23" i="1"/>
  <c r="N23" i="1"/>
  <c r="O23" i="1" s="1"/>
  <c r="L23" i="1"/>
  <c r="H23" i="1"/>
  <c r="I23" i="1" s="1"/>
  <c r="F23" i="1"/>
  <c r="C23" i="1"/>
  <c r="AC22" i="1"/>
  <c r="AD22" i="1" s="1"/>
  <c r="AA22" i="1"/>
  <c r="X22" i="1"/>
  <c r="W22" i="1"/>
  <c r="U22" i="1"/>
  <c r="R22" i="1"/>
  <c r="O22" i="1"/>
  <c r="N22" i="1"/>
  <c r="L22" i="1"/>
  <c r="H22" i="1"/>
  <c r="I22" i="1" s="1"/>
  <c r="F22" i="1"/>
  <c r="C22" i="1"/>
  <c r="AC21" i="1"/>
  <c r="AD21" i="1" s="1"/>
  <c r="AA21" i="1"/>
  <c r="W21" i="1"/>
  <c r="X21" i="1" s="1"/>
  <c r="U21" i="1"/>
  <c r="R21" i="1"/>
  <c r="N21" i="1"/>
  <c r="O21" i="1" s="1"/>
  <c r="L21" i="1"/>
  <c r="H21" i="1"/>
  <c r="I21" i="1" s="1"/>
  <c r="F21" i="1"/>
  <c r="C21" i="1"/>
  <c r="AC19" i="1"/>
  <c r="AD19" i="1" s="1"/>
  <c r="AA19" i="1"/>
  <c r="X19" i="1"/>
  <c r="W19" i="1"/>
  <c r="U19" i="1"/>
  <c r="R19" i="1"/>
  <c r="O19" i="1"/>
  <c r="N19" i="1"/>
  <c r="L19" i="1"/>
  <c r="H19" i="1"/>
  <c r="I19" i="1" s="1"/>
  <c r="F19" i="1"/>
  <c r="C19" i="1"/>
  <c r="Z18" i="1"/>
  <c r="AA18" i="1" s="1"/>
  <c r="T18" i="1"/>
  <c r="U18" i="1" s="1"/>
  <c r="Q18" i="1"/>
  <c r="AC18" i="1" s="1"/>
  <c r="AD18" i="1" s="1"/>
  <c r="N18" i="1"/>
  <c r="O18" i="1" s="1"/>
  <c r="K18" i="1"/>
  <c r="L18" i="1" s="1"/>
  <c r="E18" i="1"/>
  <c r="F18" i="1" s="1"/>
  <c r="B18" i="1"/>
  <c r="C18" i="1" s="1"/>
  <c r="AC17" i="1"/>
  <c r="AD17" i="1" s="1"/>
  <c r="AA17" i="1"/>
  <c r="W17" i="1"/>
  <c r="X17" i="1" s="1"/>
  <c r="U17" i="1"/>
  <c r="R17" i="1"/>
  <c r="N17" i="1"/>
  <c r="O17" i="1" s="1"/>
  <c r="L17" i="1"/>
  <c r="H17" i="1"/>
  <c r="I17" i="1" s="1"/>
  <c r="F17" i="1"/>
  <c r="C17" i="1"/>
  <c r="AC16" i="1"/>
  <c r="AD16" i="1" s="1"/>
  <c r="AA16" i="1"/>
  <c r="X16" i="1"/>
  <c r="W16" i="1"/>
  <c r="U16" i="1"/>
  <c r="R16" i="1"/>
  <c r="O16" i="1"/>
  <c r="N16" i="1"/>
  <c r="L16" i="1"/>
  <c r="H16" i="1"/>
  <c r="I16" i="1" s="1"/>
  <c r="F16" i="1"/>
  <c r="C16" i="1"/>
  <c r="AC15" i="1"/>
  <c r="AD15" i="1" s="1"/>
  <c r="AA15" i="1"/>
  <c r="W15" i="1"/>
  <c r="X15" i="1" s="1"/>
  <c r="U15" i="1"/>
  <c r="R15" i="1"/>
  <c r="O15" i="1"/>
  <c r="N15" i="1"/>
  <c r="L15" i="1"/>
  <c r="H15" i="1"/>
  <c r="I15" i="1" s="1"/>
  <c r="F15" i="1"/>
  <c r="C15" i="1"/>
  <c r="AC14" i="1"/>
  <c r="AD14" i="1" s="1"/>
  <c r="AA14" i="1"/>
  <c r="X14" i="1"/>
  <c r="W14" i="1"/>
  <c r="U14" i="1"/>
  <c r="R14" i="1"/>
  <c r="O14" i="1"/>
  <c r="N14" i="1"/>
  <c r="L14" i="1"/>
  <c r="H14" i="1"/>
  <c r="I14" i="1" s="1"/>
  <c r="F14" i="1"/>
  <c r="C14" i="1"/>
  <c r="AC13" i="1"/>
  <c r="AD13" i="1" s="1"/>
  <c r="AA13" i="1"/>
  <c r="W13" i="1"/>
  <c r="X13" i="1" s="1"/>
  <c r="U13" i="1"/>
  <c r="R13" i="1"/>
  <c r="N13" i="1"/>
  <c r="O13" i="1" s="1"/>
  <c r="L13" i="1"/>
  <c r="H13" i="1"/>
  <c r="I13" i="1" s="1"/>
  <c r="F13" i="1"/>
  <c r="C13" i="1"/>
  <c r="AC12" i="1"/>
  <c r="AD12" i="1" s="1"/>
  <c r="AA12" i="1"/>
  <c r="X12" i="1"/>
  <c r="W12" i="1"/>
  <c r="U12" i="1"/>
  <c r="R12" i="1"/>
  <c r="O12" i="1"/>
  <c r="N12" i="1"/>
  <c r="L12" i="1"/>
  <c r="H12" i="1"/>
  <c r="I12" i="1" s="1"/>
  <c r="F12" i="1"/>
  <c r="C12" i="1"/>
  <c r="AC11" i="1"/>
  <c r="AD11" i="1" s="1"/>
  <c r="AA11" i="1"/>
  <c r="X11" i="1"/>
  <c r="W11" i="1"/>
  <c r="U11" i="1"/>
  <c r="R11" i="1"/>
  <c r="N11" i="1"/>
  <c r="O11" i="1" s="1"/>
  <c r="L11" i="1"/>
  <c r="H11" i="1"/>
  <c r="I11" i="1" s="1"/>
  <c r="F11" i="1"/>
  <c r="C11" i="1"/>
  <c r="AC10" i="1"/>
  <c r="AD10" i="1" s="1"/>
  <c r="AA10" i="1"/>
  <c r="X10" i="1"/>
  <c r="W10" i="1"/>
  <c r="U10" i="1"/>
  <c r="R10" i="1"/>
  <c r="O10" i="1"/>
  <c r="N10" i="1"/>
  <c r="L10" i="1"/>
  <c r="H10" i="1"/>
  <c r="I10" i="1" s="1"/>
  <c r="F10" i="1"/>
  <c r="C10" i="1"/>
  <c r="AC8" i="1"/>
  <c r="AD8" i="1" s="1"/>
  <c r="AA8" i="1"/>
  <c r="W8" i="1"/>
  <c r="X8" i="1" s="1"/>
  <c r="U8" i="1"/>
  <c r="R8" i="1"/>
  <c r="N8" i="1"/>
  <c r="O8" i="1" s="1"/>
  <c r="L8" i="1"/>
  <c r="H8" i="1"/>
  <c r="I8" i="1" s="1"/>
  <c r="F8" i="1"/>
  <c r="C8" i="1"/>
  <c r="E198" i="1" l="1"/>
  <c r="F172" i="1"/>
  <c r="H29" i="1"/>
  <c r="I29" i="1" s="1"/>
  <c r="W324" i="1"/>
  <c r="X324" i="1" s="1"/>
  <c r="U324" i="1"/>
  <c r="R18" i="1"/>
  <c r="R40" i="1"/>
  <c r="R62" i="1"/>
  <c r="R88" i="1"/>
  <c r="N124" i="1"/>
  <c r="O124" i="1" s="1"/>
  <c r="H166" i="1"/>
  <c r="I166" i="1" s="1"/>
  <c r="C166" i="1"/>
  <c r="H193" i="1"/>
  <c r="I193" i="1" s="1"/>
  <c r="C193" i="1"/>
  <c r="U118" i="2"/>
  <c r="W118" i="2"/>
  <c r="X118" i="2" s="1"/>
  <c r="H73" i="1"/>
  <c r="I73" i="1" s="1"/>
  <c r="W172" i="1"/>
  <c r="X172" i="1" s="1"/>
  <c r="R172" i="1"/>
  <c r="AA29" i="1"/>
  <c r="W122" i="1"/>
  <c r="X122" i="1" s="1"/>
  <c r="R122" i="1"/>
  <c r="W148" i="1"/>
  <c r="X148" i="1" s="1"/>
  <c r="AC273" i="1"/>
  <c r="AD273" i="1" s="1"/>
  <c r="AA273" i="1"/>
  <c r="W358" i="1"/>
  <c r="X358" i="1" s="1"/>
  <c r="U358" i="1"/>
  <c r="F393" i="1"/>
  <c r="H393" i="1"/>
  <c r="I393" i="1" s="1"/>
  <c r="AA197" i="2"/>
  <c r="AC197" i="2"/>
  <c r="AD197" i="2" s="1"/>
  <c r="R284" i="2"/>
  <c r="AC284" i="2"/>
  <c r="AD284" i="2" s="1"/>
  <c r="W284" i="2"/>
  <c r="X284" i="2" s="1"/>
  <c r="C342" i="2"/>
  <c r="H342" i="2"/>
  <c r="I342" i="2" s="1"/>
  <c r="N342" i="2"/>
  <c r="O342" i="2" s="1"/>
  <c r="K198" i="1"/>
  <c r="L172" i="1"/>
  <c r="F403" i="1"/>
  <c r="H403" i="1"/>
  <c r="I403" i="1" s="1"/>
  <c r="W218" i="2"/>
  <c r="X218" i="2" s="1"/>
  <c r="R218" i="2"/>
  <c r="AC218" i="2"/>
  <c r="AD218" i="2" s="1"/>
  <c r="U172" i="1"/>
  <c r="T198" i="1"/>
  <c r="N73" i="1"/>
  <c r="O73" i="1" s="1"/>
  <c r="H262" i="1"/>
  <c r="I262" i="1" s="1"/>
  <c r="AC267" i="1"/>
  <c r="AD267" i="1" s="1"/>
  <c r="AA267" i="1"/>
  <c r="W442" i="1"/>
  <c r="X442" i="1" s="1"/>
  <c r="U442" i="1"/>
  <c r="H18" i="2"/>
  <c r="I18" i="2" s="1"/>
  <c r="F18" i="2"/>
  <c r="E198" i="2"/>
  <c r="F172" i="2"/>
  <c r="H344" i="2"/>
  <c r="I344" i="2" s="1"/>
  <c r="F344" i="2"/>
  <c r="O422" i="2"/>
  <c r="O416" i="2"/>
  <c r="O395" i="2"/>
  <c r="O389" i="2"/>
  <c r="O383" i="2"/>
  <c r="O379" i="2"/>
  <c r="O375" i="2"/>
  <c r="O371" i="2"/>
  <c r="O364" i="2"/>
  <c r="O360" i="2"/>
  <c r="O356" i="2"/>
  <c r="O352" i="2"/>
  <c r="O347" i="2"/>
  <c r="O338" i="2"/>
  <c r="O333" i="2"/>
  <c r="O329" i="2"/>
  <c r="O321" i="2"/>
  <c r="O317" i="2"/>
  <c r="O313" i="2"/>
  <c r="O309" i="2"/>
  <c r="O305" i="2"/>
  <c r="O301" i="2"/>
  <c r="O297" i="2"/>
  <c r="O293" i="2"/>
  <c r="O289" i="2"/>
  <c r="O281" i="2"/>
  <c r="O277" i="2"/>
  <c r="O269" i="2"/>
  <c r="O265" i="2"/>
  <c r="O258" i="2"/>
  <c r="O254" i="2"/>
  <c r="O250" i="2"/>
  <c r="O246" i="2"/>
  <c r="O242" i="2"/>
  <c r="O233" i="2"/>
  <c r="O229" i="2"/>
  <c r="O225" i="2"/>
  <c r="O221" i="2"/>
  <c r="O214" i="2"/>
  <c r="O205" i="2"/>
  <c r="O201" i="2"/>
  <c r="O194" i="2"/>
  <c r="O191" i="2"/>
  <c r="O187" i="2"/>
  <c r="O179" i="2"/>
  <c r="O167" i="2"/>
  <c r="O164" i="2"/>
  <c r="O160" i="2"/>
  <c r="O156" i="2"/>
  <c r="O151" i="2"/>
  <c r="O144" i="2"/>
  <c r="O140" i="2"/>
  <c r="O136" i="2"/>
  <c r="O132" i="2"/>
  <c r="O127" i="2"/>
  <c r="O119" i="2"/>
  <c r="O116" i="2"/>
  <c r="O112" i="2"/>
  <c r="O108" i="2"/>
  <c r="O104" i="2"/>
  <c r="O100" i="2"/>
  <c r="O96" i="2"/>
  <c r="O91" i="2"/>
  <c r="O84" i="2"/>
  <c r="O80" i="2"/>
  <c r="O76" i="2"/>
  <c r="O72" i="2"/>
  <c r="O68" i="2"/>
  <c r="O64" i="2"/>
  <c r="O57" i="2"/>
  <c r="O53" i="2"/>
  <c r="O49" i="2"/>
  <c r="O44" i="2"/>
  <c r="O435" i="2"/>
  <c r="O439" i="2"/>
  <c r="O287" i="2"/>
  <c r="O235" i="2"/>
  <c r="O154" i="2"/>
  <c r="O102" i="2"/>
  <c r="O47" i="2"/>
  <c r="O402" i="2"/>
  <c r="O399" i="2"/>
  <c r="O391" i="2"/>
  <c r="O373" i="2"/>
  <c r="O335" i="2"/>
  <c r="O323" i="2"/>
  <c r="O307" i="2"/>
  <c r="O279" i="2"/>
  <c r="O256" i="2"/>
  <c r="O240" i="2"/>
  <c r="O189" i="2"/>
  <c r="O134" i="2"/>
  <c r="O121" i="2"/>
  <c r="O78" i="2"/>
  <c r="O38" i="2"/>
  <c r="O426" i="2"/>
  <c r="O366" i="2"/>
  <c r="O438" i="2"/>
  <c r="O434" i="2"/>
  <c r="O386" i="2"/>
  <c r="O380" i="2"/>
  <c r="O369" i="2"/>
  <c r="O400" i="2"/>
  <c r="O362" i="2"/>
  <c r="O381" i="2"/>
  <c r="O319" i="2"/>
  <c r="O315" i="2"/>
  <c r="O311" i="2"/>
  <c r="O303" i="2"/>
  <c r="O299" i="2"/>
  <c r="O282" i="2"/>
  <c r="O278" i="2"/>
  <c r="O261" i="2"/>
  <c r="O259" i="2"/>
  <c r="O255" i="2"/>
  <c r="O249" i="2"/>
  <c r="O245" i="2"/>
  <c r="O243" i="2"/>
  <c r="O238" i="2"/>
  <c r="O231" i="2"/>
  <c r="O226" i="2"/>
  <c r="O216" i="2"/>
  <c r="O192" i="2"/>
  <c r="O188" i="2"/>
  <c r="O146" i="2"/>
  <c r="O110" i="2"/>
  <c r="O94" i="2"/>
  <c r="O71" i="2"/>
  <c r="O33" i="2"/>
  <c r="O27" i="2"/>
  <c r="O22" i="2"/>
  <c r="O12" i="2"/>
  <c r="O423" i="2"/>
  <c r="O367" i="2"/>
  <c r="O340" i="2"/>
  <c r="O331" i="2"/>
  <c r="O271" i="2"/>
  <c r="O266" i="2"/>
  <c r="O211" i="2"/>
  <c r="O169" i="2"/>
  <c r="O106" i="2"/>
  <c r="O89" i="2"/>
  <c r="O66" i="2"/>
  <c r="O412" i="2"/>
  <c r="O372" i="2"/>
  <c r="O351" i="2"/>
  <c r="O165" i="2"/>
  <c r="O133" i="2"/>
  <c r="O120" i="2"/>
  <c r="O114" i="2"/>
  <c r="O98" i="2"/>
  <c r="O60" i="2"/>
  <c r="O43" i="2"/>
  <c r="O36" i="2"/>
  <c r="O19" i="2"/>
  <c r="O294" i="2"/>
  <c r="O292" i="2"/>
  <c r="O290" i="2"/>
  <c r="O288" i="2"/>
  <c r="O283" i="2"/>
  <c r="O275" i="2"/>
  <c r="O260" i="2"/>
  <c r="O252" i="2"/>
  <c r="O248" i="2"/>
  <c r="O244" i="2"/>
  <c r="O223" i="2"/>
  <c r="O219" i="2"/>
  <c r="O208" i="2"/>
  <c r="O204" i="2"/>
  <c r="O184" i="2"/>
  <c r="O175" i="2"/>
  <c r="O135" i="2"/>
  <c r="O87" i="2"/>
  <c r="O83" i="2"/>
  <c r="O77" i="2"/>
  <c r="O70" i="2"/>
  <c r="O55" i="2"/>
  <c r="O34" i="2"/>
  <c r="O23" i="2"/>
  <c r="O398" i="2"/>
  <c r="O162" i="2"/>
  <c r="O51" i="2"/>
  <c r="O32" i="2"/>
  <c r="O26" i="2"/>
  <c r="O16" i="2"/>
  <c r="O427" i="2"/>
  <c r="O350" i="2"/>
  <c r="O322" i="2"/>
  <c r="O306" i="2"/>
  <c r="O232" i="2"/>
  <c r="O177" i="2"/>
  <c r="O138" i="2"/>
  <c r="O130" i="2"/>
  <c r="O59" i="2"/>
  <c r="O42" i="2"/>
  <c r="O390" i="2"/>
  <c r="O354" i="2"/>
  <c r="O334" i="2"/>
  <c r="O291" i="2"/>
  <c r="O272" i="2"/>
  <c r="O207" i="2"/>
  <c r="O203" i="2"/>
  <c r="O86" i="2"/>
  <c r="O82" i="2"/>
  <c r="O37" i="2"/>
  <c r="O24" i="2"/>
  <c r="L124" i="1"/>
  <c r="R148" i="1"/>
  <c r="Z172" i="1"/>
  <c r="AC172" i="1" s="1"/>
  <c r="AD172" i="1" s="1"/>
  <c r="AA124" i="1"/>
  <c r="H158" i="1"/>
  <c r="I158" i="1" s="1"/>
  <c r="C158" i="1"/>
  <c r="W18" i="2"/>
  <c r="X18" i="2" s="1"/>
  <c r="U18" i="2"/>
  <c r="L170" i="2"/>
  <c r="N170" i="2"/>
  <c r="O170" i="2" s="1"/>
  <c r="AA73" i="1"/>
  <c r="W62" i="1"/>
  <c r="X62" i="1" s="1"/>
  <c r="R124" i="1"/>
  <c r="N141" i="1"/>
  <c r="O141" i="1" s="1"/>
  <c r="F148" i="1"/>
  <c r="W182" i="1"/>
  <c r="X182" i="1" s="1"/>
  <c r="R182" i="1"/>
  <c r="Q198" i="1"/>
  <c r="H18" i="1"/>
  <c r="I18" i="1" s="1"/>
  <c r="H40" i="1"/>
  <c r="I40" i="1" s="1"/>
  <c r="F88" i="1"/>
  <c r="H209" i="1"/>
  <c r="I209" i="1" s="1"/>
  <c r="N295" i="1"/>
  <c r="O295" i="1" s="1"/>
  <c r="H295" i="1"/>
  <c r="I295" i="1" s="1"/>
  <c r="C295" i="1"/>
  <c r="C40" i="2"/>
  <c r="N40" i="2"/>
  <c r="O40" i="2" s="1"/>
  <c r="H40" i="2"/>
  <c r="I40" i="2" s="1"/>
  <c r="H122" i="1"/>
  <c r="I122" i="1" s="1"/>
  <c r="N166" i="1"/>
  <c r="O166" i="1" s="1"/>
  <c r="W170" i="1"/>
  <c r="X170" i="1" s="1"/>
  <c r="R170" i="1"/>
  <c r="N193" i="1"/>
  <c r="O193" i="1" s="1"/>
  <c r="R197" i="1"/>
  <c r="AC197" i="1"/>
  <c r="AD197" i="1" s="1"/>
  <c r="W197" i="1"/>
  <c r="X197" i="1" s="1"/>
  <c r="AC263" i="1"/>
  <c r="AD263" i="1" s="1"/>
  <c r="W263" i="1"/>
  <c r="X263" i="1" s="1"/>
  <c r="O39" i="2"/>
  <c r="O92" i="2"/>
  <c r="O105" i="2"/>
  <c r="O115" i="2"/>
  <c r="O137" i="2"/>
  <c r="O182" i="2"/>
  <c r="O257" i="2"/>
  <c r="O339" i="2"/>
  <c r="H122" i="3"/>
  <c r="I122" i="3" s="1"/>
  <c r="F122" i="3"/>
  <c r="H149" i="1"/>
  <c r="I149" i="1" s="1"/>
  <c r="C149" i="1"/>
  <c r="R61" i="1"/>
  <c r="W18" i="1"/>
  <c r="X18" i="1" s="1"/>
  <c r="N29" i="1"/>
  <c r="O29" i="1" s="1"/>
  <c r="W40" i="1"/>
  <c r="X40" i="1" s="1"/>
  <c r="W88" i="1"/>
  <c r="X88" i="1" s="1"/>
  <c r="AC149" i="1"/>
  <c r="AD149" i="1" s="1"/>
  <c r="N158" i="1"/>
  <c r="O158" i="1" s="1"/>
  <c r="H62" i="1"/>
  <c r="I62" i="1" s="1"/>
  <c r="B172" i="1"/>
  <c r="H124" i="1"/>
  <c r="I124" i="1" s="1"/>
  <c r="C124" i="1"/>
  <c r="N149" i="1"/>
  <c r="O149" i="1" s="1"/>
  <c r="H61" i="1"/>
  <c r="I61" i="1" s="1"/>
  <c r="H118" i="1"/>
  <c r="I118" i="1" s="1"/>
  <c r="C118" i="1"/>
  <c r="F124" i="1"/>
  <c r="U196" i="1"/>
  <c r="H218" i="1"/>
  <c r="I218" i="1" s="1"/>
  <c r="C218" i="1"/>
  <c r="R263" i="1"/>
  <c r="U284" i="1"/>
  <c r="AC325" i="1"/>
  <c r="AD325" i="1" s="1"/>
  <c r="W325" i="1"/>
  <c r="X325" i="1" s="1"/>
  <c r="R325" i="1"/>
  <c r="L343" i="1"/>
  <c r="N343" i="1"/>
  <c r="O343" i="1" s="1"/>
  <c r="O11" i="2"/>
  <c r="O81" i="2"/>
  <c r="O90" i="2"/>
  <c r="O163" i="2"/>
  <c r="N166" i="2"/>
  <c r="O166" i="2" s="1"/>
  <c r="L166" i="2"/>
  <c r="O312" i="2"/>
  <c r="O328" i="2"/>
  <c r="O337" i="2"/>
  <c r="O365" i="2"/>
  <c r="O21" i="2"/>
  <c r="R73" i="2"/>
  <c r="W73" i="2"/>
  <c r="X73" i="2" s="1"/>
  <c r="O88" i="2"/>
  <c r="O95" i="2"/>
  <c r="O111" i="2"/>
  <c r="C118" i="2"/>
  <c r="N118" i="2"/>
  <c r="O118" i="2" s="1"/>
  <c r="C158" i="2"/>
  <c r="H158" i="2"/>
  <c r="I158" i="2" s="1"/>
  <c r="R171" i="2"/>
  <c r="W171" i="2"/>
  <c r="X171" i="2" s="1"/>
  <c r="O209" i="2"/>
  <c r="O217" i="2"/>
  <c r="O270" i="2"/>
  <c r="C273" i="2"/>
  <c r="N273" i="2"/>
  <c r="O273" i="2" s="1"/>
  <c r="O302" i="2"/>
  <c r="O304" i="2"/>
  <c r="O318" i="2"/>
  <c r="O320" i="2"/>
  <c r="O441" i="2"/>
  <c r="H227" i="3"/>
  <c r="I227" i="3" s="1"/>
  <c r="N227" i="3"/>
  <c r="O227" i="3" s="1"/>
  <c r="C227" i="3"/>
  <c r="H197" i="1"/>
  <c r="I197" i="1" s="1"/>
  <c r="W209" i="1"/>
  <c r="X209" i="1" s="1"/>
  <c r="W262" i="1"/>
  <c r="X262" i="1" s="1"/>
  <c r="N267" i="1"/>
  <c r="O267" i="1" s="1"/>
  <c r="N273" i="1"/>
  <c r="O273" i="1" s="1"/>
  <c r="R295" i="1"/>
  <c r="C342" i="1"/>
  <c r="AC343" i="1"/>
  <c r="AD343" i="1" s="1"/>
  <c r="L344" i="1"/>
  <c r="N368" i="1"/>
  <c r="O368" i="1" s="1"/>
  <c r="AA368" i="1"/>
  <c r="W393" i="1"/>
  <c r="X393" i="1" s="1"/>
  <c r="N396" i="1"/>
  <c r="O396" i="1" s="1"/>
  <c r="AA396" i="1"/>
  <c r="W403" i="1"/>
  <c r="X403" i="1" s="1"/>
  <c r="W428" i="1"/>
  <c r="X428" i="1" s="1"/>
  <c r="F429" i="1"/>
  <c r="O433" i="1"/>
  <c r="O436" i="1"/>
  <c r="H141" i="2"/>
  <c r="I141" i="2" s="1"/>
  <c r="C148" i="2"/>
  <c r="H148" i="2"/>
  <c r="I148" i="2" s="1"/>
  <c r="O149" i="2"/>
  <c r="W158" i="2"/>
  <c r="X158" i="2" s="1"/>
  <c r="O230" i="2"/>
  <c r="N236" i="2"/>
  <c r="O236" i="2" s="1"/>
  <c r="C263" i="2"/>
  <c r="N263" i="2"/>
  <c r="O263" i="2" s="1"/>
  <c r="W263" i="2"/>
  <c r="X263" i="2" s="1"/>
  <c r="N295" i="2"/>
  <c r="O295" i="2" s="1"/>
  <c r="R324" i="2"/>
  <c r="W324" i="2"/>
  <c r="X324" i="2" s="1"/>
  <c r="AC344" i="2"/>
  <c r="AD344" i="2" s="1"/>
  <c r="O357" i="2"/>
  <c r="O363" i="2"/>
  <c r="O378" i="2"/>
  <c r="O388" i="2"/>
  <c r="O411" i="2"/>
  <c r="O420" i="2"/>
  <c r="U61" i="3"/>
  <c r="W61" i="3"/>
  <c r="X61" i="3" s="1"/>
  <c r="W342" i="3"/>
  <c r="X342" i="3" s="1"/>
  <c r="U342" i="3"/>
  <c r="AC158" i="1"/>
  <c r="AD158" i="1" s="1"/>
  <c r="AC166" i="1"/>
  <c r="AD166" i="1" s="1"/>
  <c r="H170" i="1"/>
  <c r="I170" i="1" s="1"/>
  <c r="N171" i="1"/>
  <c r="O171" i="1" s="1"/>
  <c r="H182" i="1"/>
  <c r="I182" i="1" s="1"/>
  <c r="W227" i="1"/>
  <c r="X227" i="1" s="1"/>
  <c r="H263" i="1"/>
  <c r="I263" i="1" s="1"/>
  <c r="H325" i="1"/>
  <c r="I325" i="1" s="1"/>
  <c r="O410" i="1"/>
  <c r="O418" i="1"/>
  <c r="O426" i="1"/>
  <c r="W429" i="1"/>
  <c r="X429" i="1" s="1"/>
  <c r="O13" i="2"/>
  <c r="O28" i="2"/>
  <c r="AC40" i="2"/>
  <c r="AD40" i="2" s="1"/>
  <c r="N73" i="2"/>
  <c r="O73" i="2" s="1"/>
  <c r="O75" i="2"/>
  <c r="R88" i="2"/>
  <c r="N122" i="2"/>
  <c r="O122" i="2" s="1"/>
  <c r="L124" i="2"/>
  <c r="Q172" i="2"/>
  <c r="O180" i="2"/>
  <c r="O193" i="2"/>
  <c r="C196" i="2"/>
  <c r="N196" i="2"/>
  <c r="O196" i="2" s="1"/>
  <c r="W196" i="2"/>
  <c r="X196" i="2" s="1"/>
  <c r="C198" i="2"/>
  <c r="H198" i="2"/>
  <c r="I198" i="2" s="1"/>
  <c r="R209" i="2"/>
  <c r="O262" i="2"/>
  <c r="H325" i="2"/>
  <c r="I325" i="2" s="1"/>
  <c r="O353" i="2"/>
  <c r="O355" i="2"/>
  <c r="O376" i="2"/>
  <c r="AC393" i="2"/>
  <c r="AD393" i="2" s="1"/>
  <c r="W393" i="2"/>
  <c r="X393" i="2" s="1"/>
  <c r="R158" i="1"/>
  <c r="L236" i="1"/>
  <c r="L262" i="1"/>
  <c r="C273" i="1"/>
  <c r="L284" i="1"/>
  <c r="L324" i="1"/>
  <c r="N358" i="1"/>
  <c r="O358" i="1" s="1"/>
  <c r="AA358" i="1"/>
  <c r="C368" i="1"/>
  <c r="L393" i="1"/>
  <c r="C396" i="1"/>
  <c r="L403" i="1"/>
  <c r="O423" i="1"/>
  <c r="O438" i="1"/>
  <c r="H118" i="2"/>
  <c r="I118" i="2" s="1"/>
  <c r="N124" i="2"/>
  <c r="O124" i="2" s="1"/>
  <c r="O129" i="2"/>
  <c r="O131" i="2"/>
  <c r="O178" i="2"/>
  <c r="O197" i="2"/>
  <c r="K198" i="2"/>
  <c r="R236" i="2"/>
  <c r="W236" i="2"/>
  <c r="X236" i="2" s="1"/>
  <c r="W262" i="2"/>
  <c r="X262" i="2" s="1"/>
  <c r="AC262" i="2"/>
  <c r="AD262" i="2" s="1"/>
  <c r="H273" i="2"/>
  <c r="I273" i="2" s="1"/>
  <c r="C343" i="2"/>
  <c r="N343" i="2"/>
  <c r="O343" i="2" s="1"/>
  <c r="W343" i="2"/>
  <c r="X343" i="2" s="1"/>
  <c r="B345" i="2"/>
  <c r="O361" i="2"/>
  <c r="R393" i="2"/>
  <c r="O414" i="2"/>
  <c r="O433" i="2"/>
  <c r="N88" i="1"/>
  <c r="O88" i="1" s="1"/>
  <c r="AC141" i="1"/>
  <c r="AD141" i="1" s="1"/>
  <c r="W342" i="1"/>
  <c r="X342" i="1" s="1"/>
  <c r="O58" i="2"/>
  <c r="C61" i="2"/>
  <c r="N61" i="2"/>
  <c r="O61" i="2" s="1"/>
  <c r="R122" i="2"/>
  <c r="W122" i="2"/>
  <c r="X122" i="2" s="1"/>
  <c r="C166" i="2"/>
  <c r="H166" i="2"/>
  <c r="I166" i="2" s="1"/>
  <c r="U166" i="2"/>
  <c r="W166" i="2"/>
  <c r="X166" i="2" s="1"/>
  <c r="AC171" i="2"/>
  <c r="AD171" i="2" s="1"/>
  <c r="R262" i="2"/>
  <c r="C267" i="2"/>
  <c r="N267" i="2"/>
  <c r="O267" i="2" s="1"/>
  <c r="C324" i="2"/>
  <c r="O344" i="2"/>
  <c r="O385" i="2"/>
  <c r="N148" i="1"/>
  <c r="O148" i="1" s="1"/>
  <c r="AC171" i="1"/>
  <c r="AD171" i="1" s="1"/>
  <c r="N227" i="1"/>
  <c r="O227" i="1" s="1"/>
  <c r="AC236" i="1"/>
  <c r="AD236" i="1" s="1"/>
  <c r="AC284" i="1"/>
  <c r="AD284" i="1" s="1"/>
  <c r="AC324" i="1"/>
  <c r="AD324" i="1" s="1"/>
  <c r="O385" i="1"/>
  <c r="O409" i="1"/>
  <c r="O412" i="1"/>
  <c r="O417" i="1"/>
  <c r="O420" i="1"/>
  <c r="O425" i="1"/>
  <c r="O195" i="1"/>
  <c r="AC209" i="1"/>
  <c r="AD209" i="1" s="1"/>
  <c r="O215" i="1"/>
  <c r="AC262" i="1"/>
  <c r="AD262" i="1" s="1"/>
  <c r="O339" i="1"/>
  <c r="O357" i="1"/>
  <c r="AC393" i="1"/>
  <c r="AD393" i="1" s="1"/>
  <c r="AC403" i="1"/>
  <c r="AD403" i="1" s="1"/>
  <c r="O432" i="1"/>
  <c r="O437" i="1"/>
  <c r="W441" i="1"/>
  <c r="X441" i="1" s="1"/>
  <c r="W40" i="2"/>
  <c r="X40" i="2" s="1"/>
  <c r="O56" i="2"/>
  <c r="AC73" i="2"/>
  <c r="AD73" i="2" s="1"/>
  <c r="H88" i="2"/>
  <c r="I88" i="2" s="1"/>
  <c r="AC88" i="2"/>
  <c r="AD88" i="2" s="1"/>
  <c r="AC118" i="2"/>
  <c r="AD118" i="2" s="1"/>
  <c r="N148" i="2"/>
  <c r="O148" i="2" s="1"/>
  <c r="W149" i="2"/>
  <c r="X149" i="2" s="1"/>
  <c r="N158" i="2"/>
  <c r="O158" i="2" s="1"/>
  <c r="H172" i="2"/>
  <c r="I172" i="2" s="1"/>
  <c r="Z172" i="2"/>
  <c r="H182" i="2"/>
  <c r="I182" i="2" s="1"/>
  <c r="O183" i="2"/>
  <c r="O186" i="2"/>
  <c r="H196" i="2"/>
  <c r="I196" i="2" s="1"/>
  <c r="H209" i="2"/>
  <c r="I209" i="2" s="1"/>
  <c r="AC209" i="2"/>
  <c r="AD209" i="2" s="1"/>
  <c r="O222" i="2"/>
  <c r="O224" i="2"/>
  <c r="C227" i="2"/>
  <c r="N227" i="2"/>
  <c r="O227" i="2" s="1"/>
  <c r="H236" i="2"/>
  <c r="I236" i="2" s="1"/>
  <c r="C236" i="2"/>
  <c r="O251" i="2"/>
  <c r="O253" i="2"/>
  <c r="C262" i="2"/>
  <c r="H262" i="2"/>
  <c r="I262" i="2" s="1"/>
  <c r="W267" i="2"/>
  <c r="X267" i="2" s="1"/>
  <c r="O276" i="2"/>
  <c r="N284" i="2"/>
  <c r="O284" i="2" s="1"/>
  <c r="R325" i="2"/>
  <c r="AC325" i="2"/>
  <c r="AD325" i="2" s="1"/>
  <c r="W342" i="2"/>
  <c r="X342" i="2" s="1"/>
  <c r="AC342" i="2"/>
  <c r="AD342" i="2" s="1"/>
  <c r="O358" i="2"/>
  <c r="C368" i="2"/>
  <c r="N368" i="2"/>
  <c r="O368" i="2" s="1"/>
  <c r="H368" i="2"/>
  <c r="I368" i="2" s="1"/>
  <c r="O370" i="2"/>
  <c r="O382" i="2"/>
  <c r="W193" i="3"/>
  <c r="X193" i="3" s="1"/>
  <c r="AC193" i="3"/>
  <c r="AD193" i="3" s="1"/>
  <c r="R193" i="3"/>
  <c r="H428" i="1"/>
  <c r="I428" i="1" s="1"/>
  <c r="O8" i="2"/>
  <c r="O17" i="2"/>
  <c r="O35" i="2"/>
  <c r="O69" i="2"/>
  <c r="O123" i="2"/>
  <c r="T172" i="2"/>
  <c r="U124" i="2"/>
  <c r="W148" i="2"/>
  <c r="X148" i="2" s="1"/>
  <c r="W182" i="2"/>
  <c r="X182" i="2" s="1"/>
  <c r="O218" i="2"/>
  <c r="W227" i="2"/>
  <c r="X227" i="2" s="1"/>
  <c r="AC263" i="2"/>
  <c r="AD263" i="2" s="1"/>
  <c r="H295" i="2"/>
  <c r="I295" i="2" s="1"/>
  <c r="AC324" i="2"/>
  <c r="AD324" i="2" s="1"/>
  <c r="H343" i="2"/>
  <c r="I343" i="2" s="1"/>
  <c r="C393" i="2"/>
  <c r="N393" i="2"/>
  <c r="O393" i="2" s="1"/>
  <c r="H393" i="2"/>
  <c r="I393" i="2" s="1"/>
  <c r="W396" i="2"/>
  <c r="X396" i="2" s="1"/>
  <c r="U396" i="2"/>
  <c r="O401" i="2"/>
  <c r="O410" i="2"/>
  <c r="H267" i="3"/>
  <c r="I267" i="3" s="1"/>
  <c r="N267" i="3"/>
  <c r="O267" i="3" s="1"/>
  <c r="C267" i="3"/>
  <c r="N403" i="2"/>
  <c r="O403" i="2" s="1"/>
  <c r="R429" i="2"/>
  <c r="AC429" i="2"/>
  <c r="AD429" i="2" s="1"/>
  <c r="X433" i="2"/>
  <c r="X426" i="2"/>
  <c r="X408" i="2"/>
  <c r="X402" i="2"/>
  <c r="X391" i="2"/>
  <c r="X386" i="2"/>
  <c r="X381" i="2"/>
  <c r="X377" i="2"/>
  <c r="X373" i="2"/>
  <c r="X369" i="2"/>
  <c r="X366" i="2"/>
  <c r="X362" i="2"/>
  <c r="X354" i="2"/>
  <c r="X350" i="2"/>
  <c r="X340" i="2"/>
  <c r="X335" i="2"/>
  <c r="X331" i="2"/>
  <c r="X323" i="2"/>
  <c r="X319" i="2"/>
  <c r="X315" i="2"/>
  <c r="X311" i="2"/>
  <c r="X307" i="2"/>
  <c r="X303" i="2"/>
  <c r="X299" i="2"/>
  <c r="X291" i="2"/>
  <c r="X287" i="2"/>
  <c r="X283" i="2"/>
  <c r="X279" i="2"/>
  <c r="X275" i="2"/>
  <c r="X271" i="2"/>
  <c r="X260" i="2"/>
  <c r="X256" i="2"/>
  <c r="X252" i="2"/>
  <c r="X248" i="2"/>
  <c r="X244" i="2"/>
  <c r="X240" i="2"/>
  <c r="X235" i="2"/>
  <c r="X231" i="2"/>
  <c r="X223" i="2"/>
  <c r="X219" i="2"/>
  <c r="X216" i="2"/>
  <c r="X211" i="2"/>
  <c r="X207" i="2"/>
  <c r="X203" i="2"/>
  <c r="X189" i="2"/>
  <c r="X184" i="2"/>
  <c r="X181" i="2"/>
  <c r="X177" i="2"/>
  <c r="X169" i="2"/>
  <c r="X162" i="2"/>
  <c r="X154" i="2"/>
  <c r="X146" i="2"/>
  <c r="X138" i="2"/>
  <c r="X134" i="2"/>
  <c r="X130" i="2"/>
  <c r="X121" i="2"/>
  <c r="X114" i="2"/>
  <c r="X110" i="2"/>
  <c r="X106" i="2"/>
  <c r="X102" i="2"/>
  <c r="X98" i="2"/>
  <c r="X94" i="2"/>
  <c r="X89" i="2"/>
  <c r="X86" i="2"/>
  <c r="X82" i="2"/>
  <c r="X78" i="2"/>
  <c r="X70" i="2"/>
  <c r="X66" i="2"/>
  <c r="X59" i="2"/>
  <c r="X55" i="2"/>
  <c r="X51" i="2"/>
  <c r="X47" i="2"/>
  <c r="X42" i="2"/>
  <c r="X38" i="2"/>
  <c r="X421" i="2"/>
  <c r="X441" i="2"/>
  <c r="X425" i="2"/>
  <c r="H29" i="3"/>
  <c r="I29" i="3" s="1"/>
  <c r="C29" i="3"/>
  <c r="L358" i="2"/>
  <c r="O394" i="2"/>
  <c r="O407" i="2"/>
  <c r="O409" i="2"/>
  <c r="U209" i="3"/>
  <c r="W295" i="3"/>
  <c r="X295" i="3" s="1"/>
  <c r="R295" i="3"/>
  <c r="AC295" i="3"/>
  <c r="AD295" i="3" s="1"/>
  <c r="AC403" i="2"/>
  <c r="AD403" i="2" s="1"/>
  <c r="O418" i="2"/>
  <c r="N428" i="2"/>
  <c r="O428" i="2" s="1"/>
  <c r="N429" i="2"/>
  <c r="O429" i="2" s="1"/>
  <c r="W429" i="2"/>
  <c r="X429" i="2" s="1"/>
  <c r="O436" i="2"/>
  <c r="O440" i="2"/>
  <c r="W62" i="3"/>
  <c r="X62" i="3" s="1"/>
  <c r="R62" i="3"/>
  <c r="W149" i="3"/>
  <c r="X149" i="3" s="1"/>
  <c r="AC149" i="3"/>
  <c r="AD149" i="3" s="1"/>
  <c r="H284" i="3"/>
  <c r="I284" i="3" s="1"/>
  <c r="F284" i="3"/>
  <c r="AC358" i="2"/>
  <c r="AD358" i="2" s="1"/>
  <c r="C403" i="2"/>
  <c r="O432" i="2"/>
  <c r="R149" i="3"/>
  <c r="W227" i="3"/>
  <c r="X227" i="3" s="1"/>
  <c r="AC227" i="3"/>
  <c r="AD227" i="3" s="1"/>
  <c r="U344" i="3"/>
  <c r="W396" i="3"/>
  <c r="X396" i="3" s="1"/>
  <c r="W429" i="3"/>
  <c r="X429" i="3" s="1"/>
  <c r="AC429" i="3"/>
  <c r="AD429" i="3" s="1"/>
  <c r="N429" i="1"/>
  <c r="O429" i="1" s="1"/>
  <c r="AC442" i="1"/>
  <c r="AD442" i="1" s="1"/>
  <c r="N18" i="2"/>
  <c r="O18" i="2" s="1"/>
  <c r="AC124" i="2"/>
  <c r="AD124" i="2" s="1"/>
  <c r="W197" i="2"/>
  <c r="X197" i="2" s="1"/>
  <c r="X221" i="2"/>
  <c r="X250" i="2"/>
  <c r="H284" i="2"/>
  <c r="I284" i="2" s="1"/>
  <c r="X301" i="2"/>
  <c r="X317" i="2"/>
  <c r="X329" i="2"/>
  <c r="W344" i="2"/>
  <c r="X344" i="2" s="1"/>
  <c r="X356" i="2"/>
  <c r="X383" i="2"/>
  <c r="X407" i="2"/>
  <c r="X414" i="2"/>
  <c r="W158" i="3"/>
  <c r="X158" i="3" s="1"/>
  <c r="R158" i="3"/>
  <c r="AC158" i="3"/>
  <c r="AD158" i="3" s="1"/>
  <c r="R227" i="3"/>
  <c r="H295" i="3"/>
  <c r="I295" i="3" s="1"/>
  <c r="C295" i="3"/>
  <c r="N295" i="3"/>
  <c r="O295" i="3" s="1"/>
  <c r="W324" i="3"/>
  <c r="X324" i="3" s="1"/>
  <c r="AC324" i="3"/>
  <c r="AD324" i="3" s="1"/>
  <c r="R429" i="3"/>
  <c r="X57" i="2"/>
  <c r="W61" i="2"/>
  <c r="X61" i="2" s="1"/>
  <c r="X68" i="2"/>
  <c r="H73" i="2"/>
  <c r="I73" i="2" s="1"/>
  <c r="X96" i="2"/>
  <c r="X112" i="2"/>
  <c r="N141" i="2"/>
  <c r="O141" i="2" s="1"/>
  <c r="H170" i="2"/>
  <c r="I170" i="2" s="1"/>
  <c r="X179" i="2"/>
  <c r="R197" i="2"/>
  <c r="AC227" i="2"/>
  <c r="AD227" i="2" s="1"/>
  <c r="X229" i="2"/>
  <c r="AC267" i="2"/>
  <c r="AD267" i="2" s="1"/>
  <c r="X269" i="2"/>
  <c r="W273" i="2"/>
  <c r="X273" i="2" s="1"/>
  <c r="C284" i="2"/>
  <c r="W295" i="2"/>
  <c r="X295" i="2" s="1"/>
  <c r="X312" i="2"/>
  <c r="R344" i="2"/>
  <c r="X364" i="2"/>
  <c r="W368" i="2"/>
  <c r="X368" i="2" s="1"/>
  <c r="N396" i="2"/>
  <c r="O396" i="2" s="1"/>
  <c r="O415" i="2"/>
  <c r="X416" i="2"/>
  <c r="O417" i="2"/>
  <c r="X418" i="2"/>
  <c r="X436" i="2"/>
  <c r="X440" i="2"/>
  <c r="AC441" i="2"/>
  <c r="AD441" i="2" s="1"/>
  <c r="N29" i="3"/>
  <c r="O29" i="3" s="1"/>
  <c r="Z345" i="3"/>
  <c r="H149" i="3"/>
  <c r="I149" i="3" s="1"/>
  <c r="N149" i="3"/>
  <c r="O149" i="3" s="1"/>
  <c r="C149" i="3"/>
  <c r="W218" i="3"/>
  <c r="X218" i="3" s="1"/>
  <c r="U218" i="3"/>
  <c r="R324" i="3"/>
  <c r="U368" i="3"/>
  <c r="O421" i="2"/>
  <c r="W18" i="3"/>
  <c r="X18" i="3" s="1"/>
  <c r="AC18" i="3"/>
  <c r="AD18" i="3" s="1"/>
  <c r="H141" i="3"/>
  <c r="I141" i="3" s="1"/>
  <c r="N141" i="3"/>
  <c r="O141" i="3" s="1"/>
  <c r="C141" i="3"/>
  <c r="H158" i="3"/>
  <c r="I158" i="3" s="1"/>
  <c r="C158" i="3"/>
  <c r="W166" i="3"/>
  <c r="X166" i="3" s="1"/>
  <c r="AC166" i="3"/>
  <c r="AD166" i="3" s="1"/>
  <c r="R198" i="4"/>
  <c r="Q345" i="4"/>
  <c r="N88" i="3"/>
  <c r="O88" i="3" s="1"/>
  <c r="H118" i="3"/>
  <c r="I118" i="3" s="1"/>
  <c r="N118" i="3"/>
  <c r="O118" i="3" s="1"/>
  <c r="K198" i="3"/>
  <c r="L172" i="3"/>
  <c r="C118" i="3"/>
  <c r="AA124" i="3"/>
  <c r="H166" i="3"/>
  <c r="I166" i="3" s="1"/>
  <c r="N166" i="3"/>
  <c r="O166" i="3" s="1"/>
  <c r="R170" i="3"/>
  <c r="R172" i="3"/>
  <c r="W182" i="3"/>
  <c r="X182" i="3" s="1"/>
  <c r="AC182" i="3"/>
  <c r="AD182" i="3" s="1"/>
  <c r="U393" i="3"/>
  <c r="AC124" i="3"/>
  <c r="AD124" i="3" s="1"/>
  <c r="R182" i="3"/>
  <c r="Q198" i="3"/>
  <c r="AA263" i="3"/>
  <c r="C343" i="3"/>
  <c r="H429" i="3"/>
  <c r="I429" i="3" s="1"/>
  <c r="F429" i="3"/>
  <c r="X399" i="2"/>
  <c r="O413" i="2"/>
  <c r="O425" i="2"/>
  <c r="N442" i="2"/>
  <c r="O442" i="2" s="1"/>
  <c r="R442" i="2"/>
  <c r="W442" i="2"/>
  <c r="X442" i="2" s="1"/>
  <c r="H62" i="3"/>
  <c r="I62" i="3" s="1"/>
  <c r="N62" i="3"/>
  <c r="O62" i="3" s="1"/>
  <c r="U88" i="3"/>
  <c r="R122" i="3"/>
  <c r="W262" i="3"/>
  <c r="X262" i="3" s="1"/>
  <c r="W267" i="3"/>
  <c r="X267" i="3" s="1"/>
  <c r="AC267" i="3"/>
  <c r="AD267" i="3" s="1"/>
  <c r="R267" i="3"/>
  <c r="W284" i="3"/>
  <c r="X284" i="3" s="1"/>
  <c r="AC284" i="3"/>
  <c r="AD284" i="3" s="1"/>
  <c r="R284" i="3"/>
  <c r="H325" i="3"/>
  <c r="I325" i="3" s="1"/>
  <c r="N325" i="3"/>
  <c r="O325" i="3" s="1"/>
  <c r="O397" i="2"/>
  <c r="X411" i="2"/>
  <c r="H428" i="2"/>
  <c r="I428" i="2" s="1"/>
  <c r="O437" i="2"/>
  <c r="AC73" i="3"/>
  <c r="AD73" i="3" s="1"/>
  <c r="N158" i="3"/>
  <c r="O158" i="3" s="1"/>
  <c r="E172" i="3"/>
  <c r="AA172" i="3"/>
  <c r="AC343" i="3"/>
  <c r="AD343" i="3" s="1"/>
  <c r="H428" i="3"/>
  <c r="I428" i="3" s="1"/>
  <c r="N428" i="3"/>
  <c r="O428" i="3" s="1"/>
  <c r="T198" i="3"/>
  <c r="H196" i="3"/>
  <c r="I196" i="3" s="1"/>
  <c r="H358" i="3"/>
  <c r="I358" i="3" s="1"/>
  <c r="R172" i="4"/>
  <c r="AC172" i="4"/>
  <c r="AD172" i="4" s="1"/>
  <c r="W172" i="4"/>
  <c r="X172" i="4" s="1"/>
  <c r="R149" i="4"/>
  <c r="AC149" i="4"/>
  <c r="AD149" i="4" s="1"/>
  <c r="W149" i="4"/>
  <c r="X149" i="4" s="1"/>
  <c r="AA284" i="4"/>
  <c r="AC284" i="4"/>
  <c r="AD284" i="4" s="1"/>
  <c r="C171" i="4"/>
  <c r="N171" i="4"/>
  <c r="O171" i="4" s="1"/>
  <c r="H171" i="4"/>
  <c r="I171" i="4" s="1"/>
  <c r="L198" i="4"/>
  <c r="K345" i="4"/>
  <c r="N172" i="4"/>
  <c r="O172" i="4" s="1"/>
  <c r="H172" i="4"/>
  <c r="I172" i="4" s="1"/>
  <c r="B198" i="4"/>
  <c r="U172" i="4"/>
  <c r="T198" i="4"/>
  <c r="F263" i="4"/>
  <c r="H263" i="4"/>
  <c r="I263" i="4" s="1"/>
  <c r="W236" i="3"/>
  <c r="X236" i="3" s="1"/>
  <c r="H18" i="3"/>
  <c r="I18" i="3" s="1"/>
  <c r="AC29" i="3"/>
  <c r="AD29" i="3" s="1"/>
  <c r="B172" i="3"/>
  <c r="H124" i="3"/>
  <c r="I124" i="3" s="1"/>
  <c r="R236" i="3"/>
  <c r="H263" i="3"/>
  <c r="I263" i="3" s="1"/>
  <c r="H441" i="3"/>
  <c r="I441" i="3" s="1"/>
  <c r="W442" i="3"/>
  <c r="X442" i="3" s="1"/>
  <c r="AC18" i="4"/>
  <c r="AD18" i="4" s="1"/>
  <c r="N29" i="4"/>
  <c r="O29" i="4" s="1"/>
  <c r="AC62" i="4"/>
  <c r="AD62" i="4" s="1"/>
  <c r="N73" i="4"/>
  <c r="O73" i="4" s="1"/>
  <c r="AC118" i="4"/>
  <c r="AD118" i="4" s="1"/>
  <c r="E172" i="4"/>
  <c r="N196" i="4"/>
  <c r="O196" i="4" s="1"/>
  <c r="R18" i="4"/>
  <c r="C29" i="4"/>
  <c r="F62" i="4"/>
  <c r="R62" i="4"/>
  <c r="C73" i="4"/>
  <c r="F118" i="4"/>
  <c r="R118" i="4"/>
  <c r="U122" i="4"/>
  <c r="F124" i="4"/>
  <c r="R124" i="4"/>
  <c r="R141" i="4"/>
  <c r="C148" i="4"/>
  <c r="R148" i="4"/>
  <c r="C170" i="4"/>
  <c r="U171" i="4"/>
  <c r="L182" i="4"/>
  <c r="AA182" i="4"/>
  <c r="C197" i="4"/>
  <c r="R197" i="4"/>
  <c r="F209" i="4"/>
  <c r="W209" i="4"/>
  <c r="X209" i="4" s="1"/>
  <c r="C325" i="4"/>
  <c r="N325" i="4"/>
  <c r="O325" i="4" s="1"/>
  <c r="AC29" i="4"/>
  <c r="AD29" i="4" s="1"/>
  <c r="N40" i="4"/>
  <c r="O40" i="4" s="1"/>
  <c r="N61" i="4"/>
  <c r="O61" i="4" s="1"/>
  <c r="AC73" i="4"/>
  <c r="AD73" i="4" s="1"/>
  <c r="N88" i="4"/>
  <c r="O88" i="4" s="1"/>
  <c r="H149" i="4"/>
  <c r="I149" i="4" s="1"/>
  <c r="L158" i="4"/>
  <c r="AC158" i="4"/>
  <c r="AD158" i="4" s="1"/>
  <c r="W170" i="4"/>
  <c r="X170" i="4" s="1"/>
  <c r="Z172" i="4"/>
  <c r="C227" i="4"/>
  <c r="H227" i="4"/>
  <c r="I227" i="4" s="1"/>
  <c r="C267" i="4"/>
  <c r="N267" i="4"/>
  <c r="O267" i="4" s="1"/>
  <c r="N273" i="4"/>
  <c r="O273" i="4" s="1"/>
  <c r="R29" i="4"/>
  <c r="C40" i="4"/>
  <c r="C61" i="4"/>
  <c r="R73" i="4"/>
  <c r="C88" i="4"/>
  <c r="W148" i="4"/>
  <c r="X148" i="4" s="1"/>
  <c r="H170" i="4"/>
  <c r="I170" i="4" s="1"/>
  <c r="L172" i="4"/>
  <c r="H193" i="4"/>
  <c r="I193" i="4" s="1"/>
  <c r="W193" i="4"/>
  <c r="X193" i="4" s="1"/>
  <c r="W197" i="4"/>
  <c r="X197" i="4" s="1"/>
  <c r="AA209" i="4"/>
  <c r="N218" i="4"/>
  <c r="O218" i="4" s="1"/>
  <c r="W227" i="4"/>
  <c r="X227" i="4" s="1"/>
  <c r="R236" i="4"/>
  <c r="W236" i="4"/>
  <c r="X236" i="4" s="1"/>
  <c r="R263" i="4"/>
  <c r="W263" i="4"/>
  <c r="X263" i="4" s="1"/>
  <c r="R273" i="4"/>
  <c r="AC273" i="4"/>
  <c r="AD273" i="4" s="1"/>
  <c r="W324" i="4"/>
  <c r="X324" i="4" s="1"/>
  <c r="R324" i="4"/>
  <c r="AC141" i="3"/>
  <c r="AD141" i="3" s="1"/>
  <c r="N148" i="3"/>
  <c r="O148" i="3" s="1"/>
  <c r="AC171" i="3"/>
  <c r="AD171" i="3" s="1"/>
  <c r="N197" i="3"/>
  <c r="O197" i="3" s="1"/>
  <c r="N209" i="3"/>
  <c r="O209" i="3" s="1"/>
  <c r="N218" i="3"/>
  <c r="O218" i="3" s="1"/>
  <c r="N262" i="3"/>
  <c r="O262" i="3" s="1"/>
  <c r="N273" i="3"/>
  <c r="O273" i="3" s="1"/>
  <c r="AC325" i="3"/>
  <c r="AD325" i="3" s="1"/>
  <c r="N342" i="3"/>
  <c r="O342" i="3" s="1"/>
  <c r="N344" i="3"/>
  <c r="O344" i="3" s="1"/>
  <c r="N368" i="3"/>
  <c r="O368" i="3" s="1"/>
  <c r="N393" i="3"/>
  <c r="O393" i="3" s="1"/>
  <c r="N396" i="3"/>
  <c r="O396" i="3" s="1"/>
  <c r="N403" i="3"/>
  <c r="O403" i="3" s="1"/>
  <c r="AC428" i="3"/>
  <c r="AD428" i="3" s="1"/>
  <c r="N442" i="3"/>
  <c r="O442" i="3" s="1"/>
  <c r="AC40" i="4"/>
  <c r="AD40" i="4" s="1"/>
  <c r="AC61" i="4"/>
  <c r="AD61" i="4" s="1"/>
  <c r="AC88" i="4"/>
  <c r="AD88" i="4" s="1"/>
  <c r="N122" i="4"/>
  <c r="O122" i="4" s="1"/>
  <c r="W124" i="4"/>
  <c r="X124" i="4" s="1"/>
  <c r="H141" i="4"/>
  <c r="I141" i="4" s="1"/>
  <c r="W141" i="4"/>
  <c r="X141" i="4" s="1"/>
  <c r="H148" i="4"/>
  <c r="I148" i="4" s="1"/>
  <c r="H166" i="4"/>
  <c r="I166" i="4" s="1"/>
  <c r="W166" i="4"/>
  <c r="X166" i="4" s="1"/>
  <c r="AC171" i="4"/>
  <c r="AD171" i="4" s="1"/>
  <c r="H196" i="4"/>
  <c r="I196" i="4" s="1"/>
  <c r="W196" i="4"/>
  <c r="X196" i="4" s="1"/>
  <c r="H197" i="4"/>
  <c r="I197" i="4" s="1"/>
  <c r="N209" i="4"/>
  <c r="O209" i="4" s="1"/>
  <c r="C236" i="4"/>
  <c r="H267" i="4"/>
  <c r="I267" i="4" s="1"/>
  <c r="H325" i="4"/>
  <c r="I325" i="4" s="1"/>
  <c r="R342" i="4"/>
  <c r="AC342" i="4"/>
  <c r="AD342" i="4" s="1"/>
  <c r="U396" i="4"/>
  <c r="N263" i="4"/>
  <c r="O263" i="4" s="1"/>
  <c r="L295" i="4"/>
  <c r="N342" i="4"/>
  <c r="O342" i="4" s="1"/>
  <c r="N124" i="4"/>
  <c r="O124" i="4" s="1"/>
  <c r="N149" i="4"/>
  <c r="O149" i="4" s="1"/>
  <c r="AC170" i="4"/>
  <c r="AD170" i="4" s="1"/>
  <c r="W182" i="4"/>
  <c r="X182" i="4" s="1"/>
  <c r="AC193" i="4"/>
  <c r="AD193" i="4" s="1"/>
  <c r="AC227" i="4"/>
  <c r="AD227" i="4" s="1"/>
  <c r="C263" i="4"/>
  <c r="W273" i="4"/>
  <c r="X273" i="4" s="1"/>
  <c r="AC358" i="4"/>
  <c r="AD358" i="4" s="1"/>
  <c r="N368" i="4"/>
  <c r="O368" i="4" s="1"/>
  <c r="O241" i="4"/>
  <c r="O245" i="4"/>
  <c r="O249" i="4"/>
  <c r="O253" i="4"/>
  <c r="O257" i="4"/>
  <c r="O261" i="4"/>
  <c r="O265" i="4"/>
  <c r="O271" i="4"/>
  <c r="O280" i="4"/>
  <c r="W284" i="4"/>
  <c r="X284" i="4" s="1"/>
  <c r="O293" i="4"/>
  <c r="O329" i="4"/>
  <c r="O338" i="4"/>
  <c r="C343" i="4"/>
  <c r="H358" i="4"/>
  <c r="I358" i="4" s="1"/>
  <c r="R358" i="4"/>
  <c r="W358" i="4"/>
  <c r="X358" i="4" s="1"/>
  <c r="O382" i="4"/>
  <c r="N396" i="4"/>
  <c r="O396" i="4" s="1"/>
  <c r="O398" i="4"/>
  <c r="N403" i="4"/>
  <c r="O403" i="4" s="1"/>
  <c r="O422" i="4"/>
  <c r="X423" i="4"/>
  <c r="O424" i="4"/>
  <c r="L441" i="4"/>
  <c r="N442" i="4"/>
  <c r="O442" i="4" s="1"/>
  <c r="W442" i="4"/>
  <c r="X442" i="4" s="1"/>
  <c r="R29" i="5"/>
  <c r="W40" i="5"/>
  <c r="X40" i="5" s="1"/>
  <c r="O418" i="4"/>
  <c r="H428" i="4"/>
  <c r="I428" i="4" s="1"/>
  <c r="N428" i="4"/>
  <c r="O428" i="4" s="1"/>
  <c r="O433" i="4"/>
  <c r="O437" i="4"/>
  <c r="O439" i="4"/>
  <c r="R73" i="5"/>
  <c r="W73" i="5"/>
  <c r="X73" i="5" s="1"/>
  <c r="AC73" i="5"/>
  <c r="AD73" i="5" s="1"/>
  <c r="C428" i="4"/>
  <c r="O435" i="4"/>
  <c r="H29" i="5"/>
  <c r="I29" i="5" s="1"/>
  <c r="N29" i="5"/>
  <c r="O29" i="5" s="1"/>
  <c r="W29" i="5"/>
  <c r="X29" i="5" s="1"/>
  <c r="O427" i="4"/>
  <c r="O429" i="4"/>
  <c r="R18" i="5"/>
  <c r="AC18" i="5"/>
  <c r="AD18" i="5" s="1"/>
  <c r="L62" i="5"/>
  <c r="N62" i="5"/>
  <c r="O62" i="5" s="1"/>
  <c r="R429" i="4"/>
  <c r="W429" i="4"/>
  <c r="X429" i="4" s="1"/>
  <c r="O436" i="4"/>
  <c r="O440" i="4"/>
  <c r="AC62" i="5"/>
  <c r="AD62" i="5" s="1"/>
  <c r="W62" i="5"/>
  <c r="X62" i="5" s="1"/>
  <c r="H295" i="4"/>
  <c r="I295" i="4" s="1"/>
  <c r="O362" i="4"/>
  <c r="O391" i="4"/>
  <c r="O413" i="4"/>
  <c r="O434" i="4"/>
  <c r="I432" i="4"/>
  <c r="I427" i="4"/>
  <c r="I411" i="4"/>
  <c r="I400" i="4"/>
  <c r="I390" i="4"/>
  <c r="I385" i="4"/>
  <c r="I380" i="4"/>
  <c r="I376" i="4"/>
  <c r="R62" i="5"/>
  <c r="O425" i="4"/>
  <c r="O412" i="4"/>
  <c r="O409" i="4"/>
  <c r="O419" i="4"/>
  <c r="O320" i="4"/>
  <c r="O316" i="4"/>
  <c r="O312" i="4"/>
  <c r="O308" i="4"/>
  <c r="O304" i="4"/>
  <c r="O300" i="4"/>
  <c r="O292" i="4"/>
  <c r="O288" i="4"/>
  <c r="O415" i="4"/>
  <c r="O332" i="4"/>
  <c r="O341" i="4"/>
  <c r="H343" i="4"/>
  <c r="I343" i="4" s="1"/>
  <c r="O355" i="4"/>
  <c r="O366" i="4"/>
  <c r="O369" i="4"/>
  <c r="O378" i="4"/>
  <c r="W428" i="4"/>
  <c r="X428" i="4" s="1"/>
  <c r="O441" i="4"/>
  <c r="AA441" i="4"/>
  <c r="AC441" i="4"/>
  <c r="AD441" i="4" s="1"/>
  <c r="X438" i="4"/>
  <c r="X435" i="4"/>
  <c r="X420" i="4"/>
  <c r="X417" i="4"/>
  <c r="X322" i="4"/>
  <c r="X318" i="4"/>
  <c r="X314" i="4"/>
  <c r="X310" i="4"/>
  <c r="X306" i="4"/>
  <c r="X302" i="4"/>
  <c r="X298" i="4"/>
  <c r="X294" i="4"/>
  <c r="X290" i="4"/>
  <c r="X286" i="4"/>
  <c r="X282" i="4"/>
  <c r="X421" i="4"/>
  <c r="H18" i="5"/>
  <c r="I18" i="5" s="1"/>
  <c r="E198" i="5"/>
  <c r="F172" i="5"/>
  <c r="I438" i="4"/>
  <c r="C442" i="4"/>
  <c r="N122" i="5"/>
  <c r="O122" i="5" s="1"/>
  <c r="Z198" i="5"/>
  <c r="R236" i="5"/>
  <c r="AC236" i="5"/>
  <c r="AD236" i="5" s="1"/>
  <c r="W236" i="5"/>
  <c r="X236" i="5" s="1"/>
  <c r="H262" i="5"/>
  <c r="I262" i="5" s="1"/>
  <c r="F262" i="5"/>
  <c r="H324" i="5"/>
  <c r="I324" i="5" s="1"/>
  <c r="N324" i="5"/>
  <c r="O324" i="5" s="1"/>
  <c r="C324" i="5"/>
  <c r="H342" i="5"/>
  <c r="I342" i="5" s="1"/>
  <c r="F342" i="5"/>
  <c r="C118" i="5"/>
  <c r="N118" i="5"/>
  <c r="O118" i="5" s="1"/>
  <c r="R141" i="5"/>
  <c r="AC141" i="5"/>
  <c r="AD141" i="5" s="1"/>
  <c r="C218" i="5"/>
  <c r="H218" i="5"/>
  <c r="I218" i="5" s="1"/>
  <c r="N73" i="5"/>
  <c r="O73" i="5" s="1"/>
  <c r="AA182" i="5"/>
  <c r="W209" i="5"/>
  <c r="X209" i="5" s="1"/>
  <c r="AC209" i="5"/>
  <c r="AD209" i="5" s="1"/>
  <c r="F325" i="5"/>
  <c r="H325" i="5"/>
  <c r="I325" i="5" s="1"/>
  <c r="AA118" i="5"/>
  <c r="AC118" i="5"/>
  <c r="AD118" i="5" s="1"/>
  <c r="C158" i="5"/>
  <c r="H158" i="5"/>
  <c r="I158" i="5" s="1"/>
  <c r="R209" i="5"/>
  <c r="C124" i="5"/>
  <c r="B172" i="5"/>
  <c r="H124" i="5"/>
  <c r="I124" i="5" s="1"/>
  <c r="T172" i="5"/>
  <c r="U124" i="5"/>
  <c r="R170" i="5"/>
  <c r="W170" i="5"/>
  <c r="X170" i="5" s="1"/>
  <c r="N182" i="5"/>
  <c r="O182" i="5" s="1"/>
  <c r="W197" i="5"/>
  <c r="X197" i="5" s="1"/>
  <c r="AC197" i="5"/>
  <c r="AD197" i="5" s="1"/>
  <c r="L198" i="5"/>
  <c r="K345" i="5"/>
  <c r="C209" i="5"/>
  <c r="N209" i="5"/>
  <c r="O209" i="5" s="1"/>
  <c r="N267" i="5"/>
  <c r="O267" i="5" s="1"/>
  <c r="L267" i="5"/>
  <c r="C88" i="6"/>
  <c r="N88" i="6"/>
  <c r="O88" i="6" s="1"/>
  <c r="H88" i="6"/>
  <c r="I88" i="6" s="1"/>
  <c r="I418" i="4"/>
  <c r="W88" i="5"/>
  <c r="X88" i="5" s="1"/>
  <c r="R88" i="5"/>
  <c r="H122" i="5"/>
  <c r="I122" i="5" s="1"/>
  <c r="W124" i="5"/>
  <c r="X124" i="5" s="1"/>
  <c r="H171" i="5"/>
  <c r="I171" i="5" s="1"/>
  <c r="R197" i="5"/>
  <c r="N40" i="5"/>
  <c r="O40" i="5" s="1"/>
  <c r="F124" i="5"/>
  <c r="C148" i="5"/>
  <c r="N148" i="5"/>
  <c r="O148" i="5" s="1"/>
  <c r="L196" i="5"/>
  <c r="N218" i="5"/>
  <c r="O218" i="5" s="1"/>
  <c r="I414" i="4"/>
  <c r="R171" i="5"/>
  <c r="Q172" i="5"/>
  <c r="AC171" i="5"/>
  <c r="AD171" i="5" s="1"/>
  <c r="C197" i="5"/>
  <c r="H197" i="5"/>
  <c r="I197" i="5" s="1"/>
  <c r="H209" i="5"/>
  <c r="I209" i="5" s="1"/>
  <c r="W218" i="5"/>
  <c r="X218" i="5" s="1"/>
  <c r="AC218" i="5"/>
  <c r="AD218" i="5" s="1"/>
  <c r="N344" i="5"/>
  <c r="O344" i="5" s="1"/>
  <c r="F73" i="6"/>
  <c r="H73" i="6"/>
  <c r="I73" i="6" s="1"/>
  <c r="N227" i="5"/>
  <c r="O227" i="5" s="1"/>
  <c r="L343" i="5"/>
  <c r="W344" i="5"/>
  <c r="X344" i="5" s="1"/>
  <c r="N368" i="5"/>
  <c r="O368" i="5" s="1"/>
  <c r="R441" i="5"/>
  <c r="AC441" i="5"/>
  <c r="AD441" i="5" s="1"/>
  <c r="W441" i="5"/>
  <c r="X441" i="5" s="1"/>
  <c r="F141" i="6"/>
  <c r="H141" i="6"/>
  <c r="I141" i="6" s="1"/>
  <c r="F197" i="6"/>
  <c r="H197" i="6"/>
  <c r="I197" i="6" s="1"/>
  <c r="AC227" i="5"/>
  <c r="AD227" i="5" s="1"/>
  <c r="AC262" i="5"/>
  <c r="AD262" i="5" s="1"/>
  <c r="AC267" i="5"/>
  <c r="AD267" i="5" s="1"/>
  <c r="C284" i="5"/>
  <c r="W295" i="5"/>
  <c r="X295" i="5" s="1"/>
  <c r="AC342" i="5"/>
  <c r="AD342" i="5" s="1"/>
  <c r="R344" i="5"/>
  <c r="W368" i="5"/>
  <c r="X368" i="5" s="1"/>
  <c r="R368" i="5"/>
  <c r="AC263" i="5"/>
  <c r="AD263" i="5" s="1"/>
  <c r="R273" i="5"/>
  <c r="W284" i="5"/>
  <c r="X284" i="5" s="1"/>
  <c r="H295" i="5"/>
  <c r="I295" i="5" s="1"/>
  <c r="AA324" i="5"/>
  <c r="W88" i="6"/>
  <c r="X88" i="6" s="1"/>
  <c r="AC88" i="6"/>
  <c r="AD88" i="6" s="1"/>
  <c r="R88" i="6"/>
  <c r="B198" i="6"/>
  <c r="H172" i="6"/>
  <c r="I172" i="6" s="1"/>
  <c r="C172" i="6"/>
  <c r="AC149" i="5"/>
  <c r="AD149" i="5" s="1"/>
  <c r="AC166" i="5"/>
  <c r="AD166" i="5" s="1"/>
  <c r="AC193" i="5"/>
  <c r="AD193" i="5" s="1"/>
  <c r="H358" i="5"/>
  <c r="I358" i="5" s="1"/>
  <c r="N442" i="5"/>
  <c r="O442" i="5" s="1"/>
  <c r="H442" i="5"/>
  <c r="I442" i="5" s="1"/>
  <c r="C442" i="5"/>
  <c r="N18" i="6"/>
  <c r="O18" i="6" s="1"/>
  <c r="H18" i="6"/>
  <c r="I18" i="6" s="1"/>
  <c r="C18" i="6"/>
  <c r="AA182" i="6"/>
  <c r="AC182" i="6"/>
  <c r="AD182" i="6" s="1"/>
  <c r="N236" i="5"/>
  <c r="O236" i="5" s="1"/>
  <c r="W262" i="5"/>
  <c r="X262" i="5" s="1"/>
  <c r="N325" i="5"/>
  <c r="O325" i="5" s="1"/>
  <c r="W342" i="5"/>
  <c r="X342" i="5" s="1"/>
  <c r="H344" i="5"/>
  <c r="I344" i="5" s="1"/>
  <c r="AA428" i="5"/>
  <c r="AC428" i="5"/>
  <c r="AD428" i="5" s="1"/>
  <c r="W148" i="5"/>
  <c r="X148" i="5" s="1"/>
  <c r="H182" i="5"/>
  <c r="I182" i="5" s="1"/>
  <c r="H227" i="5"/>
  <c r="I227" i="5" s="1"/>
  <c r="R262" i="5"/>
  <c r="W263" i="5"/>
  <c r="X263" i="5" s="1"/>
  <c r="H267" i="5"/>
  <c r="I267" i="5" s="1"/>
  <c r="H273" i="5"/>
  <c r="I273" i="5" s="1"/>
  <c r="N284" i="5"/>
  <c r="O284" i="5" s="1"/>
  <c r="AC284" i="5"/>
  <c r="AD284" i="5" s="1"/>
  <c r="N295" i="5"/>
  <c r="O295" i="5" s="1"/>
  <c r="R342" i="5"/>
  <c r="W343" i="5"/>
  <c r="X343" i="5" s="1"/>
  <c r="AC344" i="5"/>
  <c r="AD344" i="5" s="1"/>
  <c r="H368" i="5"/>
  <c r="I368" i="5" s="1"/>
  <c r="AC368" i="5"/>
  <c r="AD368" i="5" s="1"/>
  <c r="H40" i="6"/>
  <c r="I40" i="6" s="1"/>
  <c r="F40" i="6"/>
  <c r="N172" i="6"/>
  <c r="O172" i="6" s="1"/>
  <c r="N393" i="5"/>
  <c r="O393" i="5" s="1"/>
  <c r="N396" i="5"/>
  <c r="O396" i="5" s="1"/>
  <c r="N403" i="5"/>
  <c r="O403" i="5" s="1"/>
  <c r="W149" i="6"/>
  <c r="X149" i="6" s="1"/>
  <c r="R171" i="6"/>
  <c r="W171" i="6"/>
  <c r="X171" i="6" s="1"/>
  <c r="H193" i="6"/>
  <c r="I193" i="6" s="1"/>
  <c r="N193" i="6"/>
  <c r="O193" i="6" s="1"/>
  <c r="C193" i="6"/>
  <c r="C393" i="5"/>
  <c r="C396" i="5"/>
  <c r="C403" i="5"/>
  <c r="N429" i="5"/>
  <c r="O429" i="5" s="1"/>
  <c r="H441" i="5"/>
  <c r="I441" i="5" s="1"/>
  <c r="R442" i="5"/>
  <c r="U40" i="6"/>
  <c r="N61" i="6"/>
  <c r="O61" i="6" s="1"/>
  <c r="AC61" i="6"/>
  <c r="AD61" i="6" s="1"/>
  <c r="AC122" i="6"/>
  <c r="AD122" i="6" s="1"/>
  <c r="C124" i="6"/>
  <c r="N148" i="6"/>
  <c r="O148" i="6" s="1"/>
  <c r="C149" i="6"/>
  <c r="AC393" i="5"/>
  <c r="AD393" i="5" s="1"/>
  <c r="AC396" i="5"/>
  <c r="AD396" i="5" s="1"/>
  <c r="AC403" i="5"/>
  <c r="AD403" i="5" s="1"/>
  <c r="AC429" i="5"/>
  <c r="AD429" i="5" s="1"/>
  <c r="N29" i="6"/>
  <c r="O29" i="6" s="1"/>
  <c r="N62" i="6"/>
  <c r="O62" i="6" s="1"/>
  <c r="N118" i="6"/>
  <c r="O118" i="6" s="1"/>
  <c r="H122" i="6"/>
  <c r="I122" i="6" s="1"/>
  <c r="AC141" i="6"/>
  <c r="AD141" i="6" s="1"/>
  <c r="W148" i="6"/>
  <c r="X148" i="6" s="1"/>
  <c r="R148" i="6"/>
  <c r="N166" i="6"/>
  <c r="O166" i="6" s="1"/>
  <c r="L166" i="6"/>
  <c r="N171" i="6"/>
  <c r="O171" i="6" s="1"/>
  <c r="H171" i="6"/>
  <c r="I171" i="6" s="1"/>
  <c r="R393" i="5"/>
  <c r="R396" i="5"/>
  <c r="R403" i="5"/>
  <c r="F428" i="5"/>
  <c r="C429" i="5"/>
  <c r="AC29" i="6"/>
  <c r="AD29" i="6" s="1"/>
  <c r="T172" i="6"/>
  <c r="U124" i="6"/>
  <c r="R429" i="5"/>
  <c r="W124" i="6"/>
  <c r="X124" i="6" s="1"/>
  <c r="H158" i="6"/>
  <c r="I158" i="6" s="1"/>
  <c r="C158" i="6"/>
  <c r="I421" i="5"/>
  <c r="X424" i="5"/>
  <c r="O434" i="5"/>
  <c r="N40" i="6"/>
  <c r="O40" i="6" s="1"/>
  <c r="H61" i="6"/>
  <c r="I61" i="6" s="1"/>
  <c r="N73" i="6"/>
  <c r="O73" i="6" s="1"/>
  <c r="L172" i="6"/>
  <c r="K198" i="6"/>
  <c r="N141" i="6"/>
  <c r="O141" i="6" s="1"/>
  <c r="H148" i="6"/>
  <c r="I148" i="6" s="1"/>
  <c r="W193" i="6"/>
  <c r="X193" i="6" s="1"/>
  <c r="R193" i="6"/>
  <c r="X177" i="5"/>
  <c r="O179" i="5"/>
  <c r="X181" i="5"/>
  <c r="X184" i="5"/>
  <c r="O187" i="5"/>
  <c r="X189" i="5"/>
  <c r="O191" i="5"/>
  <c r="O194" i="5"/>
  <c r="O201" i="5"/>
  <c r="X203" i="5"/>
  <c r="O205" i="5"/>
  <c r="X207" i="5"/>
  <c r="X211" i="5"/>
  <c r="O214" i="5"/>
  <c r="X216" i="5"/>
  <c r="X219" i="5"/>
  <c r="O221" i="5"/>
  <c r="X223" i="5"/>
  <c r="O225" i="5"/>
  <c r="O229" i="5"/>
  <c r="X231" i="5"/>
  <c r="O233" i="5"/>
  <c r="X235" i="5"/>
  <c r="X240" i="5"/>
  <c r="O242" i="5"/>
  <c r="X244" i="5"/>
  <c r="O246" i="5"/>
  <c r="X248" i="5"/>
  <c r="O250" i="5"/>
  <c r="X252" i="5"/>
  <c r="O254" i="5"/>
  <c r="X256" i="5"/>
  <c r="O258" i="5"/>
  <c r="X260" i="5"/>
  <c r="O265" i="5"/>
  <c r="O269" i="5"/>
  <c r="X271" i="5"/>
  <c r="X275" i="5"/>
  <c r="O277" i="5"/>
  <c r="X279" i="5"/>
  <c r="O281" i="5"/>
  <c r="X283" i="5"/>
  <c r="X287" i="5"/>
  <c r="O289" i="5"/>
  <c r="X291" i="5"/>
  <c r="O293" i="5"/>
  <c r="O297" i="5"/>
  <c r="X299" i="5"/>
  <c r="O301" i="5"/>
  <c r="X303" i="5"/>
  <c r="O305" i="5"/>
  <c r="X307" i="5"/>
  <c r="O309" i="5"/>
  <c r="X311" i="5"/>
  <c r="O313" i="5"/>
  <c r="X315" i="5"/>
  <c r="O317" i="5"/>
  <c r="X319" i="5"/>
  <c r="O321" i="5"/>
  <c r="X323" i="5"/>
  <c r="O329" i="5"/>
  <c r="X331" i="5"/>
  <c r="O333" i="5"/>
  <c r="X335" i="5"/>
  <c r="O338" i="5"/>
  <c r="X340" i="5"/>
  <c r="O347" i="5"/>
  <c r="X350" i="5"/>
  <c r="O352" i="5"/>
  <c r="X354" i="5"/>
  <c r="O356" i="5"/>
  <c r="O360" i="5"/>
  <c r="X362" i="5"/>
  <c r="O364" i="5"/>
  <c r="X366" i="5"/>
  <c r="X369" i="5"/>
  <c r="O371" i="5"/>
  <c r="X373" i="5"/>
  <c r="O375" i="5"/>
  <c r="X377" i="5"/>
  <c r="O379" i="5"/>
  <c r="X381" i="5"/>
  <c r="O383" i="5"/>
  <c r="X386" i="5"/>
  <c r="O389" i="5"/>
  <c r="X391" i="5"/>
  <c r="X394" i="5"/>
  <c r="X397" i="5"/>
  <c r="O399" i="5"/>
  <c r="X401" i="5"/>
  <c r="O407" i="5"/>
  <c r="X409" i="5"/>
  <c r="O411" i="5"/>
  <c r="X413" i="5"/>
  <c r="O415" i="5"/>
  <c r="X417" i="5"/>
  <c r="O422" i="5"/>
  <c r="I424" i="5"/>
  <c r="O425" i="5"/>
  <c r="X432" i="5"/>
  <c r="Z345" i="6"/>
  <c r="AA198" i="6"/>
  <c r="W141" i="6"/>
  <c r="X141" i="6" s="1"/>
  <c r="W170" i="6"/>
  <c r="X170" i="6" s="1"/>
  <c r="U170" i="6"/>
  <c r="H342" i="6"/>
  <c r="I342" i="6" s="1"/>
  <c r="F342" i="6"/>
  <c r="H170" i="6"/>
  <c r="I170" i="6" s="1"/>
  <c r="Q172" i="6"/>
  <c r="W196" i="6"/>
  <c r="X196" i="6" s="1"/>
  <c r="E198" i="6"/>
  <c r="N209" i="6"/>
  <c r="O209" i="6" s="1"/>
  <c r="AC209" i="6"/>
  <c r="AD209" i="6" s="1"/>
  <c r="AC262" i="6"/>
  <c r="AD262" i="6" s="1"/>
  <c r="R182" i="6"/>
  <c r="F218" i="6"/>
  <c r="H227" i="6"/>
  <c r="I227" i="6" s="1"/>
  <c r="N227" i="6"/>
  <c r="O227" i="6" s="1"/>
  <c r="N262" i="6"/>
  <c r="O262" i="6" s="1"/>
  <c r="R262" i="6"/>
  <c r="N170" i="6"/>
  <c r="O170" i="6" s="1"/>
  <c r="AC196" i="6"/>
  <c r="AD196" i="6" s="1"/>
  <c r="H196" i="6"/>
  <c r="I196" i="6" s="1"/>
  <c r="W209" i="6"/>
  <c r="X209" i="6" s="1"/>
  <c r="AC324" i="6"/>
  <c r="AD324" i="6" s="1"/>
  <c r="C196" i="6"/>
  <c r="N197" i="6"/>
  <c r="O197" i="6" s="1"/>
  <c r="F262" i="6"/>
  <c r="F273" i="6"/>
  <c r="AC343" i="6"/>
  <c r="AD343" i="6" s="1"/>
  <c r="N273" i="6"/>
  <c r="O273" i="6" s="1"/>
  <c r="N343" i="6"/>
  <c r="O343" i="6" s="1"/>
  <c r="C61" i="7"/>
  <c r="H61" i="7"/>
  <c r="I61" i="7" s="1"/>
  <c r="N61" i="7"/>
  <c r="O61" i="7" s="1"/>
  <c r="AD423" i="6"/>
  <c r="AD416" i="6"/>
  <c r="AD397" i="6"/>
  <c r="AD389" i="6"/>
  <c r="AD383" i="6"/>
  <c r="AD379" i="6"/>
  <c r="AD375" i="6"/>
  <c r="AD432" i="6"/>
  <c r="AD421" i="6"/>
  <c r="AD433" i="6"/>
  <c r="AD420" i="6"/>
  <c r="R29" i="7"/>
  <c r="W29" i="7"/>
  <c r="X29" i="7" s="1"/>
  <c r="N442" i="6"/>
  <c r="O442" i="6" s="1"/>
  <c r="H29" i="7"/>
  <c r="I29" i="7" s="1"/>
  <c r="C29" i="7"/>
  <c r="C40" i="7"/>
  <c r="H40" i="7"/>
  <c r="I40" i="7" s="1"/>
  <c r="C88" i="7"/>
  <c r="H88" i="7"/>
  <c r="I88" i="7" s="1"/>
  <c r="N88" i="7"/>
  <c r="O88" i="7" s="1"/>
  <c r="AC236" i="6"/>
  <c r="AD236" i="6" s="1"/>
  <c r="N263" i="6"/>
  <c r="O263" i="6" s="1"/>
  <c r="N267" i="6"/>
  <c r="O267" i="6" s="1"/>
  <c r="AC284" i="6"/>
  <c r="AD284" i="6" s="1"/>
  <c r="N295" i="6"/>
  <c r="O295" i="6" s="1"/>
  <c r="W325" i="6"/>
  <c r="X325" i="6" s="1"/>
  <c r="N342" i="6"/>
  <c r="O342" i="6" s="1"/>
  <c r="AC342" i="6"/>
  <c r="AD342" i="6" s="1"/>
  <c r="AD391" i="6"/>
  <c r="F393" i="6"/>
  <c r="AD399" i="6"/>
  <c r="AD401" i="6"/>
  <c r="U403" i="6"/>
  <c r="AD407" i="6"/>
  <c r="AD409" i="6"/>
  <c r="AD411" i="6"/>
  <c r="W442" i="6"/>
  <c r="X442" i="6" s="1"/>
  <c r="U442" i="6"/>
  <c r="AC368" i="6"/>
  <c r="AD368" i="6" s="1"/>
  <c r="AD438" i="6"/>
  <c r="H396" i="6"/>
  <c r="I396" i="6" s="1"/>
  <c r="AD436" i="6"/>
  <c r="R441" i="6"/>
  <c r="W441" i="6"/>
  <c r="X441" i="6" s="1"/>
  <c r="AC441" i="6"/>
  <c r="AD441" i="6" s="1"/>
  <c r="C428" i="6"/>
  <c r="H428" i="6"/>
  <c r="I428" i="6" s="1"/>
  <c r="AD440" i="6"/>
  <c r="AC29" i="7"/>
  <c r="AD29" i="7" s="1"/>
  <c r="N344" i="6"/>
  <c r="O344" i="6" s="1"/>
  <c r="AD350" i="6"/>
  <c r="AD366" i="6"/>
  <c r="F368" i="6"/>
  <c r="AD373" i="6"/>
  <c r="N396" i="6"/>
  <c r="O396" i="6" s="1"/>
  <c r="AD396" i="6"/>
  <c r="AD402" i="6"/>
  <c r="AD410" i="6"/>
  <c r="F429" i="6"/>
  <c r="H441" i="6"/>
  <c r="I441" i="6" s="1"/>
  <c r="N441" i="6"/>
  <c r="O441" i="6" s="1"/>
  <c r="O438" i="6"/>
  <c r="O426" i="6"/>
  <c r="O422" i="6"/>
  <c r="O418" i="6"/>
  <c r="O414" i="6"/>
  <c r="O410" i="6"/>
  <c r="O402" i="6"/>
  <c r="O439" i="6"/>
  <c r="O398" i="6"/>
  <c r="W18" i="7"/>
  <c r="X18" i="7" s="1"/>
  <c r="AC18" i="7"/>
  <c r="AD18" i="7" s="1"/>
  <c r="N29" i="7"/>
  <c r="O29" i="7" s="1"/>
  <c r="N40" i="7"/>
  <c r="O40" i="7" s="1"/>
  <c r="K198" i="7"/>
  <c r="L172" i="7"/>
  <c r="F193" i="7"/>
  <c r="H193" i="7"/>
  <c r="I193" i="7" s="1"/>
  <c r="AC325" i="6"/>
  <c r="AD325" i="6" s="1"/>
  <c r="H343" i="6"/>
  <c r="I343" i="6" s="1"/>
  <c r="H358" i="6"/>
  <c r="I358" i="6" s="1"/>
  <c r="N403" i="6"/>
  <c r="O403" i="6" s="1"/>
  <c r="AD422" i="6"/>
  <c r="O425" i="6"/>
  <c r="AC428" i="6"/>
  <c r="AD428" i="6" s="1"/>
  <c r="W429" i="6"/>
  <c r="X429" i="6" s="1"/>
  <c r="AC62" i="7"/>
  <c r="AD62" i="7" s="1"/>
  <c r="N73" i="7"/>
  <c r="O73" i="7" s="1"/>
  <c r="R73" i="7"/>
  <c r="W73" i="7"/>
  <c r="X73" i="7" s="1"/>
  <c r="Z345" i="7"/>
  <c r="AA198" i="7"/>
  <c r="AC170" i="7"/>
  <c r="AD170" i="7" s="1"/>
  <c r="W170" i="7"/>
  <c r="X170" i="7" s="1"/>
  <c r="R170" i="7"/>
  <c r="O409" i="6"/>
  <c r="AD434" i="6"/>
  <c r="C73" i="7"/>
  <c r="AD418" i="6"/>
  <c r="O421" i="6"/>
  <c r="AC88" i="7"/>
  <c r="AD88" i="7" s="1"/>
  <c r="N172" i="7"/>
  <c r="O172" i="7" s="1"/>
  <c r="N124" i="7"/>
  <c r="O124" i="7" s="1"/>
  <c r="W141" i="7"/>
  <c r="X141" i="7" s="1"/>
  <c r="H148" i="7"/>
  <c r="I148" i="7" s="1"/>
  <c r="Q172" i="7"/>
  <c r="AC227" i="7"/>
  <c r="AD227" i="7" s="1"/>
  <c r="AA227" i="7"/>
  <c r="AC158" i="7"/>
  <c r="AD158" i="7" s="1"/>
  <c r="R196" i="7"/>
  <c r="W196" i="7"/>
  <c r="X196" i="7" s="1"/>
  <c r="C345" i="7"/>
  <c r="B404" i="7"/>
  <c r="N273" i="7"/>
  <c r="O273" i="7" s="1"/>
  <c r="C273" i="7"/>
  <c r="H284" i="7"/>
  <c r="I284" i="7" s="1"/>
  <c r="F284" i="7"/>
  <c r="H324" i="7"/>
  <c r="I324" i="7" s="1"/>
  <c r="F324" i="7"/>
  <c r="AC118" i="7"/>
  <c r="AD118" i="7" s="1"/>
  <c r="AC124" i="7"/>
  <c r="AD124" i="7" s="1"/>
  <c r="N141" i="7"/>
  <c r="O141" i="7" s="1"/>
  <c r="AC149" i="7"/>
  <c r="AD149" i="7" s="1"/>
  <c r="F171" i="7"/>
  <c r="E172" i="7"/>
  <c r="T172" i="7"/>
  <c r="C198" i="7"/>
  <c r="U273" i="7"/>
  <c r="F118" i="7"/>
  <c r="R118" i="7"/>
  <c r="U122" i="7"/>
  <c r="F124" i="7"/>
  <c r="R124" i="7"/>
  <c r="C141" i="7"/>
  <c r="F149" i="7"/>
  <c r="R149" i="7"/>
  <c r="F158" i="7"/>
  <c r="N166" i="7"/>
  <c r="O166" i="7" s="1"/>
  <c r="AA166" i="7"/>
  <c r="AA193" i="7"/>
  <c r="H196" i="7"/>
  <c r="I196" i="7" s="1"/>
  <c r="F236" i="7"/>
  <c r="H273" i="7"/>
  <c r="I273" i="7" s="1"/>
  <c r="AC141" i="7"/>
  <c r="AD141" i="7" s="1"/>
  <c r="N148" i="7"/>
  <c r="O148" i="7" s="1"/>
  <c r="U197" i="7"/>
  <c r="U209" i="7"/>
  <c r="W158" i="7"/>
  <c r="X158" i="7" s="1"/>
  <c r="AA172" i="7"/>
  <c r="N227" i="7"/>
  <c r="O227" i="7" s="1"/>
  <c r="C227" i="7"/>
  <c r="W236" i="7"/>
  <c r="X236" i="7" s="1"/>
  <c r="AC236" i="7"/>
  <c r="AD236" i="7" s="1"/>
  <c r="R284" i="7"/>
  <c r="W284" i="7"/>
  <c r="X284" i="7" s="1"/>
  <c r="N182" i="7"/>
  <c r="O182" i="7" s="1"/>
  <c r="R193" i="7"/>
  <c r="W193" i="7"/>
  <c r="X193" i="7" s="1"/>
  <c r="N218" i="7"/>
  <c r="O218" i="7" s="1"/>
  <c r="R236" i="7"/>
  <c r="W227" i="7"/>
  <c r="X227" i="7" s="1"/>
  <c r="W324" i="7"/>
  <c r="X324" i="7" s="1"/>
  <c r="U344" i="7"/>
  <c r="W344" i="7"/>
  <c r="X344" i="7" s="1"/>
  <c r="H358" i="7"/>
  <c r="I358" i="7" s="1"/>
  <c r="F358" i="7"/>
  <c r="N325" i="7"/>
  <c r="O325" i="7" s="1"/>
  <c r="H428" i="7"/>
  <c r="I428" i="7" s="1"/>
  <c r="C428" i="7"/>
  <c r="N428" i="7"/>
  <c r="O428" i="7" s="1"/>
  <c r="W325" i="7"/>
  <c r="X325" i="7" s="1"/>
  <c r="AC325" i="7"/>
  <c r="AD325" i="7" s="1"/>
  <c r="R325" i="7"/>
  <c r="L344" i="7"/>
  <c r="H325" i="7"/>
  <c r="I325" i="7" s="1"/>
  <c r="AC343" i="7"/>
  <c r="AD343" i="7" s="1"/>
  <c r="H342" i="7"/>
  <c r="I342" i="7" s="1"/>
  <c r="W342" i="7"/>
  <c r="X342" i="7" s="1"/>
  <c r="C393" i="7"/>
  <c r="H393" i="7"/>
  <c r="I393" i="7" s="1"/>
  <c r="C396" i="7"/>
  <c r="H396" i="7"/>
  <c r="I396" i="7" s="1"/>
  <c r="W429" i="7"/>
  <c r="X429" i="7" s="1"/>
  <c r="U429" i="7"/>
  <c r="N442" i="7"/>
  <c r="O442" i="7" s="1"/>
  <c r="AC263" i="7"/>
  <c r="AD263" i="7" s="1"/>
  <c r="AC267" i="7"/>
  <c r="AD267" i="7" s="1"/>
  <c r="AC295" i="7"/>
  <c r="AD295" i="7" s="1"/>
  <c r="H441" i="7"/>
  <c r="I441" i="7" s="1"/>
  <c r="F441" i="7"/>
  <c r="W441" i="7"/>
  <c r="X441" i="7" s="1"/>
  <c r="R441" i="7"/>
  <c r="N393" i="7"/>
  <c r="O393" i="7" s="1"/>
  <c r="N396" i="7"/>
  <c r="O396" i="7" s="1"/>
  <c r="AC428" i="7"/>
  <c r="AD428" i="7" s="1"/>
  <c r="N236" i="7"/>
  <c r="O236" i="7" s="1"/>
  <c r="AC262" i="7"/>
  <c r="AD262" i="7" s="1"/>
  <c r="AC273" i="7"/>
  <c r="AD273" i="7" s="1"/>
  <c r="N284" i="7"/>
  <c r="O284" i="7" s="1"/>
  <c r="N324" i="7"/>
  <c r="O324" i="7" s="1"/>
  <c r="AC342" i="7"/>
  <c r="AD342" i="7" s="1"/>
  <c r="W343" i="7"/>
  <c r="X343" i="7" s="1"/>
  <c r="W358" i="7"/>
  <c r="X358" i="7" s="1"/>
  <c r="AC393" i="7"/>
  <c r="AD393" i="7" s="1"/>
  <c r="AC396" i="7"/>
  <c r="AD396" i="7" s="1"/>
  <c r="R343" i="7"/>
  <c r="AC344" i="7"/>
  <c r="AD344" i="7" s="1"/>
  <c r="R358" i="7"/>
  <c r="N358" i="7"/>
  <c r="O358" i="7" s="1"/>
  <c r="H403" i="7"/>
  <c r="I403" i="7" s="1"/>
  <c r="W428" i="7"/>
  <c r="X428" i="7" s="1"/>
  <c r="AC429" i="7"/>
  <c r="AD429" i="7" s="1"/>
  <c r="N441" i="7"/>
  <c r="O441" i="7" s="1"/>
  <c r="H442" i="7"/>
  <c r="I442" i="7" s="1"/>
  <c r="N403" i="7"/>
  <c r="O403" i="7" s="1"/>
  <c r="AC442" i="7"/>
  <c r="AD442" i="7" s="1"/>
  <c r="E345" i="5" l="1"/>
  <c r="F198" i="5"/>
  <c r="T345" i="4"/>
  <c r="W345" i="4" s="1"/>
  <c r="X345" i="4" s="1"/>
  <c r="U198" i="4"/>
  <c r="W198" i="4"/>
  <c r="X198" i="4" s="1"/>
  <c r="Q198" i="2"/>
  <c r="R172" i="2"/>
  <c r="AC172" i="2"/>
  <c r="AD172" i="2" s="1"/>
  <c r="W172" i="2"/>
  <c r="X172" i="2" s="1"/>
  <c r="E345" i="2"/>
  <c r="F198" i="2"/>
  <c r="E198" i="3"/>
  <c r="F172" i="3"/>
  <c r="U198" i="1"/>
  <c r="T345" i="1"/>
  <c r="L198" i="1"/>
  <c r="K345" i="1"/>
  <c r="N172" i="3"/>
  <c r="O172" i="3" s="1"/>
  <c r="C172" i="3"/>
  <c r="B198" i="3"/>
  <c r="H172" i="3"/>
  <c r="I172" i="3" s="1"/>
  <c r="C198" i="4"/>
  <c r="B345" i="4"/>
  <c r="N198" i="4"/>
  <c r="O198" i="4" s="1"/>
  <c r="R345" i="4"/>
  <c r="Q404" i="4"/>
  <c r="U172" i="2"/>
  <c r="T198" i="2"/>
  <c r="Z198" i="2"/>
  <c r="AA172" i="2"/>
  <c r="AC172" i="7"/>
  <c r="AD172" i="7" s="1"/>
  <c r="W172" i="7"/>
  <c r="X172" i="7" s="1"/>
  <c r="Q198" i="7"/>
  <c r="R172" i="7"/>
  <c r="AA198" i="5"/>
  <c r="Z345" i="5"/>
  <c r="B404" i="2"/>
  <c r="C345" i="2"/>
  <c r="H345" i="2"/>
  <c r="I345" i="2" s="1"/>
  <c r="AA345" i="7"/>
  <c r="Z404" i="7"/>
  <c r="C404" i="7"/>
  <c r="B443" i="7"/>
  <c r="H172" i="7"/>
  <c r="I172" i="7" s="1"/>
  <c r="E198" i="7"/>
  <c r="F172" i="7"/>
  <c r="E345" i="6"/>
  <c r="F198" i="6"/>
  <c r="T198" i="6"/>
  <c r="U172" i="6"/>
  <c r="K404" i="5"/>
  <c r="L345" i="5"/>
  <c r="U172" i="5"/>
  <c r="T198" i="5"/>
  <c r="U198" i="3"/>
  <c r="T345" i="3"/>
  <c r="K345" i="3"/>
  <c r="L198" i="3"/>
  <c r="K345" i="2"/>
  <c r="L198" i="2"/>
  <c r="N172" i="1"/>
  <c r="O172" i="1" s="1"/>
  <c r="H172" i="1"/>
  <c r="I172" i="1" s="1"/>
  <c r="C172" i="1"/>
  <c r="B198" i="1"/>
  <c r="Z198" i="1"/>
  <c r="AA172" i="1"/>
  <c r="Q198" i="5"/>
  <c r="R172" i="5"/>
  <c r="AC172" i="5"/>
  <c r="AD172" i="5" s="1"/>
  <c r="W172" i="5"/>
  <c r="X172" i="5" s="1"/>
  <c r="Z198" i="4"/>
  <c r="AA172" i="4"/>
  <c r="K404" i="4"/>
  <c r="L345" i="4"/>
  <c r="Z404" i="3"/>
  <c r="AA345" i="3"/>
  <c r="N198" i="2"/>
  <c r="O198" i="2" s="1"/>
  <c r="Q345" i="1"/>
  <c r="W198" i="1"/>
  <c r="X198" i="1" s="1"/>
  <c r="R198" i="1"/>
  <c r="AC198" i="1"/>
  <c r="AD198" i="1" s="1"/>
  <c r="K345" i="7"/>
  <c r="L198" i="7"/>
  <c r="N198" i="7"/>
  <c r="O198" i="7" s="1"/>
  <c r="W172" i="6"/>
  <c r="X172" i="6" s="1"/>
  <c r="R172" i="6"/>
  <c r="Q198" i="6"/>
  <c r="AC172" i="6"/>
  <c r="AD172" i="6" s="1"/>
  <c r="Z404" i="6"/>
  <c r="AA345" i="6"/>
  <c r="H172" i="5"/>
  <c r="I172" i="5" s="1"/>
  <c r="C172" i="5"/>
  <c r="B198" i="5"/>
  <c r="N172" i="5"/>
  <c r="O172" i="5" s="1"/>
  <c r="U172" i="7"/>
  <c r="T198" i="7"/>
  <c r="K345" i="6"/>
  <c r="L198" i="6"/>
  <c r="B345" i="6"/>
  <c r="H198" i="6"/>
  <c r="I198" i="6" s="1"/>
  <c r="N198" i="6"/>
  <c r="O198" i="6" s="1"/>
  <c r="C198" i="6"/>
  <c r="F172" i="4"/>
  <c r="E198" i="4"/>
  <c r="W198" i="3"/>
  <c r="X198" i="3" s="1"/>
  <c r="R198" i="3"/>
  <c r="AC198" i="3"/>
  <c r="AD198" i="3" s="1"/>
  <c r="Q345" i="3"/>
  <c r="E345" i="1"/>
  <c r="F198" i="1"/>
  <c r="Z443" i="3" l="1"/>
  <c r="AA443" i="3" s="1"/>
  <c r="AA404" i="3"/>
  <c r="K404" i="2"/>
  <c r="L345" i="2"/>
  <c r="K404" i="7"/>
  <c r="L345" i="7"/>
  <c r="N345" i="7"/>
  <c r="O345" i="7" s="1"/>
  <c r="C443" i="7"/>
  <c r="C404" i="2"/>
  <c r="B443" i="2"/>
  <c r="N404" i="2"/>
  <c r="O404" i="2" s="1"/>
  <c r="AA198" i="2"/>
  <c r="Z345" i="2"/>
  <c r="K404" i="3"/>
  <c r="L345" i="3"/>
  <c r="T345" i="6"/>
  <c r="U198" i="6"/>
  <c r="AA345" i="5"/>
  <c r="Z404" i="5"/>
  <c r="U198" i="2"/>
  <c r="T345" i="2"/>
  <c r="B404" i="4"/>
  <c r="N345" i="4"/>
  <c r="O345" i="4" s="1"/>
  <c r="C345" i="4"/>
  <c r="T404" i="1"/>
  <c r="U345" i="1"/>
  <c r="N198" i="1"/>
  <c r="O198" i="1" s="1"/>
  <c r="B345" i="1"/>
  <c r="H198" i="1"/>
  <c r="I198" i="1" s="1"/>
  <c r="C198" i="1"/>
  <c r="U345" i="3"/>
  <c r="T404" i="3"/>
  <c r="Q345" i="2"/>
  <c r="AC198" i="2"/>
  <c r="AD198" i="2" s="1"/>
  <c r="R198" i="2"/>
  <c r="W198" i="2"/>
  <c r="X198" i="2" s="1"/>
  <c r="AC198" i="6"/>
  <c r="AD198" i="6" s="1"/>
  <c r="Q345" i="6"/>
  <c r="W198" i="6"/>
  <c r="X198" i="6" s="1"/>
  <c r="R198" i="6"/>
  <c r="F345" i="6"/>
  <c r="E404" i="6"/>
  <c r="AA404" i="7"/>
  <c r="Z443" i="7"/>
  <c r="AA443" i="7" s="1"/>
  <c r="AA404" i="6"/>
  <c r="Z443" i="6"/>
  <c r="AA443" i="6" s="1"/>
  <c r="F198" i="4"/>
  <c r="E345" i="4"/>
  <c r="AA198" i="4"/>
  <c r="Z345" i="4"/>
  <c r="AC198" i="4"/>
  <c r="AD198" i="4" s="1"/>
  <c r="Q404" i="1"/>
  <c r="R345" i="1"/>
  <c r="W345" i="1"/>
  <c r="X345" i="1" s="1"/>
  <c r="U198" i="5"/>
  <c r="T345" i="5"/>
  <c r="Q345" i="7"/>
  <c r="R198" i="7"/>
  <c r="W198" i="7"/>
  <c r="X198" i="7" s="1"/>
  <c r="AC198" i="7"/>
  <c r="AD198" i="7" s="1"/>
  <c r="H198" i="3"/>
  <c r="I198" i="3" s="1"/>
  <c r="B345" i="3"/>
  <c r="C198" i="3"/>
  <c r="N198" i="3"/>
  <c r="O198" i="3" s="1"/>
  <c r="E345" i="3"/>
  <c r="F198" i="3"/>
  <c r="K404" i="6"/>
  <c r="L345" i="6"/>
  <c r="K443" i="4"/>
  <c r="L443" i="4" s="1"/>
  <c r="L404" i="4"/>
  <c r="AA198" i="1"/>
  <c r="Z345" i="1"/>
  <c r="E404" i="1"/>
  <c r="F345" i="1"/>
  <c r="C198" i="5"/>
  <c r="N198" i="5"/>
  <c r="O198" i="5" s="1"/>
  <c r="B345" i="5"/>
  <c r="H198" i="5"/>
  <c r="I198" i="5" s="1"/>
  <c r="N345" i="2"/>
  <c r="O345" i="2" s="1"/>
  <c r="R404" i="4"/>
  <c r="Q443" i="4"/>
  <c r="T404" i="4"/>
  <c r="W404" i="4" s="1"/>
  <c r="X404" i="4" s="1"/>
  <c r="U345" i="4"/>
  <c r="T345" i="7"/>
  <c r="U198" i="7"/>
  <c r="F198" i="7"/>
  <c r="E345" i="7"/>
  <c r="H198" i="7"/>
  <c r="I198" i="7" s="1"/>
  <c r="W345" i="3"/>
  <c r="X345" i="3" s="1"/>
  <c r="AC345" i="3"/>
  <c r="AD345" i="3" s="1"/>
  <c r="R345" i="3"/>
  <c r="Q404" i="3"/>
  <c r="F345" i="2"/>
  <c r="E404" i="2"/>
  <c r="N345" i="6"/>
  <c r="O345" i="6" s="1"/>
  <c r="B404" i="6"/>
  <c r="H345" i="6"/>
  <c r="I345" i="6" s="1"/>
  <c r="C345" i="6"/>
  <c r="Q345" i="5"/>
  <c r="AC198" i="5"/>
  <c r="AD198" i="5" s="1"/>
  <c r="R198" i="5"/>
  <c r="W198" i="5"/>
  <c r="X198" i="5" s="1"/>
  <c r="K443" i="5"/>
  <c r="L443" i="5" s="1"/>
  <c r="L404" i="5"/>
  <c r="H198" i="4"/>
  <c r="I198" i="4" s="1"/>
  <c r="L345" i="1"/>
  <c r="K404" i="1"/>
  <c r="E404" i="5"/>
  <c r="F345" i="5"/>
  <c r="R443" i="4" l="1"/>
  <c r="K443" i="6"/>
  <c r="L443" i="6" s="1"/>
  <c r="L404" i="6"/>
  <c r="W404" i="1"/>
  <c r="X404" i="1" s="1"/>
  <c r="Q443" i="1"/>
  <c r="R404" i="1"/>
  <c r="B404" i="1"/>
  <c r="C345" i="1"/>
  <c r="N345" i="1"/>
  <c r="O345" i="1" s="1"/>
  <c r="H345" i="1"/>
  <c r="I345" i="1" s="1"/>
  <c r="U345" i="2"/>
  <c r="T404" i="2"/>
  <c r="AA345" i="2"/>
  <c r="Z404" i="2"/>
  <c r="H404" i="6"/>
  <c r="I404" i="6" s="1"/>
  <c r="N404" i="6"/>
  <c r="O404" i="6" s="1"/>
  <c r="C404" i="6"/>
  <c r="B443" i="6"/>
  <c r="F345" i="7"/>
  <c r="E404" i="7"/>
  <c r="H345" i="7"/>
  <c r="I345" i="7" s="1"/>
  <c r="F404" i="1"/>
  <c r="E443" i="1"/>
  <c r="F443" i="1" s="1"/>
  <c r="E404" i="3"/>
  <c r="F345" i="3"/>
  <c r="W345" i="7"/>
  <c r="X345" i="7" s="1"/>
  <c r="R345" i="7"/>
  <c r="Q404" i="7"/>
  <c r="AC345" i="7"/>
  <c r="AD345" i="7" s="1"/>
  <c r="Z404" i="4"/>
  <c r="AA345" i="4"/>
  <c r="AC345" i="4"/>
  <c r="AD345" i="4" s="1"/>
  <c r="F404" i="6"/>
  <c r="E443" i="6"/>
  <c r="F443" i="6" s="1"/>
  <c r="AA404" i="5"/>
  <c r="Z443" i="5"/>
  <c r="AA443" i="5" s="1"/>
  <c r="E443" i="5"/>
  <c r="F443" i="5" s="1"/>
  <c r="F404" i="5"/>
  <c r="E443" i="2"/>
  <c r="F443" i="2" s="1"/>
  <c r="F404" i="2"/>
  <c r="AA345" i="1"/>
  <c r="Z404" i="1"/>
  <c r="AC404" i="1" s="1"/>
  <c r="AD404" i="1" s="1"/>
  <c r="U345" i="5"/>
  <c r="T404" i="5"/>
  <c r="Q404" i="2"/>
  <c r="AC345" i="2"/>
  <c r="AD345" i="2" s="1"/>
  <c r="W345" i="2"/>
  <c r="X345" i="2" s="1"/>
  <c r="R345" i="2"/>
  <c r="U404" i="1"/>
  <c r="T443" i="1"/>
  <c r="U443" i="1" s="1"/>
  <c r="H443" i="2"/>
  <c r="I443" i="2" s="1"/>
  <c r="N443" i="2"/>
  <c r="O443" i="2" s="1"/>
  <c r="C443" i="2"/>
  <c r="L404" i="7"/>
  <c r="K443" i="7"/>
  <c r="N404" i="7"/>
  <c r="O404" i="7" s="1"/>
  <c r="F345" i="4"/>
  <c r="E404" i="4"/>
  <c r="U404" i="3"/>
  <c r="T443" i="3"/>
  <c r="U443" i="3" s="1"/>
  <c r="H404" i="2"/>
  <c r="I404" i="2" s="1"/>
  <c r="W404" i="3"/>
  <c r="X404" i="3" s="1"/>
  <c r="Q443" i="3"/>
  <c r="AC404" i="3"/>
  <c r="AD404" i="3" s="1"/>
  <c r="R404" i="3"/>
  <c r="T404" i="7"/>
  <c r="U345" i="7"/>
  <c r="T404" i="6"/>
  <c r="U345" i="6"/>
  <c r="L404" i="2"/>
  <c r="K443" i="2"/>
  <c r="L443" i="2" s="1"/>
  <c r="H345" i="3"/>
  <c r="I345" i="3" s="1"/>
  <c r="N345" i="3"/>
  <c r="O345" i="3" s="1"/>
  <c r="B404" i="3"/>
  <c r="C345" i="3"/>
  <c r="L404" i="1"/>
  <c r="K443" i="1"/>
  <c r="L443" i="1" s="1"/>
  <c r="Q404" i="5"/>
  <c r="AC345" i="5"/>
  <c r="AD345" i="5" s="1"/>
  <c r="R345" i="5"/>
  <c r="W345" i="5"/>
  <c r="X345" i="5" s="1"/>
  <c r="C345" i="5"/>
  <c r="B404" i="5"/>
  <c r="N345" i="5"/>
  <c r="O345" i="5" s="1"/>
  <c r="H345" i="5"/>
  <c r="I345" i="5" s="1"/>
  <c r="AC345" i="1"/>
  <c r="AD345" i="1" s="1"/>
  <c r="Q404" i="6"/>
  <c r="W345" i="6"/>
  <c r="X345" i="6" s="1"/>
  <c r="R345" i="6"/>
  <c r="AC345" i="6"/>
  <c r="AD345" i="6" s="1"/>
  <c r="H404" i="4"/>
  <c r="I404" i="4" s="1"/>
  <c r="B443" i="4"/>
  <c r="C404" i="4"/>
  <c r="N404" i="4"/>
  <c r="O404" i="4" s="1"/>
  <c r="U404" i="4"/>
  <c r="T443" i="4"/>
  <c r="U443" i="4" s="1"/>
  <c r="H345" i="4"/>
  <c r="I345" i="4" s="1"/>
  <c r="K443" i="3"/>
  <c r="L443" i="3" s="1"/>
  <c r="L404" i="3"/>
  <c r="C404" i="5" l="1"/>
  <c r="N404" i="5"/>
  <c r="O404" i="5" s="1"/>
  <c r="B443" i="5"/>
  <c r="H404" i="5"/>
  <c r="I404" i="5" s="1"/>
  <c r="E443" i="3"/>
  <c r="F443" i="3" s="1"/>
  <c r="F404" i="3"/>
  <c r="W404" i="2"/>
  <c r="X404" i="2" s="1"/>
  <c r="AC404" i="2"/>
  <c r="AD404" i="2" s="1"/>
  <c r="Q443" i="2"/>
  <c r="R404" i="2"/>
  <c r="T443" i="5"/>
  <c r="U443" i="5" s="1"/>
  <c r="U404" i="5"/>
  <c r="W404" i="7"/>
  <c r="X404" i="7" s="1"/>
  <c r="R404" i="7"/>
  <c r="Q443" i="7"/>
  <c r="AC404" i="7"/>
  <c r="AD404" i="7" s="1"/>
  <c r="F404" i="7"/>
  <c r="E443" i="7"/>
  <c r="H404" i="7"/>
  <c r="I404" i="7" s="1"/>
  <c r="T443" i="2"/>
  <c r="U443" i="2" s="1"/>
  <c r="U404" i="2"/>
  <c r="W443" i="1"/>
  <c r="X443" i="1" s="1"/>
  <c r="R443" i="1"/>
  <c r="AC443" i="1"/>
  <c r="AD443" i="1" s="1"/>
  <c r="T443" i="6"/>
  <c r="U443" i="6" s="1"/>
  <c r="U404" i="6"/>
  <c r="C443" i="4"/>
  <c r="N443" i="4"/>
  <c r="O443" i="4" s="1"/>
  <c r="H443" i="4"/>
  <c r="I443" i="4" s="1"/>
  <c r="U404" i="7"/>
  <c r="T443" i="7"/>
  <c r="U443" i="7" s="1"/>
  <c r="F404" i="4"/>
  <c r="E443" i="4"/>
  <c r="F443" i="4" s="1"/>
  <c r="AA404" i="1"/>
  <c r="Z443" i="1"/>
  <c r="AA443" i="1" s="1"/>
  <c r="H443" i="6"/>
  <c r="I443" i="6" s="1"/>
  <c r="C443" i="6"/>
  <c r="N443" i="6"/>
  <c r="O443" i="6" s="1"/>
  <c r="H404" i="3"/>
  <c r="I404" i="3" s="1"/>
  <c r="B443" i="3"/>
  <c r="N404" i="3"/>
  <c r="O404" i="3" s="1"/>
  <c r="C404" i="3"/>
  <c r="W443" i="3"/>
  <c r="X443" i="3" s="1"/>
  <c r="R443" i="3"/>
  <c r="AC443" i="3"/>
  <c r="AD443" i="3" s="1"/>
  <c r="L443" i="7"/>
  <c r="N443" i="7"/>
  <c r="O443" i="7" s="1"/>
  <c r="B443" i="1"/>
  <c r="N404" i="1"/>
  <c r="O404" i="1" s="1"/>
  <c r="H404" i="1"/>
  <c r="I404" i="1" s="1"/>
  <c r="C404" i="1"/>
  <c r="R404" i="6"/>
  <c r="W404" i="6"/>
  <c r="X404" i="6" s="1"/>
  <c r="AC404" i="6"/>
  <c r="AD404" i="6" s="1"/>
  <c r="Q443" i="6"/>
  <c r="AC404" i="5"/>
  <c r="AD404" i="5" s="1"/>
  <c r="Q443" i="5"/>
  <c r="W404" i="5"/>
  <c r="X404" i="5" s="1"/>
  <c r="R404" i="5"/>
  <c r="Z443" i="4"/>
  <c r="AA404" i="4"/>
  <c r="AC404" i="4"/>
  <c r="AD404" i="4" s="1"/>
  <c r="Z443" i="2"/>
  <c r="AA443" i="2" s="1"/>
  <c r="AA404" i="2"/>
  <c r="W443" i="4"/>
  <c r="X443" i="4" s="1"/>
  <c r="C443" i="1" l="1"/>
  <c r="N443" i="1"/>
  <c r="O443" i="1" s="1"/>
  <c r="H443" i="1"/>
  <c r="I443" i="1" s="1"/>
  <c r="H443" i="3"/>
  <c r="I443" i="3" s="1"/>
  <c r="C443" i="3"/>
  <c r="N443" i="3"/>
  <c r="O443" i="3" s="1"/>
  <c r="W443" i="7"/>
  <c r="X443" i="7" s="1"/>
  <c r="R443" i="7"/>
  <c r="AC443" i="7"/>
  <c r="AD443" i="7" s="1"/>
  <c r="R443" i="6"/>
  <c r="W443" i="6"/>
  <c r="X443" i="6" s="1"/>
  <c r="AC443" i="6"/>
  <c r="AD443" i="6" s="1"/>
  <c r="H443" i="5"/>
  <c r="I443" i="5" s="1"/>
  <c r="C443" i="5"/>
  <c r="N443" i="5"/>
  <c r="O443" i="5" s="1"/>
  <c r="F443" i="7"/>
  <c r="H443" i="7"/>
  <c r="I443" i="7" s="1"/>
  <c r="AA443" i="4"/>
  <c r="AC443" i="4"/>
  <c r="AD443" i="4" s="1"/>
  <c r="R443" i="5"/>
  <c r="W443" i="5"/>
  <c r="X443" i="5" s="1"/>
  <c r="AC443" i="5"/>
  <c r="AD443" i="5" s="1"/>
  <c r="R443" i="2"/>
  <c r="W443" i="2"/>
  <c r="X443" i="2" s="1"/>
  <c r="AC443" i="2"/>
  <c r="AD443" i="2" s="1"/>
</calcChain>
</file>

<file path=xl/sharedStrings.xml><?xml version="1.0" encoding="utf-8"?>
<sst xmlns="http://schemas.openxmlformats.org/spreadsheetml/2006/main" count="3934" uniqueCount="417">
  <si>
    <t>P&amp;L - Per. &amp; YTD vs Budget and PY</t>
  </si>
  <si>
    <t>06/29/2025</t>
  </si>
  <si>
    <t>Consolidated</t>
  </si>
  <si>
    <t/>
  </si>
  <si>
    <t>Actual</t>
  </si>
  <si>
    <t>Budget</t>
  </si>
  <si>
    <t>Variance</t>
  </si>
  <si>
    <t>Prior Year</t>
  </si>
  <si>
    <t>YTD Actual</t>
  </si>
  <si>
    <t>YTD Budget</t>
  </si>
  <si>
    <t>YTD Prior</t>
  </si>
  <si>
    <t>Sales</t>
  </si>
  <si>
    <t>Single Plate In-House Sales</t>
  </si>
  <si>
    <t>Food</t>
  </si>
  <si>
    <t>N/A Beverage</t>
  </si>
  <si>
    <t>Beer</t>
  </si>
  <si>
    <t>Liquor</t>
  </si>
  <si>
    <t>Wine</t>
  </si>
  <si>
    <t>Retail</t>
  </si>
  <si>
    <t>DNU_Wow Bao Sales</t>
  </si>
  <si>
    <t>Total Single Plate In-House Sales</t>
  </si>
  <si>
    <t>DNU_Digital Sales</t>
  </si>
  <si>
    <t>Takeout Sales</t>
  </si>
  <si>
    <t>Takeout Sales - RASA Website</t>
  </si>
  <si>
    <t>Takeout Sales - RASA App</t>
  </si>
  <si>
    <t>Takeout Sales - DoorDash</t>
  </si>
  <si>
    <t>Takeout Sales - GrubHub</t>
  </si>
  <si>
    <t>Takeout Sales - Uber Eats</t>
  </si>
  <si>
    <t>Takeout Sales - Ritual</t>
  </si>
  <si>
    <t>Takeout Sales - Too Good To Go</t>
  </si>
  <si>
    <t>Total Takeout Sales</t>
  </si>
  <si>
    <t>Delivery Sales</t>
  </si>
  <si>
    <t>Delivery Sales - Hungry Marketplace</t>
  </si>
  <si>
    <t>Delivery Sales - DoorDash</t>
  </si>
  <si>
    <t>Delivery Sales - Google</t>
  </si>
  <si>
    <t>Delivery Sales - GrubHub</t>
  </si>
  <si>
    <t>Delivery Sales - Uber Eats</t>
  </si>
  <si>
    <t>Delivery Sales - RASA App</t>
  </si>
  <si>
    <t>DNU_Delivery Sales - RASA Website</t>
  </si>
  <si>
    <t>Delivery Sales - RASA Website</t>
  </si>
  <si>
    <t>Total Delivery Sales</t>
  </si>
  <si>
    <t>Catering Sales</t>
  </si>
  <si>
    <t>Catering Sales - RASA Website</t>
  </si>
  <si>
    <t>DNU_RASA Owned Catering Sales</t>
  </si>
  <si>
    <t>Catering Sales - Other 3rd Party</t>
  </si>
  <si>
    <t>Catering Sales - Cater Cow</t>
  </si>
  <si>
    <t>Catering Sales - EZ Cater</t>
  </si>
  <si>
    <t>Catering Sales - Food Fleet</t>
  </si>
  <si>
    <t>Catering Sales - Hungry Marketplace</t>
  </si>
  <si>
    <t>Catering Sales - Territory Foods</t>
  </si>
  <si>
    <t>Catering Sales - WCK</t>
  </si>
  <si>
    <t>Catering Sales - Foodworks</t>
  </si>
  <si>
    <t>Catering Sales - Foodee</t>
  </si>
  <si>
    <t>Catering Sales - Sharebite</t>
  </si>
  <si>
    <t>Catering Sales - Cater 2 Me</t>
  </si>
  <si>
    <t>Catering Sales - ZeroCater</t>
  </si>
  <si>
    <t>Catering Sales - Homemade in DC</t>
  </si>
  <si>
    <t>Catering Sales - Budeli</t>
  </si>
  <si>
    <t>Catering Sales - Club Feast</t>
  </si>
  <si>
    <t>Total Catering Sales - Other 3rd Party</t>
  </si>
  <si>
    <t>Total Catering Sales</t>
  </si>
  <si>
    <t>Offsites</t>
  </si>
  <si>
    <t>Offsites - Fooda</t>
  </si>
  <si>
    <t>Offsites - Aramark</t>
  </si>
  <si>
    <t>Offsites - Compass</t>
  </si>
  <si>
    <t>Offsites - Eurest</t>
  </si>
  <si>
    <t>Offsites - Taher</t>
  </si>
  <si>
    <t>Offsites - Metz Corp</t>
  </si>
  <si>
    <t>Offsites - Guest Services</t>
  </si>
  <si>
    <t>Offsites - Cureate</t>
  </si>
  <si>
    <t>Total Offsites</t>
  </si>
  <si>
    <t>Delivery Fee Income</t>
  </si>
  <si>
    <t>Delivery Service Charge</t>
  </si>
  <si>
    <t>Delivery Fee - Online Ordering</t>
  </si>
  <si>
    <t>Delivery Fee - Cater Cow</t>
  </si>
  <si>
    <t>Delivery Fee - Delivery by DoorDash (WL)</t>
  </si>
  <si>
    <t>Delivery Fee - EZ Cater</t>
  </si>
  <si>
    <t>Delivery Fee - GrubHub</t>
  </si>
  <si>
    <t>Delivery Fee - Sharebite</t>
  </si>
  <si>
    <t>Delivery Fee - Fooda</t>
  </si>
  <si>
    <t>Delivery Fee - Uber Eats</t>
  </si>
  <si>
    <t>Delivery Fee - Cater 2 Me</t>
  </si>
  <si>
    <t>Delivery Fee - ZeroCater</t>
  </si>
  <si>
    <t>Delivery Fee - Compass</t>
  </si>
  <si>
    <t>Total Delivery Fee Income</t>
  </si>
  <si>
    <t>Sales Adjustments</t>
  </si>
  <si>
    <t>Open App Sales Adjustments</t>
  </si>
  <si>
    <t>Open Tickets</t>
  </si>
  <si>
    <t>Toast Order Processing Fees</t>
  </si>
  <si>
    <t>Discounts / Refunds</t>
  </si>
  <si>
    <t>Squad Discount</t>
  </si>
  <si>
    <t>Squad Meals</t>
  </si>
  <si>
    <t>Free Meal Cards (This Ones on Us)</t>
  </si>
  <si>
    <t>Open App Loyalty</t>
  </si>
  <si>
    <t>Magic Fund</t>
  </si>
  <si>
    <t>Manager Comps</t>
  </si>
  <si>
    <t>Open App Promos</t>
  </si>
  <si>
    <t>SLT Comps</t>
  </si>
  <si>
    <t>Open App Store Credits</t>
  </si>
  <si>
    <t>LSM Comps</t>
  </si>
  <si>
    <t>Meridian Resident Online Order</t>
  </si>
  <si>
    <t>Catering Comps</t>
  </si>
  <si>
    <t>Veg Society 10% Off</t>
  </si>
  <si>
    <t>Partnerships</t>
  </si>
  <si>
    <t>Discounts / Refunds Given Other</t>
  </si>
  <si>
    <t>Doordash Service Charge</t>
  </si>
  <si>
    <t>RASA Tab 50/100</t>
  </si>
  <si>
    <t>COVID-19</t>
  </si>
  <si>
    <t>50% Off Bowl Card</t>
  </si>
  <si>
    <t>50% off Bowl Card - NL</t>
  </si>
  <si>
    <t>HBD3</t>
  </si>
  <si>
    <t>Veg Society Online Order 10% Off</t>
  </si>
  <si>
    <t>Yale Steam Condos Online Order</t>
  </si>
  <si>
    <t>Total Discounts / Refunds</t>
  </si>
  <si>
    <t>Other Income_WCK</t>
  </si>
  <si>
    <t>Other Income_OTP</t>
  </si>
  <si>
    <t>Other Income_To Good To Go</t>
  </si>
  <si>
    <t>Total Sales</t>
  </si>
  <si>
    <t>Toast Order Processing Fee Pass-Through</t>
  </si>
  <si>
    <t>Cost of Goods Sold</t>
  </si>
  <si>
    <t>Food &amp; Beverage Costs</t>
  </si>
  <si>
    <t>Food Costs</t>
  </si>
  <si>
    <t>COGS - Produce</t>
  </si>
  <si>
    <t>COGS - Grocery Dry &amp; Canned</t>
  </si>
  <si>
    <t>COGS - Poultry</t>
  </si>
  <si>
    <t>COGS - Dairy</t>
  </si>
  <si>
    <t>COGS - Frozen</t>
  </si>
  <si>
    <t>COGS - Meat</t>
  </si>
  <si>
    <t>COGS - Seafood</t>
  </si>
  <si>
    <t>COGS - Spices</t>
  </si>
  <si>
    <t>COGS - Prepped Food</t>
  </si>
  <si>
    <t>COGS - Wow Bao</t>
  </si>
  <si>
    <t>COGS - Distribution</t>
  </si>
  <si>
    <t>Total Food Costs</t>
  </si>
  <si>
    <t>Beverage Costs</t>
  </si>
  <si>
    <t>COGS - N/A Beverage</t>
  </si>
  <si>
    <t>COGS - Beer</t>
  </si>
  <si>
    <t>COGS - Liquor</t>
  </si>
  <si>
    <t>COGS - Wine</t>
  </si>
  <si>
    <t>Total Beverage Costs</t>
  </si>
  <si>
    <t>Total Food &amp; Beverage Costs</t>
  </si>
  <si>
    <t>Other Costs</t>
  </si>
  <si>
    <t>Paper Costs</t>
  </si>
  <si>
    <t>COGS - Paper Supplies</t>
  </si>
  <si>
    <t>COGS - Catering Supplies</t>
  </si>
  <si>
    <t>COGS - Event Supplies</t>
  </si>
  <si>
    <t>COGS - Wow Bao Supplies</t>
  </si>
  <si>
    <t>Total Paper Costs</t>
  </si>
  <si>
    <t>Waste Costs</t>
  </si>
  <si>
    <t>Waste - Food</t>
  </si>
  <si>
    <t>Waste - N/A Beverage</t>
  </si>
  <si>
    <t>Waste - Beer</t>
  </si>
  <si>
    <t>Waste - Liquor</t>
  </si>
  <si>
    <t>Waste - Wine</t>
  </si>
  <si>
    <t>Total Waste Costs</t>
  </si>
  <si>
    <t>COGS - Freight, Delivery, &amp; Sales Tax</t>
  </si>
  <si>
    <t>COGS - Fuel Surcharge</t>
  </si>
  <si>
    <t>COGS - Credit for Discounts</t>
  </si>
  <si>
    <t>Total Other Costs</t>
  </si>
  <si>
    <t>Total Cost of Goods Sold</t>
  </si>
  <si>
    <t>Gross Profit</t>
  </si>
  <si>
    <t>Payroll Expenses</t>
  </si>
  <si>
    <t>Salaries &amp; Wages</t>
  </si>
  <si>
    <t>Management</t>
  </si>
  <si>
    <t>Culinary</t>
  </si>
  <si>
    <t>Hourly</t>
  </si>
  <si>
    <t>Overtime</t>
  </si>
  <si>
    <t>Total Salaries &amp; Wages</t>
  </si>
  <si>
    <t>Salaries &amp; Wages Adjustment</t>
  </si>
  <si>
    <t>Bonus</t>
  </si>
  <si>
    <t>Payroll Taxes</t>
  </si>
  <si>
    <t>FICA Tax Expense</t>
  </si>
  <si>
    <t>FUTA Tax Expense</t>
  </si>
  <si>
    <t>SUTA Tax Expense (VA)</t>
  </si>
  <si>
    <t>SUTA Tax Expense (DC)</t>
  </si>
  <si>
    <t>FL Tax Expense (DC)</t>
  </si>
  <si>
    <t>Other Payroll Taxes</t>
  </si>
  <si>
    <t>Total Payroll Taxes</t>
  </si>
  <si>
    <t>Payroll Processing Fee</t>
  </si>
  <si>
    <t>Health Insurance</t>
  </si>
  <si>
    <t>Total Payroll Expenses</t>
  </si>
  <si>
    <t>Prime Profit</t>
  </si>
  <si>
    <t>Operating Expense</t>
  </si>
  <si>
    <t>Supplies</t>
  </si>
  <si>
    <t>Cleaning &amp; Maintenance Supplies</t>
  </si>
  <si>
    <t>Kitchen Supplies</t>
  </si>
  <si>
    <t>FOH Supplies</t>
  </si>
  <si>
    <t>Towel &amp; Doormat Service</t>
  </si>
  <si>
    <t>Kitchen Smallwares</t>
  </si>
  <si>
    <t>Uniforms</t>
  </si>
  <si>
    <t>Office Supplies</t>
  </si>
  <si>
    <t>Total Supplies</t>
  </si>
  <si>
    <t>Marketing</t>
  </si>
  <si>
    <t>Third-Party Promos</t>
  </si>
  <si>
    <t>DoorDash Promos</t>
  </si>
  <si>
    <t>EZ Cater Promos</t>
  </si>
  <si>
    <t>GrubHub Promos</t>
  </si>
  <si>
    <t>Uber Eats Promos</t>
  </si>
  <si>
    <t>Total Third-Party Promos</t>
  </si>
  <si>
    <t>Free Meal Cards - This Ones On Us</t>
  </si>
  <si>
    <t>To Go Bags</t>
  </si>
  <si>
    <t>Social Media Management</t>
  </si>
  <si>
    <t>Other Marketing Expenses</t>
  </si>
  <si>
    <t>Squad Discounts</t>
  </si>
  <si>
    <t>Squad Meal</t>
  </si>
  <si>
    <t>Toast Takeout Reward</t>
  </si>
  <si>
    <t>Rewards Network</t>
  </si>
  <si>
    <t>Total Marketing</t>
  </si>
  <si>
    <t>Delivery Fees</t>
  </si>
  <si>
    <t>Delivery Driver Expenses</t>
  </si>
  <si>
    <t>DoorDash White Label Fees</t>
  </si>
  <si>
    <t>DeliverThat Fees</t>
  </si>
  <si>
    <t>Thanx Fees</t>
  </si>
  <si>
    <t>Nash Fees</t>
  </si>
  <si>
    <t>Open App Fees</t>
  </si>
  <si>
    <t>Total Delivery Fees</t>
  </si>
  <si>
    <t>Third-Party Fees</t>
  </si>
  <si>
    <t>Delivery Partner Commissions</t>
  </si>
  <si>
    <t>Cater Cow Commissions</t>
  </si>
  <si>
    <t>DoorDash Commissions</t>
  </si>
  <si>
    <t>EZ Cater Commissions</t>
  </si>
  <si>
    <t>Fooda Commissions</t>
  </si>
  <si>
    <t>Google Commissions</t>
  </si>
  <si>
    <t>GrubHub Commissions</t>
  </si>
  <si>
    <t>Ritual Commissions</t>
  </si>
  <si>
    <t>Too Good To Go Commissions</t>
  </si>
  <si>
    <t>Uber Eats Commissions</t>
  </si>
  <si>
    <t>Foodee Commissions</t>
  </si>
  <si>
    <t>ShareBite Commissions</t>
  </si>
  <si>
    <t>Cater 2 Me Commissions</t>
  </si>
  <si>
    <t>ZeroCater Commissions</t>
  </si>
  <si>
    <t>Aramark Commissions</t>
  </si>
  <si>
    <t>Budeli Commissions</t>
  </si>
  <si>
    <t>Club Feast Commissions</t>
  </si>
  <si>
    <t>Food Fleet Commissions</t>
  </si>
  <si>
    <t>Eurest Commissions</t>
  </si>
  <si>
    <t>Taher Commissions</t>
  </si>
  <si>
    <t>Metz Corp Commissions</t>
  </si>
  <si>
    <t>Guest Services Commissions</t>
  </si>
  <si>
    <t>Total Delivery Partner Commissions</t>
  </si>
  <si>
    <t>Total Third-Party Fees</t>
  </si>
  <si>
    <t>Credit Card Fees</t>
  </si>
  <si>
    <t>Chargebacks</t>
  </si>
  <si>
    <t>Total Credit Card Fees</t>
  </si>
  <si>
    <t>Insurance</t>
  </si>
  <si>
    <t>Workers Compensation Insurance</t>
  </si>
  <si>
    <t>Business Owners Policy</t>
  </si>
  <si>
    <t>Auto Insurance</t>
  </si>
  <si>
    <t>Total Insurance</t>
  </si>
  <si>
    <t>Professional Fees</t>
  </si>
  <si>
    <t>Public Relations</t>
  </si>
  <si>
    <t>Legal Fees</t>
  </si>
  <si>
    <t>Accounting Fees</t>
  </si>
  <si>
    <t>Subcontractors Fees</t>
  </si>
  <si>
    <t>Architect Fees</t>
  </si>
  <si>
    <t>Consultant Fees</t>
  </si>
  <si>
    <t>Photography Fees</t>
  </si>
  <si>
    <t>Organizational cost</t>
  </si>
  <si>
    <t>Total Professional Fees</t>
  </si>
  <si>
    <t>Repairs &amp; Maintenance</t>
  </si>
  <si>
    <t>Scrubber Expense</t>
  </si>
  <si>
    <t>R&amp;M - Hood Cleaning</t>
  </si>
  <si>
    <t>R&amp;M - Pest Control</t>
  </si>
  <si>
    <t>R&amp;M - Building, General</t>
  </si>
  <si>
    <t>R&amp;M - Equipment, General</t>
  </si>
  <si>
    <t>R&amp;M - Refrigeration</t>
  </si>
  <si>
    <t>R&amp;M - HVAC</t>
  </si>
  <si>
    <t>R&amp;M - Preventative Maintenance</t>
  </si>
  <si>
    <t>Total Repairs &amp; Maintenance</t>
  </si>
  <si>
    <t>Other Expenses</t>
  </si>
  <si>
    <t>Recruitment Expense</t>
  </si>
  <si>
    <t>Equipment Rental</t>
  </si>
  <si>
    <t>Meals &amp; Entertainment</t>
  </si>
  <si>
    <t>Travel:Travel Meals</t>
  </si>
  <si>
    <t>Tools</t>
  </si>
  <si>
    <t>Patio Permit Expense</t>
  </si>
  <si>
    <t>Donations</t>
  </si>
  <si>
    <t>Bank Fees</t>
  </si>
  <si>
    <t>Storage Rental</t>
  </si>
  <si>
    <t>Dues &amp; Subscriptions</t>
  </si>
  <si>
    <t>Charitable Contributions</t>
  </si>
  <si>
    <t>Training Costs</t>
  </si>
  <si>
    <t>Employee Incentives (M&amp;E)</t>
  </si>
  <si>
    <t>Menu Printing</t>
  </si>
  <si>
    <t>Ground Transportation (Auto Expense)</t>
  </si>
  <si>
    <t>Parking Fees</t>
  </si>
  <si>
    <t>Transportation</t>
  </si>
  <si>
    <t>Tangible Property Tax</t>
  </si>
  <si>
    <t>GC Guest Recovery</t>
  </si>
  <si>
    <t>Shipping &amp; Delivery Expense</t>
  </si>
  <si>
    <t>Equipment Lease</t>
  </si>
  <si>
    <t>Phone/Internet</t>
  </si>
  <si>
    <t>POS &amp; Technology</t>
  </si>
  <si>
    <t>Cost for Discounts</t>
  </si>
  <si>
    <t>Licenses &amp; Permits</t>
  </si>
  <si>
    <t>Cash Over/Short</t>
  </si>
  <si>
    <t>Total Other Expenses</t>
  </si>
  <si>
    <t>Total Operating Expense</t>
  </si>
  <si>
    <t>Non Controllable Expense</t>
  </si>
  <si>
    <t>Occupancy Cost</t>
  </si>
  <si>
    <t>Rent Expense</t>
  </si>
  <si>
    <t>Common Area Maintenance (CAM)</t>
  </si>
  <si>
    <t>Public Space Rental</t>
  </si>
  <si>
    <t>Insurance - Building</t>
  </si>
  <si>
    <t>Real Estate Tax</t>
  </si>
  <si>
    <t>Rent - 4/4/5</t>
  </si>
  <si>
    <t>Percentage Rent Expense</t>
  </si>
  <si>
    <t>Utilities</t>
  </si>
  <si>
    <t>Electric</t>
  </si>
  <si>
    <t>Gas</t>
  </si>
  <si>
    <t>Water/Sewer</t>
  </si>
  <si>
    <t>Trash</t>
  </si>
  <si>
    <t>Total Utilities</t>
  </si>
  <si>
    <t>Total Occupancy Cost</t>
  </si>
  <si>
    <t>Total Non Controllable Expense</t>
  </si>
  <si>
    <t>Store Level Profit</t>
  </si>
  <si>
    <t>Corporate Overhead &amp; Other</t>
  </si>
  <si>
    <t>Corporate G&amp;A Expenses</t>
  </si>
  <si>
    <t>Corp - Payroll Expenses</t>
  </si>
  <si>
    <t>Corp - Salaries &amp; Wages</t>
  </si>
  <si>
    <t>Corp - Officers' Compensation</t>
  </si>
  <si>
    <t>Corp - MIT Wages</t>
  </si>
  <si>
    <t>Corp - Commission Wages</t>
  </si>
  <si>
    <t>Corp - Payroll Taxes</t>
  </si>
  <si>
    <t>Corp - Payroll Processing Fee</t>
  </si>
  <si>
    <t>Corp - Bonus</t>
  </si>
  <si>
    <t>Corp - Health Insurance</t>
  </si>
  <si>
    <t>Total Corp - Payroll Expenses</t>
  </si>
  <si>
    <t>Corp - Meals, Entertainment, &amp; Travel</t>
  </si>
  <si>
    <t>Corp - Fuel &amp; Gas</t>
  </si>
  <si>
    <t>Corp - Parking Fees</t>
  </si>
  <si>
    <t>Corp - Ground Transportation</t>
  </si>
  <si>
    <t>Corp - M&amp;E</t>
  </si>
  <si>
    <t>Corp - Lodging</t>
  </si>
  <si>
    <t>Corp - Airfare</t>
  </si>
  <si>
    <t>Corp - Travel (New Market)</t>
  </si>
  <si>
    <t>Total Corp - Meals, Entertainment, &amp; Travel</t>
  </si>
  <si>
    <t>Corp - Other G&amp;A Expenses</t>
  </si>
  <si>
    <t>Corp - Dues &amp; Subscriptions</t>
  </si>
  <si>
    <t>Corp - Office Supplies</t>
  </si>
  <si>
    <t>Corp - Other Taxes</t>
  </si>
  <si>
    <t>Corp - Rent Expense</t>
  </si>
  <si>
    <t>Corp - Insurance Expense</t>
  </si>
  <si>
    <t>Corp - Charitable Contributions</t>
  </si>
  <si>
    <t>Corp - Other Employee Incentives</t>
  </si>
  <si>
    <t>Corp - Professional Fees</t>
  </si>
  <si>
    <t>Corp - IT &amp; Technology</t>
  </si>
  <si>
    <t>Corp - R&amp;D</t>
  </si>
  <si>
    <t>Corp - Accounting Fees</t>
  </si>
  <si>
    <t>Corp - Legal Fees</t>
  </si>
  <si>
    <t>Corp - Recruiting Fees</t>
  </si>
  <si>
    <t>Corp - Public Relations</t>
  </si>
  <si>
    <t>Corp - Marketing</t>
  </si>
  <si>
    <t>Corp - Marketing Food Drops</t>
  </si>
  <si>
    <t>Corp - 3rd Party Marketing Fees</t>
  </si>
  <si>
    <t>Corp - DoorDash Marketing Fees</t>
  </si>
  <si>
    <t>Corp - EZ Cater Marketing Fees</t>
  </si>
  <si>
    <t>Corp - GrubHub Marketing Fees</t>
  </si>
  <si>
    <t>Corp - Uber Eats Marketing Fees</t>
  </si>
  <si>
    <t>Total Corp - 3rd Party Marketing Fees</t>
  </si>
  <si>
    <t>Corp - Paid Media</t>
  </si>
  <si>
    <t>Corp - SMS Marketing</t>
  </si>
  <si>
    <t>Total Corp - Marketing</t>
  </si>
  <si>
    <t>Corp - Other Professional Fees</t>
  </si>
  <si>
    <t>Corp - Bank Fees</t>
  </si>
  <si>
    <t>Corp - Licenses &amp; Permits</t>
  </si>
  <si>
    <t>Corp - Management Fee</t>
  </si>
  <si>
    <t>Corp - Investor Advisory Fees</t>
  </si>
  <si>
    <t>Corp - Realty Tax</t>
  </si>
  <si>
    <t>Total Corporate Overhead &amp; Other</t>
  </si>
  <si>
    <t>EBITDA</t>
  </si>
  <si>
    <t>Other Income &amp; Expense</t>
  </si>
  <si>
    <t>Other (Income)/Expense</t>
  </si>
  <si>
    <t>Prior Period Adjustments</t>
  </si>
  <si>
    <t>Penalties &amp; Settlements</t>
  </si>
  <si>
    <t>Depreciation</t>
  </si>
  <si>
    <t>Amortization</t>
  </si>
  <si>
    <t>Other Income_Feed the District</t>
  </si>
  <si>
    <t>Other Income_Feed the fridge</t>
  </si>
  <si>
    <t>Taxable Grant Income</t>
  </si>
  <si>
    <t>Tax Exempt Grant Income</t>
  </si>
  <si>
    <t>Sales Tax Commission Income</t>
  </si>
  <si>
    <t>Sales Tax Adjustments</t>
  </si>
  <si>
    <t>Ramp CC Cashback Rewards</t>
  </si>
  <si>
    <t>Legal Fees - Capital Raise</t>
  </si>
  <si>
    <t>Other Income</t>
  </si>
  <si>
    <t>MVT Bucks Income</t>
  </si>
  <si>
    <t>Unrealized (Gain)/Loss On Investments</t>
  </si>
  <si>
    <t>Dividend Income</t>
  </si>
  <si>
    <t>Taxes</t>
  </si>
  <si>
    <t>(Gain)/Loss On Sale/Disposal Of Assets</t>
  </si>
  <si>
    <t>Interest Income</t>
  </si>
  <si>
    <t>Discounts received</t>
  </si>
  <si>
    <t>Total Other (Income)/Expense</t>
  </si>
  <si>
    <t>Total Other Income &amp; Expense</t>
  </si>
  <si>
    <t>Pre-Opening Costs</t>
  </si>
  <si>
    <t>Pre-Opening Expenses</t>
  </si>
  <si>
    <t>Pre-Opening Expenses - Supplies</t>
  </si>
  <si>
    <t>Pre-Opening Expenses - Other</t>
  </si>
  <si>
    <t>Pre-Opening Expenses - Payroll</t>
  </si>
  <si>
    <t>Pre-Opening Expenses - COGS</t>
  </si>
  <si>
    <t>Pre-Opening Expenses - Travel &amp; Meals</t>
  </si>
  <si>
    <t>Pre-Opening Expenses - Legal, Permits, &amp; Design Fees</t>
  </si>
  <si>
    <t>Pre-Opening Expenses - Rent &amp; Utilities</t>
  </si>
  <si>
    <t>Pre-Opening Expenses - Leases &amp; Subscriptions</t>
  </si>
  <si>
    <t>Total Pre-Opening Expenses</t>
  </si>
  <si>
    <t>Total Pre-Opening Costs</t>
  </si>
  <si>
    <t>Net Income</t>
  </si>
  <si>
    <t>Powered by Restaurant365</t>
  </si>
  <si>
    <t>1</t>
  </si>
  <si>
    <t>04/06/2026 06:54 PM PDT</t>
  </si>
  <si>
    <t>1 - RASA Worldwide</t>
  </si>
  <si>
    <t>2 - RASA - Ballpark</t>
  </si>
  <si>
    <t>4 - RASA - MVT</t>
  </si>
  <si>
    <t>5 - RASA - National Landing</t>
  </si>
  <si>
    <t>6 - RASA - Mosaic</t>
  </si>
  <si>
    <t>7 - RASA - Rockville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</si>
</sst>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%"/>
    <numFmt numFmtId="165" formatCode="#,##0.0%;\(#,##0.0%\)"/>
    <numFmt numFmtId="166" formatCode="#,##0.0;\(#,##0.0\)"/>
  </numFmts>
  <fonts count="11" x14ac:knownFonts="1">
    <font>
      <sz val="11"/>
      <color theme="1"/>
      <name val="Calibri"/>
      <family val="2"/>
      <scheme val="minor"/>
    </font>
    <font>
      <b/>
      <sz val="26"/>
      <color rgb="FF000000"/>
      <name val="Calibri"/>
      <scheme val="minor"/>
    </font>
    <font>
      <sz val="18"/>
      <color rgb="FF000000"/>
      <name val="Calibri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b/>
      <sz val="12"/>
      <color rgb="FF696969"/>
      <name val="Calibri"/>
      <scheme val="minor"/>
    </font>
    <font>
      <b/>
      <sz val="12"/>
      <name val="Calibri"/>
      <scheme val="minor"/>
    </font>
    <font>
      <b/>
      <i/>
      <sz val="8"/>
      <name val="Calibri"/>
      <scheme val="minor"/>
    </font>
    <font>
      <i/>
      <sz val="8"/>
      <name val="Calibri"/>
      <scheme val="minor"/>
    </font>
    <font>
      <b/>
      <sz val="12"/>
      <color rgb="FF000000"/>
      <name val="Calibri"/>
      <scheme val="minor"/>
    </font>
    <font>
      <b/>
      <i/>
      <sz val="8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9D7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6" fillId="0" borderId="0" xfId="0" applyFont="1" applyAlignment="1">
      <alignment horizontal="left" vertical="center" wrapText="1"/>
    </xf>
    <xf numFmtId="39" fontId="6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2"/>
    </xf>
    <xf numFmtId="39" fontId="4" fillId="0" borderId="0" xfId="0" applyNumberFormat="1" applyFont="1" applyAlignment="1">
      <alignment vertical="center"/>
    </xf>
    <xf numFmtId="165" fontId="8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39" fontId="4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2"/>
    </xf>
    <xf numFmtId="39" fontId="6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wrapText="1" indent="3"/>
    </xf>
    <xf numFmtId="0" fontId="4" fillId="0" borderId="0" xfId="0" applyFont="1" applyAlignment="1">
      <alignment horizontal="left" vertical="center" wrapText="1" indent="4"/>
    </xf>
    <xf numFmtId="39" fontId="6" fillId="0" borderId="0" xfId="0" applyNumberFormat="1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39" fontId="6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39" fontId="9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wrapText="1"/>
    </xf>
    <xf numFmtId="166" fontId="8" fillId="0" borderId="0" xfId="0" applyNumberFormat="1" applyFont="1" applyAlignment="1">
      <alignment vertical="center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" fontId="5" fillId="2" borderId="0" xfId="0" applyNumberFormat="1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449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2</v>
      </c>
      <c r="B3" s="31" t="s">
        <v>2</v>
      </c>
      <c r="C3" s="31" t="s">
        <v>2</v>
      </c>
      <c r="D3" s="31" t="s">
        <v>2</v>
      </c>
      <c r="E3" s="31" t="s">
        <v>2</v>
      </c>
      <c r="F3" s="31" t="s">
        <v>2</v>
      </c>
      <c r="G3" s="31" t="s">
        <v>2</v>
      </c>
      <c r="H3" s="31" t="s">
        <v>2</v>
      </c>
      <c r="I3" s="31" t="s">
        <v>2</v>
      </c>
      <c r="J3" s="31" t="s">
        <v>2</v>
      </c>
      <c r="K3" s="31" t="s">
        <v>2</v>
      </c>
      <c r="L3" s="31" t="s">
        <v>2</v>
      </c>
      <c r="M3" s="31" t="s">
        <v>2</v>
      </c>
      <c r="N3" s="31" t="s">
        <v>2</v>
      </c>
      <c r="O3" s="31" t="s">
        <v>2</v>
      </c>
      <c r="P3" s="31" t="s">
        <v>2</v>
      </c>
      <c r="Q3" s="31" t="s">
        <v>2</v>
      </c>
      <c r="R3" s="31" t="s">
        <v>2</v>
      </c>
      <c r="S3" s="31" t="s">
        <v>2</v>
      </c>
      <c r="T3" s="31" t="s">
        <v>2</v>
      </c>
      <c r="U3" s="31" t="s">
        <v>2</v>
      </c>
      <c r="V3" s="31" t="s">
        <v>2</v>
      </c>
      <c r="W3" s="31" t="s">
        <v>2</v>
      </c>
      <c r="X3" s="31" t="s">
        <v>2</v>
      </c>
      <c r="Y3" s="31" t="s">
        <v>2</v>
      </c>
      <c r="Z3" s="31" t="s">
        <v>2</v>
      </c>
      <c r="AA3" s="31" t="s">
        <v>2</v>
      </c>
      <c r="AB3" s="31" t="s">
        <v>2</v>
      </c>
      <c r="AC3" s="31" t="s">
        <v>2</v>
      </c>
      <c r="AD3" s="31" t="s">
        <v>2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377497.17</v>
      </c>
      <c r="F10" s="8">
        <f>IFERROR(E10/E444, "NA")</f>
        <v>0.4692389615399169</v>
      </c>
      <c r="G10" s="9"/>
      <c r="H10" s="10">
        <f t="shared" ref="H10:H19" si="0">IFERROR(B10-E10, "NA")</f>
        <v>-377497.17</v>
      </c>
      <c r="I10" s="8">
        <f>IFERROR(H10/H444, "NA")</f>
        <v>4.5405655361876862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1668648.23</v>
      </c>
      <c r="U10" s="8">
        <f>IFERROR(T10/T444, "NA")</f>
        <v>0.46111830264644627</v>
      </c>
      <c r="V10" s="9"/>
      <c r="W10" s="10">
        <f t="shared" ref="W10:W19" si="2">IFERROR(Q10-T10, "NA")</f>
        <v>-1668648.23</v>
      </c>
      <c r="X10" s="8">
        <f>IFERROR(W10/W444, "NA")</f>
        <v>41.02001407118351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305287.91000000003</v>
      </c>
      <c r="C11" s="8">
        <f>IFERROR(B11/B444, "NA")</f>
        <v>0.42321785234371606</v>
      </c>
      <c r="D11" s="9"/>
      <c r="E11" s="7">
        <v>0</v>
      </c>
      <c r="F11" s="8">
        <f>IFERROR(E11/E444, "NA")</f>
        <v>0</v>
      </c>
      <c r="G11" s="9"/>
      <c r="H11" s="10">
        <f t="shared" si="0"/>
        <v>305287.91000000003</v>
      </c>
      <c r="I11" s="8">
        <f>IFERROR(H11/H444, "NA")</f>
        <v>-3.6720268995944219</v>
      </c>
      <c r="J11" s="9"/>
      <c r="K11" s="7">
        <v>318999.53999999998</v>
      </c>
      <c r="L11" s="8">
        <f>IFERROR(K11/K444, "NA")</f>
        <v>0.46382903312793855</v>
      </c>
      <c r="M11" s="9"/>
      <c r="N11" s="10">
        <f t="shared" si="1"/>
        <v>-13711.629999999946</v>
      </c>
      <c r="O11" s="8">
        <f>IFERROR(N11/N444, "NA")</f>
        <v>-0.40812188029252655</v>
      </c>
      <c r="P11" s="9"/>
      <c r="Q11" s="7">
        <v>1444357.99</v>
      </c>
      <c r="R11" s="8">
        <f>IFERROR(Q11/Q444, "NA")</f>
        <v>0.40367522776312803</v>
      </c>
      <c r="S11" s="9"/>
      <c r="T11" s="7">
        <v>0</v>
      </c>
      <c r="U11" s="8">
        <f>IFERROR(T11/T444, "NA")</f>
        <v>0</v>
      </c>
      <c r="V11" s="9"/>
      <c r="W11" s="10">
        <f t="shared" si="2"/>
        <v>1444357.99</v>
      </c>
      <c r="X11" s="8">
        <f>IFERROR(W11/W444, "NA")</f>
        <v>-35.506336211812801</v>
      </c>
      <c r="Y11" s="9"/>
      <c r="Z11" s="7">
        <v>1448642.3800000001</v>
      </c>
      <c r="AA11" s="8">
        <f>IFERROR(Z11/Z444, "NA")</f>
        <v>0.45583536544024017</v>
      </c>
      <c r="AB11" s="9"/>
      <c r="AC11" s="10">
        <f t="shared" si="3"/>
        <v>-4284.3900000001304</v>
      </c>
      <c r="AD11" s="8">
        <f>IFERROR(AC11/AC444, "NA")</f>
        <v>-1.0710301054306487E-2</v>
      </c>
    </row>
    <row r="12" spans="1:30" ht="16.5" customHeight="1" x14ac:dyDescent="0.45">
      <c r="A12" s="12" t="s">
        <v>14</v>
      </c>
      <c r="B12" s="7">
        <v>34411.35</v>
      </c>
      <c r="C12" s="8">
        <f>IFERROR(B12/B444, "NA")</f>
        <v>4.7704141455349257E-2</v>
      </c>
      <c r="D12" s="9"/>
      <c r="E12" s="7">
        <v>0</v>
      </c>
      <c r="F12" s="8">
        <f>IFERROR(E12/E444, "NA")</f>
        <v>0</v>
      </c>
      <c r="G12" s="9"/>
      <c r="H12" s="10">
        <f t="shared" si="0"/>
        <v>34411.35</v>
      </c>
      <c r="I12" s="8">
        <f>IFERROR(H12/H444, "NA")</f>
        <v>-0.41390241379476339</v>
      </c>
      <c r="J12" s="9"/>
      <c r="K12" s="7">
        <v>35746.899999999994</v>
      </c>
      <c r="L12" s="8">
        <f>IFERROR(K12/K444, "NA")</f>
        <v>5.1976407440340211E-2</v>
      </c>
      <c r="M12" s="9"/>
      <c r="N12" s="10">
        <f t="shared" si="1"/>
        <v>-1335.5499999999956</v>
      </c>
      <c r="O12" s="8">
        <f>IFERROR(N12/N444, "NA")</f>
        <v>-3.9752179516562521E-2</v>
      </c>
      <c r="P12" s="9"/>
      <c r="Q12" s="7">
        <v>156070.09</v>
      </c>
      <c r="R12" s="8">
        <f>IFERROR(Q12/Q444, "NA")</f>
        <v>4.3619123211802835E-2</v>
      </c>
      <c r="S12" s="9"/>
      <c r="T12" s="7">
        <v>0</v>
      </c>
      <c r="U12" s="8">
        <f>IFERROR(T12/T444, "NA")</f>
        <v>0</v>
      </c>
      <c r="V12" s="9"/>
      <c r="W12" s="10">
        <f t="shared" si="2"/>
        <v>156070.09</v>
      </c>
      <c r="X12" s="8">
        <f>IFERROR(W12/W444, "NA")</f>
        <v>-3.8366368493920837</v>
      </c>
      <c r="Y12" s="9"/>
      <c r="Z12" s="7">
        <v>145175.15</v>
      </c>
      <c r="AA12" s="8">
        <f>IFERROR(Z12/Z444, "NA")</f>
        <v>4.5681369305992328E-2</v>
      </c>
      <c r="AB12" s="9"/>
      <c r="AC12" s="10">
        <f t="shared" si="3"/>
        <v>10894.940000000002</v>
      </c>
      <c r="AD12" s="8">
        <f>IFERROR(AC12/AC444, "NA")</f>
        <v>2.7235636197592276E-2</v>
      </c>
    </row>
    <row r="13" spans="1:30" ht="16.5" customHeight="1" x14ac:dyDescent="0.45">
      <c r="A13" s="12" t="s">
        <v>15</v>
      </c>
      <c r="B13" s="7">
        <v>1473</v>
      </c>
      <c r="C13" s="8">
        <f>IFERROR(B13/B444, "NA")</f>
        <v>2.0420064997080747E-3</v>
      </c>
      <c r="D13" s="9"/>
      <c r="E13" s="7">
        <v>0</v>
      </c>
      <c r="F13" s="8">
        <f>IFERROR(E13/E444, "NA")</f>
        <v>0</v>
      </c>
      <c r="G13" s="9"/>
      <c r="H13" s="10">
        <f t="shared" si="0"/>
        <v>1473</v>
      </c>
      <c r="I13" s="8">
        <f>IFERROR(H13/H444, "NA")</f>
        <v>-1.7717359403792252E-2</v>
      </c>
      <c r="J13" s="9"/>
      <c r="K13" s="7">
        <v>1603</v>
      </c>
      <c r="L13" s="8">
        <f>IFERROR(K13/K444, "NA")</f>
        <v>2.3307806027058394E-3</v>
      </c>
      <c r="M13" s="9"/>
      <c r="N13" s="10">
        <f t="shared" si="1"/>
        <v>-130</v>
      </c>
      <c r="O13" s="8">
        <f>IFERROR(N13/N444, "NA")</f>
        <v>-3.8694046176879523E-3</v>
      </c>
      <c r="P13" s="9"/>
      <c r="Q13" s="7">
        <v>7696</v>
      </c>
      <c r="R13" s="8">
        <f>IFERROR(Q13/Q444, "NA")</f>
        <v>2.1509103521247064E-3</v>
      </c>
      <c r="S13" s="9"/>
      <c r="T13" s="7">
        <v>0</v>
      </c>
      <c r="U13" s="8">
        <f>IFERROR(T13/T444, "NA")</f>
        <v>0</v>
      </c>
      <c r="V13" s="9"/>
      <c r="W13" s="10">
        <f t="shared" si="2"/>
        <v>7696</v>
      </c>
      <c r="X13" s="8">
        <f>IFERROR(W13/W444, "NA")</f>
        <v>-0.18918908288526953</v>
      </c>
      <c r="Y13" s="9"/>
      <c r="Z13" s="7">
        <v>6862.26</v>
      </c>
      <c r="AA13" s="8">
        <f>IFERROR(Z13/Z444, "NA")</f>
        <v>2.1593050417632697E-3</v>
      </c>
      <c r="AB13" s="9"/>
      <c r="AC13" s="10">
        <f t="shared" si="3"/>
        <v>833.73999999999978</v>
      </c>
      <c r="AD13" s="8">
        <f>IFERROR(AC13/AC444, "NA")</f>
        <v>2.0842188505288302E-3</v>
      </c>
    </row>
    <row r="14" spans="1:30" ht="16.5" customHeight="1" x14ac:dyDescent="0.45">
      <c r="A14" s="12" t="s">
        <v>16</v>
      </c>
      <c r="B14" s="7">
        <v>1405</v>
      </c>
      <c r="C14" s="8">
        <f>IFERROR(B14/B444, "NA")</f>
        <v>1.9477387183230448E-3</v>
      </c>
      <c r="D14" s="9"/>
      <c r="E14" s="7">
        <v>0</v>
      </c>
      <c r="F14" s="8">
        <f>IFERROR(E14/E444, "NA")</f>
        <v>0</v>
      </c>
      <c r="G14" s="9"/>
      <c r="H14" s="10">
        <f t="shared" si="0"/>
        <v>1405</v>
      </c>
      <c r="I14" s="8">
        <f>IFERROR(H14/H444, "NA")</f>
        <v>-1.6899450076258055E-2</v>
      </c>
      <c r="J14" s="9"/>
      <c r="K14" s="7">
        <v>3985</v>
      </c>
      <c r="L14" s="8">
        <f>IFERROR(K14/K444, "NA")</f>
        <v>5.7942362456536306E-3</v>
      </c>
      <c r="M14" s="9"/>
      <c r="N14" s="10">
        <f t="shared" si="1"/>
        <v>-2580</v>
      </c>
      <c r="O14" s="8">
        <f>IFERROR(N14/N444, "NA")</f>
        <v>-7.6792799335653208E-2</v>
      </c>
      <c r="P14" s="9"/>
      <c r="Q14" s="7">
        <v>11630</v>
      </c>
      <c r="R14" s="8">
        <f>IFERROR(Q14/Q444, "NA")</f>
        <v>3.250401168816312E-3</v>
      </c>
      <c r="S14" s="9"/>
      <c r="T14" s="7">
        <v>0</v>
      </c>
      <c r="U14" s="8">
        <f>IFERROR(T14/T444, "NA")</f>
        <v>0</v>
      </c>
      <c r="V14" s="9"/>
      <c r="W14" s="10">
        <f t="shared" si="2"/>
        <v>11630</v>
      </c>
      <c r="X14" s="8">
        <f>IFERROR(W14/W444, "NA")</f>
        <v>-0.28589774349736025</v>
      </c>
      <c r="Y14" s="9"/>
      <c r="Z14" s="7">
        <v>18096.989999999998</v>
      </c>
      <c r="AA14" s="8">
        <f>IFERROR(Z14/Z444, "NA")</f>
        <v>5.6944682579411843E-3</v>
      </c>
      <c r="AB14" s="9"/>
      <c r="AC14" s="10">
        <f t="shared" si="3"/>
        <v>-6466.989999999998</v>
      </c>
      <c r="AD14" s="8">
        <f>IFERROR(AC14/AC444, "NA")</f>
        <v>-1.616645772564761E-2</v>
      </c>
    </row>
    <row r="15" spans="1:30" ht="16.5" customHeight="1" x14ac:dyDescent="0.45">
      <c r="A15" s="12" t="s">
        <v>17</v>
      </c>
      <c r="B15" s="7">
        <v>302</v>
      </c>
      <c r="C15" s="8">
        <f>IFERROR(B15/B444, "NA")</f>
        <v>4.1865985262175054E-4</v>
      </c>
      <c r="D15" s="9"/>
      <c r="E15" s="7">
        <v>0</v>
      </c>
      <c r="F15" s="8">
        <f>IFERROR(E15/E444, "NA")</f>
        <v>0</v>
      </c>
      <c r="G15" s="9"/>
      <c r="H15" s="10">
        <f t="shared" si="0"/>
        <v>302</v>
      </c>
      <c r="I15" s="8">
        <f>IFERROR(H15/H444, "NA")</f>
        <v>-3.632479660519525E-3</v>
      </c>
      <c r="J15" s="9"/>
      <c r="K15" s="7">
        <v>353.5</v>
      </c>
      <c r="L15" s="8">
        <f>IFERROR(K15/K444, "NA")</f>
        <v>5.1399310234342748E-4</v>
      </c>
      <c r="M15" s="9"/>
      <c r="N15" s="10">
        <f t="shared" si="1"/>
        <v>-51.5</v>
      </c>
      <c r="O15" s="8">
        <f>IFERROR(N15/N444, "NA")</f>
        <v>-1.5328795216225349E-3</v>
      </c>
      <c r="P15" s="9"/>
      <c r="Q15" s="7">
        <v>1665</v>
      </c>
      <c r="R15" s="8">
        <f>IFERROR(Q15/Q444, "NA")</f>
        <v>4.6534118195005672E-4</v>
      </c>
      <c r="S15" s="9"/>
      <c r="T15" s="7">
        <v>0</v>
      </c>
      <c r="U15" s="8">
        <f>IFERROR(T15/T444, "NA")</f>
        <v>0</v>
      </c>
      <c r="V15" s="9"/>
      <c r="W15" s="10">
        <f t="shared" si="2"/>
        <v>1665</v>
      </c>
      <c r="X15" s="8">
        <f>IFERROR(W15/W444, "NA")</f>
        <v>-4.0930330431909273E-2</v>
      </c>
      <c r="Y15" s="9"/>
      <c r="Z15" s="7">
        <v>2283.5</v>
      </c>
      <c r="AA15" s="8">
        <f>IFERROR(Z15/Z444, "NA")</f>
        <v>7.1853486502499559E-4</v>
      </c>
      <c r="AB15" s="9"/>
      <c r="AC15" s="10">
        <f t="shared" si="3"/>
        <v>-618.5</v>
      </c>
      <c r="AD15" s="8">
        <f>IFERROR(AC15/AC444, "NA")</f>
        <v>-1.5461527083408279E-3</v>
      </c>
    </row>
    <row r="16" spans="1:30" ht="16.5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3.0500000000000003</v>
      </c>
      <c r="R16" s="8">
        <f>IFERROR(Q16/Q444, "NA")</f>
        <v>8.5242678975836222E-7</v>
      </c>
      <c r="S16" s="9"/>
      <c r="T16" s="7">
        <v>0</v>
      </c>
      <c r="U16" s="8">
        <f>IFERROR(T16/T444, "NA")</f>
        <v>0</v>
      </c>
      <c r="V16" s="9"/>
      <c r="W16" s="10">
        <f t="shared" si="2"/>
        <v>3.0500000000000003</v>
      </c>
      <c r="X16" s="8">
        <f>IFERROR(W16/W444, "NA")</f>
        <v>-7.4977482172566547E-5</v>
      </c>
      <c r="Y16" s="9"/>
      <c r="Z16" s="7">
        <v>0</v>
      </c>
      <c r="AA16" s="8">
        <f>IFERROR(Z16/Z444, "NA")</f>
        <v>0</v>
      </c>
      <c r="AB16" s="9"/>
      <c r="AC16" s="10">
        <f t="shared" si="3"/>
        <v>3.0500000000000003</v>
      </c>
      <c r="AD16" s="8">
        <f>IFERROR(AC16/AC444, "NA")</f>
        <v>7.6245202270647144E-6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342879.26</v>
      </c>
      <c r="C18" s="15">
        <f>IFERROR(B18/B444, "NA")</f>
        <v>0.47533039886971817</v>
      </c>
      <c r="D18" s="2"/>
      <c r="E18" s="14">
        <f>IFERROR(E10+E11+E12+E13+E14+E15+E16+E17, "NA")</f>
        <v>377497.17</v>
      </c>
      <c r="F18" s="15">
        <f>IFERROR(E18/E444, "NA")</f>
        <v>0.4692389615399169</v>
      </c>
      <c r="G18" s="2"/>
      <c r="H18" s="14">
        <f t="shared" si="0"/>
        <v>-34617.909999999974</v>
      </c>
      <c r="I18" s="15">
        <f>IFERROR(H18/H444, "NA")</f>
        <v>0.41638693365793172</v>
      </c>
      <c r="J18" s="2"/>
      <c r="K18" s="14">
        <f>IFERROR(K10+K11+K12+K13+K14+K15+K16+K17, "NA")</f>
        <v>360687.93999999994</v>
      </c>
      <c r="L18" s="15">
        <f>IFERROR(K18/K444, "NA")</f>
        <v>0.52444445051898159</v>
      </c>
      <c r="M18" s="2"/>
      <c r="N18" s="14">
        <f t="shared" si="1"/>
        <v>-17808.679999999935</v>
      </c>
      <c r="O18" s="15">
        <f>IFERROR(N18/N444, "NA")</f>
        <v>-0.53006914328405252</v>
      </c>
      <c r="P18" s="2"/>
      <c r="Q18" s="14">
        <f>IFERROR(Q10+Q11+Q12+Q13+Q14+Q15+Q16+Q17, "NA")</f>
        <v>1621422.1300000001</v>
      </c>
      <c r="R18" s="15">
        <f>IFERROR(Q18/Q444, "NA")</f>
        <v>0.45316185610461174</v>
      </c>
      <c r="S18" s="2"/>
      <c r="T18" s="14">
        <f>IFERROR(T10+T11+T12+T13+T14+T15+T16+T17, "NA")</f>
        <v>1668648.23</v>
      </c>
      <c r="U18" s="15">
        <f>IFERROR(T18/T444, "NA")</f>
        <v>0.46111830264644627</v>
      </c>
      <c r="V18" s="2"/>
      <c r="W18" s="14">
        <f t="shared" si="2"/>
        <v>-47226.09999999986</v>
      </c>
      <c r="X18" s="15">
        <f>IFERROR(W18/W444, "NA")</f>
        <v>1.1609488756819129</v>
      </c>
      <c r="Y18" s="2"/>
      <c r="Z18" s="14">
        <f>IFERROR(Z10+Z11+Z12+Z13+Z14+Z15+Z16+Z17, "NA")</f>
        <v>1621060.28</v>
      </c>
      <c r="AA18" s="15">
        <f>IFERROR(Z18/Z444, "NA")</f>
        <v>0.51008904291096191</v>
      </c>
      <c r="AB18" s="2"/>
      <c r="AC18" s="14">
        <f t="shared" si="3"/>
        <v>361.85000000009313</v>
      </c>
      <c r="AD18" s="15">
        <f>IFERROR(AC18/AC444, "NA")</f>
        <v>9.0456808005379564E-4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67647.03</v>
      </c>
      <c r="F21" s="8">
        <f>IFERROR(E21/E444, "NA")</f>
        <v>8.4087046555765182E-2</v>
      </c>
      <c r="G21" s="9"/>
      <c r="H21" s="10">
        <f t="shared" ref="H21:H29" si="4">IFERROR(B21-E21, "NA")</f>
        <v>-67647.03</v>
      </c>
      <c r="I21" s="8">
        <f>IFERROR(H21/H444, "NA")</f>
        <v>0.81366377672037782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300270.26</v>
      </c>
      <c r="U21" s="8">
        <f>IFERROR(T21/T444, "NA")</f>
        <v>8.2977412576889925E-2</v>
      </c>
      <c r="V21" s="9"/>
      <c r="W21" s="10">
        <f t="shared" ref="W21:W29" si="6">IFERROR(Q21-T21, "NA")</f>
        <v>-300270.26</v>
      </c>
      <c r="X21" s="8">
        <f>IFERROR(W21/W444, "NA")</f>
        <v>7.3814780544596461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51778.520000000004</v>
      </c>
      <c r="C22" s="8">
        <f>IFERROR(B22/B444, "NA")</f>
        <v>7.1780091232358817E-2</v>
      </c>
      <c r="D22" s="9"/>
      <c r="E22" s="7">
        <v>0</v>
      </c>
      <c r="F22" s="8">
        <f>IFERROR(E22/E444, "NA")</f>
        <v>0</v>
      </c>
      <c r="G22" s="9"/>
      <c r="H22" s="10">
        <f t="shared" si="4"/>
        <v>51778.520000000004</v>
      </c>
      <c r="I22" s="8">
        <f>IFERROR(H22/H444, "NA")</f>
        <v>-0.62279609520464718</v>
      </c>
      <c r="J22" s="9"/>
      <c r="K22" s="7">
        <v>47154.130000000005</v>
      </c>
      <c r="L22" s="8">
        <f>IFERROR(K22/K444, "NA")</f>
        <v>6.8562652240467564E-2</v>
      </c>
      <c r="M22" s="9"/>
      <c r="N22" s="10">
        <f t="shared" si="5"/>
        <v>4624.3899999999994</v>
      </c>
      <c r="O22" s="8">
        <f>IFERROR(N22/N444, "NA")</f>
        <v>0.13764335399992297</v>
      </c>
      <c r="P22" s="9"/>
      <c r="Q22" s="7">
        <v>229435.41999999998</v>
      </c>
      <c r="R22" s="8">
        <f>IFERROR(Q22/Q444, "NA")</f>
        <v>6.412357328769229E-2</v>
      </c>
      <c r="S22" s="9"/>
      <c r="T22" s="7">
        <v>0</v>
      </c>
      <c r="U22" s="8">
        <f>IFERROR(T22/T444, "NA")</f>
        <v>0</v>
      </c>
      <c r="V22" s="9"/>
      <c r="W22" s="10">
        <f t="shared" si="6"/>
        <v>229435.41999999998</v>
      </c>
      <c r="X22" s="8">
        <f>IFERROR(W22/W444, "NA")</f>
        <v>-5.6401606927230539</v>
      </c>
      <c r="Y22" s="9"/>
      <c r="Z22" s="7">
        <v>218421.09</v>
      </c>
      <c r="AA22" s="8">
        <f>IFERROR(Z22/Z444, "NA")</f>
        <v>6.8729217614084695E-2</v>
      </c>
      <c r="AB22" s="9"/>
      <c r="AC22" s="10">
        <f t="shared" si="7"/>
        <v>11014.329999999987</v>
      </c>
      <c r="AD22" s="8">
        <f>IFERROR(AC22/AC444, "NA")</f>
        <v>2.7534092417234618E-2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8192.68</v>
      </c>
      <c r="C24" s="8">
        <f>IFERROR(B24/B444, "NA")</f>
        <v>1.1357437752904515E-2</v>
      </c>
      <c r="D24" s="9"/>
      <c r="E24" s="7">
        <v>0</v>
      </c>
      <c r="F24" s="8">
        <f>IFERROR(E24/E444, "NA")</f>
        <v>0</v>
      </c>
      <c r="G24" s="9"/>
      <c r="H24" s="10">
        <f t="shared" si="4"/>
        <v>8192.68</v>
      </c>
      <c r="I24" s="8">
        <f>IFERROR(H24/H444, "NA")</f>
        <v>-9.8542196904453982E-2</v>
      </c>
      <c r="J24" s="9"/>
      <c r="K24" s="7">
        <v>3180.66</v>
      </c>
      <c r="L24" s="8">
        <f>IFERROR(K24/K444, "NA")</f>
        <v>4.6247165513427042E-3</v>
      </c>
      <c r="M24" s="9"/>
      <c r="N24" s="10">
        <f t="shared" si="5"/>
        <v>5012.0200000000004</v>
      </c>
      <c r="O24" s="8">
        <f>IFERROR(N24/N444, "NA")</f>
        <v>0.14918102563034133</v>
      </c>
      <c r="P24" s="9"/>
      <c r="Q24" s="7">
        <v>34858.630000000005</v>
      </c>
      <c r="R24" s="8">
        <f>IFERROR(Q24/Q444, "NA")</f>
        <v>9.7424360873031267E-3</v>
      </c>
      <c r="S24" s="9"/>
      <c r="T24" s="7">
        <v>0</v>
      </c>
      <c r="U24" s="8">
        <f>IFERROR(T24/T444, "NA")</f>
        <v>0</v>
      </c>
      <c r="V24" s="9"/>
      <c r="W24" s="10">
        <f t="shared" si="6"/>
        <v>34858.630000000005</v>
      </c>
      <c r="X24" s="8">
        <f>IFERROR(W24/W444, "NA")</f>
        <v>-0.8569220686508503</v>
      </c>
      <c r="Y24" s="9"/>
      <c r="Z24" s="7">
        <v>12162.64</v>
      </c>
      <c r="AA24" s="8">
        <f>IFERROR(Z24/Z444, "NA")</f>
        <v>3.8271429344197993E-3</v>
      </c>
      <c r="AB24" s="9"/>
      <c r="AC24" s="10">
        <f t="shared" si="7"/>
        <v>22695.990000000005</v>
      </c>
      <c r="AD24" s="8">
        <f>IFERROR(AC24/AC444, "NA")</f>
        <v>5.6736404861724099E-2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customHeight="1" x14ac:dyDescent="0.45">
      <c r="A26" s="12" t="s">
        <v>27</v>
      </c>
      <c r="B26" s="7">
        <v>2078.14</v>
      </c>
      <c r="C26" s="8">
        <f>IFERROR(B26/B444, "NA")</f>
        <v>2.8809065765806777E-3</v>
      </c>
      <c r="D26" s="9"/>
      <c r="E26" s="7">
        <v>0</v>
      </c>
      <c r="F26" s="8">
        <f>IFERROR(E26/E444, "NA")</f>
        <v>0</v>
      </c>
      <c r="G26" s="9"/>
      <c r="H26" s="10">
        <f t="shared" si="4"/>
        <v>2078.14</v>
      </c>
      <c r="I26" s="8">
        <f>IFERROR(H26/H444, "NA")</f>
        <v>-2.4996030734145844E-2</v>
      </c>
      <c r="J26" s="9"/>
      <c r="K26" s="7">
        <v>612.36</v>
      </c>
      <c r="L26" s="8">
        <f>IFERROR(K26/K444, "NA")</f>
        <v>8.9037854639609974E-4</v>
      </c>
      <c r="M26" s="9"/>
      <c r="N26" s="10">
        <f t="shared" si="5"/>
        <v>1465.7799999999997</v>
      </c>
      <c r="O26" s="8">
        <f>IFERROR(N26/N444, "NA")</f>
        <v>4.3628430003958815E-2</v>
      </c>
      <c r="P26" s="9"/>
      <c r="Q26" s="7">
        <v>15860.48</v>
      </c>
      <c r="R26" s="8">
        <f>IFERROR(Q26/Q444, "NA")</f>
        <v>4.4327534591562974E-3</v>
      </c>
      <c r="S26" s="9"/>
      <c r="T26" s="7">
        <v>0</v>
      </c>
      <c r="U26" s="8">
        <f>IFERROR(T26/T444, "NA")</f>
        <v>0</v>
      </c>
      <c r="V26" s="9"/>
      <c r="W26" s="10">
        <f t="shared" si="6"/>
        <v>15860.48</v>
      </c>
      <c r="X26" s="8">
        <f>IFERROR(W26/W444, "NA")</f>
        <v>-0.38989470703224527</v>
      </c>
      <c r="Y26" s="9"/>
      <c r="Z26" s="7">
        <v>3690.32</v>
      </c>
      <c r="AA26" s="8">
        <f>IFERROR(Z26/Z444, "NA")</f>
        <v>1.1612102400258559E-3</v>
      </c>
      <c r="AB26" s="9"/>
      <c r="AC26" s="10">
        <f t="shared" si="7"/>
        <v>12170.16</v>
      </c>
      <c r="AD26" s="8">
        <f>IFERROR(AC26/AC444, "NA")</f>
        <v>3.0423485602168489E-2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508.29</v>
      </c>
      <c r="L27" s="8">
        <f>IFERROR(K27/K444, "NA")</f>
        <v>7.3905955867083672E-4</v>
      </c>
      <c r="M27" s="9"/>
      <c r="N27" s="10">
        <f t="shared" si="5"/>
        <v>-508.29</v>
      </c>
      <c r="O27" s="8">
        <f>IFERROR(N27/N444, "NA")</f>
        <v>-1.512907440865084E-2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3911.83</v>
      </c>
      <c r="AA27" s="8">
        <f>IFERROR(Z27/Z444, "NA")</f>
        <v>1.2309114259035378E-3</v>
      </c>
      <c r="AB27" s="9"/>
      <c r="AC27" s="10">
        <f t="shared" si="7"/>
        <v>-3911.83</v>
      </c>
      <c r="AD27" s="8">
        <f>IFERROR(AC27/AC444, "NA")</f>
        <v>-9.7789596589634622E-3</v>
      </c>
    </row>
    <row r="28" spans="1:30" ht="16.5" customHeight="1" x14ac:dyDescent="0.45">
      <c r="A28" s="12" t="s">
        <v>29</v>
      </c>
      <c r="B28" s="7">
        <v>4384.68</v>
      </c>
      <c r="C28" s="8">
        <f>IFERROR(B28/B444, "NA")</f>
        <v>6.0784419953428389E-3</v>
      </c>
      <c r="D28" s="9"/>
      <c r="E28" s="7">
        <v>0</v>
      </c>
      <c r="F28" s="8">
        <f>IFERROR(E28/E444, "NA")</f>
        <v>0</v>
      </c>
      <c r="G28" s="9"/>
      <c r="H28" s="10">
        <f t="shared" si="4"/>
        <v>4384.68</v>
      </c>
      <c r="I28" s="8">
        <f>IFERROR(H28/H444, "NA")</f>
        <v>-5.2739274562538914E-2</v>
      </c>
      <c r="J28" s="9"/>
      <c r="K28" s="7">
        <v>4209.33</v>
      </c>
      <c r="L28" s="8">
        <f>IFERROR(K28/K444, "NA")</f>
        <v>6.1204146689880041E-3</v>
      </c>
      <c r="M28" s="9"/>
      <c r="N28" s="10">
        <f t="shared" si="5"/>
        <v>175.35000000000036</v>
      </c>
      <c r="O28" s="8">
        <f>IFERROR(N28/N444, "NA")</f>
        <v>5.2192315362429523E-3</v>
      </c>
      <c r="P28" s="9"/>
      <c r="Q28" s="7">
        <v>25564</v>
      </c>
      <c r="R28" s="8">
        <f>IFERROR(Q28/Q444, "NA")</f>
        <v>7.1447339191418914E-3</v>
      </c>
      <c r="S28" s="9"/>
      <c r="T28" s="7">
        <v>0</v>
      </c>
      <c r="U28" s="8">
        <f>IFERROR(T28/T444, "NA")</f>
        <v>0</v>
      </c>
      <c r="V28" s="9"/>
      <c r="W28" s="10">
        <f t="shared" si="6"/>
        <v>25564</v>
      </c>
      <c r="X28" s="8">
        <f>IFERROR(W28/W444, "NA")</f>
        <v>-0.62843421451130854</v>
      </c>
      <c r="Y28" s="9"/>
      <c r="Z28" s="7">
        <v>24768.010000000002</v>
      </c>
      <c r="AA28" s="8">
        <f>IFERROR(Z28/Z444, "NA")</f>
        <v>7.7935969880830926E-3</v>
      </c>
      <c r="AB28" s="9"/>
      <c r="AC28" s="10">
        <f t="shared" si="7"/>
        <v>795.98999999999796</v>
      </c>
      <c r="AD28" s="8">
        <f>IFERROR(AC28/AC444, "NA")</f>
        <v>1.9898497887020413E-3</v>
      </c>
    </row>
    <row r="29" spans="1:30" ht="16.5" customHeight="1" x14ac:dyDescent="0.45">
      <c r="A29" s="13" t="s">
        <v>30</v>
      </c>
      <c r="B29" s="14">
        <f>IFERROR(B21+B22+B23+B24+B25+B26+B27+B28, "NA")</f>
        <v>66434.02</v>
      </c>
      <c r="C29" s="15">
        <f>IFERROR(B29/B444, "NA")</f>
        <v>9.209687755718686E-2</v>
      </c>
      <c r="D29" s="2"/>
      <c r="E29" s="14">
        <f>IFERROR(E21+E22+E23+E24+E25+E26+E27+E28, "NA")</f>
        <v>67647.03</v>
      </c>
      <c r="F29" s="15">
        <f>IFERROR(E29/E444, "NA")</f>
        <v>8.4087046555765182E-2</v>
      </c>
      <c r="G29" s="2"/>
      <c r="H29" s="14">
        <f t="shared" si="4"/>
        <v>-1213.0099999999948</v>
      </c>
      <c r="I29" s="15">
        <f>IFERROR(H29/H444, "NA")</f>
        <v>1.4590179314591953E-2</v>
      </c>
      <c r="J29" s="2"/>
      <c r="K29" s="14">
        <f>IFERROR(K21+K22+K23+K24+K25+K26+K27+K28, "NA")</f>
        <v>55664.770000000011</v>
      </c>
      <c r="L29" s="15">
        <f>IFERROR(K29/K444, "NA")</f>
        <v>8.0937221565865219E-2</v>
      </c>
      <c r="M29" s="2"/>
      <c r="N29" s="14">
        <f t="shared" si="5"/>
        <v>10769.249999999993</v>
      </c>
      <c r="O29" s="15">
        <f>IFERROR(N29/N444, "NA")</f>
        <v>0.32054296676181498</v>
      </c>
      <c r="P29" s="2"/>
      <c r="Q29" s="14">
        <f>IFERROR(Q21+Q22+Q23+Q24+Q25+Q26+Q27+Q28, "NA")</f>
        <v>305718.52999999997</v>
      </c>
      <c r="R29" s="15">
        <f>IFERROR(Q29/Q444, "NA")</f>
        <v>8.5443496753293602E-2</v>
      </c>
      <c r="S29" s="2"/>
      <c r="T29" s="14">
        <f>IFERROR(T21+T22+T23+T24+T25+T26+T27+T28, "NA")</f>
        <v>300270.26</v>
      </c>
      <c r="U29" s="15">
        <f>IFERROR(T29/T444, "NA")</f>
        <v>8.2977412576889925E-2</v>
      </c>
      <c r="V29" s="2"/>
      <c r="W29" s="14">
        <f t="shared" si="6"/>
        <v>5448.2699999999604</v>
      </c>
      <c r="X29" s="15">
        <f>IFERROR(W29/W444, "NA")</f>
        <v>-0.13393362845781184</v>
      </c>
      <c r="Y29" s="2"/>
      <c r="Z29" s="14">
        <f>IFERROR(Z21+Z22+Z23+Z24+Z25+Z26+Z27+Z28, "NA")</f>
        <v>262953.88999999996</v>
      </c>
      <c r="AA29" s="15">
        <f>IFERROR(Z29/Z444, "NA")</f>
        <v>8.2742079202516972E-2</v>
      </c>
      <c r="AB29" s="2"/>
      <c r="AC29" s="14">
        <f t="shared" si="7"/>
        <v>42764.640000000014</v>
      </c>
      <c r="AD29" s="15">
        <f>IFERROR(AC29/AC444, "NA")</f>
        <v>0.10690487301086585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173136.87</v>
      </c>
      <c r="F31" s="8">
        <f>IFERROR(E31/E444, "NA")</f>
        <v>0.21521370632545825</v>
      </c>
      <c r="G31" s="9"/>
      <c r="H31" s="10">
        <f t="shared" ref="H31:H40" si="8">IFERROR(B31-E31, "NA")</f>
        <v>-173136.87</v>
      </c>
      <c r="I31" s="8">
        <f>IFERROR(H31/H444, "NA")</f>
        <v>2.082503836956997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786842.91999999993</v>
      </c>
      <c r="U31" s="8">
        <f>IFERROR(T31/T444, "NA")</f>
        <v>0.21743808263277484</v>
      </c>
      <c r="V31" s="9"/>
      <c r="W31" s="10">
        <f t="shared" ref="W31:W40" si="10">IFERROR(Q31-T31, "NA")</f>
        <v>-786842.91999999993</v>
      </c>
      <c r="X31" s="8">
        <f>IFERROR(W31/W444, "NA")</f>
        <v>19.34278721538039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77604.75</v>
      </c>
      <c r="C33" s="8">
        <f>IFERROR(B33/B444, "NA")</f>
        <v>0.10758275893293973</v>
      </c>
      <c r="D33" s="9"/>
      <c r="E33" s="7">
        <v>0</v>
      </c>
      <c r="F33" s="8">
        <f>IFERROR(E33/E444, "NA")</f>
        <v>0</v>
      </c>
      <c r="G33" s="9"/>
      <c r="H33" s="10">
        <f t="shared" si="8"/>
        <v>77604.75</v>
      </c>
      <c r="I33" s="8">
        <f>IFERROR(H33/H444, "NA")</f>
        <v>-0.93343601302881651</v>
      </c>
      <c r="J33" s="9"/>
      <c r="K33" s="7">
        <v>45260.53</v>
      </c>
      <c r="L33" s="8">
        <f>IFERROR(K33/K444, "NA")</f>
        <v>6.580933586536851E-2</v>
      </c>
      <c r="M33" s="9"/>
      <c r="N33" s="10">
        <f t="shared" si="9"/>
        <v>32344.22</v>
      </c>
      <c r="O33" s="8">
        <f>IFERROR(N33/N444, "NA")</f>
        <v>0.96271441710396166</v>
      </c>
      <c r="P33" s="9"/>
      <c r="Q33" s="7">
        <v>332702.82</v>
      </c>
      <c r="R33" s="8">
        <f>IFERROR(Q33/Q444, "NA")</f>
        <v>9.298517927742761E-2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332702.82</v>
      </c>
      <c r="X33" s="8">
        <f>IFERROR(W33/W444, "NA")</f>
        <v>-8.1787605755123334</v>
      </c>
      <c r="Y33" s="9"/>
      <c r="Z33" s="7">
        <v>214503.83</v>
      </c>
      <c r="AA33" s="8">
        <f>IFERROR(Z33/Z444, "NA")</f>
        <v>6.7496597563562341E-2</v>
      </c>
      <c r="AB33" s="9"/>
      <c r="AC33" s="10">
        <f t="shared" si="11"/>
        <v>118198.99000000002</v>
      </c>
      <c r="AD33" s="8">
        <f>IFERROR(AC33/AC444, "NA")</f>
        <v>0.29547888199135081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7803.8499999999995</v>
      </c>
      <c r="C35" s="8">
        <f>IFERROR(B35/B444, "NA")</f>
        <v>1.0818406261199495E-2</v>
      </c>
      <c r="D35" s="9"/>
      <c r="E35" s="7">
        <v>0</v>
      </c>
      <c r="F35" s="8">
        <f>IFERROR(E35/E444, "NA")</f>
        <v>0</v>
      </c>
      <c r="G35" s="9"/>
      <c r="H35" s="10">
        <f t="shared" si="8"/>
        <v>7803.8499999999995</v>
      </c>
      <c r="I35" s="8">
        <f>IFERROR(H35/H444, "NA")</f>
        <v>-9.3865319201143355E-2</v>
      </c>
      <c r="J35" s="9"/>
      <c r="K35" s="7">
        <v>0</v>
      </c>
      <c r="L35" s="8">
        <f>IFERROR(K35/K444, "NA")</f>
        <v>0</v>
      </c>
      <c r="M35" s="9"/>
      <c r="N35" s="10">
        <f t="shared" si="9"/>
        <v>7803.8499999999995</v>
      </c>
      <c r="O35" s="8">
        <f>IFERROR(N35/N444, "NA")</f>
        <v>0.23227887096726249</v>
      </c>
      <c r="P35" s="9"/>
      <c r="Q35" s="7">
        <v>41322.019999999997</v>
      </c>
      <c r="R35" s="8">
        <f>IFERROR(Q35/Q444, "NA")</f>
        <v>1.1548851427846174E-2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41322.019999999997</v>
      </c>
      <c r="X35" s="8">
        <f>IFERROR(W35/W444, "NA")</f>
        <v>-1.0158101697981763</v>
      </c>
      <c r="Y35" s="9"/>
      <c r="Z35" s="7">
        <v>0</v>
      </c>
      <c r="AA35" s="8">
        <f>IFERROR(Z35/Z444, "NA")</f>
        <v>0</v>
      </c>
      <c r="AB35" s="9"/>
      <c r="AC35" s="10">
        <f t="shared" si="11"/>
        <v>41322.019999999997</v>
      </c>
      <c r="AD35" s="8">
        <f>IFERROR(AC35/AC444, "NA")</f>
        <v>0.10329854993874511</v>
      </c>
    </row>
    <row r="36" spans="1:30" ht="16.5" customHeight="1" x14ac:dyDescent="0.45">
      <c r="A36" s="12" t="s">
        <v>36</v>
      </c>
      <c r="B36" s="7">
        <v>59432.95</v>
      </c>
      <c r="C36" s="8">
        <f>IFERROR(B36/B444, "NA")</f>
        <v>8.2391357906873741E-2</v>
      </c>
      <c r="D36" s="9"/>
      <c r="E36" s="7">
        <v>0</v>
      </c>
      <c r="F36" s="8">
        <f>IFERROR(E36/E444, "NA")</f>
        <v>0</v>
      </c>
      <c r="G36" s="9"/>
      <c r="H36" s="10">
        <f t="shared" si="8"/>
        <v>59432.95</v>
      </c>
      <c r="I36" s="8">
        <f>IFERROR(H36/H444, "NA")</f>
        <v>-0.71486417893931753</v>
      </c>
      <c r="J36" s="9"/>
      <c r="K36" s="7">
        <v>56643.46</v>
      </c>
      <c r="L36" s="8">
        <f>IFERROR(K36/K444, "NA")</f>
        <v>8.2360248183496007E-2</v>
      </c>
      <c r="M36" s="9"/>
      <c r="N36" s="10">
        <f t="shared" si="9"/>
        <v>2789.489999999998</v>
      </c>
      <c r="O36" s="8">
        <f>IFERROR(N36/N444, "NA")</f>
        <v>8.3028196053802752E-2</v>
      </c>
      <c r="P36" s="9"/>
      <c r="Q36" s="7">
        <v>394401.69</v>
      </c>
      <c r="R36" s="8">
        <f>IFERROR(Q36/Q444, "NA")</f>
        <v>0.11022903819081073</v>
      </c>
      <c r="S36" s="9"/>
      <c r="T36" s="7">
        <v>0</v>
      </c>
      <c r="U36" s="8">
        <f>IFERROR(T36/T444, "NA")</f>
        <v>0</v>
      </c>
      <c r="V36" s="9"/>
      <c r="W36" s="10">
        <f t="shared" si="10"/>
        <v>394401.69</v>
      </c>
      <c r="X36" s="8">
        <f>IFERROR(W36/W444, "NA")</f>
        <v>-9.6954903871492171</v>
      </c>
      <c r="Y36" s="9"/>
      <c r="Z36" s="7">
        <v>272884.83</v>
      </c>
      <c r="AA36" s="8">
        <f>IFERROR(Z36/Z444, "NA")</f>
        <v>8.5866986858514946E-2</v>
      </c>
      <c r="AB36" s="9"/>
      <c r="AC36" s="10">
        <f t="shared" si="11"/>
        <v>121516.85999999999</v>
      </c>
      <c r="AD36" s="8">
        <f>IFERROR(AC36/AC444, "NA")</f>
        <v>0.30377303508176751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6767.87</v>
      </c>
      <c r="C39" s="8">
        <f>IFERROR(B39/B444, "NA")</f>
        <v>9.3822366117985653E-3</v>
      </c>
      <c r="D39" s="9"/>
      <c r="E39" s="7">
        <v>0</v>
      </c>
      <c r="F39" s="8">
        <f>IFERROR(E39/E444, "NA")</f>
        <v>0</v>
      </c>
      <c r="G39" s="9"/>
      <c r="H39" s="10">
        <f t="shared" si="8"/>
        <v>6767.87</v>
      </c>
      <c r="I39" s="8">
        <f>IFERROR(H39/H444, "NA")</f>
        <v>-8.140447059615985E-2</v>
      </c>
      <c r="J39" s="9"/>
      <c r="K39" s="7">
        <v>8768.59</v>
      </c>
      <c r="L39" s="8">
        <f>IFERROR(K39/K444, "NA")</f>
        <v>1.2749631618889829E-2</v>
      </c>
      <c r="M39" s="9"/>
      <c r="N39" s="10">
        <f t="shared" si="9"/>
        <v>-2000.7200000000003</v>
      </c>
      <c r="O39" s="8">
        <f>IFERROR(N39/N444, "NA")</f>
        <v>-5.9550732359235699E-2</v>
      </c>
      <c r="P39" s="9"/>
      <c r="Q39" s="7">
        <v>35179.550000000003</v>
      </c>
      <c r="R39" s="8">
        <f>IFERROR(Q39/Q444, "NA")</f>
        <v>9.8321281546373089E-3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35179.550000000003</v>
      </c>
      <c r="X39" s="8">
        <f>IFERROR(W39/W444, "NA")</f>
        <v>-0.86481117474226665</v>
      </c>
      <c r="Y39" s="9"/>
      <c r="Z39" s="7">
        <v>37817.83</v>
      </c>
      <c r="AA39" s="8">
        <f>IFERROR(Z39/Z444, "NA")</f>
        <v>1.1899903382784424E-2</v>
      </c>
      <c r="AB39" s="9"/>
      <c r="AC39" s="10">
        <f t="shared" si="11"/>
        <v>-2638.2799999999988</v>
      </c>
      <c r="AD39" s="8">
        <f>IFERROR(AC39/AC444, "NA")</f>
        <v>-6.595284991691896E-3</v>
      </c>
    </row>
    <row r="40" spans="1:30" ht="16.5" customHeight="1" x14ac:dyDescent="0.45">
      <c r="A40" s="13" t="s">
        <v>40</v>
      </c>
      <c r="B40" s="14">
        <f>IFERROR(B31+B32+B33+B34+B35+B36+B37+B38+B39, "NA")</f>
        <v>151609.41999999998</v>
      </c>
      <c r="C40" s="15">
        <f>IFERROR(B40/B444, "NA")</f>
        <v>0.21017475971281149</v>
      </c>
      <c r="D40" s="2"/>
      <c r="E40" s="14">
        <f>IFERROR(E31+E32+E33+E34+E35+E36+E37+E38+E39, "NA")</f>
        <v>173136.87</v>
      </c>
      <c r="F40" s="15">
        <f>IFERROR(E40/E444, "NA")</f>
        <v>0.21521370632545825</v>
      </c>
      <c r="G40" s="2"/>
      <c r="H40" s="14">
        <f t="shared" si="8"/>
        <v>-21527.450000000012</v>
      </c>
      <c r="I40" s="15">
        <f>IFERROR(H40/H444, "NA")</f>
        <v>0.25893385519155987</v>
      </c>
      <c r="J40" s="2"/>
      <c r="K40" s="14">
        <f>IFERROR(K31+K32+K33+K34+K35+K36+K37+K38+K39, "NA")</f>
        <v>110672.57999999999</v>
      </c>
      <c r="L40" s="15">
        <f>IFERROR(K40/K444, "NA")</f>
        <v>0.16091921566775433</v>
      </c>
      <c r="M40" s="2"/>
      <c r="N40" s="14">
        <f t="shared" si="9"/>
        <v>40936.839999999997</v>
      </c>
      <c r="O40" s="15">
        <f>IFERROR(N40/N444, "NA")</f>
        <v>1.2184707517657911</v>
      </c>
      <c r="P40" s="2"/>
      <c r="Q40" s="14">
        <f>IFERROR(Q31+Q32+Q33+Q34+Q35+Q36+Q37+Q38+Q39, "NA")</f>
        <v>803606.08000000007</v>
      </c>
      <c r="R40" s="15">
        <f>IFERROR(Q40/Q444, "NA")</f>
        <v>0.22459519705072184</v>
      </c>
      <c r="S40" s="2"/>
      <c r="T40" s="14">
        <f>IFERROR(T31+T32+T33+T34+T35+T36+T37+T38+T39, "NA")</f>
        <v>786842.91999999993</v>
      </c>
      <c r="U40" s="15">
        <f>IFERROR(T40/T444, "NA")</f>
        <v>0.21743808263277484</v>
      </c>
      <c r="V40" s="2"/>
      <c r="W40" s="14">
        <f t="shared" si="10"/>
        <v>16763.160000000149</v>
      </c>
      <c r="X40" s="15">
        <f>IFERROR(W40/W444, "NA")</f>
        <v>-0.4120850918216038</v>
      </c>
      <c r="Y40" s="2"/>
      <c r="Z40" s="14">
        <f>IFERROR(Z31+Z32+Z33+Z34+Z35+Z36+Z37+Z38+Z39, "NA")</f>
        <v>525206.49</v>
      </c>
      <c r="AA40" s="15">
        <f>IFERROR(Z40/Z444, "NA")</f>
        <v>0.16526348780486169</v>
      </c>
      <c r="AB40" s="2"/>
      <c r="AC40" s="14">
        <f t="shared" si="11"/>
        <v>278399.59000000008</v>
      </c>
      <c r="AD40" s="15">
        <f>IFERROR(AC40/AC444, "NA")</f>
        <v>0.6959551820201717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49936.54</v>
      </c>
      <c r="C43" s="8">
        <f>IFERROR(B43/B444, "NA")</f>
        <v>6.9226571115364746E-2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49936.54</v>
      </c>
      <c r="I43" s="8">
        <f>IFERROR(H43/H444, "NA")</f>
        <v>-0.60064061545271419</v>
      </c>
      <c r="J43" s="9"/>
      <c r="K43" s="7">
        <v>3365.25</v>
      </c>
      <c r="L43" s="8">
        <f>IFERROR(K43/K444, "NA")</f>
        <v>4.8931125534970848E-3</v>
      </c>
      <c r="M43" s="9"/>
      <c r="N43" s="10">
        <f>IFERROR(B43-K43, "NA")</f>
        <v>46571.29</v>
      </c>
      <c r="O43" s="8">
        <f>IFERROR(N43/N444, "NA")</f>
        <v>1.3861781890591134</v>
      </c>
      <c r="P43" s="9"/>
      <c r="Q43" s="7">
        <v>199527.12</v>
      </c>
      <c r="R43" s="8">
        <f>IFERROR(Q43/Q444, "NA")</f>
        <v>5.5764676187321796E-2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199527.12</v>
      </c>
      <c r="X43" s="8">
        <f>IFERROR(W43/W444, "NA")</f>
        <v>-4.9049315025388669</v>
      </c>
      <c r="Y43" s="9"/>
      <c r="Z43" s="7">
        <v>26267.45</v>
      </c>
      <c r="AA43" s="8">
        <f>IFERROR(Z43/Z444, "NA")</f>
        <v>8.2654165273925214E-3</v>
      </c>
      <c r="AB43" s="9"/>
      <c r="AC43" s="10">
        <f>IFERROR(Q43-Z43, "NA")</f>
        <v>173259.66999999998</v>
      </c>
      <c r="AD43" s="8">
        <f>IFERROR(AC43/AC444, "NA")</f>
        <v>0.4331219208031335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202451.7</v>
      </c>
      <c r="F46" s="8">
        <f>IFERROR(E46/E444, "NA")</f>
        <v>0.25165281496015135</v>
      </c>
      <c r="G46" s="9"/>
      <c r="H46" s="10">
        <f t="shared" ref="H46:H62" si="12">IFERROR(B46-E46, "NA")</f>
        <v>-202451.7</v>
      </c>
      <c r="I46" s="8">
        <f>IFERROR(H46/H444, "NA")</f>
        <v>2.4351049088993402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934126.13</v>
      </c>
      <c r="U46" s="8">
        <f>IFERROR(T46/T444, "NA")</f>
        <v>0.25813868242517096</v>
      </c>
      <c r="V46" s="9"/>
      <c r="W46" s="10">
        <f t="shared" ref="W46:W62" si="14">IFERROR(Q46-T46, "NA")</f>
        <v>-934126.13</v>
      </c>
      <c r="X46" s="8">
        <f>IFERROR(W46/W444, "NA")</f>
        <v>22.963418117706087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customHeight="1" x14ac:dyDescent="0.45">
      <c r="A47" s="17" t="s">
        <v>45</v>
      </c>
      <c r="B47" s="7">
        <v>586.63</v>
      </c>
      <c r="C47" s="8">
        <f>IFERROR(B47/B444, "NA")</f>
        <v>8.1323983226323684E-4</v>
      </c>
      <c r="D47" s="9"/>
      <c r="E47" s="7">
        <v>0</v>
      </c>
      <c r="F47" s="8">
        <f>IFERROR(E47/E444, "NA")</f>
        <v>0</v>
      </c>
      <c r="G47" s="9"/>
      <c r="H47" s="10">
        <f t="shared" si="12"/>
        <v>586.63</v>
      </c>
      <c r="I47" s="8">
        <f>IFERROR(H47/H444, "NA")</f>
        <v>-7.0560316001674469E-3</v>
      </c>
      <c r="J47" s="9"/>
      <c r="K47" s="7">
        <v>748.11</v>
      </c>
      <c r="L47" s="8">
        <f>IFERROR(K47/K444, "NA")</f>
        <v>1.0877606217656055E-3</v>
      </c>
      <c r="M47" s="9"/>
      <c r="N47" s="10">
        <f t="shared" si="13"/>
        <v>-161.48000000000002</v>
      </c>
      <c r="O47" s="8">
        <f>IFERROR(N47/N444, "NA")</f>
        <v>-4.8063958281865425E-3</v>
      </c>
      <c r="P47" s="9"/>
      <c r="Q47" s="7">
        <v>5997.94</v>
      </c>
      <c r="R47" s="8">
        <f>IFERROR(Q47/Q444, "NA")</f>
        <v>1.6763294227420558E-3</v>
      </c>
      <c r="S47" s="9"/>
      <c r="T47" s="7">
        <v>0</v>
      </c>
      <c r="U47" s="8">
        <f>IFERROR(T47/T444, "NA")</f>
        <v>0</v>
      </c>
      <c r="V47" s="9"/>
      <c r="W47" s="10">
        <f t="shared" si="14"/>
        <v>5997.94</v>
      </c>
      <c r="X47" s="8">
        <f>IFERROR(W47/W444, "NA")</f>
        <v>-0.14744604571217171</v>
      </c>
      <c r="Y47" s="9"/>
      <c r="Z47" s="7">
        <v>2386.71</v>
      </c>
      <c r="AA47" s="8">
        <f>IFERROR(Z47/Z444, "NA")</f>
        <v>7.5101131933602247E-4</v>
      </c>
      <c r="AB47" s="9"/>
      <c r="AC47" s="10">
        <f t="shared" si="15"/>
        <v>3611.2299999999996</v>
      </c>
      <c r="AD47" s="8">
        <f>IFERROR(AC47/AC444, "NA")</f>
        <v>9.027506944125541E-3</v>
      </c>
    </row>
    <row r="48" spans="1:30" ht="16.5" customHeight="1" x14ac:dyDescent="0.45">
      <c r="A48" s="17" t="s">
        <v>46</v>
      </c>
      <c r="B48" s="7">
        <v>62470.35</v>
      </c>
      <c r="C48" s="8">
        <f>IFERROR(B48/B444, "NA")</f>
        <v>8.6602077894798582E-2</v>
      </c>
      <c r="D48" s="9"/>
      <c r="E48" s="7">
        <v>0</v>
      </c>
      <c r="F48" s="8">
        <f>IFERROR(E48/E444, "NA")</f>
        <v>0</v>
      </c>
      <c r="G48" s="9"/>
      <c r="H48" s="10">
        <f t="shared" si="12"/>
        <v>62470.35</v>
      </c>
      <c r="I48" s="8">
        <f>IFERROR(H48/H444, "NA")</f>
        <v>-0.7513982641077348</v>
      </c>
      <c r="J48" s="9"/>
      <c r="K48" s="7">
        <v>138737.1</v>
      </c>
      <c r="L48" s="8">
        <f>IFERROR(K48/K444, "NA")</f>
        <v>0.20172535343459783</v>
      </c>
      <c r="M48" s="9"/>
      <c r="N48" s="10">
        <f t="shared" si="13"/>
        <v>-76266.75</v>
      </c>
      <c r="O48" s="8">
        <f>IFERROR(N48/N444, "NA")</f>
        <v>-2.2700531894311742</v>
      </c>
      <c r="P48" s="9"/>
      <c r="Q48" s="7">
        <v>495469.66</v>
      </c>
      <c r="R48" s="8">
        <f>IFERROR(Q48/Q444, "NA")</f>
        <v>0.13847593826113677</v>
      </c>
      <c r="S48" s="9"/>
      <c r="T48" s="7">
        <v>0</v>
      </c>
      <c r="U48" s="8">
        <f>IFERROR(T48/T444, "NA")</f>
        <v>0</v>
      </c>
      <c r="V48" s="9"/>
      <c r="W48" s="10">
        <f t="shared" si="14"/>
        <v>495469.66</v>
      </c>
      <c r="X48" s="8">
        <f>IFERROR(W48/W444, "NA")</f>
        <v>-12.180022163835279</v>
      </c>
      <c r="Y48" s="9"/>
      <c r="Z48" s="7">
        <v>653007.29</v>
      </c>
      <c r="AA48" s="8">
        <f>IFERROR(Z48/Z444, "NA")</f>
        <v>0.20547777752594185</v>
      </c>
      <c r="AB48" s="9"/>
      <c r="AC48" s="10">
        <f t="shared" si="15"/>
        <v>-157537.63000000006</v>
      </c>
      <c r="AD48" s="8">
        <f>IFERROR(AC48/AC444, "NA")</f>
        <v>-0.39381929392093024</v>
      </c>
    </row>
    <row r="49" spans="1:30" ht="16.5" customHeight="1" x14ac:dyDescent="0.45">
      <c r="A49" s="17" t="s">
        <v>47</v>
      </c>
      <c r="B49" s="7">
        <v>10500</v>
      </c>
      <c r="C49" s="8">
        <f>IFERROR(B49/B444, "NA")</f>
        <v>1.4556054478570796E-2</v>
      </c>
      <c r="D49" s="9"/>
      <c r="E49" s="7">
        <v>0</v>
      </c>
      <c r="F49" s="8">
        <f>IFERROR(E49/E444, "NA")</f>
        <v>0</v>
      </c>
      <c r="G49" s="9"/>
      <c r="H49" s="10">
        <f t="shared" si="12"/>
        <v>10500</v>
      </c>
      <c r="I49" s="8">
        <f>IFERROR(H49/H444, "NA")</f>
        <v>-0.126294822633957</v>
      </c>
      <c r="J49" s="9"/>
      <c r="K49" s="7">
        <v>1680.25</v>
      </c>
      <c r="L49" s="8">
        <f>IFERROR(K49/K444, "NA")</f>
        <v>2.4431029991868287E-3</v>
      </c>
      <c r="M49" s="9"/>
      <c r="N49" s="10">
        <f t="shared" si="13"/>
        <v>8819.75</v>
      </c>
      <c r="O49" s="8">
        <f>IFERROR(N49/N444, "NA")</f>
        <v>0.2625167798219486</v>
      </c>
      <c r="P49" s="9"/>
      <c r="Q49" s="7">
        <v>31310.609999999997</v>
      </c>
      <c r="R49" s="8">
        <f>IFERROR(Q49/Q444, "NA")</f>
        <v>8.7508205795659242E-3</v>
      </c>
      <c r="S49" s="9"/>
      <c r="T49" s="7">
        <v>0</v>
      </c>
      <c r="U49" s="8">
        <f>IFERROR(T49/T444, "NA")</f>
        <v>0</v>
      </c>
      <c r="V49" s="9"/>
      <c r="W49" s="10">
        <f t="shared" si="14"/>
        <v>31310.609999999997</v>
      </c>
      <c r="X49" s="8">
        <f>IFERROR(W49/W444, "NA")</f>
        <v>-0.76970186986465028</v>
      </c>
      <c r="Y49" s="9"/>
      <c r="Z49" s="7">
        <v>2090.27</v>
      </c>
      <c r="AA49" s="8">
        <f>IFERROR(Z49/Z444, "NA")</f>
        <v>6.577323723738986E-4</v>
      </c>
      <c r="AB49" s="9"/>
      <c r="AC49" s="10">
        <f t="shared" si="15"/>
        <v>29220.339999999997</v>
      </c>
      <c r="AD49" s="8">
        <f>IFERROR(AC49/AC444, "NA")</f>
        <v>7.3046253564494457E-2</v>
      </c>
    </row>
    <row r="50" spans="1:30" ht="16.5" customHeight="1" x14ac:dyDescent="0.45">
      <c r="A50" s="17" t="s">
        <v>48</v>
      </c>
      <c r="B50" s="7">
        <v>50</v>
      </c>
      <c r="C50" s="8">
        <f>IFERROR(B50/B444, "NA")</f>
        <v>6.931454513605142E-5</v>
      </c>
      <c r="D50" s="9"/>
      <c r="E50" s="7">
        <v>0</v>
      </c>
      <c r="F50" s="8">
        <f>IFERROR(E50/E444, "NA")</f>
        <v>0</v>
      </c>
      <c r="G50" s="9"/>
      <c r="H50" s="10">
        <f t="shared" si="12"/>
        <v>50</v>
      </c>
      <c r="I50" s="8">
        <f>IFERROR(H50/H444, "NA")</f>
        <v>-6.014039173045571E-4</v>
      </c>
      <c r="J50" s="9"/>
      <c r="K50" s="7">
        <v>1917</v>
      </c>
      <c r="L50" s="8">
        <f>IFERROR(K50/K444, "NA")</f>
        <v>2.787340246654457E-3</v>
      </c>
      <c r="M50" s="9"/>
      <c r="N50" s="10">
        <f t="shared" si="13"/>
        <v>-1867</v>
      </c>
      <c r="O50" s="8">
        <f>IFERROR(N50/N444, "NA")</f>
        <v>-5.5570603240180053E-2</v>
      </c>
      <c r="P50" s="9"/>
      <c r="Q50" s="7">
        <v>7940.57</v>
      </c>
      <c r="R50" s="8">
        <f>IFERROR(Q50/Q444, "NA")</f>
        <v>2.2192638012955928E-3</v>
      </c>
      <c r="S50" s="9"/>
      <c r="T50" s="7">
        <v>0</v>
      </c>
      <c r="U50" s="8">
        <f>IFERROR(T50/T444, "NA")</f>
        <v>0</v>
      </c>
      <c r="V50" s="9"/>
      <c r="W50" s="10">
        <f t="shared" si="14"/>
        <v>7940.57</v>
      </c>
      <c r="X50" s="8">
        <f>IFERROR(W50/W444, "NA")</f>
        <v>-0.19520129364426775</v>
      </c>
      <c r="Y50" s="9"/>
      <c r="Z50" s="7">
        <v>18234.34</v>
      </c>
      <c r="AA50" s="8">
        <f>IFERROR(Z50/Z444, "NA")</f>
        <v>5.7376873355462574E-3</v>
      </c>
      <c r="AB50" s="9"/>
      <c r="AC50" s="10">
        <f t="shared" si="15"/>
        <v>-10293.77</v>
      </c>
      <c r="AD50" s="8">
        <f>IFERROR(AC50/AC444, "NA")</f>
        <v>-2.5732805763197357E-2</v>
      </c>
    </row>
    <row r="51" spans="1:30" ht="16.5" customHeight="1" x14ac:dyDescent="0.45">
      <c r="A51" s="17" t="s">
        <v>49</v>
      </c>
      <c r="B51" s="7">
        <v>3296.52</v>
      </c>
      <c r="C51" s="8">
        <f>IFERROR(B51/B444, "NA")</f>
        <v>4.5699356866379243E-3</v>
      </c>
      <c r="D51" s="9"/>
      <c r="E51" s="7">
        <v>0</v>
      </c>
      <c r="F51" s="8">
        <f>IFERROR(E51/E444, "NA")</f>
        <v>0</v>
      </c>
      <c r="G51" s="9"/>
      <c r="H51" s="10">
        <f t="shared" si="12"/>
        <v>3296.52</v>
      </c>
      <c r="I51" s="8">
        <f>IFERROR(H51/H444, "NA")</f>
        <v>-3.9650800829456372E-2</v>
      </c>
      <c r="J51" s="9"/>
      <c r="K51" s="7">
        <v>6449.4</v>
      </c>
      <c r="L51" s="8">
        <f>IFERROR(K51/K444, "NA")</f>
        <v>9.3775024448478107E-3</v>
      </c>
      <c r="M51" s="9"/>
      <c r="N51" s="10">
        <f t="shared" si="13"/>
        <v>-3152.8799999999997</v>
      </c>
      <c r="O51" s="8">
        <f>IFERROR(N51/N444, "NA")</f>
        <v>-9.3844372546276839E-2</v>
      </c>
      <c r="P51" s="9"/>
      <c r="Q51" s="7">
        <v>19553.5</v>
      </c>
      <c r="R51" s="8">
        <f>IFERROR(Q51/Q444, "NA")</f>
        <v>5.4648941749311916E-3</v>
      </c>
      <c r="S51" s="9"/>
      <c r="T51" s="7">
        <v>0</v>
      </c>
      <c r="U51" s="8">
        <f>IFERROR(T51/T444, "NA")</f>
        <v>0</v>
      </c>
      <c r="V51" s="9"/>
      <c r="W51" s="10">
        <f t="shared" si="14"/>
        <v>19553.5</v>
      </c>
      <c r="X51" s="8">
        <f>IFERROR(W51/W444, "NA")</f>
        <v>-0.48067940906927203</v>
      </c>
      <c r="Y51" s="9"/>
      <c r="Z51" s="7">
        <v>46457.29</v>
      </c>
      <c r="AA51" s="8">
        <f>IFERROR(Z51/Z444, "NA")</f>
        <v>1.4618428990399421E-2</v>
      </c>
      <c r="AB51" s="9"/>
      <c r="AC51" s="10">
        <f t="shared" si="15"/>
        <v>-26903.79</v>
      </c>
      <c r="AD51" s="8">
        <f>IFERROR(AC51/AC444, "NA")</f>
        <v>-6.7255242963836517E-2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customHeight="1" x14ac:dyDescent="0.45">
      <c r="A53" s="17" t="s">
        <v>51</v>
      </c>
      <c r="B53" s="7">
        <v>4000</v>
      </c>
      <c r="C53" s="8">
        <f>IFERROR(B53/B444, "NA")</f>
        <v>5.5451636108841129E-3</v>
      </c>
      <c r="D53" s="9"/>
      <c r="E53" s="7">
        <v>0</v>
      </c>
      <c r="F53" s="8">
        <f>IFERROR(E53/E444, "NA")</f>
        <v>0</v>
      </c>
      <c r="G53" s="9"/>
      <c r="H53" s="10">
        <f t="shared" si="12"/>
        <v>4000</v>
      </c>
      <c r="I53" s="8">
        <f>IFERROR(H53/H444, "NA")</f>
        <v>-4.8112313384364565E-2</v>
      </c>
      <c r="J53" s="9"/>
      <c r="K53" s="7">
        <v>0</v>
      </c>
      <c r="L53" s="8">
        <f>IFERROR(K53/K444, "NA")</f>
        <v>0</v>
      </c>
      <c r="M53" s="9"/>
      <c r="N53" s="10">
        <f t="shared" si="13"/>
        <v>4000</v>
      </c>
      <c r="O53" s="8">
        <f>IFERROR(N53/N444, "NA")</f>
        <v>0.11905860362116776</v>
      </c>
      <c r="P53" s="9"/>
      <c r="Q53" s="7">
        <v>8000</v>
      </c>
      <c r="R53" s="8">
        <f>IFERROR(Q53/Q444, "NA")</f>
        <v>2.2358735469071795E-3</v>
      </c>
      <c r="S53" s="9"/>
      <c r="T53" s="7">
        <v>0</v>
      </c>
      <c r="U53" s="8">
        <f>IFERROR(T53/T444, "NA")</f>
        <v>0</v>
      </c>
      <c r="V53" s="9"/>
      <c r="W53" s="10">
        <f t="shared" si="14"/>
        <v>8000</v>
      </c>
      <c r="X53" s="8">
        <f>IFERROR(W53/W444, "NA")</f>
        <v>-0.19666224832148599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8000</v>
      </c>
      <c r="AD53" s="8">
        <f>IFERROR(AC53/AC444, "NA")</f>
        <v>1.9998741579186134E-2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151.9</v>
      </c>
      <c r="L54" s="8">
        <f>IFERROR(K54/K444, "NA")</f>
        <v>2.2086436278915598E-4</v>
      </c>
      <c r="M54" s="9"/>
      <c r="N54" s="10">
        <f t="shared" si="13"/>
        <v>-151.9</v>
      </c>
      <c r="O54" s="8">
        <f>IFERROR(N54/N444, "NA")</f>
        <v>-4.5212504725138459E-3</v>
      </c>
      <c r="P54" s="9"/>
      <c r="Q54" s="7">
        <v>77.75</v>
      </c>
      <c r="R54" s="8">
        <f>IFERROR(Q54/Q444, "NA")</f>
        <v>2.172989603400415E-5</v>
      </c>
      <c r="S54" s="9"/>
      <c r="T54" s="7">
        <v>0</v>
      </c>
      <c r="U54" s="8">
        <f>IFERROR(T54/T444, "NA")</f>
        <v>0</v>
      </c>
      <c r="V54" s="9"/>
      <c r="W54" s="10">
        <f t="shared" si="14"/>
        <v>77.75</v>
      </c>
      <c r="X54" s="8">
        <f>IFERROR(W54/W444, "NA")</f>
        <v>-1.9113112258744422E-3</v>
      </c>
      <c r="Y54" s="9"/>
      <c r="Z54" s="7">
        <v>978.7</v>
      </c>
      <c r="AA54" s="8">
        <f>IFERROR(Z54/Z444, "NA")</f>
        <v>3.0796149437265744E-4</v>
      </c>
      <c r="AB54" s="9"/>
      <c r="AC54" s="10">
        <f t="shared" si="15"/>
        <v>-900.95</v>
      </c>
      <c r="AD54" s="8">
        <f>IFERROR(AC54/AC444, "NA")</f>
        <v>-2.2522332782209686E-3</v>
      </c>
    </row>
    <row r="55" spans="1:30" ht="16.5" customHeight="1" x14ac:dyDescent="0.45">
      <c r="A55" s="17" t="s">
        <v>53</v>
      </c>
      <c r="B55" s="7">
        <v>522.96</v>
      </c>
      <c r="C55" s="8">
        <f>IFERROR(B55/B444, "NA")</f>
        <v>7.2497469048698896E-4</v>
      </c>
      <c r="D55" s="9"/>
      <c r="E55" s="7">
        <v>0</v>
      </c>
      <c r="F55" s="8">
        <f>IFERROR(E55/E444, "NA")</f>
        <v>0</v>
      </c>
      <c r="G55" s="9"/>
      <c r="H55" s="10">
        <f t="shared" si="12"/>
        <v>522.96</v>
      </c>
      <c r="I55" s="8">
        <f>IFERROR(H55/H444, "NA")</f>
        <v>-6.2902038518718242E-3</v>
      </c>
      <c r="J55" s="9"/>
      <c r="K55" s="7">
        <v>398.2</v>
      </c>
      <c r="L55" s="8">
        <f>IFERROR(K55/K444, "NA")</f>
        <v>5.7898742108388346E-4</v>
      </c>
      <c r="M55" s="9"/>
      <c r="N55" s="10">
        <f t="shared" si="13"/>
        <v>124.76000000000005</v>
      </c>
      <c r="O55" s="8">
        <f>IFERROR(N55/N444, "NA")</f>
        <v>3.7134378469442239E-3</v>
      </c>
      <c r="P55" s="9"/>
      <c r="Q55" s="7">
        <v>2432.34</v>
      </c>
      <c r="R55" s="8">
        <f>IFERROR(Q55/Q444, "NA")</f>
        <v>6.7980058288552613E-4</v>
      </c>
      <c r="S55" s="9"/>
      <c r="T55" s="7">
        <v>0</v>
      </c>
      <c r="U55" s="8">
        <f>IFERROR(T55/T444, "NA")</f>
        <v>0</v>
      </c>
      <c r="V55" s="9"/>
      <c r="W55" s="10">
        <f t="shared" si="14"/>
        <v>2432.34</v>
      </c>
      <c r="X55" s="8">
        <f>IFERROR(W55/W444, "NA")</f>
        <v>-5.9793681635285409E-2</v>
      </c>
      <c r="Y55" s="9"/>
      <c r="Z55" s="7">
        <v>4282.53</v>
      </c>
      <c r="AA55" s="8">
        <f>IFERROR(Z55/Z444, "NA")</f>
        <v>1.3475573091812981E-3</v>
      </c>
      <c r="AB55" s="9"/>
      <c r="AC55" s="10">
        <f t="shared" si="15"/>
        <v>-1850.1899999999996</v>
      </c>
      <c r="AD55" s="8">
        <f>IFERROR(AC55/AC444, "NA")</f>
        <v>-4.6251839602992981E-3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342.95</v>
      </c>
      <c r="L56" s="8">
        <f>IFERROR(K56/K444, "NA")</f>
        <v>4.9865327991139587E-4</v>
      </c>
      <c r="M56" s="9"/>
      <c r="N56" s="10">
        <f t="shared" si="13"/>
        <v>-342.95</v>
      </c>
      <c r="O56" s="8">
        <f>IFERROR(N56/N444, "NA")</f>
        <v>-1.0207787027969871E-2</v>
      </c>
      <c r="P56" s="9"/>
      <c r="Q56" s="7">
        <v>155.60000000000002</v>
      </c>
      <c r="R56" s="8">
        <f>IFERROR(Q56/Q444, "NA")</f>
        <v>4.3487740487344645E-5</v>
      </c>
      <c r="S56" s="9"/>
      <c r="T56" s="7">
        <v>0</v>
      </c>
      <c r="U56" s="8">
        <f>IFERROR(T56/T444, "NA")</f>
        <v>0</v>
      </c>
      <c r="V56" s="9"/>
      <c r="W56" s="10">
        <f t="shared" si="14"/>
        <v>155.60000000000002</v>
      </c>
      <c r="X56" s="8">
        <f>IFERROR(W56/W444, "NA")</f>
        <v>-3.8250807298529032E-3</v>
      </c>
      <c r="Y56" s="9"/>
      <c r="Z56" s="7">
        <v>2738.1800000000003</v>
      </c>
      <c r="AA56" s="8">
        <f>IFERROR(Z56/Z444, "NA")</f>
        <v>8.6160621708523879E-4</v>
      </c>
      <c r="AB56" s="9"/>
      <c r="AC56" s="10">
        <f t="shared" si="15"/>
        <v>-2582.5800000000004</v>
      </c>
      <c r="AD56" s="8">
        <f>IFERROR(AC56/AC444, "NA")</f>
        <v>-6.4560437534468169E-3</v>
      </c>
    </row>
    <row r="57" spans="1:30" ht="16.5" customHeight="1" x14ac:dyDescent="0.45">
      <c r="A57" s="17" t="s">
        <v>55</v>
      </c>
      <c r="B57" s="7">
        <v>1370.83</v>
      </c>
      <c r="C57" s="8">
        <f>IFERROR(B57/B444, "NA")</f>
        <v>1.9003691581770672E-3</v>
      </c>
      <c r="D57" s="9"/>
      <c r="E57" s="7">
        <v>0</v>
      </c>
      <c r="F57" s="8">
        <f>IFERROR(E57/E444, "NA")</f>
        <v>0</v>
      </c>
      <c r="G57" s="9"/>
      <c r="H57" s="10">
        <f t="shared" si="12"/>
        <v>1370.83</v>
      </c>
      <c r="I57" s="8">
        <f>IFERROR(H57/H444, "NA")</f>
        <v>-1.648845063917212E-2</v>
      </c>
      <c r="J57" s="9"/>
      <c r="K57" s="7">
        <v>0</v>
      </c>
      <c r="L57" s="8">
        <f>IFERROR(K57/K444, "NA")</f>
        <v>0</v>
      </c>
      <c r="M57" s="9"/>
      <c r="N57" s="10">
        <f t="shared" si="13"/>
        <v>1370.83</v>
      </c>
      <c r="O57" s="8">
        <f>IFERROR(N57/N444, "NA")</f>
        <v>4.0802276400501346E-2</v>
      </c>
      <c r="P57" s="9"/>
      <c r="Q57" s="7">
        <v>4510.32</v>
      </c>
      <c r="R57" s="8">
        <f>IFERROR(Q57/Q444, "NA")</f>
        <v>1.2605631470107986E-3</v>
      </c>
      <c r="S57" s="9"/>
      <c r="T57" s="7">
        <v>0</v>
      </c>
      <c r="U57" s="8">
        <f>IFERROR(T57/T444, "NA")</f>
        <v>0</v>
      </c>
      <c r="V57" s="9"/>
      <c r="W57" s="10">
        <f t="shared" si="14"/>
        <v>4510.32</v>
      </c>
      <c r="X57" s="8">
        <f>IFERROR(W57/W444, "NA")</f>
        <v>-0.11087620898117058</v>
      </c>
      <c r="Y57" s="9"/>
      <c r="Z57" s="7">
        <v>14356.41</v>
      </c>
      <c r="AA57" s="8">
        <f>IFERROR(Z57/Z444, "NA")</f>
        <v>4.517443013616596E-3</v>
      </c>
      <c r="AB57" s="9"/>
      <c r="AC57" s="10">
        <f t="shared" si="15"/>
        <v>-9846.09</v>
      </c>
      <c r="AD57" s="8">
        <f>IFERROR(AC57/AC444, "NA")</f>
        <v>-2.46136761844261E-2</v>
      </c>
    </row>
    <row r="58" spans="1:30" ht="16.5" customHeight="1" x14ac:dyDescent="0.45">
      <c r="A58" s="17" t="s">
        <v>56</v>
      </c>
      <c r="B58" s="7">
        <v>1274.22</v>
      </c>
      <c r="C58" s="8">
        <f>IFERROR(B58/B444, "NA")</f>
        <v>1.7664395940651886E-3</v>
      </c>
      <c r="D58" s="9"/>
      <c r="E58" s="7">
        <v>0</v>
      </c>
      <c r="F58" s="8">
        <f>IFERROR(E58/E444, "NA")</f>
        <v>0</v>
      </c>
      <c r="G58" s="9"/>
      <c r="H58" s="10">
        <f t="shared" si="12"/>
        <v>1274.22</v>
      </c>
      <c r="I58" s="8">
        <f>IFERROR(H58/H444, "NA")</f>
        <v>-1.5326417990156256E-2</v>
      </c>
      <c r="J58" s="9"/>
      <c r="K58" s="7">
        <v>0</v>
      </c>
      <c r="L58" s="8">
        <f>IFERROR(K58/K444, "NA")</f>
        <v>0</v>
      </c>
      <c r="M58" s="9"/>
      <c r="N58" s="10">
        <f t="shared" si="13"/>
        <v>1274.22</v>
      </c>
      <c r="O58" s="8">
        <f>IFERROR(N58/N444, "NA")</f>
        <v>3.7926713476541099E-2</v>
      </c>
      <c r="P58" s="9"/>
      <c r="Q58" s="7">
        <v>1564.22</v>
      </c>
      <c r="R58" s="8">
        <f>IFERROR(Q58/Q444, "NA")</f>
        <v>4.371747649428935E-4</v>
      </c>
      <c r="S58" s="9"/>
      <c r="T58" s="7">
        <v>0</v>
      </c>
      <c r="U58" s="8">
        <f>IFERROR(T58/T444, "NA")</f>
        <v>0</v>
      </c>
      <c r="V58" s="9"/>
      <c r="W58" s="10">
        <f t="shared" si="14"/>
        <v>1564.22</v>
      </c>
      <c r="X58" s="8">
        <f>IFERROR(W58/W444, "NA")</f>
        <v>-3.8452877758679352E-2</v>
      </c>
      <c r="Y58" s="9"/>
      <c r="Z58" s="7">
        <v>3884.2</v>
      </c>
      <c r="AA58" s="8">
        <f>IFERROR(Z58/Z444, "NA")</f>
        <v>1.2222172641690773E-3</v>
      </c>
      <c r="AB58" s="9"/>
      <c r="AC58" s="10">
        <f t="shared" si="15"/>
        <v>-2319.9799999999996</v>
      </c>
      <c r="AD58" s="8">
        <f>IFERROR(AC58/AC444, "NA")</f>
        <v>-5.7995850611100297E-3</v>
      </c>
    </row>
    <row r="59" spans="1:30" ht="16.5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1174</v>
      </c>
      <c r="L59" s="8">
        <f>IFERROR(K59/K444, "NA")</f>
        <v>1.7070096241900534E-3</v>
      </c>
      <c r="M59" s="9"/>
      <c r="N59" s="10">
        <f t="shared" si="13"/>
        <v>-1174</v>
      </c>
      <c r="O59" s="8">
        <f>IFERROR(N59/N444, "NA")</f>
        <v>-3.4943700162812737E-2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4589.53</v>
      </c>
      <c r="AA59" s="8">
        <f>IFERROR(Z59/Z444, "NA")</f>
        <v>1.4441591062308596E-3</v>
      </c>
      <c r="AB59" s="9"/>
      <c r="AC59" s="10">
        <f t="shared" si="15"/>
        <v>-4589.53</v>
      </c>
      <c r="AD59" s="8">
        <f>IFERROR(AC59/AC444, "NA")</f>
        <v>-1.1473103054990266E-2</v>
      </c>
    </row>
    <row r="60" spans="1:30" ht="16.5" customHeight="1" x14ac:dyDescent="0.45">
      <c r="A60" s="17" t="s">
        <v>58</v>
      </c>
      <c r="B60" s="7">
        <v>12.85</v>
      </c>
      <c r="C60" s="8">
        <f>IFERROR(B60/B444, "NA")</f>
        <v>1.7813838099965212E-5</v>
      </c>
      <c r="D60" s="9"/>
      <c r="E60" s="7">
        <v>0</v>
      </c>
      <c r="F60" s="8">
        <f>IFERROR(E60/E444, "NA")</f>
        <v>0</v>
      </c>
      <c r="G60" s="9"/>
      <c r="H60" s="10">
        <f t="shared" si="12"/>
        <v>12.85</v>
      </c>
      <c r="I60" s="8">
        <f>IFERROR(H60/H444, "NA")</f>
        <v>-1.5456080674727118E-4</v>
      </c>
      <c r="J60" s="9"/>
      <c r="K60" s="7">
        <v>0</v>
      </c>
      <c r="L60" s="8">
        <f>IFERROR(K60/K444, "NA")</f>
        <v>0</v>
      </c>
      <c r="M60" s="9"/>
      <c r="N60" s="10">
        <f t="shared" si="13"/>
        <v>12.85</v>
      </c>
      <c r="O60" s="8">
        <f>IFERROR(N60/N444, "NA")</f>
        <v>3.8247576413300141E-4</v>
      </c>
      <c r="P60" s="9"/>
      <c r="Q60" s="7">
        <v>12.85</v>
      </c>
      <c r="R60" s="8">
        <f>IFERROR(Q60/Q444, "NA")</f>
        <v>3.5913718847196567E-6</v>
      </c>
      <c r="S60" s="9"/>
      <c r="T60" s="7">
        <v>0</v>
      </c>
      <c r="U60" s="8">
        <f>IFERROR(T60/T444, "NA")</f>
        <v>0</v>
      </c>
      <c r="V60" s="9"/>
      <c r="W60" s="10">
        <f t="shared" si="14"/>
        <v>12.85</v>
      </c>
      <c r="X60" s="8">
        <f>IFERROR(W60/W444, "NA")</f>
        <v>-3.1588873636638687E-4</v>
      </c>
      <c r="Y60" s="9"/>
      <c r="Z60" s="7">
        <v>116.96</v>
      </c>
      <c r="AA60" s="8">
        <f>IFERROR(Z60/Z444, "NA")</f>
        <v>3.6803082029044662E-5</v>
      </c>
      <c r="AB60" s="9"/>
      <c r="AC60" s="10">
        <f t="shared" si="15"/>
        <v>-104.11</v>
      </c>
      <c r="AD60" s="8">
        <f>IFERROR(AC60/AC444, "NA")</f>
        <v>-2.6025862322613354E-4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84084.360000000015</v>
      </c>
      <c r="C61" s="15">
        <f>IFERROR(B61/B444, "NA")</f>
        <v>0.11656538332911995</v>
      </c>
      <c r="D61" s="2"/>
      <c r="E61" s="14">
        <f>IFERROR(E46+E47+E48+E49+E50+E51+E52+E53+E54+E55+E56+E57+E58+E59+E60, "NA")</f>
        <v>202451.7</v>
      </c>
      <c r="F61" s="15">
        <f>IFERROR(E61/E444, "NA")</f>
        <v>0.25165281496015135</v>
      </c>
      <c r="G61" s="2"/>
      <c r="H61" s="14">
        <f t="shared" si="12"/>
        <v>-118367.34</v>
      </c>
      <c r="I61" s="15">
        <f>IFERROR(H61/H444, "NA")</f>
        <v>1.4237316391384078</v>
      </c>
      <c r="J61" s="2"/>
      <c r="K61" s="14">
        <f>IFERROR(K46+K47+K48+K49+K50+K51+K52+K53+K54+K55+K56+K57+K58+K59+K60, "NA")</f>
        <v>151598.91</v>
      </c>
      <c r="L61" s="15">
        <f>IFERROR(K61/K444, "NA")</f>
        <v>0.22042657443502703</v>
      </c>
      <c r="M61" s="2"/>
      <c r="N61" s="14">
        <f t="shared" si="13"/>
        <v>-67514.549999999988</v>
      </c>
      <c r="O61" s="15">
        <f>IFERROR(N61/N444, "NA")</f>
        <v>-2.0095470117778778</v>
      </c>
      <c r="P61" s="2"/>
      <c r="Q61" s="14">
        <f>IFERROR(Q46+Q47+Q48+Q49+Q50+Q51+Q52+Q53+Q54+Q55+Q56+Q57+Q58+Q59+Q60, "NA")</f>
        <v>577025.35999999975</v>
      </c>
      <c r="R61" s="15">
        <f>IFERROR(Q61/Q444, "NA")</f>
        <v>0.16126946728982394</v>
      </c>
      <c r="S61" s="2"/>
      <c r="T61" s="14">
        <f>IFERROR(T46+T47+T48+T49+T50+T51+T52+T53+T54+T55+T56+T57+T58+T59+T60, "NA")</f>
        <v>934126.13</v>
      </c>
      <c r="U61" s="15">
        <f>IFERROR(T61/T444, "NA")</f>
        <v>0.25813868242517096</v>
      </c>
      <c r="V61" s="2"/>
      <c r="W61" s="14">
        <f t="shared" si="14"/>
        <v>-357100.77000000025</v>
      </c>
      <c r="X61" s="15">
        <f>IFERROR(W61/W444, "NA")</f>
        <v>8.7785300381917377</v>
      </c>
      <c r="Y61" s="2"/>
      <c r="Z61" s="14">
        <f>IFERROR(Z46+Z47+Z48+Z49+Z50+Z51+Z52+Z53+Z54+Z55+Z56+Z57+Z58+Z59+Z60, "NA")</f>
        <v>753122.41</v>
      </c>
      <c r="AA61" s="15">
        <f>IFERROR(Z61/Z444, "NA")</f>
        <v>0.23698038503028221</v>
      </c>
      <c r="AB61" s="2"/>
      <c r="AC61" s="14">
        <f t="shared" si="15"/>
        <v>-176097.05000000028</v>
      </c>
      <c r="AD61" s="15">
        <f>IFERROR(AC61/AC444, "NA")</f>
        <v>-0.44021492447587812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134020.9</v>
      </c>
      <c r="C62" s="15">
        <f>IFERROR(B62/B444, "NA")</f>
        <v>0.18579195444448465</v>
      </c>
      <c r="D62" s="2"/>
      <c r="E62" s="14">
        <f>IFERROR(E42+E43+E44+E46+E47+E48+E49+E50+E51+E52+E53+E54+E55+E56+E57+E58+E59+E60, "NA")</f>
        <v>202451.7</v>
      </c>
      <c r="F62" s="15">
        <f>IFERROR(E62/E444, "NA")</f>
        <v>0.25165281496015135</v>
      </c>
      <c r="G62" s="2"/>
      <c r="H62" s="14">
        <f t="shared" si="12"/>
        <v>-68430.800000000017</v>
      </c>
      <c r="I62" s="15">
        <f>IFERROR(H62/H444, "NA")</f>
        <v>0.82309102368569398</v>
      </c>
      <c r="J62" s="2"/>
      <c r="K62" s="14">
        <f>IFERROR(K42+K43+K44+K46+K47+K48+K49+K50+K51+K52+K53+K54+K55+K56+K57+K58+K59+K60, "NA")</f>
        <v>154964.16</v>
      </c>
      <c r="L62" s="15">
        <f>IFERROR(K62/K444, "NA")</f>
        <v>0.22531968698852411</v>
      </c>
      <c r="M62" s="2"/>
      <c r="N62" s="14">
        <f t="shared" si="13"/>
        <v>-20943.260000000009</v>
      </c>
      <c r="O62" s="15">
        <f>IFERROR(N62/N444, "NA")</f>
        <v>-0.6233688227187647</v>
      </c>
      <c r="P62" s="2"/>
      <c r="Q62" s="14">
        <f>IFERROR(Q42+Q43+Q44+Q46+Q47+Q48+Q49+Q50+Q51+Q52+Q53+Q54+Q55+Q56+Q57+Q58+Q59+Q60, "NA")</f>
        <v>776552.47999999975</v>
      </c>
      <c r="R62" s="15">
        <f>IFERROR(Q62/Q444, "NA")</f>
        <v>0.21703414347714572</v>
      </c>
      <c r="S62" s="2"/>
      <c r="T62" s="14">
        <f>IFERROR(T42+T43+T44+T46+T47+T48+T49+T50+T51+T52+T53+T54+T55+T56+T57+T58+T59+T60, "NA")</f>
        <v>934126.13</v>
      </c>
      <c r="U62" s="15">
        <f>IFERROR(T62/T444, "NA")</f>
        <v>0.25813868242517096</v>
      </c>
      <c r="V62" s="2"/>
      <c r="W62" s="14">
        <f t="shared" si="14"/>
        <v>-157573.65000000026</v>
      </c>
      <c r="X62" s="15">
        <f>IFERROR(W62/W444, "NA")</f>
        <v>3.8735985356528717</v>
      </c>
      <c r="Y62" s="2"/>
      <c r="Z62" s="14">
        <f>IFERROR(Z42+Z43+Z44+Z46+Z47+Z48+Z49+Z50+Z51+Z52+Z53+Z54+Z55+Z56+Z57+Z58+Z59+Z60, "NA")</f>
        <v>779389.8600000001</v>
      </c>
      <c r="AA62" s="15">
        <f>IFERROR(Z62/Z444, "NA")</f>
        <v>0.24524580155767475</v>
      </c>
      <c r="AB62" s="2"/>
      <c r="AC62" s="14">
        <f t="shared" si="15"/>
        <v>-2837.3800000003539</v>
      </c>
      <c r="AD62" s="15">
        <f>IFERROR(AC62/AC444, "NA")</f>
        <v>-7.0930036727447788E-3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13078.849999999999</v>
      </c>
      <c r="C65" s="8">
        <f>IFERROR(B65/B444, "NA")</f>
        <v>1.8131090773052919E-2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13078.849999999999</v>
      </c>
      <c r="I65" s="8">
        <f>IFERROR(H65/H444, "NA")</f>
        <v>-0.15731343247677412</v>
      </c>
      <c r="J65" s="9"/>
      <c r="K65" s="7">
        <v>1696.56</v>
      </c>
      <c r="L65" s="8">
        <f>IFERROR(K65/K444, "NA")</f>
        <v>2.4668179284632681E-3</v>
      </c>
      <c r="M65" s="9"/>
      <c r="N65" s="10">
        <f t="shared" si="17"/>
        <v>11382.289999999999</v>
      </c>
      <c r="O65" s="8">
        <f>IFERROR(N65/N444, "NA")</f>
        <v>0.33878988835279539</v>
      </c>
      <c r="P65" s="9"/>
      <c r="Q65" s="7">
        <v>43633.83</v>
      </c>
      <c r="R65" s="8">
        <f>IFERROR(Q65/Q444, "NA")</f>
        <v>1.2194965780905611E-2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43633.83</v>
      </c>
      <c r="X65" s="8">
        <f>IFERROR(W65/W444, "NA")</f>
        <v>-1.0726408888346883</v>
      </c>
      <c r="Y65" s="9"/>
      <c r="Z65" s="7">
        <v>3242.86</v>
      </c>
      <c r="AA65" s="8">
        <f>IFERROR(Z65/Z444, "NA")</f>
        <v>1.0204107608473647E-3</v>
      </c>
      <c r="AB65" s="9"/>
      <c r="AC65" s="10">
        <f t="shared" si="19"/>
        <v>40390.97</v>
      </c>
      <c r="AD65" s="8">
        <f>IFERROR(AC65/AC444, "NA")</f>
        <v>0.10097107139533247</v>
      </c>
    </row>
    <row r="66" spans="1:30" ht="16.5" customHeight="1" x14ac:dyDescent="0.45">
      <c r="A66" s="12" t="s">
        <v>63</v>
      </c>
      <c r="B66" s="7">
        <v>29962.14</v>
      </c>
      <c r="C66" s="8">
        <f>IFERROR(B66/B444, "NA")</f>
        <v>4.1536242108053831E-2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29962.14</v>
      </c>
      <c r="I66" s="8">
        <f>IFERROR(H66/H444, "NA")</f>
        <v>-0.36038696733655123</v>
      </c>
      <c r="J66" s="9"/>
      <c r="K66" s="7">
        <v>17516.2</v>
      </c>
      <c r="L66" s="8">
        <f>IFERROR(K66/K444, "NA")</f>
        <v>2.5468758074308189E-2</v>
      </c>
      <c r="M66" s="9"/>
      <c r="N66" s="10">
        <f t="shared" si="17"/>
        <v>12445.939999999999</v>
      </c>
      <c r="O66" s="8">
        <f>IFERROR(N66/N444, "NA")</f>
        <v>0.37044905928820915</v>
      </c>
      <c r="P66" s="9"/>
      <c r="Q66" s="7">
        <v>122619.74000000002</v>
      </c>
      <c r="R66" s="8">
        <f>IFERROR(Q66/Q444, "NA")</f>
        <v>3.427027912432952E-2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122619.74000000002</v>
      </c>
      <c r="X66" s="8">
        <f>IFERROR(W66/W444, "NA")</f>
        <v>-3.0143342196245069</v>
      </c>
      <c r="Y66" s="9"/>
      <c r="Z66" s="7">
        <v>69383.600000000006</v>
      </c>
      <c r="AA66" s="8">
        <f>IFERROR(Z66/Z444, "NA")</f>
        <v>2.1832509595335357E-2</v>
      </c>
      <c r="AB66" s="9"/>
      <c r="AC66" s="10">
        <f t="shared" si="19"/>
        <v>53236.140000000014</v>
      </c>
      <c r="AD66" s="8">
        <f>IFERROR(AC66/AC444, "NA")</f>
        <v>0.1330819758166718</v>
      </c>
    </row>
    <row r="67" spans="1:30" ht="16.5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9882.75</v>
      </c>
      <c r="R67" s="8">
        <f>IFERROR(Q67/Q444, "NA")</f>
        <v>2.7620724119621159E-3</v>
      </c>
      <c r="S67" s="9"/>
      <c r="T67" s="7">
        <v>0</v>
      </c>
      <c r="U67" s="8">
        <f>IFERROR(T67/T444, "NA")</f>
        <v>0</v>
      </c>
      <c r="V67" s="9"/>
      <c r="W67" s="10">
        <f t="shared" si="18"/>
        <v>9882.75</v>
      </c>
      <c r="X67" s="8">
        <f>IFERROR(W67/W444, "NA")</f>
        <v>-0.24294547932489571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9882.75</v>
      </c>
      <c r="AD67" s="8">
        <f>IFERROR(AC67/AC444, "NA")</f>
        <v>2.4705320417712721E-2</v>
      </c>
    </row>
    <row r="68" spans="1:30" ht="16.5" customHeight="1" x14ac:dyDescent="0.45">
      <c r="A68" s="12" t="s">
        <v>65</v>
      </c>
      <c r="B68" s="7">
        <v>10018.219999999999</v>
      </c>
      <c r="C68" s="8">
        <f>IFERROR(B68/B444, "NA")</f>
        <v>1.388816724745786E-2</v>
      </c>
      <c r="D68" s="9"/>
      <c r="E68" s="7">
        <v>0</v>
      </c>
      <c r="F68" s="8">
        <f>IFERROR(E68/E444, "NA")</f>
        <v>0</v>
      </c>
      <c r="G68" s="9"/>
      <c r="H68" s="10">
        <f t="shared" si="16"/>
        <v>10018.219999999999</v>
      </c>
      <c r="I68" s="8">
        <f>IFERROR(H68/H444, "NA")</f>
        <v>-0.12049993504837719</v>
      </c>
      <c r="J68" s="9"/>
      <c r="K68" s="7">
        <v>0</v>
      </c>
      <c r="L68" s="8">
        <f>IFERROR(K68/K444, "NA")</f>
        <v>0</v>
      </c>
      <c r="M68" s="9"/>
      <c r="N68" s="10">
        <f t="shared" si="17"/>
        <v>10018.219999999999</v>
      </c>
      <c r="O68" s="8">
        <f>IFERROR(N68/N444, "NA")</f>
        <v>0.29818882099241378</v>
      </c>
      <c r="P68" s="9"/>
      <c r="Q68" s="7">
        <v>13034.27</v>
      </c>
      <c r="R68" s="8">
        <f>IFERROR(Q68/Q444, "NA")</f>
        <v>3.6428724370307303E-3</v>
      </c>
      <c r="S68" s="9"/>
      <c r="T68" s="7">
        <v>0</v>
      </c>
      <c r="U68" s="8">
        <f>IFERROR(T68/T444, "NA")</f>
        <v>0</v>
      </c>
      <c r="V68" s="9"/>
      <c r="W68" s="10">
        <f t="shared" si="18"/>
        <v>13034.27</v>
      </c>
      <c r="X68" s="8">
        <f>IFERROR(W68/W444, "NA")</f>
        <v>-0.32041860542866191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13034.27</v>
      </c>
      <c r="AD68" s="8">
        <f>IFERROR(AC68/AC444, "NA")</f>
        <v>3.2583624675417304E-2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53059.21</v>
      </c>
      <c r="C73" s="15">
        <f>IFERROR(B73/B444, "NA")</f>
        <v>7.3555500128564613E-2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53059.21</v>
      </c>
      <c r="I73" s="15">
        <f>IFERROR(H73/H444, "NA")</f>
        <v>-0.63820033486170258</v>
      </c>
      <c r="J73" s="2"/>
      <c r="K73" s="14">
        <f>IFERROR(K64+K65+K66+K67+K68+K69+K70+K71+K72, "NA")</f>
        <v>19212.760000000002</v>
      </c>
      <c r="L73" s="15">
        <f>IFERROR(K73/K444, "NA")</f>
        <v>2.793557600277146E-2</v>
      </c>
      <c r="M73" s="2"/>
      <c r="N73" s="14">
        <f t="shared" si="17"/>
        <v>33846.449999999997</v>
      </c>
      <c r="O73" s="15">
        <f>IFERROR(N73/N444, "NA")</f>
        <v>1.0074277686334183</v>
      </c>
      <c r="P73" s="2"/>
      <c r="Q73" s="14">
        <f>IFERROR(Q64+Q65+Q66+Q67+Q68+Q69+Q70+Q71+Q72, "NA")</f>
        <v>189170.59</v>
      </c>
      <c r="R73" s="15">
        <f>IFERROR(Q73/Q444, "NA")</f>
        <v>5.2870189754227977E-2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189170.59</v>
      </c>
      <c r="X73" s="15">
        <f>IFERROR(W73/W444, "NA")</f>
        <v>-4.6503391932127522</v>
      </c>
      <c r="Y73" s="2"/>
      <c r="Z73" s="14">
        <f>IFERROR(Z64+Z65+Z66+Z67+Z68+Z69+Z70+Z71+Z72, "NA")</f>
        <v>72626.460000000006</v>
      </c>
      <c r="AA73" s="15">
        <f>IFERROR(Z73/Z444, "NA")</f>
        <v>2.2852920356182721E-2</v>
      </c>
      <c r="AB73" s="2"/>
      <c r="AC73" s="14">
        <f t="shared" si="19"/>
        <v>116544.12999999999</v>
      </c>
      <c r="AD73" s="15">
        <f>IFERROR(AC73/AC444, "NA")</f>
        <v>0.29134199230513425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13975.259999999998</v>
      </c>
      <c r="F75" s="8">
        <f>IFERROR(E75/E444, "NA")</f>
        <v>1.7371617619412454E-2</v>
      </c>
      <c r="G75" s="9"/>
      <c r="H75" s="10">
        <f t="shared" ref="H75:H92" si="20">IFERROR(B75-E75, "NA")</f>
        <v>-13975.259999999998</v>
      </c>
      <c r="I75" s="8">
        <f>IFERROR(H75/H444, "NA")</f>
        <v>0.16809552218699367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64235.96</v>
      </c>
      <c r="U75" s="8">
        <f>IFERROR(T75/T444, "NA")</f>
        <v>1.7751121123992093E-2</v>
      </c>
      <c r="V75" s="9"/>
      <c r="W75" s="10">
        <f t="shared" ref="W75:W92" si="22">IFERROR(Q75-T75, "NA")</f>
        <v>-64235.96</v>
      </c>
      <c r="X75" s="8">
        <f>IFERROR(W75/W444, "NA")</f>
        <v>1.5790985395861301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4191.1899999999996</v>
      </c>
      <c r="C77" s="8">
        <f>IFERROR(B77/B444, "NA")</f>
        <v>5.8102085685753464E-3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4191.1899999999996</v>
      </c>
      <c r="I77" s="8">
        <f>IFERROR(H77/H444, "NA")</f>
        <v>-5.0411961683353726E-2</v>
      </c>
      <c r="J77" s="9"/>
      <c r="K77" s="7">
        <v>657.8</v>
      </c>
      <c r="L77" s="8">
        <f>IFERROR(K77/K444, "NA")</f>
        <v>9.5644883372420528E-4</v>
      </c>
      <c r="M77" s="9"/>
      <c r="N77" s="10">
        <f t="shared" si="21"/>
        <v>3533.3899999999994</v>
      </c>
      <c r="O77" s="8">
        <f>IFERROR(N77/N444, "NA")</f>
        <v>0.10517011986224947</v>
      </c>
      <c r="P77" s="9"/>
      <c r="Q77" s="7">
        <v>16510.3</v>
      </c>
      <c r="R77" s="8">
        <f>IFERROR(Q77/Q444, "NA")</f>
        <v>4.6143678776877006E-3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16510.3</v>
      </c>
      <c r="X77" s="8">
        <f>IFERROR(W77/W444, "NA")</f>
        <v>-0.40586908980777875</v>
      </c>
      <c r="Y77" s="9"/>
      <c r="Z77" s="7">
        <v>2828.54</v>
      </c>
      <c r="AA77" s="8">
        <f>IFERROR(Z77/Z444, "NA")</f>
        <v>8.9003924112888153E-4</v>
      </c>
      <c r="AB77" s="9"/>
      <c r="AC77" s="10">
        <f t="shared" si="23"/>
        <v>13681.759999999998</v>
      </c>
      <c r="AD77" s="8">
        <f>IFERROR(AC77/AC444, "NA")</f>
        <v>3.4202247823555708E-2</v>
      </c>
    </row>
    <row r="78" spans="1:30" ht="16.5" customHeight="1" x14ac:dyDescent="0.45">
      <c r="A78" s="12" t="s">
        <v>74</v>
      </c>
      <c r="B78" s="7">
        <v>50</v>
      </c>
      <c r="C78" s="8">
        <f>IFERROR(B78/B444, "NA")</f>
        <v>6.931454513605142E-5</v>
      </c>
      <c r="D78" s="9"/>
      <c r="E78" s="7">
        <v>0</v>
      </c>
      <c r="F78" s="8">
        <f>IFERROR(E78/E444, "NA")</f>
        <v>0</v>
      </c>
      <c r="G78" s="9"/>
      <c r="H78" s="10">
        <f t="shared" si="20"/>
        <v>50</v>
      </c>
      <c r="I78" s="8">
        <f>IFERROR(H78/H444, "NA")</f>
        <v>-6.014039173045571E-4</v>
      </c>
      <c r="J78" s="9"/>
      <c r="K78" s="7">
        <v>50</v>
      </c>
      <c r="L78" s="8">
        <f>IFERROR(K78/K444, "NA")</f>
        <v>7.2700580246595121E-5</v>
      </c>
      <c r="M78" s="9"/>
      <c r="N78" s="10">
        <f t="shared" si="21"/>
        <v>0</v>
      </c>
      <c r="O78" s="8">
        <f>IFERROR(N78/N444, "NA")</f>
        <v>0</v>
      </c>
      <c r="P78" s="9"/>
      <c r="Q78" s="7">
        <v>325</v>
      </c>
      <c r="R78" s="8">
        <f>IFERROR(Q78/Q444, "NA")</f>
        <v>9.0832362843104155E-5</v>
      </c>
      <c r="S78" s="9"/>
      <c r="T78" s="7">
        <v>0</v>
      </c>
      <c r="U78" s="8">
        <f>IFERROR(T78/T444, "NA")</f>
        <v>0</v>
      </c>
      <c r="V78" s="9"/>
      <c r="W78" s="10">
        <f t="shared" si="22"/>
        <v>325</v>
      </c>
      <c r="X78" s="8">
        <f>IFERROR(W78/W444, "NA")</f>
        <v>-7.9894038380603685E-3</v>
      </c>
      <c r="Y78" s="9"/>
      <c r="Z78" s="7">
        <v>250</v>
      </c>
      <c r="AA78" s="8">
        <f>IFERROR(Z78/Z444, "NA")</f>
        <v>7.8665958509414885E-5</v>
      </c>
      <c r="AB78" s="9"/>
      <c r="AC78" s="10">
        <f t="shared" si="23"/>
        <v>75</v>
      </c>
      <c r="AD78" s="8">
        <f>IFERROR(AC78/AC444, "NA")</f>
        <v>1.8748820230486999E-4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53.82</v>
      </c>
      <c r="L79" s="8">
        <f>IFERROR(K79/K444, "NA")</f>
        <v>7.8254904577434984E-5</v>
      </c>
      <c r="M79" s="9"/>
      <c r="N79" s="10">
        <f t="shared" si="21"/>
        <v>-53.82</v>
      </c>
      <c r="O79" s="8">
        <f>IFERROR(N79/N444, "NA")</f>
        <v>-1.6019335117228122E-3</v>
      </c>
      <c r="P79" s="9"/>
      <c r="Q79" s="7">
        <v>5.1100000000000003</v>
      </c>
      <c r="R79" s="8">
        <f>IFERROR(Q79/Q444, "NA")</f>
        <v>1.4281642280869608E-6</v>
      </c>
      <c r="S79" s="9"/>
      <c r="T79" s="7">
        <v>0</v>
      </c>
      <c r="U79" s="8">
        <f>IFERROR(T79/T444, "NA")</f>
        <v>0</v>
      </c>
      <c r="V79" s="9"/>
      <c r="W79" s="10">
        <f t="shared" si="22"/>
        <v>5.1100000000000003</v>
      </c>
      <c r="X79" s="8">
        <f>IFERROR(W79/W444, "NA")</f>
        <v>-1.256180111153492E-4</v>
      </c>
      <c r="Y79" s="9"/>
      <c r="Z79" s="7">
        <v>272.09000000000003</v>
      </c>
      <c r="AA79" s="8">
        <f>IFERROR(Z79/Z444, "NA")</f>
        <v>8.5616882603306793E-5</v>
      </c>
      <c r="AB79" s="9"/>
      <c r="AC79" s="10">
        <f t="shared" si="23"/>
        <v>-266.98</v>
      </c>
      <c r="AD79" s="8">
        <f>IFERROR(AC79/AC444, "NA")</f>
        <v>-6.6740800335138924E-4</v>
      </c>
    </row>
    <row r="80" spans="1:30" ht="16.5" customHeight="1" x14ac:dyDescent="0.45">
      <c r="A80" s="12" t="s">
        <v>76</v>
      </c>
      <c r="B80" s="7">
        <v>6223.22</v>
      </c>
      <c r="C80" s="8">
        <f>IFERROR(B80/B444, "NA")</f>
        <v>8.6271932716315575E-3</v>
      </c>
      <c r="D80" s="9"/>
      <c r="E80" s="7">
        <v>0</v>
      </c>
      <c r="F80" s="8">
        <f>IFERROR(E80/E444, "NA")</f>
        <v>0</v>
      </c>
      <c r="G80" s="9"/>
      <c r="H80" s="10">
        <f t="shared" si="20"/>
        <v>6223.22</v>
      </c>
      <c r="I80" s="8">
        <f>IFERROR(H80/H444, "NA")</f>
        <v>-7.4853377724961326E-2</v>
      </c>
      <c r="J80" s="9"/>
      <c r="K80" s="7">
        <v>11695.42</v>
      </c>
      <c r="L80" s="8">
        <f>IFERROR(K80/K444, "NA")</f>
        <v>1.7005276404552669E-2</v>
      </c>
      <c r="M80" s="9"/>
      <c r="N80" s="10">
        <f t="shared" si="21"/>
        <v>-5472.2</v>
      </c>
      <c r="O80" s="8">
        <f>IFERROR(N80/N444, "NA")</f>
        <v>-0.16287812268393856</v>
      </c>
      <c r="P80" s="9"/>
      <c r="Q80" s="7">
        <v>44772.530000000006</v>
      </c>
      <c r="R80" s="8">
        <f>IFERROR(Q80/Q444, "NA")</f>
        <v>1.2513214431888513E-2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44772.530000000006</v>
      </c>
      <c r="X80" s="8">
        <f>IFERROR(W80/W444, "NA")</f>
        <v>-1.1006333016051479</v>
      </c>
      <c r="Y80" s="9"/>
      <c r="Z80" s="7">
        <v>53541.150000000009</v>
      </c>
      <c r="AA80" s="8">
        <f>IFERROR(Z80/Z444, "NA")</f>
        <v>1.6847463537785438E-2</v>
      </c>
      <c r="AB80" s="9"/>
      <c r="AC80" s="10">
        <f t="shared" si="23"/>
        <v>-8768.6200000000026</v>
      </c>
      <c r="AD80" s="8">
        <f>IFERROR(AC80/AC444, "NA")</f>
        <v>-2.1920170673260395E-2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customHeight="1" x14ac:dyDescent="0.45">
      <c r="A82" s="12" t="s">
        <v>78</v>
      </c>
      <c r="B82" s="7">
        <v>25</v>
      </c>
      <c r="C82" s="8">
        <f>IFERROR(B82/B444, "NA")</f>
        <v>3.465727256802571E-5</v>
      </c>
      <c r="D82" s="9"/>
      <c r="E82" s="7">
        <v>0</v>
      </c>
      <c r="F82" s="8">
        <f>IFERROR(E82/E444, "NA")</f>
        <v>0</v>
      </c>
      <c r="G82" s="9"/>
      <c r="H82" s="10">
        <f t="shared" si="20"/>
        <v>25</v>
      </c>
      <c r="I82" s="8">
        <f>IFERROR(H82/H444, "NA")</f>
        <v>-3.0070195865227855E-4</v>
      </c>
      <c r="J82" s="9"/>
      <c r="K82" s="7">
        <v>25</v>
      </c>
      <c r="L82" s="8">
        <f>IFERROR(K82/K444, "NA")</f>
        <v>3.6350290123297561E-5</v>
      </c>
      <c r="M82" s="9"/>
      <c r="N82" s="10">
        <f t="shared" si="21"/>
        <v>0</v>
      </c>
      <c r="O82" s="8">
        <f>IFERROR(N82/N444, "NA")</f>
        <v>0</v>
      </c>
      <c r="P82" s="9"/>
      <c r="Q82" s="7">
        <v>50</v>
      </c>
      <c r="R82" s="8">
        <f>IFERROR(Q82/Q444, "NA")</f>
        <v>1.3974209668169871E-5</v>
      </c>
      <c r="S82" s="9"/>
      <c r="T82" s="7">
        <v>0</v>
      </c>
      <c r="U82" s="8">
        <f>IFERROR(T82/T444, "NA")</f>
        <v>0</v>
      </c>
      <c r="V82" s="9"/>
      <c r="W82" s="10">
        <f t="shared" si="22"/>
        <v>50</v>
      </c>
      <c r="X82" s="8">
        <f>IFERROR(W82/W444, "NA")</f>
        <v>-1.2291390520092875E-3</v>
      </c>
      <c r="Y82" s="9"/>
      <c r="Z82" s="7">
        <v>100</v>
      </c>
      <c r="AA82" s="8">
        <f>IFERROR(Z82/Z444, "NA")</f>
        <v>3.1466383403765957E-5</v>
      </c>
      <c r="AB82" s="9"/>
      <c r="AC82" s="10">
        <f t="shared" si="23"/>
        <v>-50</v>
      </c>
      <c r="AD82" s="8">
        <f>IFERROR(AC82/AC444, "NA")</f>
        <v>-1.2499213486991335E-4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145.98000000000002</v>
      </c>
      <c r="L85" s="8">
        <f>IFERROR(K85/K444, "NA")</f>
        <v>2.1225661408795914E-4</v>
      </c>
      <c r="M85" s="9"/>
      <c r="N85" s="10">
        <f t="shared" si="21"/>
        <v>-145.98000000000002</v>
      </c>
      <c r="O85" s="8">
        <f>IFERROR(N85/N444, "NA")</f>
        <v>-4.3450437391545178E-3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235.98000000000002</v>
      </c>
      <c r="AA85" s="8">
        <f>IFERROR(Z85/Z444, "NA")</f>
        <v>7.4254371556206901E-5</v>
      </c>
      <c r="AB85" s="9"/>
      <c r="AC85" s="10">
        <f t="shared" si="23"/>
        <v>-235.98000000000002</v>
      </c>
      <c r="AD85" s="8">
        <f>IFERROR(AC85/AC444, "NA")</f>
        <v>-5.8991287973204302E-4</v>
      </c>
    </row>
    <row r="86" spans="1:30" ht="16.5" customHeight="1" x14ac:dyDescent="0.45">
      <c r="A86" s="12" t="s">
        <v>82</v>
      </c>
      <c r="B86" s="7">
        <v>25</v>
      </c>
      <c r="C86" s="8">
        <f>IFERROR(B86/B444, "NA")</f>
        <v>3.465727256802571E-5</v>
      </c>
      <c r="D86" s="9"/>
      <c r="E86" s="7">
        <v>0</v>
      </c>
      <c r="F86" s="8">
        <f>IFERROR(E86/E444, "NA")</f>
        <v>0</v>
      </c>
      <c r="G86" s="9"/>
      <c r="H86" s="10">
        <f t="shared" si="20"/>
        <v>25</v>
      </c>
      <c r="I86" s="8">
        <f>IFERROR(H86/H444, "NA")</f>
        <v>-3.0070195865227855E-4</v>
      </c>
      <c r="J86" s="9"/>
      <c r="K86" s="7">
        <v>0</v>
      </c>
      <c r="L86" s="8">
        <f>IFERROR(K86/K444, "NA")</f>
        <v>0</v>
      </c>
      <c r="M86" s="9"/>
      <c r="N86" s="10">
        <f t="shared" si="21"/>
        <v>25</v>
      </c>
      <c r="O86" s="8">
        <f>IFERROR(N86/N444, "NA")</f>
        <v>7.4411627263229853E-4</v>
      </c>
      <c r="P86" s="9"/>
      <c r="Q86" s="7">
        <v>75</v>
      </c>
      <c r="R86" s="8">
        <f>IFERROR(Q86/Q444, "NA")</f>
        <v>2.0961314502254807E-5</v>
      </c>
      <c r="S86" s="9"/>
      <c r="T86" s="7">
        <v>0</v>
      </c>
      <c r="U86" s="8">
        <f>IFERROR(T86/T444, "NA")</f>
        <v>0</v>
      </c>
      <c r="V86" s="9"/>
      <c r="W86" s="10">
        <f t="shared" si="22"/>
        <v>75</v>
      </c>
      <c r="X86" s="8">
        <f>IFERROR(W86/W444, "NA")</f>
        <v>-1.8437085780139313E-3</v>
      </c>
      <c r="Y86" s="9"/>
      <c r="Z86" s="7">
        <v>820</v>
      </c>
      <c r="AA86" s="8">
        <f>IFERROR(Z86/Z444, "NA")</f>
        <v>2.5802434391088082E-4</v>
      </c>
      <c r="AB86" s="9"/>
      <c r="AC86" s="10">
        <f t="shared" si="23"/>
        <v>-745</v>
      </c>
      <c r="AD86" s="8">
        <f>IFERROR(AC86/AC444, "NA")</f>
        <v>-1.8623828095617086E-3</v>
      </c>
    </row>
    <row r="87" spans="1:30" ht="16.5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988.28</v>
      </c>
      <c r="R87" s="8">
        <f>IFERROR(Q87/Q444, "NA")</f>
        <v>2.7620863861717841E-4</v>
      </c>
      <c r="S87" s="9"/>
      <c r="T87" s="7">
        <v>0</v>
      </c>
      <c r="U87" s="8">
        <f>IFERROR(T87/T444, "NA")</f>
        <v>0</v>
      </c>
      <c r="V87" s="9"/>
      <c r="W87" s="10">
        <f t="shared" si="22"/>
        <v>988.28</v>
      </c>
      <c r="X87" s="8">
        <f>IFERROR(W87/W444, "NA")</f>
        <v>-2.4294670846394771E-2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988.28</v>
      </c>
      <c r="AD87" s="8">
        <f>IFERROR(AC87/AC444, "NA")</f>
        <v>2.470544540984759E-3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10514.41</v>
      </c>
      <c r="C88" s="15">
        <f>IFERROR(B88/B444, "NA")</f>
        <v>1.4576030930479007E-2</v>
      </c>
      <c r="D88" s="2"/>
      <c r="E88" s="14">
        <f>IFERROR(E75+E76+E77+E78+E79+E80+E81+E82+E83+E84+E85+E86+E87, "NA")</f>
        <v>13975.259999999998</v>
      </c>
      <c r="F88" s="15">
        <f>IFERROR(E88/E444, "NA")</f>
        <v>1.7371617619412454E-2</v>
      </c>
      <c r="G88" s="2"/>
      <c r="H88" s="14">
        <f t="shared" si="20"/>
        <v>-3460.8499999999985</v>
      </c>
      <c r="I88" s="15">
        <f>IFERROR(H88/H444, "NA")</f>
        <v>4.1627374944069512E-2</v>
      </c>
      <c r="J88" s="2"/>
      <c r="K88" s="14">
        <f>IFERROR(K75+K76+K77+K78+K79+K80+K81+K82+K83+K84+K85+K86+K87, "NA")</f>
        <v>12628.02</v>
      </c>
      <c r="L88" s="15">
        <f>IFERROR(K88/K444, "NA")</f>
        <v>1.8361287627312161E-2</v>
      </c>
      <c r="M88" s="2"/>
      <c r="N88" s="14">
        <f t="shared" si="21"/>
        <v>-2113.6100000000006</v>
      </c>
      <c r="O88" s="15">
        <f>IFERROR(N88/N444, "NA")</f>
        <v>-6.2910863799934116E-2</v>
      </c>
      <c r="P88" s="2"/>
      <c r="Q88" s="14">
        <f>IFERROR(Q75+Q76+Q77+Q78+Q79+Q80+Q81+Q82+Q83+Q84+Q85+Q86+Q87, "NA")</f>
        <v>62726.22</v>
      </c>
      <c r="R88" s="15">
        <f>IFERROR(Q88/Q444, "NA")</f>
        <v>1.7530986999435005E-2</v>
      </c>
      <c r="S88" s="2"/>
      <c r="T88" s="14">
        <f>IFERROR(T75+T76+T77+T78+T79+T80+T81+T82+T83+T84+T85+T86+T87, "NA")</f>
        <v>64235.96</v>
      </c>
      <c r="U88" s="15">
        <f>IFERROR(T88/T444, "NA")</f>
        <v>1.7751121123992093E-2</v>
      </c>
      <c r="V88" s="2"/>
      <c r="W88" s="14">
        <f t="shared" si="22"/>
        <v>-1509.739999999998</v>
      </c>
      <c r="X88" s="15">
        <f>IFERROR(W88/W444, "NA")</f>
        <v>3.7113607847609982E-2</v>
      </c>
      <c r="Y88" s="2"/>
      <c r="Z88" s="14">
        <f>IFERROR(Z75+Z76+Z77+Z78+Z79+Z80+Z81+Z82+Z83+Z84+Z85+Z86+Z87, "NA")</f>
        <v>58047.760000000009</v>
      </c>
      <c r="AA88" s="15">
        <f>IFERROR(Z88/Z444, "NA")</f>
        <v>1.8265530718897895E-2</v>
      </c>
      <c r="AB88" s="2"/>
      <c r="AC88" s="14">
        <f t="shared" si="23"/>
        <v>4678.4599999999919</v>
      </c>
      <c r="AD88" s="15">
        <f>IFERROR(AC88/AC444, "NA")</f>
        <v>1.1695414066069875E-2</v>
      </c>
    </row>
    <row r="89" spans="1:30" ht="16.5" customHeight="1" x14ac:dyDescent="0.45">
      <c r="A89" s="6" t="s">
        <v>85</v>
      </c>
      <c r="B89" s="7">
        <v>66.800000000000011</v>
      </c>
      <c r="C89" s="8">
        <f>IFERROR(B89/B444, "NA")</f>
        <v>9.2604232301764708E-5</v>
      </c>
      <c r="D89" s="9"/>
      <c r="E89" s="7">
        <v>0</v>
      </c>
      <c r="F89" s="8">
        <f>IFERROR(E89/E444, "NA")</f>
        <v>0</v>
      </c>
      <c r="G89" s="9"/>
      <c r="H89" s="10">
        <f t="shared" si="20"/>
        <v>66.800000000000011</v>
      </c>
      <c r="I89" s="8">
        <f>IFERROR(H89/H444, "NA")</f>
        <v>-8.0347563351888839E-4</v>
      </c>
      <c r="J89" s="9"/>
      <c r="K89" s="7">
        <v>-1617.08</v>
      </c>
      <c r="L89" s="8">
        <f>IFERROR(K89/K444, "NA")</f>
        <v>-2.3512530861032805E-3</v>
      </c>
      <c r="M89" s="9"/>
      <c r="N89" s="10">
        <f t="shared" si="21"/>
        <v>1683.8799999999999</v>
      </c>
      <c r="O89" s="8">
        <f>IFERROR(N89/N444, "NA")</f>
        <v>5.0120100366402985E-2</v>
      </c>
      <c r="P89" s="9"/>
      <c r="Q89" s="7">
        <v>-202.19000000000011</v>
      </c>
      <c r="R89" s="8">
        <f>IFERROR(Q89/Q444, "NA")</f>
        <v>-5.6508909056145357E-5</v>
      </c>
      <c r="S89" s="9"/>
      <c r="T89" s="7">
        <v>0</v>
      </c>
      <c r="U89" s="8">
        <f>IFERROR(T89/T444, "NA")</f>
        <v>0</v>
      </c>
      <c r="V89" s="9"/>
      <c r="W89" s="10">
        <f t="shared" si="22"/>
        <v>-202.19000000000011</v>
      </c>
      <c r="X89" s="8">
        <f>IFERROR(W89/W444, "NA")</f>
        <v>4.9703924985151594E-3</v>
      </c>
      <c r="Y89" s="9"/>
      <c r="Z89" s="7">
        <v>-4489.4000000000005</v>
      </c>
      <c r="AA89" s="8">
        <f>IFERROR(Z89/Z444, "NA")</f>
        <v>-1.4126518165286689E-3</v>
      </c>
      <c r="AB89" s="9"/>
      <c r="AC89" s="10">
        <f t="shared" si="23"/>
        <v>4287.21</v>
      </c>
      <c r="AD89" s="8">
        <f>IFERROR(AC89/AC444, "NA")</f>
        <v>1.0717350610712823E-2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-30219.91</v>
      </c>
      <c r="F94" s="8">
        <f>IFERROR(E94/E444, "NA")</f>
        <v>-3.7564147000704005E-2</v>
      </c>
      <c r="G94" s="9"/>
      <c r="H94" s="10">
        <f t="shared" ref="H94:H124" si="24">IFERROR(B94-E94, "NA")</f>
        <v>30219.91</v>
      </c>
      <c r="I94" s="8">
        <f>IFERROR(H94/H444, "NA")</f>
        <v>-0.36348744509182318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-135424.74</v>
      </c>
      <c r="U94" s="8">
        <f>IFERROR(T94/T444, "NA")</f>
        <v>-3.7423601405274197E-2</v>
      </c>
      <c r="V94" s="9"/>
      <c r="W94" s="10">
        <f t="shared" ref="W94:W124" si="26">IFERROR(Q94-T94, "NA")</f>
        <v>135424.74</v>
      </c>
      <c r="X94" s="8">
        <f>IFERROR(W94/W444, "NA")</f>
        <v>-3.3291167308440843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-8146.7499999999991</v>
      </c>
      <c r="C96" s="8">
        <f>IFERROR(B96/B444, "NA")</f>
        <v>-1.1293765411742537E-2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-8146.7499999999991</v>
      </c>
      <c r="I96" s="8">
        <f>IFERROR(H96/H444, "NA")</f>
        <v>9.7989747266018001E-2</v>
      </c>
      <c r="J96" s="9"/>
      <c r="K96" s="7">
        <v>-2522.4700000000003</v>
      </c>
      <c r="L96" s="8">
        <f>IFERROR(K96/K444, "NA")</f>
        <v>-3.667700653092576E-3</v>
      </c>
      <c r="M96" s="9"/>
      <c r="N96" s="10">
        <f t="shared" si="25"/>
        <v>-5624.2799999999988</v>
      </c>
      <c r="O96" s="8">
        <f>IFERROR(N96/N444, "NA")</f>
        <v>-0.16740473079361531</v>
      </c>
      <c r="P96" s="9"/>
      <c r="Q96" s="7">
        <v>-47221.91</v>
      </c>
      <c r="R96" s="8">
        <f>IFERROR(Q96/Q444, "NA")</f>
        <v>-1.3197777425428952E-2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-47221.91</v>
      </c>
      <c r="X96" s="8">
        <f>IFERROR(W96/W444, "NA")</f>
        <v>1.1608458738293579</v>
      </c>
      <c r="Y96" s="9"/>
      <c r="Z96" s="7">
        <v>-15946.779999999999</v>
      </c>
      <c r="AA96" s="8">
        <f>IFERROR(Z96/Z444, "NA")</f>
        <v>-5.017874935355068E-3</v>
      </c>
      <c r="AB96" s="9"/>
      <c r="AC96" s="10">
        <f t="shared" si="27"/>
        <v>-31275.130000000005</v>
      </c>
      <c r="AD96" s="8">
        <f>IFERROR(AC96/AC444, "NA")</f>
        <v>-7.8182905340681466E-2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-17185.97</v>
      </c>
      <c r="C98" s="8">
        <f>IFERROR(B98/B444, "NA")</f>
        <v>-2.3824753865436511E-2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-17185.97</v>
      </c>
      <c r="I98" s="8">
        <f>IFERROR(H98/H444, "NA")</f>
        <v>0.20671419361357199</v>
      </c>
      <c r="J98" s="9"/>
      <c r="K98" s="7">
        <v>-11804.269999999999</v>
      </c>
      <c r="L98" s="8">
        <f>IFERROR(K98/K444, "NA")</f>
        <v>-1.7163545567749506E-2</v>
      </c>
      <c r="M98" s="9"/>
      <c r="N98" s="10">
        <f t="shared" si="25"/>
        <v>-5381.7000000000025</v>
      </c>
      <c r="O98" s="8">
        <f>IFERROR(N98/N444, "NA")</f>
        <v>-0.1601844217770097</v>
      </c>
      <c r="P98" s="9"/>
      <c r="Q98" s="7">
        <v>-65347.760000000009</v>
      </c>
      <c r="R98" s="8">
        <f>IFERROR(Q98/Q444, "NA")</f>
        <v>-1.826366599170489E-2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-65347.760000000009</v>
      </c>
      <c r="X98" s="8">
        <f>IFERROR(W98/W444, "NA")</f>
        <v>1.606429675546609</v>
      </c>
      <c r="Y98" s="9"/>
      <c r="Z98" s="7">
        <v>-57370.85</v>
      </c>
      <c r="AA98" s="8">
        <f>IFERROR(Z98/Z444, "NA")</f>
        <v>-1.8052531622999461E-2</v>
      </c>
      <c r="AB98" s="9"/>
      <c r="AC98" s="10">
        <f t="shared" si="27"/>
        <v>-7976.9100000000108</v>
      </c>
      <c r="AD98" s="8">
        <f>IFERROR(AC98/AC444, "NA")</f>
        <v>-1.9941020211303236E-2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-2939.06</v>
      </c>
      <c r="C100" s="8">
        <f>IFERROR(B100/B444, "NA")</f>
        <v>-4.0743921405512655E-3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-2939.06</v>
      </c>
      <c r="I100" s="8">
        <f>IFERROR(H100/H444, "NA")</f>
        <v>3.5351243943862631E-2</v>
      </c>
      <c r="J100" s="9"/>
      <c r="K100" s="7">
        <v>-354.91999999999996</v>
      </c>
      <c r="L100" s="8">
        <f>IFERROR(K100/K444, "NA")</f>
        <v>-5.1605779882243072E-4</v>
      </c>
      <c r="M100" s="9"/>
      <c r="N100" s="10">
        <f t="shared" si="25"/>
        <v>-2584.14</v>
      </c>
      <c r="O100" s="8">
        <f>IFERROR(N100/N444, "NA")</f>
        <v>-7.6916024990401108E-2</v>
      </c>
      <c r="P100" s="9"/>
      <c r="Q100" s="7">
        <v>-12010.359999999999</v>
      </c>
      <c r="R100" s="8">
        <f>IFERROR(Q100/Q444, "NA")</f>
        <v>-3.3567057766040135E-3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-12010.359999999999</v>
      </c>
      <c r="X100" s="8">
        <f>IFERROR(W100/W444, "NA")</f>
        <v>0.29524805009380528</v>
      </c>
      <c r="Y100" s="9"/>
      <c r="Z100" s="7">
        <v>-8701.0499999999993</v>
      </c>
      <c r="AA100" s="8">
        <f>IFERROR(Z100/Z444, "NA")</f>
        <v>-2.7379057531533775E-3</v>
      </c>
      <c r="AB100" s="9"/>
      <c r="AC100" s="10">
        <f t="shared" si="27"/>
        <v>-3309.3099999999995</v>
      </c>
      <c r="AD100" s="8">
        <f>IFERROR(AC100/AC444, "NA")</f>
        <v>-8.2727544369270573E-3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-5332.85</v>
      </c>
      <c r="C102" s="8">
        <f>IFERROR(B102/B444, "NA")</f>
        <v>-7.3928814405758358E-3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-5332.85</v>
      </c>
      <c r="I102" s="8">
        <f>IFERROR(H102/H444, "NA")</f>
        <v>6.4143937607952145E-2</v>
      </c>
      <c r="J102" s="9"/>
      <c r="K102" s="7">
        <v>-1675.34</v>
      </c>
      <c r="L102" s="8">
        <f>IFERROR(K102/K444, "NA")</f>
        <v>-2.435963802206613E-3</v>
      </c>
      <c r="M102" s="9"/>
      <c r="N102" s="10">
        <f t="shared" si="25"/>
        <v>-3657.51</v>
      </c>
      <c r="O102" s="8">
        <f>IFERROR(N102/N444, "NA")</f>
        <v>-0.10886450833261432</v>
      </c>
      <c r="P102" s="9"/>
      <c r="Q102" s="7">
        <v>-31517.510000000002</v>
      </c>
      <c r="R102" s="8">
        <f>IFERROR(Q102/Q444, "NA")</f>
        <v>-8.8086458591728131E-3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-31517.510000000002</v>
      </c>
      <c r="X102" s="8">
        <f>IFERROR(W102/W444, "NA")</f>
        <v>0.77478804726186479</v>
      </c>
      <c r="Y102" s="9"/>
      <c r="Z102" s="7">
        <v>-11766.630000000001</v>
      </c>
      <c r="AA102" s="8">
        <f>IFERROR(Z102/Z444, "NA")</f>
        <v>-3.7025329095025463E-3</v>
      </c>
      <c r="AB102" s="9"/>
      <c r="AC102" s="10">
        <f t="shared" si="27"/>
        <v>-19750.88</v>
      </c>
      <c r="AD102" s="8">
        <f>IFERROR(AC102/AC444, "NA")</f>
        <v>-4.9374093135189479E-2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-3630.07</v>
      </c>
      <c r="C104" s="8">
        <f>IFERROR(B104/B444, "NA")</f>
        <v>-5.0323330172405232E-3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-3630.07</v>
      </c>
      <c r="I104" s="8">
        <f>IFERROR(H104/H444, "NA")</f>
        <v>4.3662766361795072E-2</v>
      </c>
      <c r="J104" s="9"/>
      <c r="K104" s="7">
        <v>-4432.75</v>
      </c>
      <c r="L104" s="8">
        <f>IFERROR(K104/K444, "NA")</f>
        <v>-6.4452699417618898E-3</v>
      </c>
      <c r="M104" s="9"/>
      <c r="N104" s="10">
        <f t="shared" si="25"/>
        <v>802.67999999999984</v>
      </c>
      <c r="O104" s="8">
        <f>IFERROR(N104/N444, "NA")</f>
        <v>2.3891489988659729E-2</v>
      </c>
      <c r="P104" s="9"/>
      <c r="Q104" s="7">
        <v>-20942.68</v>
      </c>
      <c r="R104" s="8">
        <f>IFERROR(Q104/Q444, "NA")</f>
        <v>-5.8531480266677555E-3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-20942.68</v>
      </c>
      <c r="X104" s="8">
        <f>IFERROR(W104/W444, "NA")</f>
        <v>0.51482931683467736</v>
      </c>
      <c r="Y104" s="9"/>
      <c r="Z104" s="7">
        <v>-20585.129999999997</v>
      </c>
      <c r="AA104" s="8">
        <f>IFERROR(Z104/Z444, "NA")</f>
        <v>-6.4773959299636464E-3</v>
      </c>
      <c r="AB104" s="9"/>
      <c r="AC104" s="10">
        <f t="shared" si="27"/>
        <v>-357.55000000000291</v>
      </c>
      <c r="AD104" s="8">
        <f>IFERROR(AC104/AC444, "NA")</f>
        <v>-8.9381875645475756E-4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-3610.98</v>
      </c>
      <c r="L106" s="8">
        <f>IFERROR(K106/K444, "NA")</f>
        <v>-5.2504068251770005E-3</v>
      </c>
      <c r="M106" s="9"/>
      <c r="N106" s="10">
        <f t="shared" si="25"/>
        <v>3610.98</v>
      </c>
      <c r="O106" s="8">
        <f>IFERROR(N106/N444, "NA")</f>
        <v>0.10747955912599109</v>
      </c>
      <c r="P106" s="9"/>
      <c r="Q106" s="7">
        <v>-3933.7400000000002</v>
      </c>
      <c r="R106" s="8">
        <f>IFERROR(Q106/Q444, "NA")</f>
        <v>-1.0994181508013311E-3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-3933.7400000000002</v>
      </c>
      <c r="X106" s="8">
        <f>IFERROR(W106/W444, "NA")</f>
        <v>9.6702269089020298E-2</v>
      </c>
      <c r="Y106" s="9"/>
      <c r="Z106" s="7">
        <v>-22146.920000000002</v>
      </c>
      <c r="AA106" s="8">
        <f>IFERROR(Z106/Z444, "NA")</f>
        <v>-6.9688347593253241E-3</v>
      </c>
      <c r="AB106" s="9"/>
      <c r="AC106" s="10">
        <f t="shared" si="27"/>
        <v>18213.18</v>
      </c>
      <c r="AD106" s="8">
        <f>IFERROR(AC106/AC444, "NA")</f>
        <v>4.5530085019400167E-2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-60</v>
      </c>
      <c r="L108" s="8">
        <f>IFERROR(K108/K444, "NA")</f>
        <v>-8.724069629591414E-5</v>
      </c>
      <c r="M108" s="9"/>
      <c r="N108" s="10">
        <f t="shared" si="25"/>
        <v>60</v>
      </c>
      <c r="O108" s="8">
        <f>IFERROR(N108/N444, "NA")</f>
        <v>1.7858790543175164E-3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-271.71999999999997</v>
      </c>
      <c r="AA108" s="8">
        <f>IFERROR(Z108/Z444, "NA")</f>
        <v>-8.5500456984712839E-5</v>
      </c>
      <c r="AB108" s="9"/>
      <c r="AC108" s="10">
        <f t="shared" si="27"/>
        <v>271.71999999999997</v>
      </c>
      <c r="AD108" s="8">
        <f>IFERROR(AC108/AC444, "NA")</f>
        <v>6.7925725773705691E-4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-11.55</v>
      </c>
      <c r="AA111" s="8">
        <f>IFERROR(Z111/Z444, "NA")</f>
        <v>-3.6343672831349682E-6</v>
      </c>
      <c r="AB111" s="9"/>
      <c r="AC111" s="10">
        <f t="shared" si="27"/>
        <v>11.55</v>
      </c>
      <c r="AD111" s="8">
        <f>IFERROR(AC111/AC444, "NA")</f>
        <v>2.8873183154949983E-5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-37234.700000000004</v>
      </c>
      <c r="C118" s="15">
        <f>IFERROR(B118/B444, "NA")</f>
        <v>-5.1618125875546678E-2</v>
      </c>
      <c r="D118" s="2"/>
      <c r="E118" s="14">
        <f>IFERROR(E94+E95+E96+E97+E98+E99+E100+E101+E102+E103+E104+E105+E106+E107+E108+E109+E110+E111+E112+E113+E114+E115+E116+E117, "NA")</f>
        <v>-30219.91</v>
      </c>
      <c r="F118" s="15">
        <f>IFERROR(E118/E444, "NA")</f>
        <v>-3.7564147000704005E-2</v>
      </c>
      <c r="G118" s="2"/>
      <c r="H118" s="14">
        <f t="shared" si="24"/>
        <v>-7014.7900000000045</v>
      </c>
      <c r="I118" s="15">
        <f>IFERROR(H118/H444, "NA")</f>
        <v>8.4374443701376742E-2</v>
      </c>
      <c r="J118" s="2"/>
      <c r="K118" s="14">
        <f>IFERROR(K94+K95+K96+K97+K98+K99+K100+K101+K102+K103+K104+K105+K106+K107+K108+K109+K110+K111+K112+K113+K114+K115+K116+K117, "NA")</f>
        <v>-24460.73</v>
      </c>
      <c r="L118" s="15">
        <f>IFERROR(K118/K444, "NA")</f>
        <v>-3.5566185285105932E-2</v>
      </c>
      <c r="M118" s="2"/>
      <c r="N118" s="14">
        <f t="shared" si="25"/>
        <v>-12773.970000000005</v>
      </c>
      <c r="O118" s="15">
        <f>IFERROR(N118/N444, "NA")</f>
        <v>-0.38021275772467222</v>
      </c>
      <c r="P118" s="2"/>
      <c r="Q118" s="14">
        <f>IFERROR(Q94+Q95+Q96+Q97+Q98+Q99+Q100+Q101+Q102+Q103+Q104+Q105+Q106+Q107+Q108+Q109+Q110+Q111+Q112+Q113+Q114+Q115+Q116+Q117, "NA")</f>
        <v>-180973.96</v>
      </c>
      <c r="R118" s="15">
        <f>IFERROR(Q118/Q444, "NA")</f>
        <v>-5.0579361230379746E-2</v>
      </c>
      <c r="S118" s="2"/>
      <c r="T118" s="14">
        <f>IFERROR(T94+T95+T96+T97+T98+T99+T100+T101+T102+T103+T104+T105+T106+T107+T108+T109+T110+T111+T112+T113+T114+T115+T116+T117, "NA")</f>
        <v>-135424.74</v>
      </c>
      <c r="U118" s="15">
        <f>IFERROR(T118/T444, "NA")</f>
        <v>-3.7423601405274197E-2</v>
      </c>
      <c r="V118" s="2"/>
      <c r="W118" s="14">
        <f t="shared" si="26"/>
        <v>-45549.22</v>
      </c>
      <c r="X118" s="15">
        <f>IFERROR(W118/W444, "NA")</f>
        <v>1.1197265018112497</v>
      </c>
      <c r="Y118" s="2"/>
      <c r="Z118" s="14">
        <f>IFERROR(Z94+Z95+Z96+Z97+Z98+Z99+Z100+Z101+Z102+Z103+Z104+Z105+Z106+Z107+Z108+Z109+Z110+Z111+Z112+Z113+Z114+Z115+Z116+Z117, "NA")</f>
        <v>-136800.63</v>
      </c>
      <c r="AA118" s="15">
        <f>IFERROR(Z118/Z444, "NA")</f>
        <v>-4.304621073456727E-2</v>
      </c>
      <c r="AB118" s="2"/>
      <c r="AC118" s="14">
        <f t="shared" si="27"/>
        <v>-44173.329999999987</v>
      </c>
      <c r="AD118" s="15">
        <f>IFERROR(AC118/AC444, "NA")</f>
        <v>-0.11042637642026375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721349.31999999983</v>
      </c>
      <c r="C122" s="15">
        <f>IFERROR(B122/B444, "NA")</f>
        <v>0.99999999999999967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804488.12</v>
      </c>
      <c r="F122" s="15">
        <f>IFERROR(E122/E444, "NA")</f>
        <v>1.0000000000000002</v>
      </c>
      <c r="G122" s="2"/>
      <c r="H122" s="14">
        <f t="shared" si="24"/>
        <v>-83138.800000000163</v>
      </c>
      <c r="I122" s="15">
        <f>IFERROR(H122/H444, "NA")</f>
        <v>1.0000000000000042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687752.41999999993</v>
      </c>
      <c r="L122" s="15">
        <f>IFERROR(K122/K444, "NA")</f>
        <v>0.99999999999999967</v>
      </c>
      <c r="M122" s="2"/>
      <c r="N122" s="14">
        <f t="shared" si="25"/>
        <v>33596.899999999907</v>
      </c>
      <c r="O122" s="15">
        <f>IFERROR(N122/N444, "NA")</f>
        <v>1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3578019.879999999</v>
      </c>
      <c r="R122" s="15">
        <f>IFERROR(Q122/Q444, "NA")</f>
        <v>0.99999999999999978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3618698.76</v>
      </c>
      <c r="U122" s="15">
        <f>IFERROR(T122/T444, "NA")</f>
        <v>0.99999999999999989</v>
      </c>
      <c r="V122" s="2"/>
      <c r="W122" s="14">
        <f t="shared" si="26"/>
        <v>-40678.88000000082</v>
      </c>
      <c r="X122" s="15">
        <f>IFERROR(W122/W444, "NA")</f>
        <v>1.0000000000000115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3177994.7100000009</v>
      </c>
      <c r="AA122" s="15">
        <f>IFERROR(Z122/Z444, "NA")</f>
        <v>1.0000000000000002</v>
      </c>
      <c r="AB122" s="2"/>
      <c r="AC122" s="14">
        <f t="shared" si="27"/>
        <v>400025.16999999806</v>
      </c>
      <c r="AD122" s="15">
        <f>IFERROR(AC122/AC444, "NA")</f>
        <v>0.99999999999999534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721349.31999999983</v>
      </c>
      <c r="C124" s="15">
        <f>IFERROR(B124/B444, "NA")</f>
        <v>0.99999999999999967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804488.12</v>
      </c>
      <c r="F124" s="15">
        <f>IFERROR(E124/E444, "NA")</f>
        <v>1.0000000000000002</v>
      </c>
      <c r="G124" s="2"/>
      <c r="H124" s="14">
        <f t="shared" si="24"/>
        <v>-83138.800000000163</v>
      </c>
      <c r="I124" s="15">
        <f>IFERROR(H124/H444, "NA")</f>
        <v>1.0000000000000042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687752.41999999993</v>
      </c>
      <c r="L124" s="15">
        <f>IFERROR(K124/K444, "NA")</f>
        <v>0.99999999999999967</v>
      </c>
      <c r="M124" s="2"/>
      <c r="N124" s="14">
        <f t="shared" si="25"/>
        <v>33596.899999999907</v>
      </c>
      <c r="O124" s="15">
        <f>IFERROR(N124/N444, "NA")</f>
        <v>1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3578019.879999999</v>
      </c>
      <c r="R124" s="15">
        <f>IFERROR(Q124/Q444, "NA")</f>
        <v>0.99999999999999978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3618698.76</v>
      </c>
      <c r="U124" s="15">
        <f>IFERROR(T124/T444, "NA")</f>
        <v>0.99999999999999989</v>
      </c>
      <c r="V124" s="2"/>
      <c r="W124" s="14">
        <f t="shared" si="26"/>
        <v>-40678.88000000082</v>
      </c>
      <c r="X124" s="15">
        <f>IFERROR(W124/W444, "NA")</f>
        <v>1.0000000000000115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3177994.7100000009</v>
      </c>
      <c r="AA124" s="15">
        <f>IFERROR(Z124/Z444, "NA")</f>
        <v>1.0000000000000002</v>
      </c>
      <c r="AB124" s="2"/>
      <c r="AC124" s="14">
        <f t="shared" si="27"/>
        <v>400025.16999999806</v>
      </c>
      <c r="AD124" s="15">
        <f>IFERROR(AC124/AC444, "NA")</f>
        <v>0.99999999999999534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181753.75</v>
      </c>
      <c r="F129" s="8">
        <f>IFERROR(E129/E444, "NA")</f>
        <v>0.2259247159547863</v>
      </c>
      <c r="G129" s="9"/>
      <c r="H129" s="10">
        <f t="shared" ref="H129:H141" si="28">IFERROR(-(B129-E129), "NA")</f>
        <v>181753.75</v>
      </c>
      <c r="I129" s="8">
        <f>IFERROR(H129/H444, "NA")</f>
        <v>-2.1861483446958627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843721.1100000001</v>
      </c>
      <c r="U129" s="8">
        <f>IFERROR(T129/T444, "NA")</f>
        <v>0.2331559397334306</v>
      </c>
      <c r="V129" s="9"/>
      <c r="W129" s="10">
        <f t="shared" ref="W129:W141" si="30">IFERROR(-(Q129-T129), "NA")</f>
        <v>843721.1100000001</v>
      </c>
      <c r="X129" s="8">
        <f>IFERROR(W129/W444, "NA")</f>
        <v>-20.74101130611248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36670.86</v>
      </c>
      <c r="C130" s="8">
        <f>IFERROR(B130/B444, "NA")</f>
        <v>5.0836479612956446E-2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-36670.86</v>
      </c>
      <c r="I130" s="8">
        <f>IFERROR(H130/H444, "NA")</f>
        <v>0.4410799770985398</v>
      </c>
      <c r="J130" s="9"/>
      <c r="K130" s="7">
        <v>47070.920000000006</v>
      </c>
      <c r="L130" s="8">
        <f>IFERROR(K130/K444, "NA")</f>
        <v>6.8441663934821192E-2</v>
      </c>
      <c r="M130" s="9"/>
      <c r="N130" s="10">
        <f t="shared" si="29"/>
        <v>10400.060000000005</v>
      </c>
      <c r="O130" s="8">
        <f>IFERROR(N130/N444, "NA")</f>
        <v>0.30955415529409064</v>
      </c>
      <c r="P130" s="9"/>
      <c r="Q130" s="7">
        <v>197322.13</v>
      </c>
      <c r="R130" s="8">
        <f>IFERROR(Q130/Q444, "NA")</f>
        <v>5.5148416335797444E-2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-197322.13</v>
      </c>
      <c r="X130" s="8">
        <f>IFERROR(W130/W444, "NA")</f>
        <v>4.8507267161730683</v>
      </c>
      <c r="Y130" s="9"/>
      <c r="Z130" s="7">
        <v>204166.69</v>
      </c>
      <c r="AA130" s="8">
        <f>IFERROR(Z130/Z444, "NA")</f>
        <v>6.4243873458178294E-2</v>
      </c>
      <c r="AB130" s="9"/>
      <c r="AC130" s="10">
        <f t="shared" si="31"/>
        <v>6844.5599999999977</v>
      </c>
      <c r="AD130" s="8">
        <f>IFERROR(AC130/AC444, "NA")</f>
        <v>1.7110323332904274E-2</v>
      </c>
    </row>
    <row r="131" spans="1:30" ht="16.5" customHeight="1" x14ac:dyDescent="0.45">
      <c r="A131" s="12" t="s">
        <v>123</v>
      </c>
      <c r="B131" s="7">
        <v>21545.53</v>
      </c>
      <c r="C131" s="8">
        <f>IFERROR(B131/B444, "NA")</f>
        <v>2.9868372233302996E-2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-21545.53</v>
      </c>
      <c r="I131" s="8">
        <f>IFERROR(H131/H444, "NA")</f>
        <v>0.25915132284805709</v>
      </c>
      <c r="J131" s="9"/>
      <c r="K131" s="7">
        <v>24713.260000000002</v>
      </c>
      <c r="L131" s="8">
        <f>IFERROR(K131/K444, "NA")</f>
        <v>3.5933366835699386E-2</v>
      </c>
      <c r="M131" s="9"/>
      <c r="N131" s="10">
        <f t="shared" si="29"/>
        <v>3167.7300000000032</v>
      </c>
      <c r="O131" s="8">
        <f>IFERROR(N131/N444, "NA")</f>
        <v>9.4286377612220529E-2</v>
      </c>
      <c r="P131" s="9"/>
      <c r="Q131" s="7">
        <v>110294.09999999999</v>
      </c>
      <c r="R131" s="8">
        <f>IFERROR(Q131/Q444, "NA")</f>
        <v>3.0825457571241888E-2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-110294.09999999999</v>
      </c>
      <c r="X131" s="8">
        <f>IFERROR(W131/W444, "NA")</f>
        <v>2.7113357103243509</v>
      </c>
      <c r="Y131" s="9"/>
      <c r="Z131" s="7">
        <v>101114.91</v>
      </c>
      <c r="AA131" s="8">
        <f>IFERROR(Z131/Z444, "NA")</f>
        <v>3.1817205258972886E-2</v>
      </c>
      <c r="AB131" s="9"/>
      <c r="AC131" s="10">
        <f t="shared" si="31"/>
        <v>-9179.1899999999878</v>
      </c>
      <c r="AD131" s="8">
        <f>IFERROR(AC131/AC444, "NA")</f>
        <v>-2.2946531089531166E-2</v>
      </c>
    </row>
    <row r="132" spans="1:30" ht="16.5" customHeight="1" x14ac:dyDescent="0.45">
      <c r="A132" s="12" t="s">
        <v>124</v>
      </c>
      <c r="B132" s="7">
        <v>38334.03</v>
      </c>
      <c r="C132" s="8">
        <f>IFERROR(B132/B444, "NA")</f>
        <v>5.3142117053634981E-2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-38334.03</v>
      </c>
      <c r="I132" s="8">
        <f>IFERROR(H132/H444, "NA")</f>
        <v>0.46108471616140823</v>
      </c>
      <c r="J132" s="9"/>
      <c r="K132" s="7">
        <v>26409.360000000001</v>
      </c>
      <c r="L132" s="8">
        <f>IFERROR(K132/K444, "NA")</f>
        <v>3.8399515918824387E-2</v>
      </c>
      <c r="M132" s="9"/>
      <c r="N132" s="10">
        <f t="shared" si="29"/>
        <v>-11924.669999999998</v>
      </c>
      <c r="O132" s="8">
        <f>IFERROR(N132/N444, "NA")</f>
        <v>-0.3549336397108076</v>
      </c>
      <c r="P132" s="9"/>
      <c r="Q132" s="7">
        <v>154476.12</v>
      </c>
      <c r="R132" s="8">
        <f>IFERROR(Q132/Q444, "NA")</f>
        <v>4.3173633792107383E-2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-154476.12</v>
      </c>
      <c r="X132" s="8">
        <f>IFERROR(W132/W444, "NA")</f>
        <v>3.7974526338974588</v>
      </c>
      <c r="Y132" s="9"/>
      <c r="Z132" s="7">
        <v>110916.77</v>
      </c>
      <c r="AA132" s="8">
        <f>IFERROR(Z132/Z444, "NA")</f>
        <v>3.4901496107273257E-2</v>
      </c>
      <c r="AB132" s="9"/>
      <c r="AC132" s="10">
        <f t="shared" si="31"/>
        <v>-43559.349999999991</v>
      </c>
      <c r="AD132" s="8">
        <f>IFERROR(AC132/AC444, "NA")</f>
        <v>-0.10889152300091516</v>
      </c>
    </row>
    <row r="133" spans="1:30" ht="16.5" customHeight="1" x14ac:dyDescent="0.45">
      <c r="A133" s="12" t="s">
        <v>125</v>
      </c>
      <c r="B133" s="7">
        <v>17555.66</v>
      </c>
      <c r="C133" s="8">
        <f>IFERROR(B133/B444, "NA")</f>
        <v>2.4337251749263447E-2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-17555.66</v>
      </c>
      <c r="I133" s="8">
        <f>IFERROR(H133/H444, "NA")</f>
        <v>0.21116085389733841</v>
      </c>
      <c r="J133" s="9"/>
      <c r="K133" s="7">
        <v>11332.32</v>
      </c>
      <c r="L133" s="8">
        <f>IFERROR(K133/K444, "NA")</f>
        <v>1.6477324790801894E-2</v>
      </c>
      <c r="M133" s="9"/>
      <c r="N133" s="10">
        <f t="shared" si="29"/>
        <v>-6223.34</v>
      </c>
      <c r="O133" s="8">
        <f>IFERROR(N133/N444, "NA")</f>
        <v>-0.18523554256493954</v>
      </c>
      <c r="P133" s="9"/>
      <c r="Q133" s="7">
        <v>83857.53</v>
      </c>
      <c r="R133" s="8">
        <f>IFERROR(Q133/Q444, "NA")</f>
        <v>2.3436854129496899E-2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-83857.53</v>
      </c>
      <c r="X133" s="8">
        <f>IFERROR(W133/W444, "NA")</f>
        <v>2.0614512985608076</v>
      </c>
      <c r="Y133" s="9"/>
      <c r="Z133" s="7">
        <v>64649.17</v>
      </c>
      <c r="AA133" s="8">
        <f>IFERROR(Z133/Z444, "NA")</f>
        <v>2.0342755699552437E-2</v>
      </c>
      <c r="AB133" s="9"/>
      <c r="AC133" s="10">
        <f t="shared" si="31"/>
        <v>-19208.36</v>
      </c>
      <c r="AD133" s="8">
        <f>IFERROR(AC133/AC444, "NA")</f>
        <v>-4.8017878474996972E-2</v>
      </c>
    </row>
    <row r="134" spans="1:30" ht="16.5" customHeight="1" x14ac:dyDescent="0.45">
      <c r="A134" s="12" t="s">
        <v>126</v>
      </c>
      <c r="B134" s="7">
        <v>6449.71</v>
      </c>
      <c r="C134" s="8">
        <f>IFERROR(B134/B444, "NA")</f>
        <v>8.9411742981888431E-3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-6449.71</v>
      </c>
      <c r="I134" s="8">
        <f>IFERROR(H134/H444, "NA")</f>
        <v>7.7577617189567502E-2</v>
      </c>
      <c r="J134" s="9"/>
      <c r="K134" s="7">
        <v>5707.65</v>
      </c>
      <c r="L134" s="8">
        <f>IFERROR(K134/K444, "NA")</f>
        <v>8.2989893368895715E-3</v>
      </c>
      <c r="M134" s="9"/>
      <c r="N134" s="10">
        <f t="shared" si="29"/>
        <v>-742.0600000000004</v>
      </c>
      <c r="O134" s="8">
        <f>IFERROR(N134/N444, "NA")</f>
        <v>-2.2087156850780949E-2</v>
      </c>
      <c r="P134" s="9"/>
      <c r="Q134" s="7">
        <v>30936.129999999997</v>
      </c>
      <c r="R134" s="8">
        <f>IFERROR(Q134/Q444, "NA")</f>
        <v>8.6461593388351982E-3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-30936.129999999997</v>
      </c>
      <c r="X134" s="8">
        <f>IFERROR(W134/W444, "NA")</f>
        <v>0.76049611002072148</v>
      </c>
      <c r="Y134" s="9"/>
      <c r="Z134" s="7">
        <v>34678.29</v>
      </c>
      <c r="AA134" s="8">
        <f>IFERROR(Z134/Z444, "NA")</f>
        <v>1.0912003689269829E-2</v>
      </c>
      <c r="AB134" s="9"/>
      <c r="AC134" s="10">
        <f t="shared" si="31"/>
        <v>3742.1600000000035</v>
      </c>
      <c r="AD134" s="8">
        <f>IFERROR(AC134/AC444, "NA")</f>
        <v>9.3548113484959068E-3</v>
      </c>
    </row>
    <row r="135" spans="1:30" ht="16.5" customHeight="1" x14ac:dyDescent="0.45">
      <c r="A135" s="12" t="s">
        <v>127</v>
      </c>
      <c r="B135" s="7">
        <v>5993.14</v>
      </c>
      <c r="C135" s="8">
        <f>IFERROR(B135/B444, "NA")</f>
        <v>8.3082354607335041E-3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-5993.14</v>
      </c>
      <c r="I135" s="8">
        <f>IFERROR(H135/H444, "NA")</f>
        <v>7.2085957459092673E-2</v>
      </c>
      <c r="J135" s="9"/>
      <c r="K135" s="7">
        <v>5582.7000000000007</v>
      </c>
      <c r="L135" s="8">
        <f>IFERROR(K135/K444, "NA")</f>
        <v>8.1173105868533324E-3</v>
      </c>
      <c r="M135" s="9"/>
      <c r="N135" s="10">
        <f t="shared" si="29"/>
        <v>-410.4399999999996</v>
      </c>
      <c r="O135" s="8">
        <f>IFERROR(N135/N444, "NA")</f>
        <v>-1.2216603317568011E-2</v>
      </c>
      <c r="P135" s="9"/>
      <c r="Q135" s="7">
        <v>29869.200000000004</v>
      </c>
      <c r="R135" s="8">
        <f>IFERROR(Q135/Q444, "NA")</f>
        <v>8.3479692684099906E-3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-29869.200000000004</v>
      </c>
      <c r="X135" s="8">
        <f>IFERROR(W135/W444, "NA")</f>
        <v>0.73426800344551635</v>
      </c>
      <c r="Y135" s="9"/>
      <c r="Z135" s="7">
        <v>28320.11</v>
      </c>
      <c r="AA135" s="8">
        <f>IFERROR(Z135/Z444, "NA")</f>
        <v>8.9113143929682621E-3</v>
      </c>
      <c r="AB135" s="9"/>
      <c r="AC135" s="10">
        <f t="shared" si="31"/>
        <v>-1549.0900000000038</v>
      </c>
      <c r="AD135" s="8">
        <f>IFERROR(AC135/AC444, "NA")</f>
        <v>-3.8724813241126903E-3</v>
      </c>
    </row>
    <row r="136" spans="1:30" ht="16.5" customHeight="1" x14ac:dyDescent="0.45">
      <c r="A136" s="12" t="s">
        <v>128</v>
      </c>
      <c r="B136" s="7">
        <v>-1.91</v>
      </c>
      <c r="C136" s="8">
        <f>IFERROR(B136/B444, "NA")</f>
        <v>-2.6478156241971641E-6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1.91</v>
      </c>
      <c r="I136" s="8">
        <f>IFERROR(H136/H444, "NA")</f>
        <v>-2.297362964103408E-5</v>
      </c>
      <c r="J136" s="9"/>
      <c r="K136" s="7">
        <v>4817.4400000000005</v>
      </c>
      <c r="L136" s="8">
        <f>IFERROR(K136/K444, "NA")</f>
        <v>7.0046136660631446E-3</v>
      </c>
      <c r="M136" s="9"/>
      <c r="N136" s="10">
        <f t="shared" si="29"/>
        <v>4819.3500000000004</v>
      </c>
      <c r="O136" s="8">
        <f>IFERROR(N136/N444, "NA")</f>
        <v>0.14344627034041871</v>
      </c>
      <c r="P136" s="9"/>
      <c r="Q136" s="7">
        <v>24927.32</v>
      </c>
      <c r="R136" s="8">
        <f>IFERROR(Q136/Q444, "NA")</f>
        <v>6.9667919229112838E-3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-24927.32</v>
      </c>
      <c r="X136" s="8">
        <f>IFERROR(W136/W444, "NA")</f>
        <v>0.61278284947864303</v>
      </c>
      <c r="Y136" s="9"/>
      <c r="Z136" s="7">
        <v>29365.329999999994</v>
      </c>
      <c r="AA136" s="8">
        <f>IFERROR(Z136/Z444, "NA")</f>
        <v>9.240207325581104E-3</v>
      </c>
      <c r="AB136" s="9"/>
      <c r="AC136" s="10">
        <f t="shared" si="31"/>
        <v>4438.0099999999948</v>
      </c>
      <c r="AD136" s="8">
        <f>IFERROR(AC136/AC444, "NA")</f>
        <v>1.1094326889480468E-2</v>
      </c>
    </row>
    <row r="137" spans="1:30" ht="16.5" customHeight="1" x14ac:dyDescent="0.45">
      <c r="A137" s="12" t="s">
        <v>129</v>
      </c>
      <c r="B137" s="7">
        <v>4570.91</v>
      </c>
      <c r="C137" s="8">
        <f>IFERROR(B137/B444, "NA")</f>
        <v>6.3366109501565753E-3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-4570.91</v>
      </c>
      <c r="I137" s="8">
        <f>IFERROR(H137/H444, "NA")</f>
        <v>5.4979263592931461E-2</v>
      </c>
      <c r="J137" s="9"/>
      <c r="K137" s="7">
        <v>3938.74</v>
      </c>
      <c r="L137" s="8">
        <f>IFERROR(K137/K444, "NA")</f>
        <v>5.7269736688094807E-3</v>
      </c>
      <c r="M137" s="9"/>
      <c r="N137" s="10">
        <f t="shared" si="29"/>
        <v>-632.17000000000007</v>
      </c>
      <c r="O137" s="8">
        <f>IFERROR(N137/N444, "NA")</f>
        <v>-1.8816319362798407E-2</v>
      </c>
      <c r="P137" s="9"/>
      <c r="Q137" s="7">
        <v>19708.940000000002</v>
      </c>
      <c r="R137" s="8">
        <f>IFERROR(Q137/Q444, "NA")</f>
        <v>5.5083371979475987E-3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-19708.940000000002</v>
      </c>
      <c r="X137" s="8">
        <f>IFERROR(W137/W444, "NA")</f>
        <v>0.48450055655415858</v>
      </c>
      <c r="Y137" s="9"/>
      <c r="Z137" s="7">
        <v>16820.400000000001</v>
      </c>
      <c r="AA137" s="8">
        <f>IFERROR(Z137/Z444, "NA")</f>
        <v>5.2927715540470495E-3</v>
      </c>
      <c r="AB137" s="9"/>
      <c r="AC137" s="10">
        <f t="shared" si="31"/>
        <v>-2888.5400000000009</v>
      </c>
      <c r="AD137" s="8">
        <f>IFERROR(AC137/AC444, "NA")</f>
        <v>-7.2208956251427914E-3</v>
      </c>
    </row>
    <row r="138" spans="1:30" ht="16.5" customHeight="1" x14ac:dyDescent="0.45">
      <c r="A138" s="12" t="s">
        <v>130</v>
      </c>
      <c r="B138" s="7">
        <v>39598.589999999997</v>
      </c>
      <c r="C138" s="8">
        <f>IFERROR(B138/B444, "NA")</f>
        <v>5.4895165077579876E-2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-39598.589999999997</v>
      </c>
      <c r="I138" s="8">
        <f>IFERROR(H138/H444, "NA")</f>
        <v>0.47629494291474117</v>
      </c>
      <c r="J138" s="9"/>
      <c r="K138" s="7">
        <v>29957.45</v>
      </c>
      <c r="L138" s="8">
        <f>IFERROR(K138/K444, "NA")</f>
        <v>4.3558479954167222E-2</v>
      </c>
      <c r="M138" s="9"/>
      <c r="N138" s="10">
        <f t="shared" si="29"/>
        <v>-9641.1399999999958</v>
      </c>
      <c r="O138" s="8">
        <f>IFERROR(N138/N444, "NA")</f>
        <v>-0.28696516642904618</v>
      </c>
      <c r="P138" s="9"/>
      <c r="Q138" s="7">
        <v>205968.63999999998</v>
      </c>
      <c r="R138" s="8">
        <f>IFERROR(Q138/Q444, "NA")</f>
        <v>5.7564979208555987E-2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-205968.63999999998</v>
      </c>
      <c r="X138" s="8">
        <f>IFERROR(W138/W444, "NA")</f>
        <v>5.0632819782648442</v>
      </c>
      <c r="Y138" s="9"/>
      <c r="Z138" s="7">
        <v>156704.20000000001</v>
      </c>
      <c r="AA138" s="8">
        <f>IFERROR(Z138/Z444, "NA")</f>
        <v>4.9309144381804212E-2</v>
      </c>
      <c r="AB138" s="9"/>
      <c r="AC138" s="10">
        <f t="shared" si="31"/>
        <v>-49264.439999999973</v>
      </c>
      <c r="AD138" s="8">
        <f>IFERROR(AC138/AC444, "NA")</f>
        <v>-0.123153350575415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40.970000000000006</v>
      </c>
      <c r="L140" s="8">
        <f>IFERROR(K140/K444, "NA")</f>
        <v>5.9570855454060047E-5</v>
      </c>
      <c r="M140" s="9"/>
      <c r="N140" s="10">
        <f t="shared" si="29"/>
        <v>40.970000000000006</v>
      </c>
      <c r="O140" s="8">
        <f>IFERROR(N140/N444, "NA")</f>
        <v>1.219457747589811E-3</v>
      </c>
      <c r="P140" s="9"/>
      <c r="Q140" s="7">
        <v>71.56</v>
      </c>
      <c r="R140" s="8">
        <f>IFERROR(Q140/Q444, "NA")</f>
        <v>1.9999888877084719E-5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-71.56</v>
      </c>
      <c r="X140" s="8">
        <f>IFERROR(W140/W444, "NA")</f>
        <v>1.7591438112356922E-3</v>
      </c>
      <c r="Y140" s="9"/>
      <c r="Z140" s="7">
        <v>235.91000000000003</v>
      </c>
      <c r="AA140" s="8">
        <f>IFERROR(Z140/Z444, "NA")</f>
        <v>7.4232345087824273E-5</v>
      </c>
      <c r="AB140" s="9"/>
      <c r="AC140" s="10">
        <f t="shared" si="31"/>
        <v>164.35000000000002</v>
      </c>
      <c r="AD140" s="8">
        <f>IFERROR(AC140/AC444, "NA")</f>
        <v>4.1084914731740521E-4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170716.52</v>
      </c>
      <c r="C141" s="15">
        <f>IFERROR(B141/B444, "NA")</f>
        <v>0.23666275862019245</v>
      </c>
      <c r="D141" s="2"/>
      <c r="E141" s="14">
        <f>IFERROR(E129+E130+E131+E132+E133+E134+E135+E136+E137+E138+E139+E140, "NA")</f>
        <v>181753.75</v>
      </c>
      <c r="F141" s="15">
        <f>IFERROR(E141/E444, "NA")</f>
        <v>0.2259247159547863</v>
      </c>
      <c r="G141" s="2"/>
      <c r="H141" s="14">
        <f t="shared" si="28"/>
        <v>11037.23000000001</v>
      </c>
      <c r="I141" s="15">
        <f>IFERROR(H141/H444, "NA")</f>
        <v>-0.13275666716382767</v>
      </c>
      <c r="J141" s="2"/>
      <c r="K141" s="14">
        <f>IFERROR(K129+K130+K131+K132+K133+K134+K135+K136+K137+K138+K139+K140, "NA")</f>
        <v>159570.81000000003</v>
      </c>
      <c r="L141" s="15">
        <f>IFERROR(K141/K444, "NA")</f>
        <v>0.23201780954838369</v>
      </c>
      <c r="M141" s="2"/>
      <c r="N141" s="14">
        <f t="shared" si="29"/>
        <v>-11145.709999999963</v>
      </c>
      <c r="O141" s="15">
        <f>IFERROR(N141/N444, "NA")</f>
        <v>-0.33174816724162032</v>
      </c>
      <c r="P141" s="2"/>
      <c r="Q141" s="14">
        <f>IFERROR(Q129+Q130+Q131+Q132+Q133+Q134+Q135+Q136+Q137+Q138+Q139+Q140, "NA")</f>
        <v>857431.67</v>
      </c>
      <c r="R141" s="15">
        <f>IFERROR(Q141/Q444, "NA")</f>
        <v>0.23963859865418077</v>
      </c>
      <c r="S141" s="2"/>
      <c r="T141" s="14">
        <f>IFERROR(T129+T130+T131+T132+T133+T134+T135+T136+T137+T138+T139+T140, "NA")</f>
        <v>843721.1100000001</v>
      </c>
      <c r="U141" s="15">
        <f>IFERROR(T141/T444, "NA")</f>
        <v>0.2331559397334306</v>
      </c>
      <c r="V141" s="2"/>
      <c r="W141" s="14">
        <f t="shared" si="30"/>
        <v>-13710.559999999939</v>
      </c>
      <c r="X141" s="15">
        <f>IFERROR(W141/W444, "NA")</f>
        <v>0.33704369441832766</v>
      </c>
      <c r="Y141" s="2"/>
      <c r="Z141" s="14">
        <f>IFERROR(Z129+Z130+Z131+Z132+Z133+Z134+Z135+Z136+Z137+Z138+Z139+Z140, "NA")</f>
        <v>746971.77999999991</v>
      </c>
      <c r="AA141" s="15">
        <f>IFERROR(Z141/Z444, "NA")</f>
        <v>0.23504500421273511</v>
      </c>
      <c r="AB141" s="2"/>
      <c r="AC141" s="14">
        <f t="shared" si="31"/>
        <v>-110459.89000000013</v>
      </c>
      <c r="AD141" s="15">
        <f>IFERROR(AC141/AC444, "NA")</f>
        <v>-0.27613234937191616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9665.94</v>
      </c>
      <c r="C144" s="8">
        <f>IFERROR(B144/B444, "NA")</f>
        <v>1.3399804688247297E-2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-9665.94</v>
      </c>
      <c r="I144" s="8">
        <f>IFERROR(H144/H444, "NA")</f>
        <v>0.11626268360861622</v>
      </c>
      <c r="J144" s="9"/>
      <c r="K144" s="7">
        <v>7602.7300000000005</v>
      </c>
      <c r="L144" s="8">
        <f>IFERROR(K144/K444, "NA")</f>
        <v>1.1054457649163922E-2</v>
      </c>
      <c r="M144" s="9"/>
      <c r="N144" s="10">
        <f t="shared" si="33"/>
        <v>-2063.21</v>
      </c>
      <c r="O144" s="8">
        <f>IFERROR(N144/N444, "NA")</f>
        <v>-6.1410725394307385E-2</v>
      </c>
      <c r="P144" s="9"/>
      <c r="Q144" s="7">
        <v>45716.3</v>
      </c>
      <c r="R144" s="8">
        <f>IFERROR(Q144/Q444, "NA")</f>
        <v>1.2776983229059086E-2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-45716.3</v>
      </c>
      <c r="X144" s="8">
        <f>IFERROR(W144/W444, "NA")</f>
        <v>1.1238337928674438</v>
      </c>
      <c r="Y144" s="9"/>
      <c r="Z144" s="7">
        <v>33250.53</v>
      </c>
      <c r="AA144" s="8">
        <f>IFERROR(Z144/Z444, "NA")</f>
        <v>1.046273925358422E-2</v>
      </c>
      <c r="AB144" s="9"/>
      <c r="AC144" s="10">
        <f t="shared" si="35"/>
        <v>-12465.770000000004</v>
      </c>
      <c r="AD144" s="8">
        <f>IFERROR(AC144/AC444, "NA")</f>
        <v>-3.11624641019464E-2</v>
      </c>
    </row>
    <row r="145" spans="1:30" ht="16.5" customHeight="1" x14ac:dyDescent="0.45">
      <c r="A145" s="12" t="s">
        <v>136</v>
      </c>
      <c r="B145" s="7">
        <v>738.88</v>
      </c>
      <c r="C145" s="8">
        <f>IFERROR(B145/B444, "NA")</f>
        <v>1.0243026222025134E-3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-738.88</v>
      </c>
      <c r="I145" s="8">
        <f>IFERROR(H145/H444, "NA")</f>
        <v>8.8873065283598222E-3</v>
      </c>
      <c r="J145" s="9"/>
      <c r="K145" s="7">
        <v>653.74</v>
      </c>
      <c r="L145" s="8">
        <f>IFERROR(K145/K444, "NA")</f>
        <v>9.505455466081818E-4</v>
      </c>
      <c r="M145" s="9"/>
      <c r="N145" s="10">
        <f t="shared" si="33"/>
        <v>-85.139999999999986</v>
      </c>
      <c r="O145" s="8">
        <f>IFERROR(N145/N444, "NA")</f>
        <v>-2.5341623780765553E-3</v>
      </c>
      <c r="P145" s="9"/>
      <c r="Q145" s="7">
        <v>2676.8599999999997</v>
      </c>
      <c r="R145" s="8">
        <f>IFERROR(Q145/Q444, "NA")</f>
        <v>7.4814005784674389E-4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-2676.8599999999997</v>
      </c>
      <c r="X145" s="8">
        <f>IFERROR(W145/W444, "NA")</f>
        <v>6.5804663255231613E-2</v>
      </c>
      <c r="Y145" s="9"/>
      <c r="Z145" s="7">
        <v>2760.61</v>
      </c>
      <c r="AA145" s="8">
        <f>IFERROR(Z145/Z444, "NA")</f>
        <v>8.6866412688270335E-4</v>
      </c>
      <c r="AB145" s="9"/>
      <c r="AC145" s="10">
        <f t="shared" si="35"/>
        <v>83.750000000000455</v>
      </c>
      <c r="AD145" s="8">
        <f>IFERROR(AC145/AC444, "NA")</f>
        <v>2.0936182590710597E-4</v>
      </c>
    </row>
    <row r="146" spans="1:30" ht="16.5" customHeight="1" x14ac:dyDescent="0.45">
      <c r="A146" s="12" t="s">
        <v>137</v>
      </c>
      <c r="B146" s="7">
        <v>465.14</v>
      </c>
      <c r="C146" s="8">
        <f>IFERROR(B146/B444, "NA")</f>
        <v>6.4481935049165906E-4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-465.14</v>
      </c>
      <c r="I146" s="8">
        <f>IFERROR(H146/H444, "NA")</f>
        <v>5.5947403619008339E-3</v>
      </c>
      <c r="J146" s="9"/>
      <c r="K146" s="7">
        <v>2619.63</v>
      </c>
      <c r="L146" s="8">
        <f>IFERROR(K146/K444, "NA")</f>
        <v>3.8089724206277595E-3</v>
      </c>
      <c r="M146" s="9"/>
      <c r="N146" s="10">
        <f t="shared" si="33"/>
        <v>2154.4900000000002</v>
      </c>
      <c r="O146" s="8">
        <f>IFERROR(N146/N444, "NA")</f>
        <v>6.4127642728942433E-2</v>
      </c>
      <c r="P146" s="9"/>
      <c r="Q146" s="7">
        <v>3332.4400000000005</v>
      </c>
      <c r="R146" s="8">
        <f>IFERROR(Q146/Q444, "NA")</f>
        <v>9.3136430533192029E-4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-3332.4400000000005</v>
      </c>
      <c r="X146" s="8">
        <f>IFERROR(W146/W444, "NA")</f>
        <v>8.1920642849556607E-2</v>
      </c>
      <c r="Y146" s="9"/>
      <c r="Z146" s="7">
        <v>11534.519999999999</v>
      </c>
      <c r="AA146" s="8">
        <f>IFERROR(Z146/Z444, "NA")</f>
        <v>3.6294962869840644E-3</v>
      </c>
      <c r="AB146" s="9"/>
      <c r="AC146" s="10">
        <f t="shared" si="35"/>
        <v>8202.0799999999981</v>
      </c>
      <c r="AD146" s="8">
        <f>IFERROR(AC146/AC444, "NA")</f>
        <v>2.0503909791476371E-2</v>
      </c>
    </row>
    <row r="147" spans="1:30" ht="16.5" customHeight="1" x14ac:dyDescent="0.45">
      <c r="A147" s="12" t="s">
        <v>138</v>
      </c>
      <c r="B147" s="7">
        <v>122.11000000000001</v>
      </c>
      <c r="C147" s="8">
        <f>IFERROR(B147/B444, "NA")</f>
        <v>1.6927998213126479E-4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-122.11000000000001</v>
      </c>
      <c r="I147" s="8">
        <f>IFERROR(H147/H444, "NA")</f>
        <v>1.4687486468411895E-3</v>
      </c>
      <c r="J147" s="9"/>
      <c r="K147" s="7">
        <v>150.32</v>
      </c>
      <c r="L147" s="8">
        <f>IFERROR(K147/K444, "NA")</f>
        <v>2.1856702445336354E-4</v>
      </c>
      <c r="M147" s="9"/>
      <c r="N147" s="10">
        <f t="shared" si="33"/>
        <v>28.20999999999998</v>
      </c>
      <c r="O147" s="8">
        <f>IFERROR(N147/N444, "NA")</f>
        <v>8.3966080203828506E-4</v>
      </c>
      <c r="P147" s="9"/>
      <c r="Q147" s="7">
        <v>628.70000000000005</v>
      </c>
      <c r="R147" s="8">
        <f>IFERROR(Q147/Q444, "NA")</f>
        <v>1.7571171236756798E-4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-628.70000000000005</v>
      </c>
      <c r="X147" s="8">
        <f>IFERROR(W147/W444, "NA")</f>
        <v>1.5455194439964782E-2</v>
      </c>
      <c r="Y147" s="9"/>
      <c r="Z147" s="7">
        <v>230.67999999999998</v>
      </c>
      <c r="AA147" s="8">
        <f>IFERROR(Z147/Z444, "NA")</f>
        <v>7.2586653235807297E-5</v>
      </c>
      <c r="AB147" s="9"/>
      <c r="AC147" s="10">
        <f t="shared" si="35"/>
        <v>-398.0200000000001</v>
      </c>
      <c r="AD147" s="8">
        <f>IFERROR(AC147/AC444, "NA")</f>
        <v>-9.9498739041845832E-4</v>
      </c>
    </row>
    <row r="148" spans="1:30" ht="16.5" customHeight="1" x14ac:dyDescent="0.45">
      <c r="A148" s="13" t="s">
        <v>139</v>
      </c>
      <c r="B148" s="14">
        <f>IFERROR(B143+B144+B145+B146+B147, "NA")</f>
        <v>10992.07</v>
      </c>
      <c r="C148" s="15">
        <f>IFERROR(B148/B444, "NA")</f>
        <v>1.5238206643072733E-2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-10992.07</v>
      </c>
      <c r="I148" s="15">
        <f>IFERROR(H148/H444, "NA")</f>
        <v>0.13221347914571804</v>
      </c>
      <c r="J148" s="2"/>
      <c r="K148" s="14">
        <f>IFERROR(K143+K144+K145+K146+K147, "NA")</f>
        <v>11026.420000000002</v>
      </c>
      <c r="L148" s="15">
        <f>IFERROR(K148/K444, "NA")</f>
        <v>1.6032542640853228E-2</v>
      </c>
      <c r="M148" s="2"/>
      <c r="N148" s="14">
        <f t="shared" si="33"/>
        <v>34.350000000002183</v>
      </c>
      <c r="O148" s="15">
        <f>IFERROR(N148/N444, "NA")</f>
        <v>1.0224157585968432E-3</v>
      </c>
      <c r="P148" s="2"/>
      <c r="Q148" s="14">
        <f>IFERROR(Q143+Q144+Q145+Q146+Q147, "NA")</f>
        <v>52354.3</v>
      </c>
      <c r="R148" s="15">
        <f>IFERROR(Q148/Q444, "NA")</f>
        <v>1.4632199304605319E-2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-52354.3</v>
      </c>
      <c r="X148" s="15">
        <f>IFERROR(W148/W444, "NA")</f>
        <v>1.2870142934121969</v>
      </c>
      <c r="Y148" s="2"/>
      <c r="Z148" s="14">
        <f>IFERROR(Z143+Z144+Z145+Z146+Z147, "NA")</f>
        <v>47776.34</v>
      </c>
      <c r="AA148" s="15">
        <f>IFERROR(Z148/Z444, "NA")</f>
        <v>1.5033486320686795E-2</v>
      </c>
      <c r="AB148" s="2"/>
      <c r="AC148" s="14">
        <f t="shared" si="35"/>
        <v>-4577.9600000000064</v>
      </c>
      <c r="AD148" s="15">
        <f>IFERROR(AC148/AC444, "NA")</f>
        <v>-1.1444179874981385E-2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181708.59</v>
      </c>
      <c r="C149" s="15">
        <f>IFERROR(B149/B444, "NA")</f>
        <v>0.25190096526326522</v>
      </c>
      <c r="D149" s="2"/>
      <c r="E149" s="14">
        <f>IFERROR(E127+E129+E130+E131+E132+E133+E134+E135+E136+E137+E138+E139+E140+E143+E144+E145+E146+E147, "NA")</f>
        <v>181753.75</v>
      </c>
      <c r="F149" s="15">
        <f>IFERROR(E149/E444, "NA")</f>
        <v>0.2259247159547863</v>
      </c>
      <c r="G149" s="2"/>
      <c r="H149" s="14">
        <f t="shared" si="32"/>
        <v>45.160000000003492</v>
      </c>
      <c r="I149" s="15">
        <f>IFERROR(H149/H444, "NA")</f>
        <v>-5.4318801810951801E-4</v>
      </c>
      <c r="J149" s="2"/>
      <c r="K149" s="14">
        <f>IFERROR(K127+K129+K130+K131+K132+K133+K134+K135+K136+K137+K138+K139+K140+K143+K144+K145+K146+K147, "NA")</f>
        <v>170597.23000000004</v>
      </c>
      <c r="L149" s="15">
        <f>IFERROR(K149/K444, "NA")</f>
        <v>0.24805035218923693</v>
      </c>
      <c r="M149" s="2"/>
      <c r="N149" s="14">
        <f t="shared" si="33"/>
        <v>-11111.359999999957</v>
      </c>
      <c r="O149" s="15">
        <f>IFERROR(N149/N444, "NA")</f>
        <v>-0.33072575148302336</v>
      </c>
      <c r="P149" s="2"/>
      <c r="Q149" s="14">
        <f>IFERROR(Q127+Q129+Q130+Q131+Q132+Q133+Q134+Q135+Q136+Q137+Q138+Q139+Q140+Q143+Q144+Q145+Q146+Q147, "NA")</f>
        <v>909785.97</v>
      </c>
      <c r="R149" s="15">
        <f>IFERROR(Q149/Q444, "NA")</f>
        <v>0.2542707979587861</v>
      </c>
      <c r="S149" s="2"/>
      <c r="T149" s="14">
        <f>IFERROR(T127+T129+T130+T131+T132+T133+T134+T135+T136+T137+T138+T139+T140+T143+T144+T145+T146+T147, "NA")</f>
        <v>843721.1100000001</v>
      </c>
      <c r="U149" s="15">
        <f>IFERROR(T149/T444, "NA")</f>
        <v>0.2331559397334306</v>
      </c>
      <c r="V149" s="2"/>
      <c r="W149" s="14">
        <f t="shared" si="34"/>
        <v>-66064.85999999987</v>
      </c>
      <c r="X149" s="15">
        <f>IFERROR(W149/W444, "NA")</f>
        <v>1.6240579878305228</v>
      </c>
      <c r="Y149" s="2"/>
      <c r="Z149" s="14">
        <f>IFERROR(Z127+Z129+Z130+Z131+Z132+Z133+Z134+Z135+Z136+Z137+Z138+Z139+Z140+Z143+Z144+Z145+Z146+Z147, "NA")</f>
        <v>794748.12</v>
      </c>
      <c r="AA149" s="15">
        <f>IFERROR(Z149/Z444, "NA")</f>
        <v>0.25007849053342196</v>
      </c>
      <c r="AB149" s="2"/>
      <c r="AC149" s="14">
        <f t="shared" si="35"/>
        <v>-115037.84999999998</v>
      </c>
      <c r="AD149" s="15">
        <f>IFERROR(AC149/AC444, "NA")</f>
        <v>-0.28757652924689714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13250.27</v>
      </c>
      <c r="F153" s="8">
        <f>IFERROR(E153/E444, "NA")</f>
        <v>1.6470435884124682E-2</v>
      </c>
      <c r="G153" s="9"/>
      <c r="H153" s="10">
        <f t="shared" ref="H153:H158" si="36">IFERROR(-(B153-E153), "NA")</f>
        <v>13250.27</v>
      </c>
      <c r="I153" s="8">
        <f>IFERROR(H153/H444, "NA")</f>
        <v>-0.15937528566686107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64641.2</v>
      </c>
      <c r="U153" s="8">
        <f>IFERROR(T153/T444, "NA")</f>
        <v>1.7863106129342471E-2</v>
      </c>
      <c r="V153" s="9"/>
      <c r="W153" s="10">
        <f t="shared" ref="W153:W158" si="38">IFERROR(-(Q153-T153), "NA")</f>
        <v>64641.2</v>
      </c>
      <c r="X153" s="8">
        <f>IFERROR(W153/W444, "NA")</f>
        <v>-1.589060465774855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23879.22</v>
      </c>
      <c r="C154" s="8">
        <f>IFERROR(B154/B444, "NA")</f>
        <v>3.3103545450074032E-2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-23879.22</v>
      </c>
      <c r="I154" s="8">
        <f>IFERROR(H154/H444, "NA")</f>
        <v>0.28722112900354652</v>
      </c>
      <c r="J154" s="9"/>
      <c r="K154" s="7">
        <v>22804.880000000001</v>
      </c>
      <c r="L154" s="8">
        <f>IFERROR(K154/K444, "NA")</f>
        <v>3.3158560169079442E-2</v>
      </c>
      <c r="M154" s="9"/>
      <c r="N154" s="10">
        <f t="shared" si="37"/>
        <v>-1074.3400000000001</v>
      </c>
      <c r="O154" s="8">
        <f>IFERROR(N154/N444, "NA")</f>
        <v>-3.1977355053591346E-2</v>
      </c>
      <c r="P154" s="9"/>
      <c r="Q154" s="7">
        <v>114511.03999999999</v>
      </c>
      <c r="R154" s="8">
        <f>IFERROR(Q154/Q444, "NA")</f>
        <v>3.2004025645603736E-2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-114511.03999999999</v>
      </c>
      <c r="X154" s="8">
        <f>IFERROR(W154/W444, "NA")</f>
        <v>2.8149998230039519</v>
      </c>
      <c r="Y154" s="9"/>
      <c r="Z154" s="7">
        <v>106706.85999999999</v>
      </c>
      <c r="AA154" s="8">
        <f>IFERROR(Z154/Z444, "NA")</f>
        <v>3.3576789685719768E-2</v>
      </c>
      <c r="AB154" s="9"/>
      <c r="AC154" s="10">
        <f t="shared" si="39"/>
        <v>-7804.1800000000076</v>
      </c>
      <c r="AD154" s="8">
        <f>IFERROR(AC154/AC444, "NA")</f>
        <v>-1.9509222382181623E-2</v>
      </c>
    </row>
    <row r="155" spans="1:30" ht="16.5" customHeight="1" x14ac:dyDescent="0.45">
      <c r="A155" s="12" t="s">
        <v>144</v>
      </c>
      <c r="B155" s="7">
        <v>7471.1</v>
      </c>
      <c r="C155" s="8">
        <f>IFERROR(B155/B444, "NA")</f>
        <v>1.0357117963319075E-2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-7471.1</v>
      </c>
      <c r="I155" s="8">
        <f>IFERROR(H155/H444, "NA")</f>
        <v>8.9862976131481531E-2</v>
      </c>
      <c r="J155" s="9"/>
      <c r="K155" s="7">
        <v>8129.7000000000007</v>
      </c>
      <c r="L155" s="8">
        <f>IFERROR(K155/K444, "NA")</f>
        <v>1.1820678144614887E-2</v>
      </c>
      <c r="M155" s="9"/>
      <c r="N155" s="10">
        <f t="shared" si="37"/>
        <v>658.60000000000036</v>
      </c>
      <c r="O155" s="8">
        <f>IFERROR(N155/N444, "NA")</f>
        <v>1.9602999086225283E-2</v>
      </c>
      <c r="P155" s="9"/>
      <c r="Q155" s="7">
        <v>39761</v>
      </c>
      <c r="R155" s="8">
        <f>IFERROR(Q155/Q444, "NA")</f>
        <v>1.1112571012322044E-2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-39761</v>
      </c>
      <c r="X155" s="8">
        <f>IFERROR(W155/W444, "NA")</f>
        <v>0.97743595693882557</v>
      </c>
      <c r="Y155" s="9"/>
      <c r="Z155" s="7">
        <v>40606.639999999999</v>
      </c>
      <c r="AA155" s="8">
        <f>IFERROR(Z155/Z444, "NA")</f>
        <v>1.2777441029786988E-2</v>
      </c>
      <c r="AB155" s="9"/>
      <c r="AC155" s="10">
        <f t="shared" si="39"/>
        <v>845.63999999999942</v>
      </c>
      <c r="AD155" s="8">
        <f>IFERROR(AC155/AC444, "NA")</f>
        <v>2.113966978627869E-3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118.32</v>
      </c>
      <c r="L156" s="8">
        <f>IFERROR(K156/K444, "NA")</f>
        <v>1.7203865309554266E-4</v>
      </c>
      <c r="M156" s="9"/>
      <c r="N156" s="10">
        <f t="shared" si="37"/>
        <v>118.32</v>
      </c>
      <c r="O156" s="8">
        <f>IFERROR(N156/N444, "NA")</f>
        <v>3.5217534951141423E-3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401.78999999999996</v>
      </c>
      <c r="AA156" s="8">
        <f>IFERROR(Z156/Z444, "NA")</f>
        <v>1.2642878187799121E-4</v>
      </c>
      <c r="AB156" s="9"/>
      <c r="AC156" s="10">
        <f t="shared" si="39"/>
        <v>401.78999999999996</v>
      </c>
      <c r="AD156" s="8">
        <f>IFERROR(AC156/AC444, "NA")</f>
        <v>1.0044117973876494E-3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31350.32</v>
      </c>
      <c r="C158" s="15">
        <f>IFERROR(B158/B444, "NA")</f>
        <v>4.3460663413393108E-2</v>
      </c>
      <c r="D158" s="2"/>
      <c r="E158" s="14">
        <f>IFERROR(E153+E154+E155+E156+E157, "NA")</f>
        <v>13250.27</v>
      </c>
      <c r="F158" s="15">
        <f>IFERROR(E158/E444, "NA")</f>
        <v>1.6470435884124682E-2</v>
      </c>
      <c r="G158" s="2"/>
      <c r="H158" s="14">
        <f t="shared" si="36"/>
        <v>-18100.05</v>
      </c>
      <c r="I158" s="15">
        <f>IFERROR(H158/H444, "NA")</f>
        <v>0.21770881946816698</v>
      </c>
      <c r="J158" s="2"/>
      <c r="K158" s="14">
        <f>IFERROR(K153+K154+K155+K156+K157, "NA")</f>
        <v>31052.9</v>
      </c>
      <c r="L158" s="15">
        <f>IFERROR(K158/K444, "NA")</f>
        <v>4.5151276966789874E-2</v>
      </c>
      <c r="M158" s="2"/>
      <c r="N158" s="14">
        <f t="shared" si="37"/>
        <v>-297.41999999999825</v>
      </c>
      <c r="O158" s="15">
        <f>IFERROR(N158/N444, "NA")</f>
        <v>-8.8526024722518776E-3</v>
      </c>
      <c r="P158" s="2"/>
      <c r="Q158" s="14">
        <f>IFERROR(Q153+Q154+Q155+Q156+Q157, "NA")</f>
        <v>154272.03999999998</v>
      </c>
      <c r="R158" s="15">
        <f>IFERROR(Q158/Q444, "NA")</f>
        <v>4.3116596657925776E-2</v>
      </c>
      <c r="S158" s="2"/>
      <c r="T158" s="14">
        <f>IFERROR(T153+T154+T155+T156+T157, "NA")</f>
        <v>64641.2</v>
      </c>
      <c r="U158" s="15">
        <f>IFERROR(T158/T444, "NA")</f>
        <v>1.7863106129342471E-2</v>
      </c>
      <c r="V158" s="2"/>
      <c r="W158" s="14">
        <f t="shared" si="38"/>
        <v>-89630.839999999982</v>
      </c>
      <c r="X158" s="15">
        <f>IFERROR(W158/W444, "NA")</f>
        <v>2.2033753141679222</v>
      </c>
      <c r="Y158" s="2"/>
      <c r="Z158" s="14">
        <f>IFERROR(Z153+Z154+Z155+Z156+Z157, "NA")</f>
        <v>147715.29</v>
      </c>
      <c r="AA158" s="15">
        <f>IFERROR(Z158/Z444, "NA")</f>
        <v>4.6480659497384752E-2</v>
      </c>
      <c r="AB158" s="2"/>
      <c r="AC158" s="14">
        <f t="shared" si="39"/>
        <v>-6556.7499999999709</v>
      </c>
      <c r="AD158" s="15">
        <f>IFERROR(AC158/AC444, "NA")</f>
        <v>-1.6390843606166012E-2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1181.0899999999999</v>
      </c>
      <c r="C161" s="8">
        <f>IFERROR(B161/B444, "NA")</f>
        <v>1.6373343222947792E-3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-1181.0899999999999</v>
      </c>
      <c r="I161" s="8">
        <f>IFERROR(H161/H444, "NA")</f>
        <v>1.4206243053784786E-2</v>
      </c>
      <c r="J161" s="9"/>
      <c r="K161" s="7">
        <v>1799.6499999999999</v>
      </c>
      <c r="L161" s="8">
        <f>IFERROR(K161/K444, "NA")</f>
        <v>2.616711984815698E-3</v>
      </c>
      <c r="M161" s="9"/>
      <c r="N161" s="10">
        <f t="shared" si="41"/>
        <v>618.55999999999995</v>
      </c>
      <c r="O161" s="8">
        <f>IFERROR(N161/N444, "NA")</f>
        <v>1.8411222463977382E-2</v>
      </c>
      <c r="P161" s="9"/>
      <c r="Q161" s="7">
        <v>9134.26</v>
      </c>
      <c r="R161" s="8">
        <f>IFERROR(Q161/Q444, "NA")</f>
        <v>2.5528812880715466E-3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-9134.26</v>
      </c>
      <c r="X161" s="8">
        <f>IFERROR(W161/W444, "NA")</f>
        <v>0.22454551354412711</v>
      </c>
      <c r="Y161" s="9"/>
      <c r="Z161" s="7">
        <v>10275.44</v>
      </c>
      <c r="AA161" s="8">
        <f>IFERROR(Z161/Z444, "NA")</f>
        <v>3.2333093468239287E-3</v>
      </c>
      <c r="AB161" s="9"/>
      <c r="AC161" s="10">
        <f t="shared" si="43"/>
        <v>1141.1800000000003</v>
      </c>
      <c r="AD161" s="8">
        <f>IFERROR(AC161/AC444, "NA")</f>
        <v>2.8527704894169546E-3</v>
      </c>
    </row>
    <row r="162" spans="1:30" ht="16.5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2.72</v>
      </c>
      <c r="AA162" s="8">
        <f>IFERROR(Z162/Z444, "NA")</f>
        <v>8.5588562858243403E-7</v>
      </c>
      <c r="AB162" s="9"/>
      <c r="AC162" s="10">
        <f t="shared" si="43"/>
        <v>2.72</v>
      </c>
      <c r="AD162" s="8">
        <f>IFERROR(AC162/AC444, "NA")</f>
        <v>6.799572136923286E-6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1181.0899999999999</v>
      </c>
      <c r="C166" s="15">
        <f>IFERROR(B166/B444, "NA")</f>
        <v>1.6373343222947792E-3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-1181.0899999999999</v>
      </c>
      <c r="I166" s="15">
        <f>IFERROR(H166/H444, "NA")</f>
        <v>1.4206243053784786E-2</v>
      </c>
      <c r="J166" s="2"/>
      <c r="K166" s="14">
        <f>IFERROR(K160+K161+K162+K163+K164+K165, "NA")</f>
        <v>1799.6499999999999</v>
      </c>
      <c r="L166" s="15">
        <f>IFERROR(K166/K444, "NA")</f>
        <v>2.616711984815698E-3</v>
      </c>
      <c r="M166" s="2"/>
      <c r="N166" s="14">
        <f t="shared" si="41"/>
        <v>618.55999999999995</v>
      </c>
      <c r="O166" s="15">
        <f>IFERROR(N166/N444, "NA")</f>
        <v>1.8411222463977382E-2</v>
      </c>
      <c r="P166" s="2"/>
      <c r="Q166" s="14">
        <f>IFERROR(Q160+Q161+Q162+Q163+Q164+Q165, "NA")</f>
        <v>9134.26</v>
      </c>
      <c r="R166" s="15">
        <f>IFERROR(Q166/Q444, "NA")</f>
        <v>2.5528812880715466E-3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-9134.26</v>
      </c>
      <c r="X166" s="15">
        <f>IFERROR(W166/W444, "NA")</f>
        <v>0.22454551354412711</v>
      </c>
      <c r="Y166" s="2"/>
      <c r="Z166" s="14">
        <f>IFERROR(Z160+Z161+Z162+Z163+Z164+Z165, "NA")</f>
        <v>10278.16</v>
      </c>
      <c r="AA166" s="15">
        <f>IFERROR(Z166/Z444, "NA")</f>
        <v>3.234165232452511E-3</v>
      </c>
      <c r="AB166" s="2"/>
      <c r="AC166" s="14">
        <f t="shared" si="43"/>
        <v>1143.8999999999996</v>
      </c>
      <c r="AD166" s="15">
        <f>IFERROR(AC166/AC444, "NA")</f>
        <v>2.8595700615538762E-3</v>
      </c>
    </row>
    <row r="167" spans="1:30" ht="16.5" customHeight="1" x14ac:dyDescent="0.45">
      <c r="A167" s="6" t="s">
        <v>155</v>
      </c>
      <c r="B167" s="7">
        <v>989.14</v>
      </c>
      <c r="C167" s="8">
        <f>IFERROR(B167/B444, "NA")</f>
        <v>1.3712357835174778E-3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-989.14</v>
      </c>
      <c r="I167" s="8">
        <f>IFERROR(H167/H444, "NA")</f>
        <v>1.1897453415252592E-2</v>
      </c>
      <c r="J167" s="9"/>
      <c r="K167" s="7">
        <v>909.76</v>
      </c>
      <c r="L167" s="8">
        <f>IFERROR(K167/K444, "NA")</f>
        <v>1.3228015977028475E-3</v>
      </c>
      <c r="M167" s="9"/>
      <c r="N167" s="10">
        <f t="shared" si="41"/>
        <v>-79.38</v>
      </c>
      <c r="O167" s="8">
        <f>IFERROR(N167/N444, "NA")</f>
        <v>-2.3627179888620741E-3</v>
      </c>
      <c r="P167" s="9"/>
      <c r="Q167" s="7">
        <v>4895.3500000000004</v>
      </c>
      <c r="R167" s="8">
        <f>IFERROR(Q167/Q444, "NA")</f>
        <v>1.3681729459815077E-3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-4895.3500000000004</v>
      </c>
      <c r="X167" s="8">
        <f>IFERROR(W167/W444, "NA")</f>
        <v>0.12034131716507332</v>
      </c>
      <c r="Y167" s="9"/>
      <c r="Z167" s="7">
        <v>5693.47</v>
      </c>
      <c r="AA167" s="8">
        <f>IFERROR(Z167/Z444, "NA")</f>
        <v>1.7915290991783936E-3</v>
      </c>
      <c r="AB167" s="9"/>
      <c r="AC167" s="10">
        <f t="shared" si="43"/>
        <v>798.11999999999989</v>
      </c>
      <c r="AD167" s="8">
        <f>IFERROR(AC167/AC444, "NA")</f>
        <v>1.9951744536475043E-3</v>
      </c>
    </row>
    <row r="168" spans="1:30" ht="16.5" customHeight="1" x14ac:dyDescent="0.45">
      <c r="A168" s="6" t="s">
        <v>156</v>
      </c>
      <c r="B168" s="7">
        <v>221.32999999999998</v>
      </c>
      <c r="C168" s="8">
        <f>IFERROR(B168/B444, "NA")</f>
        <v>3.0682776549924518E-4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-221.32999999999998</v>
      </c>
      <c r="I168" s="8">
        <f>IFERROR(H168/H444, "NA")</f>
        <v>2.6621745803403524E-3</v>
      </c>
      <c r="J168" s="9"/>
      <c r="K168" s="7">
        <v>314.60000000000002</v>
      </c>
      <c r="L168" s="8">
        <f>IFERROR(K168/K444, "NA")</f>
        <v>4.5743205091157652E-4</v>
      </c>
      <c r="M168" s="9"/>
      <c r="N168" s="10">
        <f t="shared" si="41"/>
        <v>93.270000000000039</v>
      </c>
      <c r="O168" s="8">
        <f>IFERROR(N168/N444, "NA")</f>
        <v>2.7761489899365802E-3</v>
      </c>
      <c r="P168" s="9"/>
      <c r="Q168" s="7">
        <v>1231.93</v>
      </c>
      <c r="R168" s="8">
        <f>IFERROR(Q168/Q444, "NA")</f>
        <v>3.4430496233017022E-4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-1231.93</v>
      </c>
      <c r="X168" s="8">
        <f>IFERROR(W168/W444, "NA")</f>
        <v>3.0284265446836031E-2</v>
      </c>
      <c r="Y168" s="9"/>
      <c r="Z168" s="7">
        <v>1418.5900000000001</v>
      </c>
      <c r="AA168" s="8">
        <f>IFERROR(Z168/Z444, "NA")</f>
        <v>4.4637896832748351E-4</v>
      </c>
      <c r="AB168" s="9"/>
      <c r="AC168" s="10">
        <f t="shared" si="43"/>
        <v>186.66000000000008</v>
      </c>
      <c r="AD168" s="8">
        <f>IFERROR(AC168/AC444, "NA")</f>
        <v>4.6662063789636068E-4</v>
      </c>
    </row>
    <row r="169" spans="1:30" ht="16.5" customHeight="1" x14ac:dyDescent="0.45">
      <c r="A169" s="6" t="s">
        <v>157</v>
      </c>
      <c r="B169" s="7">
        <v>-8880.81</v>
      </c>
      <c r="C169" s="8">
        <f>IFERROR(B169/B444, "NA")</f>
        <v>-1.2311386111793934E-2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8880.81</v>
      </c>
      <c r="I169" s="8">
        <f>IFERROR(H169/H444, "NA")</f>
        <v>-0.10681907845674966</v>
      </c>
      <c r="J169" s="9"/>
      <c r="K169" s="7">
        <v>-12509.750000000002</v>
      </c>
      <c r="L169" s="8">
        <f>IFERROR(K169/K444, "NA")</f>
        <v>-1.8189321674796869E-2</v>
      </c>
      <c r="M169" s="9"/>
      <c r="N169" s="10">
        <f t="shared" si="41"/>
        <v>-3628.9400000000023</v>
      </c>
      <c r="O169" s="8">
        <f>IFERROR(N169/N444, "NA")</f>
        <v>-0.1080141322562502</v>
      </c>
      <c r="P169" s="9"/>
      <c r="Q169" s="7">
        <v>-62721.25</v>
      </c>
      <c r="R169" s="8">
        <f>IFERROR(Q169/Q444, "NA")</f>
        <v>-1.7529597962993991E-2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62721.25</v>
      </c>
      <c r="X169" s="8">
        <f>IFERROR(W169/W444, "NA")</f>
        <v>-1.5418627553167505</v>
      </c>
      <c r="Y169" s="9"/>
      <c r="Z169" s="7">
        <v>-66131.72</v>
      </c>
      <c r="AA169" s="8">
        <f>IFERROR(Z169/Z444, "NA")</f>
        <v>-2.0809260566704971E-2</v>
      </c>
      <c r="AB169" s="9"/>
      <c r="AC169" s="10">
        <f t="shared" si="43"/>
        <v>-3410.4700000000012</v>
      </c>
      <c r="AD169" s="8">
        <f>IFERROR(AC169/AC444, "NA")</f>
        <v>-8.5256385241958693E-3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24861.070000000007</v>
      </c>
      <c r="C170" s="15">
        <f>IFERROR(B170/B444, "NA")</f>
        <v>3.4464675172910686E-2</v>
      </c>
      <c r="D170" s="2"/>
      <c r="E170" s="14">
        <f>IFERROR(E151+E153+E154+E155+E156+E157+E160+E161+E162+E163+E164+E165+E167+E168+E169, "NA")</f>
        <v>13250.27</v>
      </c>
      <c r="F170" s="15">
        <f>IFERROR(E170/E444, "NA")</f>
        <v>1.6470435884124682E-2</v>
      </c>
      <c r="G170" s="2"/>
      <c r="H170" s="14">
        <f t="shared" si="40"/>
        <v>-11610.800000000007</v>
      </c>
      <c r="I170" s="15">
        <f>IFERROR(H170/H444, "NA")</f>
        <v>0.1396556120607951</v>
      </c>
      <c r="J170" s="2"/>
      <c r="K170" s="14">
        <f>IFERROR(K151+K153+K154+K155+K156+K157+K160+K161+K162+K163+K164+K165+K167+K168+K169, "NA")</f>
        <v>21567.160000000003</v>
      </c>
      <c r="L170" s="15">
        <f>IFERROR(K170/K444, "NA")</f>
        <v>3.1358900925423129E-2</v>
      </c>
      <c r="M170" s="2"/>
      <c r="N170" s="14">
        <f t="shared" si="41"/>
        <v>-3293.9100000000035</v>
      </c>
      <c r="O170" s="15">
        <f>IFERROR(N170/N444, "NA")</f>
        <v>-9.8042081263450279E-2</v>
      </c>
      <c r="P170" s="2"/>
      <c r="Q170" s="14">
        <f>IFERROR(Q151+Q153+Q154+Q155+Q156+Q157+Q160+Q161+Q162+Q163+Q164+Q165+Q167+Q168+Q169, "NA")</f>
        <v>106812.32999999999</v>
      </c>
      <c r="R170" s="15">
        <f>IFERROR(Q170/Q444, "NA")</f>
        <v>2.9852357891315011E-2</v>
      </c>
      <c r="S170" s="2"/>
      <c r="T170" s="14">
        <f>IFERROR(T151+T153+T154+T155+T156+T157+T160+T161+T162+T163+T164+T165+T167+T168+T169, "NA")</f>
        <v>64641.2</v>
      </c>
      <c r="U170" s="15">
        <f>IFERROR(T170/T444, "NA")</f>
        <v>1.7863106129342471E-2</v>
      </c>
      <c r="V170" s="2"/>
      <c r="W170" s="14">
        <f t="shared" si="42"/>
        <v>-42171.12999999999</v>
      </c>
      <c r="X170" s="15">
        <f>IFERROR(W170/W444, "NA")</f>
        <v>1.0366836550072083</v>
      </c>
      <c r="Y170" s="2"/>
      <c r="Z170" s="14">
        <f>IFERROR(Z151+Z153+Z154+Z155+Z156+Z157+Z160+Z161+Z162+Z163+Z164+Z165+Z167+Z168+Z169, "NA")</f>
        <v>98973.790000000008</v>
      </c>
      <c r="AA170" s="15">
        <f>IFERROR(Z170/Z444, "NA")</f>
        <v>3.114347223063817E-2</v>
      </c>
      <c r="AB170" s="2"/>
      <c r="AC170" s="14">
        <f t="shared" si="43"/>
        <v>-7838.539999999979</v>
      </c>
      <c r="AD170" s="15">
        <f>IFERROR(AC170/AC444, "NA")</f>
        <v>-1.9595116977264158E-2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206569.66</v>
      </c>
      <c r="C171" s="15">
        <f>IFERROR(B171/B444, "NA")</f>
        <v>0.28636564043617591</v>
      </c>
      <c r="D171" s="2"/>
      <c r="E171" s="14">
        <f>IFERROR(E127+E129+E130+E131+E132+E133+E134+E135+E136+E137+E138+E139+E140+E143+E144+E145+E146+E147+E151+E153+E154+E155+E156+E157+E160+E161+E162+E163+E164+E165+E167+E168+E169, "NA")</f>
        <v>195004.02</v>
      </c>
      <c r="F171" s="15">
        <f>IFERROR(E171/E444, "NA")</f>
        <v>0.24239515183891094</v>
      </c>
      <c r="G171" s="2"/>
      <c r="H171" s="14">
        <f t="shared" si="40"/>
        <v>-11565.640000000014</v>
      </c>
      <c r="I171" s="15">
        <f>IFERROR(H171/H444, "NA")</f>
        <v>0.13911242404268573</v>
      </c>
      <c r="J171" s="2"/>
      <c r="K171" s="14">
        <f>IFERROR(K127+K129+K130+K131+K132+K133+K134+K135+K136+K137+K138+K139+K140+K143+K144+K145+K146+K147+K151+K153+K154+K155+K156+K157+K160+K161+K162+K163+K164+K165+K167+K168+K169, "NA")</f>
        <v>192164.39000000007</v>
      </c>
      <c r="L171" s="15">
        <f>IFERROR(K171/K444, "NA")</f>
        <v>0.27940925311466008</v>
      </c>
      <c r="M171" s="2"/>
      <c r="N171" s="14">
        <f t="shared" si="41"/>
        <v>-14405.269999999931</v>
      </c>
      <c r="O171" s="15">
        <f>IFERROR(N171/N444, "NA")</f>
        <v>-0.42876783274647279</v>
      </c>
      <c r="P171" s="2"/>
      <c r="Q171" s="14">
        <f>IFERROR(Q127+Q129+Q130+Q131+Q132+Q133+Q134+Q135+Q136+Q137+Q138+Q139+Q140+Q143+Q144+Q145+Q146+Q147+Q151+Q153+Q154+Q155+Q156+Q157+Q160+Q161+Q162+Q163+Q164+Q165+Q167+Q168+Q169, "NA")</f>
        <v>1016598.3</v>
      </c>
      <c r="R171" s="15">
        <f>IFERROR(Q171/Q444, "NA")</f>
        <v>0.28412315585010112</v>
      </c>
      <c r="S171" s="2"/>
      <c r="T171" s="14">
        <f>IFERROR(T127+T129+T130+T131+T132+T133+T134+T135+T136+T137+T138+T139+T140+T143+T144+T145+T146+T147+T151+T153+T154+T155+T156+T157+T160+T161+T162+T163+T164+T165+T167+T168+T169, "NA")</f>
        <v>908362.31</v>
      </c>
      <c r="U171" s="15">
        <f>IFERROR(T171/T444, "NA")</f>
        <v>0.25101904586277307</v>
      </c>
      <c r="V171" s="2"/>
      <c r="W171" s="14">
        <f t="shared" si="42"/>
        <v>-108235.98999999999</v>
      </c>
      <c r="X171" s="15">
        <f>IFERROR(W171/W444, "NA")</f>
        <v>2.6607416428377344</v>
      </c>
      <c r="Y171" s="2"/>
      <c r="Z171" s="14">
        <f>IFERROR(Z127+Z129+Z130+Z131+Z132+Z133+Z134+Z135+Z136+Z137+Z138+Z139+Z140+Z143+Z144+Z145+Z146+Z147+Z151+Z153+Z154+Z155+Z156+Z157+Z160+Z161+Z162+Z163+Z164+Z165+Z167+Z168+Z169, "NA")</f>
        <v>893721.90999999992</v>
      </c>
      <c r="AA171" s="15">
        <f>IFERROR(Z171/Z444, "NA")</f>
        <v>0.28122196276406008</v>
      </c>
      <c r="AB171" s="2"/>
      <c r="AC171" s="14">
        <f t="shared" si="43"/>
        <v>-122876.39000000013</v>
      </c>
      <c r="AD171" s="15">
        <f>IFERROR(AC171/AC444, "NA")</f>
        <v>-0.30717164622416171</v>
      </c>
    </row>
    <row r="172" spans="1:30" ht="16.5" customHeight="1" x14ac:dyDescent="0.45">
      <c r="A172" s="22" t="s">
        <v>160</v>
      </c>
      <c r="B172" s="23">
        <f>IFERROR(B124-B171, "NA")</f>
        <v>514779.6599999998</v>
      </c>
      <c r="C172" s="24">
        <f>IFERROR(B172/B444, "NA")</f>
        <v>0.71363435956382371</v>
      </c>
      <c r="D172" s="25"/>
      <c r="E172" s="23">
        <f>IFERROR(E124-E171, "NA")</f>
        <v>609484.1</v>
      </c>
      <c r="F172" s="24">
        <f>IFERROR(E172/E444, "NA")</f>
        <v>0.75760484816108919</v>
      </c>
      <c r="G172" s="25"/>
      <c r="H172" s="23">
        <f>IFERROR(B172-E172, "NA")</f>
        <v>-94704.440000000177</v>
      </c>
      <c r="I172" s="24">
        <f>IFERROR(H172/H444, "NA")</f>
        <v>1.13911242404269</v>
      </c>
      <c r="J172" s="25"/>
      <c r="K172" s="23">
        <f>IFERROR(K124-K171, "NA")</f>
        <v>495588.02999999985</v>
      </c>
      <c r="L172" s="24">
        <f>IFERROR(K172/K444, "NA")</f>
        <v>0.72059074688533953</v>
      </c>
      <c r="M172" s="25"/>
      <c r="N172" s="23">
        <f>IFERROR(B172-K172, "NA")</f>
        <v>19191.629999999946</v>
      </c>
      <c r="O172" s="24">
        <f>IFERROR(N172/N444, "NA")</f>
        <v>0.57123216725352632</v>
      </c>
      <c r="P172" s="25"/>
      <c r="Q172" s="23">
        <f>IFERROR(Q124-Q171, "NA")</f>
        <v>2561421.5799999991</v>
      </c>
      <c r="R172" s="24">
        <f>IFERROR(Q172/Q444, "NA")</f>
        <v>0.71587684414989872</v>
      </c>
      <c r="S172" s="25"/>
      <c r="T172" s="23">
        <f>IFERROR(T124-T171, "NA")</f>
        <v>2710336.4499999997</v>
      </c>
      <c r="U172" s="24">
        <f>IFERROR(T172/T444, "NA")</f>
        <v>0.74898095413722676</v>
      </c>
      <c r="V172" s="25"/>
      <c r="W172" s="23">
        <f>IFERROR(Q172-T172, "NA")</f>
        <v>-148914.87000000058</v>
      </c>
      <c r="X172" s="24">
        <f>IFERROR(W172/W444, "NA")</f>
        <v>3.6607416428377397</v>
      </c>
      <c r="Y172" s="25"/>
      <c r="Z172" s="23">
        <f>IFERROR(Z124-Z171, "NA")</f>
        <v>2284272.8000000007</v>
      </c>
      <c r="AA172" s="24">
        <f>IFERROR(Z172/Z444, "NA")</f>
        <v>0.71877803723594014</v>
      </c>
      <c r="AB172" s="25"/>
      <c r="AC172" s="23">
        <f>IFERROR(Q172-Z172, "NA")</f>
        <v>277148.7799999984</v>
      </c>
      <c r="AD172" s="24">
        <f>IFERROR(AC172/AC444, "NA")</f>
        <v>0.69282835377583474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37838.5</v>
      </c>
      <c r="C178" s="8">
        <f>IFERROR(B178/B444, "NA")</f>
        <v>5.245516832260963E-2</v>
      </c>
      <c r="D178" s="9"/>
      <c r="E178" s="7">
        <v>40048.07</v>
      </c>
      <c r="F178" s="8">
        <f>IFERROR(E178/E444, "NA")</f>
        <v>4.9780809690514766E-2</v>
      </c>
      <c r="G178" s="9"/>
      <c r="H178" s="10">
        <f t="shared" si="44"/>
        <v>2209.5699999999997</v>
      </c>
      <c r="I178" s="8">
        <f>IFERROR(H178/H444, "NA")</f>
        <v>-2.6576881071172603E-2</v>
      </c>
      <c r="J178" s="9"/>
      <c r="K178" s="7">
        <v>32451.950000000004</v>
      </c>
      <c r="L178" s="8">
        <f>IFERROR(K178/K444, "NA")</f>
        <v>4.7185511902669855E-2</v>
      </c>
      <c r="M178" s="9"/>
      <c r="N178" s="10">
        <f t="shared" si="45"/>
        <v>-5386.5499999999956</v>
      </c>
      <c r="O178" s="8">
        <f>IFERROR(N178/N444, "NA")</f>
        <v>-0.16032878033390016</v>
      </c>
      <c r="P178" s="9"/>
      <c r="Q178" s="7">
        <v>202535.2</v>
      </c>
      <c r="R178" s="8">
        <f>IFERROR(Q178/Q444, "NA")</f>
        <v>5.660538699969437E-2</v>
      </c>
      <c r="S178" s="9"/>
      <c r="T178" s="7">
        <v>208249.98</v>
      </c>
      <c r="U178" s="8">
        <f>IFERROR(T178/T444, "NA")</f>
        <v>5.7548305015585215E-2</v>
      </c>
      <c r="V178" s="9"/>
      <c r="W178" s="10">
        <f t="shared" si="46"/>
        <v>5714.7799999999988</v>
      </c>
      <c r="X178" s="8">
        <f>IFERROR(W178/W444, "NA")</f>
        <v>-0.1404851854328327</v>
      </c>
      <c r="Y178" s="9"/>
      <c r="Z178" s="7">
        <v>168750.14</v>
      </c>
      <c r="AA178" s="8">
        <f>IFERROR(Z178/Z444, "NA")</f>
        <v>5.3099566046791821E-2</v>
      </c>
      <c r="AB178" s="9"/>
      <c r="AC178" s="10">
        <f t="shared" si="47"/>
        <v>-33785.06</v>
      </c>
      <c r="AD178" s="8">
        <f>IFERROR(AC178/AC444, "NA")</f>
        <v>-8.445733552216228E-2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136049.83000000002</v>
      </c>
      <c r="C180" s="8">
        <f>IFERROR(B180/B444, "NA")</f>
        <v>0.18860464164574245</v>
      </c>
      <c r="D180" s="9"/>
      <c r="E180" s="7">
        <v>146494.19</v>
      </c>
      <c r="F180" s="8">
        <f>IFERROR(E180/E444, "NA")</f>
        <v>0.18209615077970329</v>
      </c>
      <c r="G180" s="9"/>
      <c r="H180" s="10">
        <f t="shared" si="44"/>
        <v>10444.359999999986</v>
      </c>
      <c r="I180" s="8">
        <f>IFERROR(H180/H444, "NA")</f>
        <v>-0.1256255803547803</v>
      </c>
      <c r="J180" s="9"/>
      <c r="K180" s="7">
        <v>134541.06</v>
      </c>
      <c r="L180" s="8">
        <f>IFERROR(K180/K444, "NA")</f>
        <v>0.19562426257983936</v>
      </c>
      <c r="M180" s="9"/>
      <c r="N180" s="10">
        <f t="shared" si="45"/>
        <v>-1508.7700000000186</v>
      </c>
      <c r="O180" s="8">
        <f>IFERROR(N180/N444, "NA")</f>
        <v>-4.4908012346377875E-2</v>
      </c>
      <c r="P180" s="9"/>
      <c r="Q180" s="7">
        <v>670813.15999999992</v>
      </c>
      <c r="R180" s="8">
        <f>IFERROR(Q180/Q444, "NA")</f>
        <v>0.18748167492015164</v>
      </c>
      <c r="S180" s="9"/>
      <c r="T180" s="7">
        <v>687047.66</v>
      </c>
      <c r="U180" s="8">
        <f>IFERROR(T180/T444, "NA")</f>
        <v>0.18986041822392533</v>
      </c>
      <c r="V180" s="9"/>
      <c r="W180" s="10">
        <f t="shared" si="46"/>
        <v>16234.500000000116</v>
      </c>
      <c r="X180" s="8">
        <f>IFERROR(W180/W444, "NA")</f>
        <v>-0.39908915879689844</v>
      </c>
      <c r="Y180" s="9"/>
      <c r="Z180" s="7">
        <v>650672.36</v>
      </c>
      <c r="AA180" s="8">
        <f>IFERROR(Z180/Z444, "NA")</f>
        <v>0.20474305949993227</v>
      </c>
      <c r="AB180" s="9"/>
      <c r="AC180" s="10">
        <f t="shared" si="47"/>
        <v>-20140.79999999993</v>
      </c>
      <c r="AD180" s="8">
        <f>IFERROR(AC180/AC444, "NA")</f>
        <v>-5.0348831799758832E-2</v>
      </c>
    </row>
    <row r="181" spans="1:30" ht="16.5" customHeight="1" x14ac:dyDescent="0.45">
      <c r="A181" s="12" t="s">
        <v>166</v>
      </c>
      <c r="B181" s="7">
        <v>3061.63</v>
      </c>
      <c r="C181" s="8">
        <f>IFERROR(B181/B444, "NA")</f>
        <v>4.2443098164977816E-3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-3061.63</v>
      </c>
      <c r="I181" s="8">
        <f>IFERROR(H181/H444, "NA")</f>
        <v>3.6825525506743027E-2</v>
      </c>
      <c r="J181" s="9"/>
      <c r="K181" s="7">
        <v>1446.35</v>
      </c>
      <c r="L181" s="8">
        <f>IFERROR(K181/K444, "NA")</f>
        <v>2.1030096847932567E-3</v>
      </c>
      <c r="M181" s="9"/>
      <c r="N181" s="10">
        <f t="shared" si="45"/>
        <v>-1615.2800000000002</v>
      </c>
      <c r="O181" s="8">
        <f>IFERROR(N181/N444, "NA")</f>
        <v>-4.8078245314299974E-2</v>
      </c>
      <c r="P181" s="9"/>
      <c r="Q181" s="7">
        <v>9829.74</v>
      </c>
      <c r="R181" s="8">
        <f>IFERROR(Q181/Q444, "NA")</f>
        <v>2.747256954871922E-3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-9829.74</v>
      </c>
      <c r="X181" s="8">
        <f>IFERROR(W181/W444, "NA")</f>
        <v>0.24164234610195548</v>
      </c>
      <c r="Y181" s="9"/>
      <c r="Z181" s="7">
        <v>6884.5500000000011</v>
      </c>
      <c r="AA181" s="8">
        <f>IFERROR(Z181/Z444, "NA")</f>
        <v>2.1663188986239695E-3</v>
      </c>
      <c r="AB181" s="9"/>
      <c r="AC181" s="10">
        <f t="shared" si="47"/>
        <v>-2945.1899999999987</v>
      </c>
      <c r="AD181" s="8">
        <f>IFERROR(AC181/AC444, "NA")</f>
        <v>-7.3625117139503975E-3</v>
      </c>
    </row>
    <row r="182" spans="1:30" ht="16.5" customHeight="1" x14ac:dyDescent="0.45">
      <c r="A182" s="13" t="s">
        <v>167</v>
      </c>
      <c r="B182" s="14">
        <f>IFERROR(B177+B178+B179+B180+B181, "NA")</f>
        <v>176949.96000000002</v>
      </c>
      <c r="C182" s="15">
        <f>IFERROR(B182/B444, "NA")</f>
        <v>0.24530411978484987</v>
      </c>
      <c r="D182" s="2"/>
      <c r="E182" s="14">
        <f>IFERROR(E177+E178+E179+E180+E181, "NA")</f>
        <v>186542.26</v>
      </c>
      <c r="F182" s="15">
        <f>IFERROR(E182/E444, "NA")</f>
        <v>0.23187696047021805</v>
      </c>
      <c r="G182" s="2"/>
      <c r="H182" s="14">
        <f t="shared" si="44"/>
        <v>9592.2999999999884</v>
      </c>
      <c r="I182" s="15">
        <f>IFERROR(H182/H444, "NA")</f>
        <v>-0.11537693591920992</v>
      </c>
      <c r="J182" s="2"/>
      <c r="K182" s="14">
        <f>IFERROR(K177+K178+K179+K180+K181, "NA")</f>
        <v>168439.36000000002</v>
      </c>
      <c r="L182" s="15">
        <f>IFERROR(K182/K444, "NA")</f>
        <v>0.2449127841673025</v>
      </c>
      <c r="M182" s="2"/>
      <c r="N182" s="14">
        <f t="shared" si="45"/>
        <v>-8510.6000000000058</v>
      </c>
      <c r="O182" s="15">
        <f>IFERROR(N182/N444, "NA")</f>
        <v>-0.25331503799457777</v>
      </c>
      <c r="P182" s="2"/>
      <c r="Q182" s="14">
        <f>IFERROR(Q177+Q178+Q179+Q180+Q181, "NA")</f>
        <v>883178.09999999986</v>
      </c>
      <c r="R182" s="15">
        <f>IFERROR(Q182/Q444, "NA")</f>
        <v>0.24683431887471791</v>
      </c>
      <c r="S182" s="2"/>
      <c r="T182" s="14">
        <f>IFERROR(T177+T178+T179+T180+T181, "NA")</f>
        <v>895297.64</v>
      </c>
      <c r="U182" s="15">
        <f>IFERROR(T182/T444, "NA")</f>
        <v>0.24740872323951055</v>
      </c>
      <c r="V182" s="2"/>
      <c r="W182" s="14">
        <f t="shared" si="46"/>
        <v>12119.540000000154</v>
      </c>
      <c r="X182" s="15">
        <f>IFERROR(W182/W444, "NA")</f>
        <v>-0.2979319981277766</v>
      </c>
      <c r="Y182" s="2"/>
      <c r="Z182" s="14">
        <f>IFERROR(Z177+Z178+Z179+Z180+Z181, "NA")</f>
        <v>826307.05</v>
      </c>
      <c r="AA182" s="15">
        <f>IFERROR(Z182/Z444, "NA")</f>
        <v>0.26000894444534806</v>
      </c>
      <c r="AB182" s="2"/>
      <c r="AC182" s="14">
        <f t="shared" si="47"/>
        <v>-56871.049999999814</v>
      </c>
      <c r="AD182" s="15">
        <f>IFERROR(AC182/AC444, "NA")</f>
        <v>-0.14216867903587121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-750</v>
      </c>
      <c r="C184" s="8">
        <f>IFERROR(B184/B444, "NA")</f>
        <v>-1.0397181770407712E-3</v>
      </c>
      <c r="D184" s="9"/>
      <c r="E184" s="7">
        <v>2950</v>
      </c>
      <c r="F184" s="8">
        <f>IFERROR(E184/E444, "NA")</f>
        <v>3.6669279839707273E-3</v>
      </c>
      <c r="G184" s="9"/>
      <c r="H184" s="10">
        <f t="shared" si="44"/>
        <v>3700</v>
      </c>
      <c r="I184" s="8">
        <f>IFERROR(H184/H444, "NA")</f>
        <v>-4.4503889880537224E-2</v>
      </c>
      <c r="J184" s="9"/>
      <c r="K184" s="7">
        <v>1500</v>
      </c>
      <c r="L184" s="8">
        <f>IFERROR(K184/K444, "NA")</f>
        <v>2.1810174073978537E-3</v>
      </c>
      <c r="M184" s="9"/>
      <c r="N184" s="10">
        <f t="shared" si="45"/>
        <v>2250</v>
      </c>
      <c r="O184" s="8">
        <f>IFERROR(N184/N444, "NA")</f>
        <v>6.697046453690686E-2</v>
      </c>
      <c r="P184" s="9"/>
      <c r="Q184" s="7">
        <v>14000</v>
      </c>
      <c r="R184" s="8">
        <f>IFERROR(Q184/Q444, "NA")</f>
        <v>3.9127787070875643E-3</v>
      </c>
      <c r="S184" s="9"/>
      <c r="T184" s="7">
        <v>17700</v>
      </c>
      <c r="U184" s="8">
        <f>IFERROR(T184/T444, "NA")</f>
        <v>4.8912609680724015E-3</v>
      </c>
      <c r="V184" s="9"/>
      <c r="W184" s="10">
        <f t="shared" si="46"/>
        <v>3700</v>
      </c>
      <c r="X184" s="8">
        <f>IFERROR(W184/W444, "NA")</f>
        <v>-9.0956289848687269E-2</v>
      </c>
      <c r="Y184" s="9"/>
      <c r="Z184" s="7">
        <v>7900</v>
      </c>
      <c r="AA184" s="8">
        <f>IFERROR(Z184/Z444, "NA")</f>
        <v>2.4858442888975106E-3</v>
      </c>
      <c r="AB184" s="9"/>
      <c r="AC184" s="10">
        <f t="shared" si="47"/>
        <v>-6100</v>
      </c>
      <c r="AD184" s="8">
        <f>IFERROR(AC184/AC444, "NA")</f>
        <v>-1.5249040454129427E-2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16783.100000000002</v>
      </c>
      <c r="C186" s="8">
        <f>IFERROR(B186/B444, "NA")</f>
        <v>2.3266258849457294E-2</v>
      </c>
      <c r="D186" s="9"/>
      <c r="E186" s="7">
        <v>19353.649999999998</v>
      </c>
      <c r="F186" s="8">
        <f>IFERROR(E186/E444, "NA")</f>
        <v>2.405709856846612E-2</v>
      </c>
      <c r="G186" s="9"/>
      <c r="H186" s="10">
        <f t="shared" ref="H186:H197" si="48">IFERROR(-(B186-E186), "NA")</f>
        <v>2570.5499999999956</v>
      </c>
      <c r="I186" s="8">
        <f>IFERROR(H186/H444, "NA")</f>
        <v>-3.0918776792544532E-2</v>
      </c>
      <c r="J186" s="9"/>
      <c r="K186" s="7">
        <v>16514.04</v>
      </c>
      <c r="L186" s="8">
        <f>IFERROR(K186/K444, "NA")</f>
        <v>2.4011605804309635E-2</v>
      </c>
      <c r="M186" s="9"/>
      <c r="N186" s="10">
        <f t="shared" ref="N186:N197" si="49">IFERROR(-(B186-K186), "NA")</f>
        <v>-269.06000000000131</v>
      </c>
      <c r="O186" s="8">
        <f>IFERROR(N186/N444, "NA")</f>
        <v>-8.0084769725778885E-3</v>
      </c>
      <c r="P186" s="9"/>
      <c r="Q186" s="7">
        <v>91055.91</v>
      </c>
      <c r="R186" s="8">
        <f>IFERROR(Q186/Q444, "NA")</f>
        <v>2.5448687557320115E-2</v>
      </c>
      <c r="S186" s="9"/>
      <c r="T186" s="7">
        <v>103200.5</v>
      </c>
      <c r="U186" s="8">
        <f>IFERROR(T186/T444, "NA")</f>
        <v>2.851867669692406E-2</v>
      </c>
      <c r="V186" s="9"/>
      <c r="W186" s="10">
        <f t="shared" ref="W186:W197" si="50">IFERROR(-(Q186-T186), "NA")</f>
        <v>12144.589999999997</v>
      </c>
      <c r="X186" s="8">
        <f>IFERROR(W186/W444, "NA")</f>
        <v>-0.29854779679282939</v>
      </c>
      <c r="Y186" s="9"/>
      <c r="Z186" s="7">
        <v>88314.19</v>
      </c>
      <c r="AA186" s="8">
        <f>IFERROR(Z186/Z444, "NA")</f>
        <v>2.7789281625330335E-2</v>
      </c>
      <c r="AB186" s="9"/>
      <c r="AC186" s="10">
        <f t="shared" ref="AC186:AC197" si="51">IFERROR(-(Q186-Z186), "NA")</f>
        <v>-2741.7200000000012</v>
      </c>
      <c r="AD186" s="8">
        <f>IFERROR(AC186/AC444, "NA")</f>
        <v>-6.8538687203107788E-3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7.0000000000000007E-2</v>
      </c>
      <c r="AA187" s="8">
        <f>IFERROR(Z187/Z444, "NA")</f>
        <v>2.2026468382636171E-8</v>
      </c>
      <c r="AB187" s="9"/>
      <c r="AC187" s="10">
        <f t="shared" si="51"/>
        <v>7.0000000000000007E-2</v>
      </c>
      <c r="AD187" s="8">
        <f>IFERROR(AC187/AC444, "NA")</f>
        <v>1.7498898881787867E-7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16783.100000000002</v>
      </c>
      <c r="C193" s="15">
        <f>IFERROR(B193/B444, "NA")</f>
        <v>2.3266258849457294E-2</v>
      </c>
      <c r="D193" s="2"/>
      <c r="E193" s="14">
        <f>IFERROR(E186+E187+E188+E189+E190+E191+E192, "NA")</f>
        <v>19353.649999999998</v>
      </c>
      <c r="F193" s="15">
        <f>IFERROR(E193/E444, "NA")</f>
        <v>2.405709856846612E-2</v>
      </c>
      <c r="G193" s="2"/>
      <c r="H193" s="14">
        <f t="shared" si="48"/>
        <v>2570.5499999999956</v>
      </c>
      <c r="I193" s="15">
        <f>IFERROR(H193/H444, "NA")</f>
        <v>-3.0918776792544532E-2</v>
      </c>
      <c r="J193" s="2"/>
      <c r="K193" s="14">
        <f>IFERROR(K186+K187+K188+K189+K190+K191+K192, "NA")</f>
        <v>16514.04</v>
      </c>
      <c r="L193" s="15">
        <f>IFERROR(K193/K444, "NA")</f>
        <v>2.4011605804309635E-2</v>
      </c>
      <c r="M193" s="2"/>
      <c r="N193" s="14">
        <f t="shared" si="49"/>
        <v>-269.06000000000131</v>
      </c>
      <c r="O193" s="15">
        <f>IFERROR(N193/N444, "NA")</f>
        <v>-8.0084769725778885E-3</v>
      </c>
      <c r="P193" s="2"/>
      <c r="Q193" s="14">
        <f>IFERROR(Q186+Q187+Q188+Q189+Q190+Q191+Q192, "NA")</f>
        <v>91055.91</v>
      </c>
      <c r="R193" s="15">
        <f>IFERROR(Q193/Q444, "NA")</f>
        <v>2.5448687557320115E-2</v>
      </c>
      <c r="S193" s="2"/>
      <c r="T193" s="14">
        <f>IFERROR(T186+T187+T188+T189+T190+T191+T192, "NA")</f>
        <v>103200.5</v>
      </c>
      <c r="U193" s="15">
        <f>IFERROR(T193/T444, "NA")</f>
        <v>2.851867669692406E-2</v>
      </c>
      <c r="V193" s="2"/>
      <c r="W193" s="14">
        <f t="shared" si="50"/>
        <v>12144.589999999997</v>
      </c>
      <c r="X193" s="15">
        <f>IFERROR(W193/W444, "NA")</f>
        <v>-0.29854779679282939</v>
      </c>
      <c r="Y193" s="2"/>
      <c r="Z193" s="14">
        <f>IFERROR(Z186+Z187+Z188+Z189+Z190+Z191+Z192, "NA")</f>
        <v>88314.260000000009</v>
      </c>
      <c r="AA193" s="15">
        <f>IFERROR(Z193/Z444, "NA")</f>
        <v>2.778930365179872E-2</v>
      </c>
      <c r="AB193" s="2"/>
      <c r="AC193" s="14">
        <f t="shared" si="51"/>
        <v>-2741.6499999999942</v>
      </c>
      <c r="AD193" s="15">
        <f>IFERROR(AC193/AC444, "NA")</f>
        <v>-6.8536937313219432E-3</v>
      </c>
    </row>
    <row r="194" spans="1:30" ht="16.5" customHeight="1" x14ac:dyDescent="0.45">
      <c r="A194" s="6" t="s">
        <v>178</v>
      </c>
      <c r="B194" s="7">
        <v>1295.2</v>
      </c>
      <c r="C194" s="8">
        <f>IFERROR(B194/B444, "NA")</f>
        <v>1.7955239772042759E-3</v>
      </c>
      <c r="D194" s="9"/>
      <c r="E194" s="7">
        <v>1515.94</v>
      </c>
      <c r="F194" s="8">
        <f>IFERROR(E194/E444, "NA")</f>
        <v>1.8843534942442658E-3</v>
      </c>
      <c r="G194" s="9"/>
      <c r="H194" s="10">
        <f t="shared" si="48"/>
        <v>220.74</v>
      </c>
      <c r="I194" s="8">
        <f>IFERROR(H194/H444, "NA")</f>
        <v>-2.6550780141161587E-3</v>
      </c>
      <c r="J194" s="9"/>
      <c r="K194" s="7">
        <v>2508.56</v>
      </c>
      <c r="L194" s="8">
        <f>IFERROR(K194/K444, "NA")</f>
        <v>3.6474753516679728E-3</v>
      </c>
      <c r="M194" s="9"/>
      <c r="N194" s="10">
        <f t="shared" si="49"/>
        <v>1213.3599999999999</v>
      </c>
      <c r="O194" s="8">
        <f>IFERROR(N194/N444, "NA")</f>
        <v>3.6115236822445024E-2</v>
      </c>
      <c r="P194" s="9"/>
      <c r="Q194" s="7">
        <v>7820.5599999999995</v>
      </c>
      <c r="R194" s="8">
        <f>IFERROR(Q194/Q444, "NA")</f>
        <v>2.1857229032500513E-3</v>
      </c>
      <c r="S194" s="9"/>
      <c r="T194" s="7">
        <v>7304.01</v>
      </c>
      <c r="U194" s="8">
        <f>IFERROR(T194/T444, "NA")</f>
        <v>2.0184078544299719E-3</v>
      </c>
      <c r="V194" s="9"/>
      <c r="W194" s="10">
        <f t="shared" si="50"/>
        <v>-516.54999999999927</v>
      </c>
      <c r="X194" s="8">
        <f>IFERROR(W194/W444, "NA")</f>
        <v>1.2698235546307932E-2</v>
      </c>
      <c r="Y194" s="9"/>
      <c r="Z194" s="7">
        <v>7730.07</v>
      </c>
      <c r="AA194" s="8">
        <f>IFERROR(Z194/Z444, "NA")</f>
        <v>2.432373463579491E-3</v>
      </c>
      <c r="AB194" s="9"/>
      <c r="AC194" s="10">
        <f t="shared" si="51"/>
        <v>-90.489999999999782</v>
      </c>
      <c r="AD194" s="8">
        <f>IFERROR(AC194/AC444, "NA")</f>
        <v>-2.262107656875686E-4</v>
      </c>
    </row>
    <row r="195" spans="1:30" ht="16.5" customHeight="1" x14ac:dyDescent="0.45">
      <c r="A195" s="6" t="s">
        <v>179</v>
      </c>
      <c r="B195" s="7">
        <v>1082.68</v>
      </c>
      <c r="C195" s="8">
        <f>IFERROR(B195/B444, "NA")</f>
        <v>1.500909434558003E-3</v>
      </c>
      <c r="D195" s="9"/>
      <c r="E195" s="7">
        <v>764.01</v>
      </c>
      <c r="F195" s="8">
        <f>IFERROR(E195/E444, "NA")</f>
        <v>9.4968462679100854E-4</v>
      </c>
      <c r="G195" s="9"/>
      <c r="H195" s="10">
        <f t="shared" si="48"/>
        <v>-318.67000000000007</v>
      </c>
      <c r="I195" s="8">
        <f>IFERROR(H195/H444, "NA")</f>
        <v>3.8329877265488653E-3</v>
      </c>
      <c r="J195" s="9"/>
      <c r="K195" s="7">
        <v>1168.56</v>
      </c>
      <c r="L195" s="8">
        <f>IFERROR(K195/K444, "NA")</f>
        <v>1.6990998010592237E-3</v>
      </c>
      <c r="M195" s="9"/>
      <c r="N195" s="10">
        <f t="shared" si="49"/>
        <v>85.879999999999882</v>
      </c>
      <c r="O195" s="8">
        <f>IFERROR(N195/N444, "NA")</f>
        <v>2.5561882197464685E-3</v>
      </c>
      <c r="P195" s="9"/>
      <c r="Q195" s="7">
        <v>8023.96</v>
      </c>
      <c r="R195" s="8">
        <f>IFERROR(Q195/Q444, "NA")</f>
        <v>2.2425699881801664E-3</v>
      </c>
      <c r="S195" s="9"/>
      <c r="T195" s="7">
        <v>3584.14</v>
      </c>
      <c r="U195" s="8">
        <f>IFERROR(T195/T444, "NA")</f>
        <v>9.9044994836762815E-4</v>
      </c>
      <c r="V195" s="9"/>
      <c r="W195" s="10">
        <f t="shared" si="50"/>
        <v>-4439.82</v>
      </c>
      <c r="X195" s="8">
        <f>IFERROR(W195/W444, "NA")</f>
        <v>0.1091431229178375</v>
      </c>
      <c r="Y195" s="9"/>
      <c r="Z195" s="7">
        <v>7129.1100000000006</v>
      </c>
      <c r="AA195" s="8">
        <f>IFERROR(Z195/Z444, "NA")</f>
        <v>2.2432730858762194E-3</v>
      </c>
      <c r="AB195" s="9"/>
      <c r="AC195" s="10">
        <f t="shared" si="51"/>
        <v>-894.84999999999945</v>
      </c>
      <c r="AD195" s="8">
        <f>IFERROR(AC195/AC444, "NA")</f>
        <v>-2.2369842377668375E-3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195360.94000000003</v>
      </c>
      <c r="C196" s="15">
        <f>IFERROR(B196/B444, "NA")</f>
        <v>0.2708270938690287</v>
      </c>
      <c r="D196" s="2"/>
      <c r="E196" s="14">
        <f>IFERROR(E175+E177+E178+E179+E180+E181+E183+E184+E186+E187+E188+E189+E190+E191+E192+E194+E195, "NA")</f>
        <v>211125.86000000002</v>
      </c>
      <c r="F196" s="15">
        <f>IFERROR(E196/E444, "NA")</f>
        <v>0.26243502514369016</v>
      </c>
      <c r="G196" s="2"/>
      <c r="H196" s="14">
        <f t="shared" si="48"/>
        <v>15764.919999999984</v>
      </c>
      <c r="I196" s="15">
        <f>IFERROR(H196/H444, "NA")</f>
        <v>-0.18962169287985897</v>
      </c>
      <c r="J196" s="2"/>
      <c r="K196" s="14">
        <f>IFERROR(K175+K177+K178+K179+K180+K181+K183+K184+K186+K187+K188+K189+K190+K191+K192+K194+K195, "NA")</f>
        <v>190130.52000000002</v>
      </c>
      <c r="L196" s="15">
        <f>IFERROR(K196/K444, "NA")</f>
        <v>0.27645198253173719</v>
      </c>
      <c r="M196" s="2"/>
      <c r="N196" s="14">
        <f t="shared" si="49"/>
        <v>-5230.4200000000128</v>
      </c>
      <c r="O196" s="15">
        <f>IFERROR(N196/N444, "NA")</f>
        <v>-0.15568162538805744</v>
      </c>
      <c r="P196" s="2"/>
      <c r="Q196" s="14">
        <f>IFERROR(Q175+Q177+Q178+Q179+Q180+Q181+Q183+Q184+Q186+Q187+Q188+Q189+Q190+Q191+Q192+Q194+Q195, "NA")</f>
        <v>1004078.5299999999</v>
      </c>
      <c r="R196" s="15">
        <f>IFERROR(Q196/Q444, "NA")</f>
        <v>0.28062407803055583</v>
      </c>
      <c r="S196" s="2"/>
      <c r="T196" s="14">
        <f>IFERROR(T175+T177+T178+T179+T180+T181+T183+T184+T186+T187+T188+T189+T190+T191+T192+T194+T195, "NA")</f>
        <v>1027086.29</v>
      </c>
      <c r="U196" s="15">
        <f>IFERROR(T196/T444, "NA")</f>
        <v>0.2838275187073046</v>
      </c>
      <c r="V196" s="2"/>
      <c r="W196" s="14">
        <f t="shared" si="50"/>
        <v>23007.760000000126</v>
      </c>
      <c r="X196" s="15">
        <f>IFERROR(W196/W444, "NA")</f>
        <v>-0.56559472630514718</v>
      </c>
      <c r="Y196" s="2"/>
      <c r="Z196" s="14">
        <f>IFERROR(Z175+Z177+Z178+Z179+Z180+Z181+Z183+Z184+Z186+Z187+Z188+Z189+Z190+Z191+Z192+Z194+Z195, "NA")</f>
        <v>937380.48999999987</v>
      </c>
      <c r="AA196" s="15">
        <f>IFERROR(Z196/Z444, "NA")</f>
        <v>0.29495973893549993</v>
      </c>
      <c r="AB196" s="2"/>
      <c r="AC196" s="14">
        <f t="shared" si="51"/>
        <v>-66698.040000000037</v>
      </c>
      <c r="AD196" s="15">
        <f>IFERROR(AC196/AC444, "NA")</f>
        <v>-0.16673460822477759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195360.94000000003</v>
      </c>
      <c r="C197" s="15">
        <f>IFERROR(B197/B444, "NA")</f>
        <v>0.2708270938690287</v>
      </c>
      <c r="D197" s="2"/>
      <c r="E197" s="14">
        <f>IFERROR(E175+E177+E178+E179+E180+E181+E183+E184+E186+E187+E188+E189+E190+E191+E192+E194+E195, "NA")</f>
        <v>211125.86000000002</v>
      </c>
      <c r="F197" s="15">
        <f>IFERROR(E197/E444, "NA")</f>
        <v>0.26243502514369016</v>
      </c>
      <c r="G197" s="2"/>
      <c r="H197" s="14">
        <f t="shared" si="48"/>
        <v>15764.919999999984</v>
      </c>
      <c r="I197" s="15">
        <f>IFERROR(H197/H444, "NA")</f>
        <v>-0.18962169287985897</v>
      </c>
      <c r="J197" s="2"/>
      <c r="K197" s="14">
        <f>IFERROR(K175+K177+K178+K179+K180+K181+K183+K184+K186+K187+K188+K189+K190+K191+K192+K194+K195, "NA")</f>
        <v>190130.52000000002</v>
      </c>
      <c r="L197" s="15">
        <f>IFERROR(K197/K444, "NA")</f>
        <v>0.27645198253173719</v>
      </c>
      <c r="M197" s="2"/>
      <c r="N197" s="14">
        <f t="shared" si="49"/>
        <v>-5230.4200000000128</v>
      </c>
      <c r="O197" s="15">
        <f>IFERROR(N197/N444, "NA")</f>
        <v>-0.15568162538805744</v>
      </c>
      <c r="P197" s="2"/>
      <c r="Q197" s="14">
        <f>IFERROR(Q175+Q177+Q178+Q179+Q180+Q181+Q183+Q184+Q186+Q187+Q188+Q189+Q190+Q191+Q192+Q194+Q195, "NA")</f>
        <v>1004078.5299999999</v>
      </c>
      <c r="R197" s="15">
        <f>IFERROR(Q197/Q444, "NA")</f>
        <v>0.28062407803055583</v>
      </c>
      <c r="S197" s="2"/>
      <c r="T197" s="14">
        <f>IFERROR(T175+T177+T178+T179+T180+T181+T183+T184+T186+T187+T188+T189+T190+T191+T192+T194+T195, "NA")</f>
        <v>1027086.29</v>
      </c>
      <c r="U197" s="15">
        <f>IFERROR(T197/T444, "NA")</f>
        <v>0.2838275187073046</v>
      </c>
      <c r="V197" s="2"/>
      <c r="W197" s="14">
        <f t="shared" si="50"/>
        <v>23007.760000000126</v>
      </c>
      <c r="X197" s="15">
        <f>IFERROR(W197/W444, "NA")</f>
        <v>-0.56559472630514718</v>
      </c>
      <c r="Y197" s="2"/>
      <c r="Z197" s="14">
        <f>IFERROR(Z175+Z177+Z178+Z179+Z180+Z181+Z183+Z184+Z186+Z187+Z188+Z189+Z190+Z191+Z192+Z194+Z195, "NA")</f>
        <v>937380.48999999987</v>
      </c>
      <c r="AA197" s="15">
        <f>IFERROR(Z197/Z444, "NA")</f>
        <v>0.29495973893549993</v>
      </c>
      <c r="AB197" s="2"/>
      <c r="AC197" s="14">
        <f t="shared" si="51"/>
        <v>-66698.040000000037</v>
      </c>
      <c r="AD197" s="15">
        <f>IFERROR(AC197/AC444, "NA")</f>
        <v>-0.16673460822477759</v>
      </c>
    </row>
    <row r="198" spans="1:30" ht="16.5" customHeight="1" x14ac:dyDescent="0.45">
      <c r="A198" s="22" t="s">
        <v>181</v>
      </c>
      <c r="B198" s="23">
        <f>IFERROR(B172-B197, "NA")</f>
        <v>319418.71999999974</v>
      </c>
      <c r="C198" s="24">
        <f>IFERROR(B198/B444, "NA")</f>
        <v>0.442807265694795</v>
      </c>
      <c r="D198" s="25"/>
      <c r="E198" s="23">
        <f>IFERROR(E172-E197, "NA")</f>
        <v>398358.24</v>
      </c>
      <c r="F198" s="24">
        <f>IFERROR(E198/E444, "NA")</f>
        <v>0.49516982301739898</v>
      </c>
      <c r="G198" s="25"/>
      <c r="H198" s="23">
        <f>IFERROR(B198-E198, "NA")</f>
        <v>-78939.520000000251</v>
      </c>
      <c r="I198" s="24">
        <f>IFERROR(H198/H444, "NA")</f>
        <v>0.94949073116283167</v>
      </c>
      <c r="J198" s="25"/>
      <c r="K198" s="23">
        <f>IFERROR(K172-K197, "NA")</f>
        <v>305457.50999999983</v>
      </c>
      <c r="L198" s="24">
        <f>IFERROR(K198/K444, "NA")</f>
        <v>0.44413876435360239</v>
      </c>
      <c r="M198" s="25"/>
      <c r="N198" s="23">
        <f>IFERROR(B198-K198, "NA")</f>
        <v>13961.209999999905</v>
      </c>
      <c r="O198" s="24">
        <f>IFERROR(N198/N444, "NA")</f>
        <v>0.41555054186546803</v>
      </c>
      <c r="P198" s="25"/>
      <c r="Q198" s="23">
        <f>IFERROR(Q172-Q197, "NA")</f>
        <v>1557343.0499999993</v>
      </c>
      <c r="R198" s="24">
        <f>IFERROR(Q198/Q444, "NA")</f>
        <v>0.43525276611934294</v>
      </c>
      <c r="S198" s="25"/>
      <c r="T198" s="23">
        <f>IFERROR(T172-T197, "NA")</f>
        <v>1683250.1599999997</v>
      </c>
      <c r="U198" s="24">
        <f>IFERROR(T198/T444, "NA")</f>
        <v>0.46515343542992221</v>
      </c>
      <c r="V198" s="25"/>
      <c r="W198" s="23">
        <f>IFERROR(Q198-T198, "NA")</f>
        <v>-125907.11000000034</v>
      </c>
      <c r="X198" s="24">
        <f>IFERROR(W198/W444, "NA")</f>
        <v>3.09514691653259</v>
      </c>
      <c r="Y198" s="25"/>
      <c r="Z198" s="23">
        <f>IFERROR(Z172-Z197, "NA")</f>
        <v>1346892.310000001</v>
      </c>
      <c r="AA198" s="24">
        <f>IFERROR(Z198/Z444, "NA")</f>
        <v>0.42381829830044021</v>
      </c>
      <c r="AB198" s="25"/>
      <c r="AC198" s="23">
        <f>IFERROR(Q198-Z198, "NA")</f>
        <v>210450.73999999836</v>
      </c>
      <c r="AD198" s="24">
        <f>IFERROR(AC198/AC444, "NA")</f>
        <v>0.52609374555105715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15613.969999999998</v>
      </c>
      <c r="F201" s="8">
        <f>IFERROR(E201/E444, "NA")</f>
        <v>1.9408577469111662E-2</v>
      </c>
      <c r="G201" s="9"/>
      <c r="H201" s="10">
        <f t="shared" ref="H201:H209" si="52">IFERROR(-(B201-E201), "NA")</f>
        <v>15613.969999999998</v>
      </c>
      <c r="I201" s="8">
        <f>IFERROR(H201/H444, "NA")</f>
        <v>-0.18780605445351667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71013.760000000009</v>
      </c>
      <c r="U201" s="8">
        <f>IFERROR(T201/T444, "NA")</f>
        <v>1.9624114829607978E-2</v>
      </c>
      <c r="V201" s="9"/>
      <c r="W201" s="10">
        <f t="shared" ref="W201:W209" si="54">IFERROR(-(Q201-T201), "NA")</f>
        <v>71013.760000000009</v>
      </c>
      <c r="X201" s="8">
        <f>IFERROR(W201/W444, "NA")</f>
        <v>-1.7457157129203014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7536.2699999999995</v>
      </c>
      <c r="C202" s="8">
        <f>IFERROR(B202/B444, "NA")</f>
        <v>1.0447462541449404E-2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-7536.2699999999995</v>
      </c>
      <c r="I202" s="8">
        <f>IFERROR(H202/H444, "NA")</f>
        <v>9.0646845997296291E-2</v>
      </c>
      <c r="J202" s="9"/>
      <c r="K202" s="7">
        <v>5809.44</v>
      </c>
      <c r="L202" s="8">
        <f>IFERROR(K202/K444, "NA")</f>
        <v>8.4469931781555908E-3</v>
      </c>
      <c r="M202" s="9"/>
      <c r="N202" s="10">
        <f t="shared" si="53"/>
        <v>-1726.83</v>
      </c>
      <c r="O202" s="8">
        <f>IFERROR(N202/N444, "NA")</f>
        <v>-5.1398492122785279E-2</v>
      </c>
      <c r="P202" s="9"/>
      <c r="Q202" s="7">
        <v>35728.74</v>
      </c>
      <c r="R202" s="8">
        <f>IFERROR(Q202/Q444, "NA")</f>
        <v>9.9856180787905521E-3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-35728.74</v>
      </c>
      <c r="X202" s="8">
        <f>IFERROR(W202/W444, "NA")</f>
        <v>0.87831179226172618</v>
      </c>
      <c r="Y202" s="9"/>
      <c r="Z202" s="7">
        <v>29937.88</v>
      </c>
      <c r="AA202" s="8">
        <f>IFERROR(Z202/Z444, "NA")</f>
        <v>9.4203681037593676E-3</v>
      </c>
      <c r="AB202" s="9"/>
      <c r="AC202" s="10">
        <f t="shared" si="55"/>
        <v>-5790.8599999999969</v>
      </c>
      <c r="AD202" s="8">
        <f>IFERROR(AC202/AC444, "NA")</f>
        <v>-1.4476239082655719E-2</v>
      </c>
    </row>
    <row r="203" spans="1:30" ht="16.5" customHeight="1" x14ac:dyDescent="0.45">
      <c r="A203" s="6" t="s">
        <v>185</v>
      </c>
      <c r="B203" s="7">
        <v>10756.19</v>
      </c>
      <c r="C203" s="8">
        <f>IFERROR(B203/B444, "NA")</f>
        <v>1.4911208344938897E-2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-10756.19</v>
      </c>
      <c r="I203" s="8">
        <f>IFERROR(H203/H444, "NA")</f>
        <v>0.12937629602544209</v>
      </c>
      <c r="J203" s="9"/>
      <c r="K203" s="7">
        <v>3741.52</v>
      </c>
      <c r="L203" s="8">
        <f>IFERROR(K203/K444, "NA")</f>
        <v>5.4402135000848114E-3</v>
      </c>
      <c r="M203" s="9"/>
      <c r="N203" s="10">
        <f t="shared" si="53"/>
        <v>-7014.67</v>
      </c>
      <c r="O203" s="8">
        <f>IFERROR(N203/N444, "NA")</f>
        <v>-0.20878920376582422</v>
      </c>
      <c r="P203" s="9"/>
      <c r="Q203" s="7">
        <v>31904.33</v>
      </c>
      <c r="R203" s="8">
        <f>IFERROR(Q203/Q444, "NA")</f>
        <v>8.9167559348496423E-3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-31904.33</v>
      </c>
      <c r="X203" s="8">
        <f>IFERROR(W203/W444, "NA")</f>
        <v>0.78429715862382943</v>
      </c>
      <c r="Y203" s="9"/>
      <c r="Z203" s="7">
        <v>18331.59</v>
      </c>
      <c r="AA203" s="8">
        <f>IFERROR(Z203/Z444, "NA")</f>
        <v>5.7682883934064193E-3</v>
      </c>
      <c r="AB203" s="9"/>
      <c r="AC203" s="10">
        <f t="shared" si="55"/>
        <v>-13572.740000000002</v>
      </c>
      <c r="AD203" s="8">
        <f>IFERROR(AC203/AC444, "NA")</f>
        <v>-3.3929714972685356E-2</v>
      </c>
    </row>
    <row r="204" spans="1:30" ht="16.5" customHeight="1" x14ac:dyDescent="0.45">
      <c r="A204" s="6" t="s">
        <v>186</v>
      </c>
      <c r="B204" s="7">
        <v>2080.67</v>
      </c>
      <c r="C204" s="8">
        <f>IFERROR(B204/B444, "NA")</f>
        <v>2.8844138925645619E-3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-2080.67</v>
      </c>
      <c r="I204" s="8">
        <f>IFERROR(H204/H444, "NA")</f>
        <v>2.5026461772361456E-2</v>
      </c>
      <c r="J204" s="9"/>
      <c r="K204" s="7">
        <v>1355.0900000000001</v>
      </c>
      <c r="L204" s="8">
        <f>IFERROR(K204/K444, "NA")</f>
        <v>1.9703165857271718E-3</v>
      </c>
      <c r="M204" s="9"/>
      <c r="N204" s="10">
        <f t="shared" si="53"/>
        <v>-725.57999999999993</v>
      </c>
      <c r="O204" s="8">
        <f>IFERROR(N204/N444, "NA")</f>
        <v>-2.1596635403861725E-2</v>
      </c>
      <c r="P204" s="9"/>
      <c r="Q204" s="7">
        <v>5601.8099999999995</v>
      </c>
      <c r="R204" s="8">
        <f>IFERROR(Q204/Q444, "NA")</f>
        <v>1.5656173492250131E-3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-5601.8099999999995</v>
      </c>
      <c r="X204" s="8">
        <f>IFERROR(W204/W444, "NA")</f>
        <v>0.13770806865872293</v>
      </c>
      <c r="Y204" s="9"/>
      <c r="Z204" s="7">
        <v>5281.28</v>
      </c>
      <c r="AA204" s="8">
        <f>IFERROR(Z204/Z444, "NA")</f>
        <v>1.6618278134264105E-3</v>
      </c>
      <c r="AB204" s="9"/>
      <c r="AC204" s="10">
        <f t="shared" si="55"/>
        <v>-320.52999999999975</v>
      </c>
      <c r="AD204" s="8">
        <f>IFERROR(AC204/AC444, "NA")</f>
        <v>-8.0127457979706576E-4</v>
      </c>
    </row>
    <row r="205" spans="1:30" ht="16.5" customHeight="1" x14ac:dyDescent="0.45">
      <c r="A205" s="6" t="s">
        <v>187</v>
      </c>
      <c r="B205" s="7">
        <v>2396.5100000000002</v>
      </c>
      <c r="C205" s="8">
        <f>IFERROR(B205/B444, "NA")</f>
        <v>3.3222600112799718E-3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-2396.5100000000002</v>
      </c>
      <c r="I205" s="8">
        <f>IFERROR(H205/H444, "NA")</f>
        <v>2.8825410037190885E-2</v>
      </c>
      <c r="J205" s="9"/>
      <c r="K205" s="7">
        <v>2026.96</v>
      </c>
      <c r="L205" s="8">
        <f>IFERROR(K205/K444, "NA")</f>
        <v>2.9472233627327689E-3</v>
      </c>
      <c r="M205" s="9"/>
      <c r="N205" s="10">
        <f t="shared" si="53"/>
        <v>-369.55000000000018</v>
      </c>
      <c r="O205" s="8">
        <f>IFERROR(N205/N444, "NA")</f>
        <v>-1.0999526742050642E-2</v>
      </c>
      <c r="P205" s="9"/>
      <c r="Q205" s="7">
        <v>12805.089999999998</v>
      </c>
      <c r="R205" s="8">
        <f>IFERROR(Q205/Q444, "NA")</f>
        <v>3.578820249595706E-3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-12805.089999999998</v>
      </c>
      <c r="X205" s="8">
        <f>IFERROR(W205/W444, "NA")</f>
        <v>0.31478472366987209</v>
      </c>
      <c r="Y205" s="9"/>
      <c r="Z205" s="7">
        <v>11313.27</v>
      </c>
      <c r="AA205" s="8">
        <f>IFERROR(Z205/Z444, "NA")</f>
        <v>3.5598769137032329E-3</v>
      </c>
      <c r="AB205" s="9"/>
      <c r="AC205" s="10">
        <f t="shared" si="55"/>
        <v>-1491.8199999999979</v>
      </c>
      <c r="AD205" s="8">
        <f>IFERROR(AC205/AC444, "NA")</f>
        <v>-3.7293153328326768E-3</v>
      </c>
    </row>
    <row r="206" spans="1:30" ht="16.5" customHeight="1" x14ac:dyDescent="0.45">
      <c r="A206" s="6" t="s">
        <v>188</v>
      </c>
      <c r="B206" s="7">
        <v>2199.8200000000002</v>
      </c>
      <c r="C206" s="8">
        <f>IFERROR(B206/B444, "NA")</f>
        <v>3.0495904536237727E-3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-2199.8200000000002</v>
      </c>
      <c r="I206" s="8">
        <f>IFERROR(H206/H444, "NA")</f>
        <v>2.6459607307298218E-2</v>
      </c>
      <c r="J206" s="9"/>
      <c r="K206" s="7">
        <v>10.94</v>
      </c>
      <c r="L206" s="8">
        <f>IFERROR(K206/K444, "NA")</f>
        <v>1.5906886957955012E-5</v>
      </c>
      <c r="M206" s="9"/>
      <c r="N206" s="10">
        <f t="shared" si="53"/>
        <v>-2188.88</v>
      </c>
      <c r="O206" s="8">
        <f>IFERROR(N206/N444, "NA")</f>
        <v>-6.5151249073575418E-2</v>
      </c>
      <c r="P206" s="9"/>
      <c r="Q206" s="7">
        <v>3931.7799999999997</v>
      </c>
      <c r="R206" s="8">
        <f>IFERROR(Q206/Q444, "NA")</f>
        <v>1.0988703617823387E-3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-3931.7799999999997</v>
      </c>
      <c r="X206" s="8">
        <f>IFERROR(W206/W444, "NA")</f>
        <v>9.6654086838181524E-2</v>
      </c>
      <c r="Y206" s="9"/>
      <c r="Z206" s="7">
        <v>1221.5700000000002</v>
      </c>
      <c r="AA206" s="8">
        <f>IFERROR(Z206/Z444, "NA")</f>
        <v>3.8438389974538385E-4</v>
      </c>
      <c r="AB206" s="9"/>
      <c r="AC206" s="10">
        <f t="shared" si="55"/>
        <v>-2710.2099999999996</v>
      </c>
      <c r="AD206" s="8">
        <f>IFERROR(AC206/AC444, "NA")</f>
        <v>-6.7750986769157555E-3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0</v>
      </c>
      <c r="I207" s="8">
        <f>IFERROR(H207/H444, "NA")</f>
        <v>0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0</v>
      </c>
      <c r="O207" s="8">
        <f>IFERROR(N207/N444, "NA")</f>
        <v>0</v>
      </c>
      <c r="P207" s="9"/>
      <c r="Q207" s="7">
        <v>2941.45</v>
      </c>
      <c r="R207" s="8">
        <f>IFERROR(Q207/Q444, "NA")</f>
        <v>8.2208878056876534E-4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-2941.45</v>
      </c>
      <c r="X207" s="8">
        <f>IFERROR(W207/W444, "NA")</f>
        <v>7.2309021290654363E-2</v>
      </c>
      <c r="Y207" s="9"/>
      <c r="Z207" s="7">
        <v>1541.54</v>
      </c>
      <c r="AA207" s="8">
        <f>IFERROR(Z207/Z444, "NA")</f>
        <v>4.8506688672241368E-4</v>
      </c>
      <c r="AB207" s="9"/>
      <c r="AC207" s="10">
        <f t="shared" si="55"/>
        <v>-1399.9099999999999</v>
      </c>
      <c r="AD207" s="8">
        <f>IFERROR(AC207/AC444, "NA")</f>
        <v>-3.499554790514807E-3</v>
      </c>
    </row>
    <row r="208" spans="1:30" ht="16.5" customHeight="1" x14ac:dyDescent="0.45">
      <c r="A208" s="6" t="s">
        <v>190</v>
      </c>
      <c r="B208" s="7">
        <v>709.31</v>
      </c>
      <c r="C208" s="8">
        <f>IFERROR(B208/B444, "NA")</f>
        <v>9.8331000020905244E-4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-709.31</v>
      </c>
      <c r="I208" s="8">
        <f>IFERROR(H208/H444, "NA")</f>
        <v>8.5316362516659073E-3</v>
      </c>
      <c r="J208" s="9"/>
      <c r="K208" s="7">
        <v>1170.8200000000002</v>
      </c>
      <c r="L208" s="8">
        <f>IFERROR(K208/K444, "NA")</f>
        <v>1.7023858672863702E-3</v>
      </c>
      <c r="M208" s="9"/>
      <c r="N208" s="10">
        <f t="shared" si="53"/>
        <v>461.51000000000022</v>
      </c>
      <c r="O208" s="8">
        <f>IFERROR(N208/N444, "NA")</f>
        <v>1.373668403930129E-2</v>
      </c>
      <c r="P208" s="9"/>
      <c r="Q208" s="7">
        <v>4669.1000000000004</v>
      </c>
      <c r="R208" s="8">
        <f>IFERROR(Q208/Q444, "NA")</f>
        <v>1.3049396472330391E-3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-4669.1000000000004</v>
      </c>
      <c r="X208" s="8">
        <f>IFERROR(W208/W444, "NA")</f>
        <v>0.11477946295473129</v>
      </c>
      <c r="Y208" s="9"/>
      <c r="Z208" s="7">
        <v>4475.4900000000007</v>
      </c>
      <c r="AA208" s="8">
        <f>IFERROR(Z208/Z444, "NA")</f>
        <v>1.4082748425972053E-3</v>
      </c>
      <c r="AB208" s="9"/>
      <c r="AC208" s="10">
        <f t="shared" si="55"/>
        <v>-193.60999999999967</v>
      </c>
      <c r="AD208" s="8">
        <f>IFERROR(AC208/AC444, "NA")</f>
        <v>-4.839945446432776E-4</v>
      </c>
    </row>
    <row r="209" spans="1:30" ht="16.5" customHeight="1" x14ac:dyDescent="0.45">
      <c r="A209" s="19" t="s">
        <v>191</v>
      </c>
      <c r="B209" s="14">
        <f>IFERROR(B201+B202+B203+B204+B205+B206+B207+B208, "NA")</f>
        <v>25678.77</v>
      </c>
      <c r="C209" s="15">
        <f>IFERROR(B209/B444, "NA")</f>
        <v>3.5598245244065657E-2</v>
      </c>
      <c r="D209" s="2"/>
      <c r="E209" s="14">
        <f>IFERROR(E201+E202+E203+E204+E205+E206+E207+E208, "NA")</f>
        <v>15613.969999999998</v>
      </c>
      <c r="F209" s="15">
        <f>IFERROR(E209/E444, "NA")</f>
        <v>1.9408577469111662E-2</v>
      </c>
      <c r="G209" s="2"/>
      <c r="H209" s="14">
        <f t="shared" si="52"/>
        <v>-10064.800000000003</v>
      </c>
      <c r="I209" s="15">
        <f>IFERROR(H209/H444, "NA")</f>
        <v>0.12106020293773816</v>
      </c>
      <c r="J209" s="2"/>
      <c r="K209" s="14">
        <f>IFERROR(K201+K202+K203+K204+K205+K206+K207+K208, "NA")</f>
        <v>14114.769999999999</v>
      </c>
      <c r="L209" s="15">
        <f>IFERROR(K209/K444, "NA")</f>
        <v>2.0523039380944665E-2</v>
      </c>
      <c r="M209" s="2"/>
      <c r="N209" s="14">
        <f t="shared" si="53"/>
        <v>-11564.000000000002</v>
      </c>
      <c r="O209" s="15">
        <f>IFERROR(N209/N444, "NA")</f>
        <v>-0.34419842306879606</v>
      </c>
      <c r="P209" s="2"/>
      <c r="Q209" s="14">
        <f>IFERROR(Q201+Q202+Q203+Q204+Q205+Q206+Q207+Q208, "NA")</f>
        <v>97582.3</v>
      </c>
      <c r="R209" s="15">
        <f>IFERROR(Q209/Q444, "NA")</f>
        <v>2.7272710402045056E-2</v>
      </c>
      <c r="S209" s="2"/>
      <c r="T209" s="14">
        <f>IFERROR(T201+T202+T203+T204+T205+T206+T207+T208, "NA")</f>
        <v>71013.760000000009</v>
      </c>
      <c r="U209" s="15">
        <f>IFERROR(T209/T444, "NA")</f>
        <v>1.9624114829607978E-2</v>
      </c>
      <c r="V209" s="2"/>
      <c r="W209" s="14">
        <f t="shared" si="54"/>
        <v>-26568.539999999994</v>
      </c>
      <c r="X209" s="15">
        <f>IFERROR(W209/W444, "NA")</f>
        <v>0.65312860137741657</v>
      </c>
      <c r="Y209" s="2"/>
      <c r="Z209" s="14">
        <f>IFERROR(Z201+Z202+Z203+Z204+Z205+Z206+Z207+Z208, "NA")</f>
        <v>72102.62000000001</v>
      </c>
      <c r="AA209" s="15">
        <f>IFERROR(Z209/Z444, "NA")</f>
        <v>2.2688086853360438E-2</v>
      </c>
      <c r="AB209" s="2"/>
      <c r="AC209" s="14">
        <f t="shared" si="55"/>
        <v>-25479.679999999993</v>
      </c>
      <c r="AD209" s="15">
        <f>IFERROR(AC209/AC444, "NA")</f>
        <v>-6.3695191980044655E-2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26631.66</v>
      </c>
      <c r="F213" s="8">
        <f>IFERROR(E213/E444, "NA")</f>
        <v>3.3103857394438593E-2</v>
      </c>
      <c r="G213" s="9"/>
      <c r="H213" s="10">
        <f t="shared" ref="H213:H227" si="56">IFERROR(-(B213-E213), "NA")</f>
        <v>26631.66</v>
      </c>
      <c r="I213" s="8">
        <f>IFERROR(H213/H444, "NA")</f>
        <v>-0.32032769296646163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124328.73</v>
      </c>
      <c r="U213" s="8">
        <f>IFERROR(T213/T444, "NA")</f>
        <v>3.4357303065480918E-2</v>
      </c>
      <c r="V213" s="9"/>
      <c r="W213" s="10">
        <f t="shared" ref="W213:W227" si="58">IFERROR(-(Q213-T213), "NA")</f>
        <v>124328.73</v>
      </c>
      <c r="X213" s="8">
        <f>IFERROR(W213/W444, "NA")</f>
        <v>-3.056345946594373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16722.480000000003</v>
      </c>
      <c r="C214" s="8">
        <f>IFERROR(B214/B444, "NA")</f>
        <v>2.3182221894934345E-2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-16722.480000000003</v>
      </c>
      <c r="I214" s="8">
        <f>IFERROR(H214/H444, "NA")</f>
        <v>0.20113929958094223</v>
      </c>
      <c r="J214" s="9"/>
      <c r="K214" s="7">
        <v>3420.99</v>
      </c>
      <c r="L214" s="8">
        <f>IFERROR(K214/K444, "NA")</f>
        <v>4.9741591603559886E-3</v>
      </c>
      <c r="M214" s="9"/>
      <c r="N214" s="10">
        <f t="shared" si="57"/>
        <v>-13301.490000000003</v>
      </c>
      <c r="O214" s="8">
        <f>IFERROR(N214/N444, "NA")</f>
        <v>-0.39591420637023178</v>
      </c>
      <c r="P214" s="9"/>
      <c r="Q214" s="7">
        <v>80487.679999999993</v>
      </c>
      <c r="R214" s="8">
        <f>IFERROR(Q214/Q444, "NA")</f>
        <v>2.2495034320491252E-2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-80487.679999999993</v>
      </c>
      <c r="X214" s="8">
        <f>IFERROR(W214/W444, "NA")</f>
        <v>1.9786110138725377</v>
      </c>
      <c r="Y214" s="9"/>
      <c r="Z214" s="7">
        <v>14846.99</v>
      </c>
      <c r="AA214" s="8">
        <f>IFERROR(Z214/Z444, "NA")</f>
        <v>4.6718107973187911E-3</v>
      </c>
      <c r="AB214" s="9"/>
      <c r="AC214" s="10">
        <f t="shared" si="59"/>
        <v>-65640.689999999988</v>
      </c>
      <c r="AD214" s="8">
        <f>IFERROR(AC214/AC444, "NA")</f>
        <v>-0.1640913995486834</v>
      </c>
    </row>
    <row r="215" spans="1:30" ht="16.5" customHeight="1" x14ac:dyDescent="0.45">
      <c r="A215" s="12" t="s">
        <v>195</v>
      </c>
      <c r="B215" s="7">
        <v>45.980000000000004</v>
      </c>
      <c r="C215" s="8">
        <f>IFERROR(B215/B444, "NA")</f>
        <v>6.3741655707112886E-5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-45.980000000000004</v>
      </c>
      <c r="I215" s="8">
        <f>IFERROR(H215/H444, "NA")</f>
        <v>5.5305104235327078E-4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-45.980000000000004</v>
      </c>
      <c r="O215" s="8">
        <f>IFERROR(N215/N444, "NA")</f>
        <v>-1.3685786486253234E-3</v>
      </c>
      <c r="P215" s="9"/>
      <c r="Q215" s="7">
        <v>45.980000000000004</v>
      </c>
      <c r="R215" s="8">
        <f>IFERROR(Q215/Q444, "NA")</f>
        <v>1.2850683210849014E-5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-45.980000000000004</v>
      </c>
      <c r="X215" s="8">
        <f>IFERROR(W215/W444, "NA")</f>
        <v>1.1303162722277409E-3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-45.980000000000004</v>
      </c>
      <c r="AD215" s="8">
        <f>IFERROR(AC215/AC444, "NA")</f>
        <v>-1.1494276722637232E-4</v>
      </c>
    </row>
    <row r="216" spans="1:30" ht="16.5" customHeight="1" x14ac:dyDescent="0.45">
      <c r="A216" s="12" t="s">
        <v>196</v>
      </c>
      <c r="B216" s="7">
        <v>110</v>
      </c>
      <c r="C216" s="8">
        <f>IFERROR(B216/B444, "NA")</f>
        <v>1.5249199929931313E-4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-110</v>
      </c>
      <c r="I216" s="8">
        <f>IFERROR(H216/H444, "NA")</f>
        <v>1.3230886180700255E-3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-110</v>
      </c>
      <c r="O216" s="8">
        <f>IFERROR(N216/N444, "NA")</f>
        <v>-3.2741115995821132E-3</v>
      </c>
      <c r="P216" s="9"/>
      <c r="Q216" s="7">
        <v>572.22</v>
      </c>
      <c r="R216" s="8">
        <f>IFERROR(Q216/Q444, "NA")</f>
        <v>1.5992644512640328E-4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-572.22</v>
      </c>
      <c r="X216" s="8">
        <f>IFERROR(W216/W444, "NA")</f>
        <v>1.406675896681509E-2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-572.22</v>
      </c>
      <c r="AD216" s="8">
        <f>IFERROR(AC216/AC444, "NA")</f>
        <v>-1.4304599883052363E-3</v>
      </c>
    </row>
    <row r="217" spans="1:30" ht="16.5" customHeight="1" x14ac:dyDescent="0.45">
      <c r="A217" s="12" t="s">
        <v>197</v>
      </c>
      <c r="B217" s="7">
        <v>9596.58</v>
      </c>
      <c r="C217" s="8">
        <f>IFERROR(B217/B444, "NA")</f>
        <v>1.3303651551234566E-2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-9596.58</v>
      </c>
      <c r="I217" s="8">
        <f>IFERROR(H217/H444, "NA")</f>
        <v>0.11542841609453133</v>
      </c>
      <c r="J217" s="9"/>
      <c r="K217" s="7">
        <v>1395</v>
      </c>
      <c r="L217" s="8">
        <f>IFERROR(K217/K444, "NA")</f>
        <v>2.028346188880004E-3</v>
      </c>
      <c r="M217" s="9"/>
      <c r="N217" s="10">
        <f t="shared" si="57"/>
        <v>-8201.58</v>
      </c>
      <c r="O217" s="8">
        <f>IFERROR(N217/N444, "NA")</f>
        <v>-0.24411716557182425</v>
      </c>
      <c r="P217" s="9"/>
      <c r="Q217" s="7">
        <v>79239.009999999995</v>
      </c>
      <c r="R217" s="8">
        <f>IFERROR(Q217/Q444, "NA")</f>
        <v>2.2146050792764181E-2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-79239.009999999995</v>
      </c>
      <c r="X217" s="8">
        <f>IFERROR(W217/W444, "NA")</f>
        <v>1.9479152326710889</v>
      </c>
      <c r="Y217" s="9"/>
      <c r="Z217" s="7">
        <v>7266.7800000000007</v>
      </c>
      <c r="AA217" s="8">
        <f>IFERROR(Z217/Z444, "NA")</f>
        <v>2.2865928559081838E-3</v>
      </c>
      <c r="AB217" s="9"/>
      <c r="AC217" s="10">
        <f t="shared" si="59"/>
        <v>-71972.23</v>
      </c>
      <c r="AD217" s="8">
        <f>IFERROR(AC217/AC444, "NA")</f>
        <v>-0.17991925358096844</v>
      </c>
    </row>
    <row r="218" spans="1:30" ht="16.5" customHeight="1" x14ac:dyDescent="0.45">
      <c r="A218" s="13" t="s">
        <v>198</v>
      </c>
      <c r="B218" s="14">
        <f>IFERROR(B213+B214+B215+B216+B217, "NA")</f>
        <v>26475.040000000001</v>
      </c>
      <c r="C218" s="15">
        <f>IFERROR(B218/B444, "NA")</f>
        <v>3.6702107101175337E-2</v>
      </c>
      <c r="D218" s="2"/>
      <c r="E218" s="14">
        <f>IFERROR(E213+E214+E215+E216+E217, "NA")</f>
        <v>26631.66</v>
      </c>
      <c r="F218" s="15">
        <f>IFERROR(E218/E444, "NA")</f>
        <v>3.3103857394438593E-2</v>
      </c>
      <c r="G218" s="2"/>
      <c r="H218" s="14">
        <f t="shared" si="56"/>
        <v>156.61999999999898</v>
      </c>
      <c r="I218" s="15">
        <f>IFERROR(H218/H444, "NA")</f>
        <v>-1.8838376305647824E-3</v>
      </c>
      <c r="J218" s="2"/>
      <c r="K218" s="14">
        <f>IFERROR(K213+K214+K215+K216+K217, "NA")</f>
        <v>4815.99</v>
      </c>
      <c r="L218" s="15">
        <f>IFERROR(K218/K444, "NA")</f>
        <v>7.0025053492359917E-3</v>
      </c>
      <c r="M218" s="2"/>
      <c r="N218" s="14">
        <f t="shared" si="57"/>
        <v>-21659.050000000003</v>
      </c>
      <c r="O218" s="15">
        <f>IFERROR(N218/N444, "NA")</f>
        <v>-0.64467406219026346</v>
      </c>
      <c r="P218" s="2"/>
      <c r="Q218" s="14">
        <f>IFERROR(Q213+Q214+Q215+Q216+Q217, "NA")</f>
        <v>160344.88999999998</v>
      </c>
      <c r="R218" s="15">
        <f>IFERROR(Q218/Q444, "NA")</f>
        <v>4.4813862241592686E-2</v>
      </c>
      <c r="S218" s="2"/>
      <c r="T218" s="14">
        <f>IFERROR(T213+T214+T215+T216+T217, "NA")</f>
        <v>124328.73</v>
      </c>
      <c r="U218" s="15">
        <f>IFERROR(T218/T444, "NA")</f>
        <v>3.4357303065480918E-2</v>
      </c>
      <c r="V218" s="2"/>
      <c r="W218" s="14">
        <f t="shared" si="58"/>
        <v>-36016.159999999989</v>
      </c>
      <c r="X218" s="15">
        <f>IFERROR(W218/W444, "NA")</f>
        <v>0.88537737518829618</v>
      </c>
      <c r="Y218" s="2"/>
      <c r="Z218" s="14">
        <f>IFERROR(Z213+Z214+Z215+Z216+Z217, "NA")</f>
        <v>22113.77</v>
      </c>
      <c r="AA218" s="15">
        <f>IFERROR(Z218/Z444, "NA")</f>
        <v>6.9584036532269753E-3</v>
      </c>
      <c r="AB218" s="2"/>
      <c r="AC218" s="14">
        <f t="shared" si="59"/>
        <v>-138231.12</v>
      </c>
      <c r="AD218" s="15">
        <f>IFERROR(AC218/AC444, "NA")</f>
        <v>-0.34555605588518346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1652.6499999999999</v>
      </c>
      <c r="C222" s="8">
        <f>IFERROR(B222/B444, "NA")</f>
        <v>2.2910536603819071E-3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-1652.6499999999999</v>
      </c>
      <c r="I222" s="8">
        <f>IFERROR(H222/H444, "NA")</f>
        <v>1.9878203678667525E-2</v>
      </c>
      <c r="J222" s="9"/>
      <c r="K222" s="7">
        <v>300</v>
      </c>
      <c r="L222" s="8">
        <f>IFERROR(K222/K444, "NA")</f>
        <v>4.362034814795707E-4</v>
      </c>
      <c r="M222" s="9"/>
      <c r="N222" s="10">
        <f t="shared" si="57"/>
        <v>-1352.6499999999999</v>
      </c>
      <c r="O222" s="8">
        <f>IFERROR(N222/N444, "NA")</f>
        <v>-4.026115504704314E-2</v>
      </c>
      <c r="P222" s="9"/>
      <c r="Q222" s="7">
        <v>6482.44</v>
      </c>
      <c r="R222" s="8">
        <f>IFERROR(Q222/Q444, "NA")</f>
        <v>1.8117395144266219E-3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-6482.44</v>
      </c>
      <c r="X222" s="8">
        <f>IFERROR(W222/W444, "NA")</f>
        <v>0.15935640312614172</v>
      </c>
      <c r="Y222" s="9"/>
      <c r="Z222" s="7">
        <v>2000</v>
      </c>
      <c r="AA222" s="8">
        <f>IFERROR(Z222/Z444, "NA")</f>
        <v>6.2932766807531908E-4</v>
      </c>
      <c r="AB222" s="9"/>
      <c r="AC222" s="10">
        <f t="shared" si="59"/>
        <v>-4482.4399999999996</v>
      </c>
      <c r="AD222" s="8">
        <f>IFERROR(AC222/AC444, "NA")</f>
        <v>-1.1205394900525885E-2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804.48</v>
      </c>
      <c r="F226" s="8">
        <f>IFERROR(E226/E444, "NA")</f>
        <v>9.9998990662534593E-4</v>
      </c>
      <c r="G226" s="9"/>
      <c r="H226" s="10">
        <f t="shared" si="56"/>
        <v>804.48</v>
      </c>
      <c r="I226" s="8">
        <f>IFERROR(H226/H444, "NA")</f>
        <v>-9.6763484678634021E-3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3618.69</v>
      </c>
      <c r="U226" s="8">
        <f>IFERROR(T226/T444, "NA")</f>
        <v>9.9999757924033438E-4</v>
      </c>
      <c r="V226" s="9"/>
      <c r="W226" s="10">
        <f t="shared" si="58"/>
        <v>3618.69</v>
      </c>
      <c r="X226" s="8">
        <f>IFERROR(W226/W444, "NA")</f>
        <v>-8.8957463922309771E-2</v>
      </c>
      <c r="Y226" s="9"/>
      <c r="Z226" s="7">
        <v>3956.1899999999996</v>
      </c>
      <c r="AA226" s="8">
        <f>IFERROR(Z226/Z444, "NA")</f>
        <v>1.2448699135814481E-3</v>
      </c>
      <c r="AB226" s="9"/>
      <c r="AC226" s="10">
        <f t="shared" si="59"/>
        <v>3956.1899999999996</v>
      </c>
      <c r="AD226" s="8">
        <f>IFERROR(AC226/AC444, "NA")</f>
        <v>9.889852681020047E-3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28127.690000000002</v>
      </c>
      <c r="C227" s="15">
        <f>IFERROR(B227/B444, "NA")</f>
        <v>3.8993160761557247E-2</v>
      </c>
      <c r="D227" s="2"/>
      <c r="E227" s="14">
        <f>IFERROR(E211+E213+E214+E215+E216+E217+E219+E220+E221+E222+E223+E224+E225+E226, "NA")</f>
        <v>27436.14</v>
      </c>
      <c r="F227" s="15">
        <f>IFERROR(E227/E444, "NA")</f>
        <v>3.4103847301063937E-2</v>
      </c>
      <c r="G227" s="2"/>
      <c r="H227" s="14">
        <f t="shared" si="56"/>
        <v>-691.55000000000291</v>
      </c>
      <c r="I227" s="15">
        <f>IFERROR(H227/H444, "NA")</f>
        <v>8.318017580239364E-3</v>
      </c>
      <c r="J227" s="2"/>
      <c r="K227" s="14">
        <f>IFERROR(K211+K213+K214+K215+K216+K217+K219+K220+K221+K222+K223+K224+K225+K226, "NA")</f>
        <v>5115.99</v>
      </c>
      <c r="L227" s="15">
        <f>IFERROR(K227/K444, "NA")</f>
        <v>7.4387088307155628E-3</v>
      </c>
      <c r="M227" s="2"/>
      <c r="N227" s="14">
        <f t="shared" si="57"/>
        <v>-23011.700000000004</v>
      </c>
      <c r="O227" s="15">
        <f>IFERROR(N227/N444, "NA")</f>
        <v>-0.68493521723730666</v>
      </c>
      <c r="P227" s="2"/>
      <c r="Q227" s="14">
        <f>IFERROR(Q211+Q213+Q214+Q215+Q216+Q217+Q219+Q220+Q221+Q222+Q223+Q224+Q225+Q226, "NA")</f>
        <v>166827.32999999999</v>
      </c>
      <c r="R227" s="15">
        <f>IFERROR(Q227/Q444, "NA")</f>
        <v>4.6625601756019305E-2</v>
      </c>
      <c r="S227" s="2"/>
      <c r="T227" s="14">
        <f>IFERROR(T211+T213+T214+T215+T216+T217+T219+T220+T221+T222+T223+T224+T225+T226, "NA")</f>
        <v>127947.42</v>
      </c>
      <c r="U227" s="15">
        <f>IFERROR(T227/T444, "NA")</f>
        <v>3.535730064472125E-2</v>
      </c>
      <c r="V227" s="2"/>
      <c r="W227" s="14">
        <f t="shared" si="58"/>
        <v>-38879.909999999989</v>
      </c>
      <c r="X227" s="15">
        <f>IFERROR(W227/W444, "NA")</f>
        <v>0.95577631439212807</v>
      </c>
      <c r="Y227" s="2"/>
      <c r="Z227" s="14">
        <f>IFERROR(Z211+Z213+Z214+Z215+Z216+Z217+Z219+Z220+Z221+Z222+Z223+Z224+Z225+Z226, "NA")</f>
        <v>28069.96</v>
      </c>
      <c r="AA227" s="15">
        <f>IFERROR(Z227/Z444, "NA")</f>
        <v>8.8326012348837416E-3</v>
      </c>
      <c r="AB227" s="2"/>
      <c r="AC227" s="14">
        <f t="shared" si="59"/>
        <v>-138757.37</v>
      </c>
      <c r="AD227" s="15">
        <f>IFERROR(AC227/AC444, "NA")</f>
        <v>-0.34687159810468932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13406.850000000002</v>
      </c>
      <c r="F229" s="8">
        <f>IFERROR(E229/E444, "NA")</f>
        <v>1.6665068963355237E-2</v>
      </c>
      <c r="G229" s="9"/>
      <c r="H229" s="10">
        <f t="shared" ref="H229:H236" si="60">IFERROR(-(B229-E229), "NA")</f>
        <v>13406.850000000002</v>
      </c>
      <c r="I229" s="8">
        <f>IFERROR(H229/H444, "NA")</f>
        <v>-0.16125864217429206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61832.78</v>
      </c>
      <c r="U229" s="8">
        <f>IFERROR(T229/T444, "NA")</f>
        <v>1.7087020528893097E-2</v>
      </c>
      <c r="V229" s="9"/>
      <c r="W229" s="10">
        <f t="shared" ref="W229:W236" si="62">IFERROR(-(Q229-T229), "NA")</f>
        <v>61832.78</v>
      </c>
      <c r="X229" s="8">
        <f>IFERROR(W229/W444, "NA")</f>
        <v>-1.5200216918459766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83.95</v>
      </c>
      <c r="R230" s="8">
        <f>IFERROR(Q230/Q444, "NA")</f>
        <v>2.3462698032857214E-5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-83.95</v>
      </c>
      <c r="X230" s="8">
        <f>IFERROR(W230/W444, "NA")</f>
        <v>2.0637244683235937E-3</v>
      </c>
      <c r="Y230" s="9"/>
      <c r="Z230" s="7">
        <v>682.33999999999992</v>
      </c>
      <c r="AA230" s="8">
        <f>IFERROR(Z230/Z444, "NA")</f>
        <v>2.1470772051725661E-4</v>
      </c>
      <c r="AB230" s="9"/>
      <c r="AC230" s="10">
        <f t="shared" si="63"/>
        <v>598.38999999999987</v>
      </c>
      <c r="AD230" s="8">
        <f>IFERROR(AC230/AC444, "NA")</f>
        <v>1.4958808716961484E-3</v>
      </c>
    </row>
    <row r="231" spans="1:30" ht="16.5" customHeight="1" x14ac:dyDescent="0.45">
      <c r="A231" s="6" t="s">
        <v>210</v>
      </c>
      <c r="B231" s="7">
        <v>924</v>
      </c>
      <c r="C231" s="8">
        <f>IFERROR(B231/B444, "NA")</f>
        <v>1.2809327941142301E-3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-924</v>
      </c>
      <c r="I231" s="8">
        <f>IFERROR(H231/H444, "NA")</f>
        <v>1.1113944391788215E-2</v>
      </c>
      <c r="J231" s="9"/>
      <c r="K231" s="7">
        <v>1702.8700000000001</v>
      </c>
      <c r="L231" s="8">
        <f>IFERROR(K231/K444, "NA")</f>
        <v>2.4759927416903886E-3</v>
      </c>
      <c r="M231" s="9"/>
      <c r="N231" s="10">
        <f t="shared" si="61"/>
        <v>778.87000000000012</v>
      </c>
      <c r="O231" s="8">
        <f>IFERROR(N231/N444, "NA")</f>
        <v>2.3182793650604737E-2</v>
      </c>
      <c r="P231" s="9"/>
      <c r="Q231" s="7">
        <v>6510.3</v>
      </c>
      <c r="R231" s="8">
        <f>IFERROR(Q231/Q444, "NA")</f>
        <v>1.8195259440537263E-3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-6510.3</v>
      </c>
      <c r="X231" s="8">
        <f>IFERROR(W231/W444, "NA")</f>
        <v>0.16004127940592131</v>
      </c>
      <c r="Y231" s="9"/>
      <c r="Z231" s="7">
        <v>8307.52</v>
      </c>
      <c r="AA231" s="8">
        <f>IFERROR(Z231/Z444, "NA")</f>
        <v>2.6140760945445375E-3</v>
      </c>
      <c r="AB231" s="9"/>
      <c r="AC231" s="10">
        <f t="shared" si="63"/>
        <v>1797.2200000000003</v>
      </c>
      <c r="AD231" s="8">
        <f>IFERROR(AC231/AC444, "NA")</f>
        <v>4.4927672926181137E-3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34</v>
      </c>
      <c r="AA233" s="8">
        <f>IFERROR(Z233/Z444, "NA")</f>
        <v>1.0698570357280424E-5</v>
      </c>
      <c r="AB233" s="9"/>
      <c r="AC233" s="10">
        <f t="shared" si="63"/>
        <v>34</v>
      </c>
      <c r="AD233" s="8">
        <f>IFERROR(AC233/AC444, "NA")</f>
        <v>8.4994651711541063E-5</v>
      </c>
    </row>
    <row r="234" spans="1:30" ht="16.5" customHeight="1" x14ac:dyDescent="0.45">
      <c r="A234" s="6" t="s">
        <v>213</v>
      </c>
      <c r="B234" s="7">
        <v>6757.11</v>
      </c>
      <c r="C234" s="8">
        <f>IFERROR(B234/B444, "NA")</f>
        <v>9.367320121685287E-3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-6757.11</v>
      </c>
      <c r="I234" s="8">
        <f>IFERROR(H234/H444, "NA")</f>
        <v>8.127504847315592E-2</v>
      </c>
      <c r="J234" s="9"/>
      <c r="K234" s="7">
        <v>10389.129999999999</v>
      </c>
      <c r="L234" s="8">
        <f>IFERROR(K234/K444, "NA")</f>
        <v>1.5105915585146174E-2</v>
      </c>
      <c r="M234" s="9"/>
      <c r="N234" s="10">
        <f t="shared" si="61"/>
        <v>3632.0199999999995</v>
      </c>
      <c r="O234" s="8">
        <f>IFERROR(N234/N444, "NA")</f>
        <v>0.10810580738103842</v>
      </c>
      <c r="P234" s="9"/>
      <c r="Q234" s="7">
        <v>49378.39</v>
      </c>
      <c r="R234" s="8">
        <f>IFERROR(Q234/Q444, "NA")</f>
        <v>1.380047949873325E-2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-49378.39</v>
      </c>
      <c r="X234" s="8">
        <f>IFERROR(W234/W444, "NA")</f>
        <v>1.2138581494868976</v>
      </c>
      <c r="Y234" s="9"/>
      <c r="Z234" s="7">
        <v>53603.990000000005</v>
      </c>
      <c r="AA234" s="8">
        <f>IFERROR(Z234/Z444, "NA")</f>
        <v>1.6867237013116366E-2</v>
      </c>
      <c r="AB234" s="9"/>
      <c r="AC234" s="10">
        <f t="shared" si="63"/>
        <v>4225.6000000000058</v>
      </c>
      <c r="AD234" s="8">
        <f>IFERROR(AC234/AC444, "NA")</f>
        <v>1.056333530212613E-2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7681.11</v>
      </c>
      <c r="C236" s="15">
        <f>IFERROR(B236/B444, "NA")</f>
        <v>1.0648252915799516E-2</v>
      </c>
      <c r="D236" s="2"/>
      <c r="E236" s="14">
        <f>IFERROR(E229+E230+E231+E232+E233+E234+E235, "NA")</f>
        <v>13406.850000000002</v>
      </c>
      <c r="F236" s="15">
        <f>IFERROR(E236/E444, "NA")</f>
        <v>1.6665068963355237E-2</v>
      </c>
      <c r="G236" s="2"/>
      <c r="H236" s="14">
        <f t="shared" si="60"/>
        <v>5725.7400000000025</v>
      </c>
      <c r="I236" s="15">
        <f>IFERROR(H236/H444, "NA")</f>
        <v>-6.8869649309347927E-2</v>
      </c>
      <c r="J236" s="2"/>
      <c r="K236" s="14">
        <f>IFERROR(K229+K230+K231+K232+K233+K234+K235, "NA")</f>
        <v>12092</v>
      </c>
      <c r="L236" s="15">
        <f>IFERROR(K236/K444, "NA")</f>
        <v>1.7581908326836562E-2</v>
      </c>
      <c r="M236" s="2"/>
      <c r="N236" s="14">
        <f t="shared" si="61"/>
        <v>4410.8900000000003</v>
      </c>
      <c r="O236" s="15">
        <f>IFERROR(N236/N444, "NA")</f>
        <v>0.13128860103164317</v>
      </c>
      <c r="P236" s="2"/>
      <c r="Q236" s="14">
        <f>IFERROR(Q229+Q230+Q231+Q232+Q233+Q234+Q235, "NA")</f>
        <v>55972.639999999999</v>
      </c>
      <c r="R236" s="15">
        <f>IFERROR(Q236/Q444, "NA")</f>
        <v>1.5643468140819832E-2</v>
      </c>
      <c r="S236" s="2"/>
      <c r="T236" s="14">
        <f>IFERROR(T229+T230+T231+T232+T233+T234+T235, "NA")</f>
        <v>61832.78</v>
      </c>
      <c r="U236" s="15">
        <f>IFERROR(T236/T444, "NA")</f>
        <v>1.7087020528893097E-2</v>
      </c>
      <c r="V236" s="2"/>
      <c r="W236" s="14">
        <f t="shared" si="62"/>
        <v>5860.1399999999994</v>
      </c>
      <c r="X236" s="15">
        <f>IFERROR(W236/W444, "NA")</f>
        <v>-0.1440585384848341</v>
      </c>
      <c r="Y236" s="2"/>
      <c r="Z236" s="14">
        <f>IFERROR(Z229+Z230+Z231+Z232+Z233+Z234+Z235, "NA")</f>
        <v>62627.850000000006</v>
      </c>
      <c r="AA236" s="15">
        <f>IFERROR(Z236/Z444, "NA")</f>
        <v>1.9706719398535438E-2</v>
      </c>
      <c r="AB236" s="2"/>
      <c r="AC236" s="14">
        <f t="shared" si="63"/>
        <v>6655.2100000000064</v>
      </c>
      <c r="AD236" s="15">
        <f>IFERROR(AC236/AC444, "NA")</f>
        <v>1.6636978118151933E-2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49857.35</v>
      </c>
      <c r="F240" s="8">
        <f>IFERROR(E240/E444, "NA")</f>
        <v>6.197400404122811E-2</v>
      </c>
      <c r="G240" s="9"/>
      <c r="H240" s="10">
        <f t="shared" ref="H240:H263" si="64">IFERROR(-(B240-E240), "NA")</f>
        <v>49857.35</v>
      </c>
      <c r="I240" s="8">
        <f>IFERROR(H240/H444, "NA")</f>
        <v>-0.59968811192848714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230502.38</v>
      </c>
      <c r="U240" s="8">
        <f>IFERROR(T240/T444, "NA")</f>
        <v>6.3697587250948734E-2</v>
      </c>
      <c r="V240" s="9"/>
      <c r="W240" s="10">
        <f t="shared" ref="W240:W263" si="66">IFERROR(-(Q240-T240), "NA")</f>
        <v>230502.38</v>
      </c>
      <c r="X240" s="8">
        <f>IFERROR(W240/W444, "NA")</f>
        <v>-5.6663895367816908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customHeight="1" x14ac:dyDescent="0.45">
      <c r="A241" s="12" t="s">
        <v>218</v>
      </c>
      <c r="B241" s="7">
        <v>102.87</v>
      </c>
      <c r="C241" s="8">
        <f>IFERROR(B241/B444, "NA")</f>
        <v>1.4260774516291219E-4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-102.87</v>
      </c>
      <c r="I241" s="8">
        <f>IFERROR(H241/H444, "NA")</f>
        <v>1.2373284194623958E-3</v>
      </c>
      <c r="J241" s="9"/>
      <c r="K241" s="7">
        <v>123.44</v>
      </c>
      <c r="L241" s="8">
        <f>IFERROR(K241/K444, "NA")</f>
        <v>1.7948319251279401E-4</v>
      </c>
      <c r="M241" s="9"/>
      <c r="N241" s="10">
        <f t="shared" si="65"/>
        <v>20.569999999999993</v>
      </c>
      <c r="O241" s="8">
        <f>IFERROR(N241/N444, "NA")</f>
        <v>6.1225886912185496E-4</v>
      </c>
      <c r="P241" s="9"/>
      <c r="Q241" s="7">
        <v>879.01</v>
      </c>
      <c r="R241" s="8">
        <f>IFERROR(Q241/Q444, "NA")</f>
        <v>2.4566940080835998E-4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-879.01</v>
      </c>
      <c r="X241" s="8">
        <f>IFERROR(W241/W444, "NA")</f>
        <v>2.1608510362133675E-2</v>
      </c>
      <c r="Y241" s="9"/>
      <c r="Z241" s="7">
        <v>470.89</v>
      </c>
      <c r="AA241" s="8">
        <f>IFERROR(Z241/Z444, "NA")</f>
        <v>1.4817205280999351E-4</v>
      </c>
      <c r="AB241" s="9"/>
      <c r="AC241" s="10">
        <f t="shared" si="67"/>
        <v>-408.12</v>
      </c>
      <c r="AD241" s="8">
        <f>IFERROR(AC241/AC444, "NA")</f>
        <v>-1.0202358016621806E-3</v>
      </c>
    </row>
    <row r="242" spans="1:30" ht="16.5" customHeight="1" x14ac:dyDescent="0.45">
      <c r="A242" s="12" t="s">
        <v>219</v>
      </c>
      <c r="B242" s="7">
        <v>10635.85</v>
      </c>
      <c r="C242" s="8">
        <f>IFERROR(B242/B444, "NA")</f>
        <v>1.474438209770545E-2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-10635.85</v>
      </c>
      <c r="I242" s="8">
        <f>IFERROR(H242/H444, "NA")</f>
        <v>0.12792883707727348</v>
      </c>
      <c r="J242" s="9"/>
      <c r="K242" s="7">
        <v>6875.31</v>
      </c>
      <c r="L242" s="8">
        <f>IFERROR(K242/K444, "NA")</f>
        <v>9.9967805275043582E-3</v>
      </c>
      <c r="M242" s="9"/>
      <c r="N242" s="10">
        <f t="shared" si="65"/>
        <v>-3760.54</v>
      </c>
      <c r="O242" s="8">
        <f>IFERROR(N242/N444, "NA")</f>
        <v>-0.11193116031538655</v>
      </c>
      <c r="P242" s="9"/>
      <c r="Q242" s="7">
        <v>43506.16</v>
      </c>
      <c r="R242" s="8">
        <f>IFERROR(Q242/Q444, "NA")</f>
        <v>1.2159284033938907E-2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-43506.16</v>
      </c>
      <c r="X242" s="8">
        <f>IFERROR(W242/W444, "NA")</f>
        <v>1.0695024051792879</v>
      </c>
      <c r="Y242" s="9"/>
      <c r="Z242" s="7">
        <v>32465.45</v>
      </c>
      <c r="AA242" s="8">
        <f>IFERROR(Z242/Z444, "NA")</f>
        <v>1.0215702970757934E-2</v>
      </c>
      <c r="AB242" s="9"/>
      <c r="AC242" s="10">
        <f t="shared" si="67"/>
        <v>-11040.710000000003</v>
      </c>
      <c r="AD242" s="8">
        <f>IFERROR(AC242/AC444, "NA")</f>
        <v>-2.7600038267592025E-2</v>
      </c>
    </row>
    <row r="243" spans="1:30" ht="16.5" customHeight="1" x14ac:dyDescent="0.45">
      <c r="A243" s="12" t="s">
        <v>220</v>
      </c>
      <c r="B243" s="7">
        <v>11228.789999999999</v>
      </c>
      <c r="C243" s="8">
        <f>IFERROR(B243/B444, "NA")</f>
        <v>1.5566369425564854E-2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-11228.789999999999</v>
      </c>
      <c r="I243" s="8">
        <f>IFERROR(H243/H444, "NA")</f>
        <v>0.13506076585180474</v>
      </c>
      <c r="J243" s="9"/>
      <c r="K243" s="7">
        <v>19213.89</v>
      </c>
      <c r="L243" s="8">
        <f>IFERROR(K243/K444, "NA")</f>
        <v>2.7937219035885027E-2</v>
      </c>
      <c r="M243" s="9"/>
      <c r="N243" s="10">
        <f t="shared" si="65"/>
        <v>7985.1</v>
      </c>
      <c r="O243" s="8">
        <f>IFERROR(N243/N444, "NA")</f>
        <v>0.23767371394384668</v>
      </c>
      <c r="P243" s="9"/>
      <c r="Q243" s="7">
        <v>84586.279999999984</v>
      </c>
      <c r="R243" s="8">
        <f>IFERROR(Q243/Q444, "NA")</f>
        <v>2.364052823541047E-2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-84586.279999999984</v>
      </c>
      <c r="X243" s="8">
        <f>IFERROR(W243/W444, "NA")</f>
        <v>2.0793660002438425</v>
      </c>
      <c r="Y243" s="9"/>
      <c r="Z243" s="7">
        <v>96142.35</v>
      </c>
      <c r="AA243" s="8">
        <f>IFERROR(Z243/Z444, "NA")</f>
        <v>3.025252046439058E-2</v>
      </c>
      <c r="AB243" s="9"/>
      <c r="AC243" s="10">
        <f t="shared" si="67"/>
        <v>11556.070000000022</v>
      </c>
      <c r="AD243" s="8">
        <f>IFERROR(AC243/AC444, "NA")</f>
        <v>2.8888357200123241E-2</v>
      </c>
    </row>
    <row r="244" spans="1:30" ht="16.5" customHeight="1" x14ac:dyDescent="0.45">
      <c r="A244" s="12" t="s">
        <v>221</v>
      </c>
      <c r="B244" s="7">
        <v>2671.24</v>
      </c>
      <c r="C244" s="8">
        <f>IFERROR(B244/B444, "NA")</f>
        <v>3.7031157109845194E-3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-2671.24</v>
      </c>
      <c r="I244" s="8">
        <f>IFERROR(H244/H444, "NA")</f>
        <v>3.21298840012125E-2</v>
      </c>
      <c r="J244" s="9"/>
      <c r="K244" s="7">
        <v>122.63</v>
      </c>
      <c r="L244" s="8">
        <f>IFERROR(K244/K444, "NA")</f>
        <v>1.7830544311279919E-4</v>
      </c>
      <c r="M244" s="9"/>
      <c r="N244" s="10">
        <f t="shared" si="65"/>
        <v>-2548.6099999999997</v>
      </c>
      <c r="O244" s="8">
        <f>IFERROR(N244/N444, "NA")</f>
        <v>-7.5858486943736078E-2</v>
      </c>
      <c r="P244" s="9"/>
      <c r="Q244" s="7">
        <v>9000.58</v>
      </c>
      <c r="R244" s="8">
        <f>IFERROR(Q244/Q444, "NA")</f>
        <v>2.5155198411027273E-3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-9000.58</v>
      </c>
      <c r="X244" s="8">
        <f>IFERROR(W244/W444, "NA")</f>
        <v>0.22125928737467507</v>
      </c>
      <c r="Y244" s="9"/>
      <c r="Z244" s="7">
        <v>321.39</v>
      </c>
      <c r="AA244" s="8">
        <f>IFERROR(Z244/Z444, "NA")</f>
        <v>1.011298096213634E-4</v>
      </c>
      <c r="AB244" s="9"/>
      <c r="AC244" s="10">
        <f t="shared" si="67"/>
        <v>-8679.19</v>
      </c>
      <c r="AD244" s="8">
        <f>IFERROR(AC244/AC444, "NA")</f>
        <v>-2.1696609740832064E-2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2241.86</v>
      </c>
      <c r="C246" s="8">
        <f>IFERROR(B246/B444, "NA")</f>
        <v>3.1078701231741649E-3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-2241.86</v>
      </c>
      <c r="I246" s="8">
        <f>IFERROR(H246/H444, "NA")</f>
        <v>2.6965267720967891E-2</v>
      </c>
      <c r="J246" s="9"/>
      <c r="K246" s="7">
        <v>0</v>
      </c>
      <c r="L246" s="8">
        <f>IFERROR(K246/K444, "NA")</f>
        <v>0</v>
      </c>
      <c r="M246" s="9"/>
      <c r="N246" s="10">
        <f t="shared" si="65"/>
        <v>-2241.86</v>
      </c>
      <c r="O246" s="8">
        <f>IFERROR(N246/N444, "NA")</f>
        <v>-6.6728180278537788E-2</v>
      </c>
      <c r="P246" s="9"/>
      <c r="Q246" s="7">
        <v>11928.48</v>
      </c>
      <c r="R246" s="8">
        <f>IFERROR(Q246/Q444, "NA")</f>
        <v>3.3338216108514188E-3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-11928.48</v>
      </c>
      <c r="X246" s="8">
        <f>IFERROR(W246/W444, "NA")</f>
        <v>0.2932352119822349</v>
      </c>
      <c r="Y246" s="9"/>
      <c r="Z246" s="7">
        <v>0</v>
      </c>
      <c r="AA246" s="8">
        <f>IFERROR(Z246/Z444, "NA")</f>
        <v>0</v>
      </c>
      <c r="AB246" s="9"/>
      <c r="AC246" s="10">
        <f t="shared" si="67"/>
        <v>-11928.48</v>
      </c>
      <c r="AD246" s="8">
        <f>IFERROR(AC246/AC444, "NA")</f>
        <v>-2.9819323619061276E-2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50.32</v>
      </c>
      <c r="L247" s="8">
        <f>IFERROR(K247/K444, "NA")</f>
        <v>7.3165863960173322E-5</v>
      </c>
      <c r="M247" s="9"/>
      <c r="N247" s="10">
        <f t="shared" si="65"/>
        <v>50.32</v>
      </c>
      <c r="O247" s="8">
        <f>IFERROR(N247/N444, "NA")</f>
        <v>1.4977572335542904E-3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387.85</v>
      </c>
      <c r="AA247" s="8">
        <f>IFERROR(Z247/Z444, "NA")</f>
        <v>1.2204236803150627E-4</v>
      </c>
      <c r="AB247" s="9"/>
      <c r="AC247" s="10">
        <f t="shared" si="67"/>
        <v>387.85</v>
      </c>
      <c r="AD247" s="8">
        <f>IFERROR(AC247/AC444, "NA")</f>
        <v>9.6956399018591774E-4</v>
      </c>
    </row>
    <row r="248" spans="1:30" ht="16.5" customHeight="1" x14ac:dyDescent="0.45">
      <c r="A248" s="12" t="s">
        <v>225</v>
      </c>
      <c r="B248" s="7">
        <v>1194.68</v>
      </c>
      <c r="C248" s="8">
        <f>IFERROR(B248/B444, "NA")</f>
        <v>1.6561740156627583E-3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-1194.68</v>
      </c>
      <c r="I248" s="8">
        <f>IFERROR(H248/H444, "NA")</f>
        <v>1.4369704638508167E-2</v>
      </c>
      <c r="J248" s="9"/>
      <c r="K248" s="7">
        <v>1164.9000000000001</v>
      </c>
      <c r="L248" s="8">
        <f>IFERROR(K248/K444, "NA")</f>
        <v>1.6937781185851731E-3</v>
      </c>
      <c r="M248" s="9"/>
      <c r="N248" s="10">
        <f t="shared" si="65"/>
        <v>-29.779999999999973</v>
      </c>
      <c r="O248" s="8">
        <f>IFERROR(N248/N444, "NA")</f>
        <v>-8.8639130395959311E-4</v>
      </c>
      <c r="P248" s="9"/>
      <c r="Q248" s="7">
        <v>7258.04</v>
      </c>
      <c r="R248" s="8">
        <f>IFERROR(Q248/Q444, "NA")</f>
        <v>2.028507454799273E-3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-7258.04</v>
      </c>
      <c r="X248" s="8">
        <f>IFERROR(W248/W444, "NA")</f>
        <v>0.17842280810090977</v>
      </c>
      <c r="Y248" s="9"/>
      <c r="Z248" s="7">
        <v>6777.83</v>
      </c>
      <c r="AA248" s="8">
        <f>IFERROR(Z248/Z444, "NA")</f>
        <v>2.1327379742554701E-3</v>
      </c>
      <c r="AB248" s="9"/>
      <c r="AC248" s="10">
        <f t="shared" si="67"/>
        <v>-480.21000000000004</v>
      </c>
      <c r="AD248" s="8">
        <f>IFERROR(AC248/AC444, "NA")</f>
        <v>-1.2004494617176217E-3</v>
      </c>
    </row>
    <row r="249" spans="1:30" ht="16.5" customHeight="1" x14ac:dyDescent="0.45">
      <c r="A249" s="12" t="s">
        <v>226</v>
      </c>
      <c r="B249" s="7">
        <v>9013.39</v>
      </c>
      <c r="C249" s="8">
        <f>IFERROR(B249/B444, "NA")</f>
        <v>1.2495180559676689E-2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-9013.39</v>
      </c>
      <c r="I249" s="8">
        <f>IFERROR(H249/H444, "NA")</f>
        <v>0.10841376108387443</v>
      </c>
      <c r="J249" s="9"/>
      <c r="K249" s="7">
        <v>9581.8200000000015</v>
      </c>
      <c r="L249" s="8">
        <f>IFERROR(K249/K444, "NA")</f>
        <v>1.3932077476368602E-2</v>
      </c>
      <c r="M249" s="9"/>
      <c r="N249" s="10">
        <f t="shared" si="65"/>
        <v>568.43000000000211</v>
      </c>
      <c r="O249" s="8">
        <f>IFERROR(N249/N444, "NA")</f>
        <v>1.6919120514095162E-2</v>
      </c>
      <c r="P249" s="9"/>
      <c r="Q249" s="7">
        <v>56602.909999999996</v>
      </c>
      <c r="R249" s="8">
        <f>IFERROR(Q249/Q444, "NA")</f>
        <v>1.5819618643370982E-2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-56602.909999999996</v>
      </c>
      <c r="X249" s="8">
        <f>IFERROR(W249/W444, "NA")</f>
        <v>1.3914569427673402</v>
      </c>
      <c r="Y249" s="9"/>
      <c r="Z249" s="7">
        <v>46077.94</v>
      </c>
      <c r="AA249" s="8">
        <f>IFERROR(Z249/Z444, "NA")</f>
        <v>1.4499061264957236E-2</v>
      </c>
      <c r="AB249" s="9"/>
      <c r="AC249" s="10">
        <f t="shared" si="67"/>
        <v>-10524.969999999994</v>
      </c>
      <c r="AD249" s="8">
        <f>IFERROR(AC249/AC444, "NA")</f>
        <v>-2.6310769394835818E-2</v>
      </c>
    </row>
    <row r="250" spans="1:30" ht="16.5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5.13</v>
      </c>
      <c r="AA250" s="8">
        <f>IFERROR(Z250/Z444, "NA")</f>
        <v>1.6142254686131934E-6</v>
      </c>
      <c r="AB250" s="9"/>
      <c r="AC250" s="10">
        <f t="shared" si="67"/>
        <v>5.13</v>
      </c>
      <c r="AD250" s="8">
        <f>IFERROR(AC250/AC444, "NA")</f>
        <v>1.2824193037653107E-5</v>
      </c>
    </row>
    <row r="251" spans="1:30" ht="16.5" customHeight="1" x14ac:dyDescent="0.45">
      <c r="A251" s="12" t="s">
        <v>228</v>
      </c>
      <c r="B251" s="7">
        <v>83.46</v>
      </c>
      <c r="C251" s="8">
        <f>IFERROR(B251/B444, "NA")</f>
        <v>1.1569983874109701E-4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-83.46</v>
      </c>
      <c r="I251" s="8">
        <f>IFERROR(H251/H444, "NA")</f>
        <v>1.0038634187647666E-3</v>
      </c>
      <c r="J251" s="9"/>
      <c r="K251" s="7">
        <v>257.27</v>
      </c>
      <c r="L251" s="8">
        <f>IFERROR(K251/K444, "NA")</f>
        <v>3.7407356560083049E-4</v>
      </c>
      <c r="M251" s="9"/>
      <c r="N251" s="10">
        <f t="shared" si="65"/>
        <v>173.81</v>
      </c>
      <c r="O251" s="8">
        <f>IFERROR(N251/N444, "NA")</f>
        <v>5.1733939738487925E-3</v>
      </c>
      <c r="P251" s="9"/>
      <c r="Q251" s="7">
        <v>377.56</v>
      </c>
      <c r="R251" s="8">
        <f>IFERROR(Q251/Q444, "NA")</f>
        <v>1.0552205204628433E-4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-377.56</v>
      </c>
      <c r="X251" s="8">
        <f>IFERROR(W251/W444, "NA")</f>
        <v>9.2814748095325326E-3</v>
      </c>
      <c r="Y251" s="9"/>
      <c r="Z251" s="7">
        <v>534.88</v>
      </c>
      <c r="AA251" s="8">
        <f>IFERROR(Z251/Z444, "NA")</f>
        <v>1.6830739155006334E-4</v>
      </c>
      <c r="AB251" s="9"/>
      <c r="AC251" s="10">
        <f t="shared" si="67"/>
        <v>157.32</v>
      </c>
      <c r="AD251" s="8">
        <f>IFERROR(AC251/AC444, "NA")</f>
        <v>3.9327525315469529E-4</v>
      </c>
    </row>
    <row r="252" spans="1:30" ht="16.5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142.26999999999998</v>
      </c>
      <c r="L252" s="8">
        <f>IFERROR(K252/K444, "NA")</f>
        <v>2.0686223103366172E-4</v>
      </c>
      <c r="M252" s="9"/>
      <c r="N252" s="10">
        <f t="shared" si="65"/>
        <v>142.26999999999998</v>
      </c>
      <c r="O252" s="8">
        <f>IFERROR(N252/N444, "NA")</f>
        <v>4.234616884295884E-3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370.42</v>
      </c>
      <c r="AA252" s="8">
        <f>IFERROR(Z252/Z444, "NA")</f>
        <v>1.1655777740422986E-4</v>
      </c>
      <c r="AB252" s="9"/>
      <c r="AC252" s="10">
        <f t="shared" si="67"/>
        <v>370.42</v>
      </c>
      <c r="AD252" s="8">
        <f>IFERROR(AC252/AC444, "NA")</f>
        <v>9.2599173197026601E-4</v>
      </c>
    </row>
    <row r="253" spans="1:30" ht="16.5" customHeight="1" x14ac:dyDescent="0.45">
      <c r="A253" s="12" t="s">
        <v>230</v>
      </c>
      <c r="B253" s="7">
        <v>342.71</v>
      </c>
      <c r="C253" s="8">
        <f>IFERROR(B253/B444, "NA")</f>
        <v>4.7509575527152358E-4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-342.71</v>
      </c>
      <c r="I253" s="8">
        <f>IFERROR(H253/H444, "NA")</f>
        <v>4.1221427299888954E-3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-342.71</v>
      </c>
      <c r="O253" s="8">
        <f>IFERROR(N253/N444, "NA")</f>
        <v>-1.0200643511752601E-2</v>
      </c>
      <c r="P253" s="9"/>
      <c r="Q253" s="7">
        <v>1124.68</v>
      </c>
      <c r="R253" s="8">
        <f>IFERROR(Q253/Q444, "NA")</f>
        <v>3.1433028259194581E-4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-1124.68</v>
      </c>
      <c r="X253" s="8">
        <f>IFERROR(W253/W444, "NA")</f>
        <v>2.7647762180276109E-2</v>
      </c>
      <c r="Y253" s="9"/>
      <c r="Z253" s="7">
        <v>3664.95</v>
      </c>
      <c r="AA253" s="8">
        <f>IFERROR(Z253/Z444, "NA")</f>
        <v>1.1532272185563203E-3</v>
      </c>
      <c r="AB253" s="9"/>
      <c r="AC253" s="10">
        <f t="shared" si="67"/>
        <v>2540.2699999999995</v>
      </c>
      <c r="AD253" s="8">
        <f>IFERROR(AC253/AC444, "NA")</f>
        <v>6.3502754089198934E-3</v>
      </c>
    </row>
    <row r="254" spans="1:30" ht="16.5" customHeight="1" x14ac:dyDescent="0.45">
      <c r="A254" s="12" t="s">
        <v>231</v>
      </c>
      <c r="B254" s="7">
        <v>5753.4</v>
      </c>
      <c r="C254" s="8">
        <f>IFERROR(B254/B444, "NA")</f>
        <v>7.975886079715163E-3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-5753.4</v>
      </c>
      <c r="I254" s="8">
        <f>IFERROR(H254/H444, "NA")</f>
        <v>6.9202345956400776E-2</v>
      </c>
      <c r="J254" s="9"/>
      <c r="K254" s="7">
        <v>3509.51</v>
      </c>
      <c r="L254" s="8">
        <f>IFERROR(K254/K444, "NA")</f>
        <v>5.1028682676245605E-3</v>
      </c>
      <c r="M254" s="9"/>
      <c r="N254" s="10">
        <f t="shared" si="65"/>
        <v>-2243.8899999999994</v>
      </c>
      <c r="O254" s="8">
        <f>IFERROR(N254/N444, "NA")</f>
        <v>-6.678860251987552E-2</v>
      </c>
      <c r="P254" s="9"/>
      <c r="Q254" s="7">
        <v>21541.870000000003</v>
      </c>
      <c r="R254" s="8">
        <f>IFERROR(Q254/Q444, "NA")</f>
        <v>6.0206121604891704E-3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-21541.870000000003</v>
      </c>
      <c r="X254" s="8">
        <f>IFERROR(W254/W444, "NA")</f>
        <v>0.52955907340614627</v>
      </c>
      <c r="Y254" s="9"/>
      <c r="Z254" s="7">
        <v>14134.929999999998</v>
      </c>
      <c r="AA254" s="8">
        <f>IFERROR(Z254/Z444, "NA")</f>
        <v>4.4477512676539344E-3</v>
      </c>
      <c r="AB254" s="9"/>
      <c r="AC254" s="10">
        <f t="shared" si="67"/>
        <v>-7406.9400000000041</v>
      </c>
      <c r="AD254" s="8">
        <f>IFERROR(AC254/AC444, "NA")</f>
        <v>-1.8516184869067129E-2</v>
      </c>
    </row>
    <row r="255" spans="1:30" ht="16.5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63.050000000000004</v>
      </c>
      <c r="L255" s="8">
        <f>IFERROR(K255/K444, "NA")</f>
        <v>9.1675431690956452E-5</v>
      </c>
      <c r="M255" s="9"/>
      <c r="N255" s="10">
        <f t="shared" si="65"/>
        <v>63.050000000000004</v>
      </c>
      <c r="O255" s="8">
        <f>IFERROR(N255/N444, "NA")</f>
        <v>1.876661239578657E-3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241.51</v>
      </c>
      <c r="AA255" s="8">
        <f>IFERROR(Z255/Z444, "NA")</f>
        <v>7.5994462558435163E-5</v>
      </c>
      <c r="AB255" s="9"/>
      <c r="AC255" s="10">
        <f t="shared" si="67"/>
        <v>241.51</v>
      </c>
      <c r="AD255" s="8">
        <f>IFERROR(AC255/AC444, "NA")</f>
        <v>6.0373700984865534E-4</v>
      </c>
    </row>
    <row r="256" spans="1:30" ht="16.5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37.549999999999997</v>
      </c>
      <c r="AA256" s="8">
        <f>IFERROR(Z256/Z444, "NA")</f>
        <v>1.1815626968114115E-5</v>
      </c>
      <c r="AB256" s="9"/>
      <c r="AC256" s="10">
        <f t="shared" si="67"/>
        <v>37.549999999999997</v>
      </c>
      <c r="AD256" s="8">
        <f>IFERROR(AC256/AC444, "NA")</f>
        <v>9.3869093287304902E-5</v>
      </c>
    </row>
    <row r="257" spans="1:30" ht="16.5" customHeight="1" x14ac:dyDescent="0.45">
      <c r="A257" s="12" t="s">
        <v>234</v>
      </c>
      <c r="B257" s="7">
        <v>1575</v>
      </c>
      <c r="C257" s="8">
        <f>IFERROR(B257/B444, "NA")</f>
        <v>2.1834081717856195E-3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-1575</v>
      </c>
      <c r="I257" s="8">
        <f>IFERROR(H257/H444, "NA")</f>
        <v>1.8944223395093548E-2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-1575</v>
      </c>
      <c r="O257" s="8">
        <f>IFERROR(N257/N444, "NA")</f>
        <v>-4.6879325175834805E-2</v>
      </c>
      <c r="P257" s="9"/>
      <c r="Q257" s="7">
        <v>4165.07</v>
      </c>
      <c r="R257" s="8">
        <f>IFERROR(Q257/Q444, "NA")</f>
        <v>1.1640712292520857E-3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-4165.07</v>
      </c>
      <c r="X257" s="8">
        <f>IFERROR(W257/W444, "NA")</f>
        <v>0.10238900382704645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-4165.07</v>
      </c>
      <c r="AD257" s="8">
        <f>IFERROR(AC257/AC444, "NA")</f>
        <v>-1.0412019823652597E-2</v>
      </c>
    </row>
    <row r="258" spans="1:30" ht="16.5" customHeight="1" x14ac:dyDescent="0.45">
      <c r="A258" s="12" t="s">
        <v>235</v>
      </c>
      <c r="B258" s="7">
        <v>2115.89</v>
      </c>
      <c r="C258" s="8">
        <f>IFERROR(B258/B444, "NA")</f>
        <v>2.9332390581583963E-3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-2115.89</v>
      </c>
      <c r="I258" s="8">
        <f>IFERROR(H258/H444, "NA")</f>
        <v>2.5450090691710784E-2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-2115.89</v>
      </c>
      <c r="O258" s="8">
        <f>IFERROR(N258/N444, "NA")</f>
        <v>-6.2978727203998164E-2</v>
      </c>
      <c r="P258" s="9"/>
      <c r="Q258" s="7">
        <v>2786.06</v>
      </c>
      <c r="R258" s="8">
        <f>IFERROR(Q258/Q444, "NA")</f>
        <v>7.7865973176202696E-4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-2786.06</v>
      </c>
      <c r="X258" s="8">
        <f>IFERROR(W258/W444, "NA")</f>
        <v>6.8489102944819913E-2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-2786.06</v>
      </c>
      <c r="AD258" s="8">
        <f>IFERROR(AC258/AC444, "NA")</f>
        <v>-6.9647117455134151E-3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46959.14</v>
      </c>
      <c r="C262" s="15">
        <f>IFERROR(B262/B444, "NA")</f>
        <v>6.5099028581603144E-2</v>
      </c>
      <c r="D262" s="2"/>
      <c r="E262" s="14">
        <f>IFERROR(E240+E241+E242+E243+E244+E245+E246+E247+E248+E249+E250+E251+E252+E253+E254+E255+E256+E257+E258+E259+E260+E261, "NA")</f>
        <v>49857.35</v>
      </c>
      <c r="F262" s="15">
        <f>IFERROR(E262/E444, "NA")</f>
        <v>6.197400404122811E-2</v>
      </c>
      <c r="G262" s="2"/>
      <c r="H262" s="14">
        <f t="shared" si="64"/>
        <v>2898.2099999999991</v>
      </c>
      <c r="I262" s="15">
        <f>IFERROR(H262/H444, "NA")</f>
        <v>-3.4859896943424798E-2</v>
      </c>
      <c r="J262" s="2"/>
      <c r="K262" s="14">
        <f>IFERROR(K240+K241+K242+K243+K244+K245+K246+K247+K248+K249+K250+K251+K252+K253+K254+K255+K256+K257+K258+K259+K260+K261, "NA")</f>
        <v>41104.410000000003</v>
      </c>
      <c r="L262" s="15">
        <f>IFERROR(K262/K444, "NA")</f>
        <v>5.9766289153878938E-2</v>
      </c>
      <c r="M262" s="2"/>
      <c r="N262" s="14">
        <f t="shared" si="65"/>
        <v>-5854.7299999999959</v>
      </c>
      <c r="O262" s="15">
        <f>IFERROR(N262/N444, "NA")</f>
        <v>-0.17426399459473976</v>
      </c>
      <c r="P262" s="2"/>
      <c r="Q262" s="14">
        <f>IFERROR(Q240+Q241+Q242+Q243+Q244+Q245+Q246+Q247+Q248+Q249+Q250+Q251+Q252+Q253+Q254+Q255+Q256+Q257+Q258+Q259+Q260+Q261, "NA")</f>
        <v>243756.69999999998</v>
      </c>
      <c r="R262" s="15">
        <f>IFERROR(Q262/Q444, "NA")</f>
        <v>6.8126144676423653E-2</v>
      </c>
      <c r="S262" s="2"/>
      <c r="T262" s="14">
        <f>IFERROR(T240+T241+T242+T243+T244+T245+T246+T247+T248+T249+T250+T251+T252+T253+T254+T255+T256+T257+T258+T259+T260+T261, "NA")</f>
        <v>230502.38</v>
      </c>
      <c r="U262" s="15">
        <f>IFERROR(T262/T444, "NA")</f>
        <v>6.3697587250948734E-2</v>
      </c>
      <c r="V262" s="2"/>
      <c r="W262" s="14">
        <f t="shared" si="66"/>
        <v>-13254.319999999978</v>
      </c>
      <c r="X262" s="15">
        <f>IFERROR(W262/W444, "NA")</f>
        <v>0.32582804639655427</v>
      </c>
      <c r="Y262" s="2"/>
      <c r="Z262" s="14">
        <f>IFERROR(Z240+Z241+Z242+Z243+Z244+Z245+Z246+Z247+Z248+Z249+Z250+Z251+Z252+Z253+Z254+Z255+Z256+Z257+Z258+Z259+Z260+Z261, "NA")</f>
        <v>201633.07000000004</v>
      </c>
      <c r="AA262" s="15">
        <f>IFERROR(Z262/Z444, "NA")</f>
        <v>6.3446634874983809E-2</v>
      </c>
      <c r="AB262" s="2"/>
      <c r="AC262" s="14">
        <f t="shared" si="67"/>
        <v>-42123.629999999946</v>
      </c>
      <c r="AD262" s="15">
        <f>IFERROR(AC262/AC444, "NA")</f>
        <v>-0.10530244884340642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46959.14</v>
      </c>
      <c r="C263" s="15">
        <f>IFERROR(B263/B444, "NA")</f>
        <v>6.5099028581603144E-2</v>
      </c>
      <c r="D263" s="2"/>
      <c r="E263" s="14">
        <f>IFERROR(E238+E240+E241+E242+E243+E244+E245+E246+E247+E248+E249+E250+E251+E252+E253+E254+E255+E256+E257+E258+E259+E260+E261, "NA")</f>
        <v>49857.35</v>
      </c>
      <c r="F263" s="15">
        <f>IFERROR(E263/E444, "NA")</f>
        <v>6.197400404122811E-2</v>
      </c>
      <c r="G263" s="2"/>
      <c r="H263" s="14">
        <f t="shared" si="64"/>
        <v>2898.2099999999991</v>
      </c>
      <c r="I263" s="15">
        <f>IFERROR(H263/H444, "NA")</f>
        <v>-3.4859896943424798E-2</v>
      </c>
      <c r="J263" s="2"/>
      <c r="K263" s="14">
        <f>IFERROR(K238+K240+K241+K242+K243+K244+K245+K246+K247+K248+K249+K250+K251+K252+K253+K254+K255+K256+K257+K258+K259+K260+K261, "NA")</f>
        <v>41104.410000000003</v>
      </c>
      <c r="L263" s="15">
        <f>IFERROR(K263/K444, "NA")</f>
        <v>5.9766289153878938E-2</v>
      </c>
      <c r="M263" s="2"/>
      <c r="N263" s="14">
        <f t="shared" si="65"/>
        <v>-5854.7299999999959</v>
      </c>
      <c r="O263" s="15">
        <f>IFERROR(N263/N444, "NA")</f>
        <v>-0.17426399459473976</v>
      </c>
      <c r="P263" s="2"/>
      <c r="Q263" s="14">
        <f>IFERROR(Q238+Q240+Q241+Q242+Q243+Q244+Q245+Q246+Q247+Q248+Q249+Q250+Q251+Q252+Q253+Q254+Q255+Q256+Q257+Q258+Q259+Q260+Q261, "NA")</f>
        <v>243756.69999999998</v>
      </c>
      <c r="R263" s="15">
        <f>IFERROR(Q263/Q444, "NA")</f>
        <v>6.8126144676423653E-2</v>
      </c>
      <c r="S263" s="2"/>
      <c r="T263" s="14">
        <f>IFERROR(T238+T240+T241+T242+T243+T244+T245+T246+T247+T248+T249+T250+T251+T252+T253+T254+T255+T256+T257+T258+T259+T260+T261, "NA")</f>
        <v>230502.38</v>
      </c>
      <c r="U263" s="15">
        <f>IFERROR(T263/T444, "NA")</f>
        <v>6.3697587250948734E-2</v>
      </c>
      <c r="V263" s="2"/>
      <c r="W263" s="14">
        <f t="shared" si="66"/>
        <v>-13254.319999999978</v>
      </c>
      <c r="X263" s="15">
        <f>IFERROR(W263/W444, "NA")</f>
        <v>0.32582804639655427</v>
      </c>
      <c r="Y263" s="2"/>
      <c r="Z263" s="14">
        <f>IFERROR(Z238+Z240+Z241+Z242+Z243+Z244+Z245+Z246+Z247+Z248+Z249+Z250+Z251+Z252+Z253+Z254+Z255+Z256+Z257+Z258+Z259+Z260+Z261, "NA")</f>
        <v>201633.07000000004</v>
      </c>
      <c r="AA263" s="15">
        <f>IFERROR(Z263/Z444, "NA")</f>
        <v>6.3446634874983809E-2</v>
      </c>
      <c r="AB263" s="2"/>
      <c r="AC263" s="14">
        <f t="shared" si="67"/>
        <v>-42123.629999999946</v>
      </c>
      <c r="AD263" s="15">
        <f>IFERROR(AC263/AC444, "NA")</f>
        <v>-0.10530244884340642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18542.310000000001</v>
      </c>
      <c r="C265" s="8">
        <f>IFERROR(B265/B444, "NA")</f>
        <v>2.5705035668433154E-2</v>
      </c>
      <c r="D265" s="9"/>
      <c r="E265" s="7">
        <v>21643.910000000003</v>
      </c>
      <c r="F265" s="8">
        <f>IFERROR(E265/E444, "NA")</f>
        <v>2.6903952292048772E-2</v>
      </c>
      <c r="G265" s="9"/>
      <c r="H265" s="10">
        <f>IFERROR(-(B265-E265), "NA")</f>
        <v>3101.6000000000022</v>
      </c>
      <c r="I265" s="8">
        <f>IFERROR(H265/H444, "NA")</f>
        <v>-3.7306287798236311E-2</v>
      </c>
      <c r="J265" s="9"/>
      <c r="K265" s="7">
        <v>19416.23</v>
      </c>
      <c r="L265" s="8">
        <f>IFERROR(K265/K444, "NA")</f>
        <v>2.823142374402695E-2</v>
      </c>
      <c r="M265" s="9"/>
      <c r="N265" s="10">
        <f>IFERROR(-(B265-K265), "NA")</f>
        <v>873.91999999999825</v>
      </c>
      <c r="O265" s="8">
        <f>IFERROR(N265/N444, "NA")</f>
        <v>2.6011923719152681E-2</v>
      </c>
      <c r="P265" s="9"/>
      <c r="Q265" s="7">
        <v>91801.55</v>
      </c>
      <c r="R265" s="8">
        <f>IFERROR(Q265/Q444, "NA")</f>
        <v>2.5657082151259596E-2</v>
      </c>
      <c r="S265" s="9"/>
      <c r="T265" s="7">
        <v>97922.49</v>
      </c>
      <c r="U265" s="8">
        <f>IFERROR(T265/T444, "NA")</f>
        <v>2.7060138600760456E-2</v>
      </c>
      <c r="V265" s="9"/>
      <c r="W265" s="10">
        <f>IFERROR(-(Q265-T265), "NA")</f>
        <v>6120.9400000000023</v>
      </c>
      <c r="X265" s="8">
        <f>IFERROR(W265/W444, "NA")</f>
        <v>-0.15046972778011461</v>
      </c>
      <c r="Y265" s="9"/>
      <c r="Z265" s="7">
        <v>88988.53</v>
      </c>
      <c r="AA265" s="8">
        <f>IFERROR(Z265/Z444, "NA")</f>
        <v>2.8001472035175289E-2</v>
      </c>
      <c r="AB265" s="9"/>
      <c r="AC265" s="10">
        <f>IFERROR(-(Q265-Z265), "NA")</f>
        <v>-2813.0200000000041</v>
      </c>
      <c r="AD265" s="8">
        <f>IFERROR(AC265/AC444, "NA")</f>
        <v>-7.0321075046352825E-3</v>
      </c>
    </row>
    <row r="266" spans="1:30" ht="16.5" customHeight="1" x14ac:dyDescent="0.45">
      <c r="A266" s="6" t="s">
        <v>242</v>
      </c>
      <c r="B266" s="7">
        <v>47.83</v>
      </c>
      <c r="C266" s="8">
        <f>IFERROR(B266/B444, "NA")</f>
        <v>6.6306293877146778E-5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-47.83</v>
      </c>
      <c r="I266" s="8">
        <f>IFERROR(H266/H444, "NA")</f>
        <v>5.7530298729353932E-4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-47.83</v>
      </c>
      <c r="O266" s="8">
        <f>IFERROR(N266/N444, "NA")</f>
        <v>-1.4236432528001134E-3</v>
      </c>
      <c r="P266" s="9"/>
      <c r="Q266" s="7">
        <v>565.21</v>
      </c>
      <c r="R266" s="8">
        <f>IFERROR(Q266/Q444, "NA")</f>
        <v>1.5796726093092586E-4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-565.21</v>
      </c>
      <c r="X266" s="8">
        <f>IFERROR(W266/W444, "NA")</f>
        <v>1.3894433671723388E-2</v>
      </c>
      <c r="Y266" s="9"/>
      <c r="Z266" s="7">
        <v>294.25</v>
      </c>
      <c r="AA266" s="8">
        <f>IFERROR(Z266/Z444, "NA")</f>
        <v>9.258983316558133E-5</v>
      </c>
      <c r="AB266" s="9"/>
      <c r="AC266" s="10">
        <f>IFERROR(-(Q266-Z266), "NA")</f>
        <v>-270.96000000000004</v>
      </c>
      <c r="AD266" s="8">
        <f>IFERROR(AC266/AC444, "NA")</f>
        <v>-6.7735737728703447E-4</v>
      </c>
    </row>
    <row r="267" spans="1:30" ht="16.5" customHeight="1" x14ac:dyDescent="0.45">
      <c r="A267" s="19" t="s">
        <v>243</v>
      </c>
      <c r="B267" s="14">
        <f>IFERROR(B265+B266, "NA")</f>
        <v>18590.140000000003</v>
      </c>
      <c r="C267" s="15">
        <f>IFERROR(B267/B444, "NA")</f>
        <v>2.5771341962310301E-2</v>
      </c>
      <c r="D267" s="2"/>
      <c r="E267" s="14">
        <f>IFERROR(E265+E266, "NA")</f>
        <v>21643.910000000003</v>
      </c>
      <c r="F267" s="15">
        <f>IFERROR(E267/E444, "NA")</f>
        <v>2.6903952292048772E-2</v>
      </c>
      <c r="G267" s="2"/>
      <c r="H267" s="14">
        <f>IFERROR(-(B267-E267), "NA")</f>
        <v>3053.7700000000004</v>
      </c>
      <c r="I267" s="15">
        <f>IFERROR(H267/H444, "NA")</f>
        <v>-3.6730984810942752E-2</v>
      </c>
      <c r="J267" s="2"/>
      <c r="K267" s="14">
        <f>IFERROR(K265+K266, "NA")</f>
        <v>19416.23</v>
      </c>
      <c r="L267" s="15">
        <f>IFERROR(K267/K444, "NA")</f>
        <v>2.823142374402695E-2</v>
      </c>
      <c r="M267" s="2"/>
      <c r="N267" s="14">
        <f>IFERROR(-(B267-K267), "NA")</f>
        <v>826.08999999999651</v>
      </c>
      <c r="O267" s="15">
        <f>IFERROR(N267/N444, "NA")</f>
        <v>2.4588280466352516E-2</v>
      </c>
      <c r="P267" s="2"/>
      <c r="Q267" s="14">
        <f>IFERROR(Q265+Q266, "NA")</f>
        <v>92366.760000000009</v>
      </c>
      <c r="R267" s="15">
        <f>IFERROR(Q267/Q444, "NA")</f>
        <v>2.5815049412190524E-2</v>
      </c>
      <c r="S267" s="2"/>
      <c r="T267" s="14">
        <f>IFERROR(T265+T266, "NA")</f>
        <v>97922.49</v>
      </c>
      <c r="U267" s="15">
        <f>IFERROR(T267/T444, "NA")</f>
        <v>2.7060138600760456E-2</v>
      </c>
      <c r="V267" s="2"/>
      <c r="W267" s="14">
        <f>IFERROR(-(Q267-T267), "NA")</f>
        <v>5555.7299999999959</v>
      </c>
      <c r="X267" s="15">
        <f>IFERROR(W267/W444, "NA")</f>
        <v>-0.13657529410839109</v>
      </c>
      <c r="Y267" s="2"/>
      <c r="Z267" s="14">
        <f>IFERROR(Z265+Z266, "NA")</f>
        <v>89282.78</v>
      </c>
      <c r="AA267" s="15">
        <f>IFERROR(Z267/Z444, "NA")</f>
        <v>2.8094061868340868E-2</v>
      </c>
      <c r="AB267" s="2"/>
      <c r="AC267" s="14">
        <f>IFERROR(-(Q267-Z267), "NA")</f>
        <v>-3083.9800000000105</v>
      </c>
      <c r="AD267" s="15">
        <f>IFERROR(AC267/AC444, "NA")</f>
        <v>-7.709464881922333E-3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1181.22</v>
      </c>
      <c r="C270" s="8">
        <f>IFERROR(B270/B444, "NA")</f>
        <v>1.637514540112133E-3</v>
      </c>
      <c r="D270" s="9"/>
      <c r="E270" s="7">
        <v>1136.95</v>
      </c>
      <c r="F270" s="8">
        <f>IFERROR(E270/E444, "NA")</f>
        <v>1.4132589055510232E-3</v>
      </c>
      <c r="G270" s="9"/>
      <c r="H270" s="10">
        <f>IFERROR(-(B270-E270), "NA")</f>
        <v>-44.269999999999982</v>
      </c>
      <c r="I270" s="8">
        <f>IFERROR(H270/H444, "NA")</f>
        <v>5.3248302838145467E-4</v>
      </c>
      <c r="J270" s="9"/>
      <c r="K270" s="7">
        <v>1056.1200000000001</v>
      </c>
      <c r="L270" s="8">
        <f>IFERROR(K270/K444, "NA")</f>
        <v>1.5356107362006809E-3</v>
      </c>
      <c r="M270" s="9"/>
      <c r="N270" s="10">
        <f>IFERROR(-(B270-K270), "NA")</f>
        <v>-125.09999999999991</v>
      </c>
      <c r="O270" s="8">
        <f>IFERROR(N270/N444, "NA")</f>
        <v>-3.7235578282520188E-3</v>
      </c>
      <c r="P270" s="9"/>
      <c r="Q270" s="7">
        <v>7111.11</v>
      </c>
      <c r="R270" s="8">
        <f>IFERROR(Q270/Q444, "NA")</f>
        <v>1.987442842268389E-3</v>
      </c>
      <c r="S270" s="9"/>
      <c r="T270" s="7">
        <v>6307.12</v>
      </c>
      <c r="U270" s="8">
        <f>IFERROR(T270/T444, "NA")</f>
        <v>1.7429248518050172E-3</v>
      </c>
      <c r="V270" s="9"/>
      <c r="W270" s="10">
        <f>IFERROR(-(Q270-T270), "NA")</f>
        <v>-803.98999999999978</v>
      </c>
      <c r="X270" s="8">
        <f>IFERROR(W270/W444, "NA")</f>
        <v>1.9764310128498937E-2</v>
      </c>
      <c r="Y270" s="9"/>
      <c r="Z270" s="7">
        <v>5641.78</v>
      </c>
      <c r="AA270" s="8">
        <f>IFERROR(Z270/Z444, "NA")</f>
        <v>1.7752641255969869E-3</v>
      </c>
      <c r="AB270" s="9"/>
      <c r="AC270" s="10">
        <f>IFERROR(-(Q270-Z270), "NA")</f>
        <v>-1469.33</v>
      </c>
      <c r="AD270" s="8">
        <f>IFERROR(AC270/AC444, "NA")</f>
        <v>-3.6730938705681949E-3</v>
      </c>
    </row>
    <row r="271" spans="1:30" ht="16.5" customHeight="1" x14ac:dyDescent="0.45">
      <c r="A271" s="6" t="s">
        <v>246</v>
      </c>
      <c r="B271" s="7">
        <v>5132.9599999999991</v>
      </c>
      <c r="C271" s="8">
        <f>IFERROR(B271/B444, "NA")</f>
        <v>7.1157757520309284E-3</v>
      </c>
      <c r="D271" s="9"/>
      <c r="E271" s="7">
        <v>5344.66</v>
      </c>
      <c r="F271" s="8">
        <f>IFERROR(E271/E444, "NA")</f>
        <v>6.643553667392877E-3</v>
      </c>
      <c r="G271" s="9"/>
      <c r="H271" s="10">
        <f>IFERROR(-(B271-E271), "NA")</f>
        <v>211.70000000000073</v>
      </c>
      <c r="I271" s="8">
        <f>IFERROR(H271/H444, "NA")</f>
        <v>-2.5463441858675035E-3</v>
      </c>
      <c r="J271" s="9"/>
      <c r="K271" s="7">
        <v>4270.8899999999994</v>
      </c>
      <c r="L271" s="8">
        <f>IFERROR(K271/K444, "NA")</f>
        <v>6.2099236233876115E-3</v>
      </c>
      <c r="M271" s="9"/>
      <c r="N271" s="10">
        <f>IFERROR(-(B271-K271), "NA")</f>
        <v>-862.06999999999971</v>
      </c>
      <c r="O271" s="8">
        <f>IFERROR(N271/N444, "NA")</f>
        <v>-2.5659212605925012E-2</v>
      </c>
      <c r="P271" s="9"/>
      <c r="Q271" s="7">
        <v>29185.760000000002</v>
      </c>
      <c r="R271" s="8">
        <f>IFERROR(Q271/Q444, "NA")</f>
        <v>8.1569585912977111E-3</v>
      </c>
      <c r="S271" s="9"/>
      <c r="T271" s="7">
        <v>23793.22</v>
      </c>
      <c r="U271" s="8">
        <f>IFERROR(T271/T444, "NA")</f>
        <v>6.575076174619188E-3</v>
      </c>
      <c r="V271" s="9"/>
      <c r="W271" s="10">
        <f>IFERROR(-(Q271-T271), "NA")</f>
        <v>-5392.5400000000009</v>
      </c>
      <c r="X271" s="8">
        <f>IFERROR(W271/W444, "NA")</f>
        <v>0.13256363007044328</v>
      </c>
      <c r="Y271" s="9"/>
      <c r="Z271" s="7">
        <v>23645.18</v>
      </c>
      <c r="AA271" s="8">
        <f>IFERROR(Z271/Z444, "NA")</f>
        <v>7.4402829953105869E-3</v>
      </c>
      <c r="AB271" s="9"/>
      <c r="AC271" s="10">
        <f>IFERROR(-(Q271-Z271), "NA")</f>
        <v>-5540.5800000000017</v>
      </c>
      <c r="AD271" s="8">
        <f>IFERROR(AC271/AC444, "NA")</f>
        <v>-1.3850578452350893E-2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6314.1799999999994</v>
      </c>
      <c r="C273" s="15">
        <f>IFERROR(B273/B444, "NA")</f>
        <v>8.7532902921430619E-3</v>
      </c>
      <c r="D273" s="2"/>
      <c r="E273" s="14">
        <f>IFERROR(E269+E270+E271+E272, "NA")</f>
        <v>6481.61</v>
      </c>
      <c r="F273" s="15">
        <f>IFERROR(E273/E444, "NA")</f>
        <v>8.0568125729438989E-3</v>
      </c>
      <c r="G273" s="2"/>
      <c r="H273" s="14">
        <f>IFERROR(-(B273-E273), "NA")</f>
        <v>167.43000000000029</v>
      </c>
      <c r="I273" s="15">
        <f>IFERROR(H273/H444, "NA")</f>
        <v>-2.0138611574860433E-3</v>
      </c>
      <c r="J273" s="2"/>
      <c r="K273" s="14">
        <f>IFERROR(K269+K270+K271+K272, "NA")</f>
        <v>5327.0099999999993</v>
      </c>
      <c r="L273" s="15">
        <f>IFERROR(K273/K444, "NA")</f>
        <v>7.7455343595882924E-3</v>
      </c>
      <c r="M273" s="2"/>
      <c r="N273" s="14">
        <f>IFERROR(-(B273-K273), "NA")</f>
        <v>-987.17000000000007</v>
      </c>
      <c r="O273" s="15">
        <f>IFERROR(N273/N444, "NA")</f>
        <v>-2.9382770434177048E-2</v>
      </c>
      <c r="P273" s="2"/>
      <c r="Q273" s="14">
        <f>IFERROR(Q269+Q270+Q271+Q272, "NA")</f>
        <v>36296.870000000003</v>
      </c>
      <c r="R273" s="15">
        <f>IFERROR(Q273/Q444, "NA")</f>
        <v>1.0144401433566099E-2</v>
      </c>
      <c r="S273" s="2"/>
      <c r="T273" s="14">
        <f>IFERROR(T269+T270+T271+T272, "NA")</f>
        <v>30100.34</v>
      </c>
      <c r="U273" s="15">
        <f>IFERROR(T273/T444, "NA")</f>
        <v>8.3180010264242051E-3</v>
      </c>
      <c r="V273" s="2"/>
      <c r="W273" s="14">
        <f>IFERROR(-(Q273-T273), "NA")</f>
        <v>-6196.5300000000025</v>
      </c>
      <c r="X273" s="15">
        <f>IFERROR(W273/W444, "NA")</f>
        <v>0.15232794019894227</v>
      </c>
      <c r="Y273" s="2"/>
      <c r="Z273" s="14">
        <f>IFERROR(Z269+Z270+Z271+Z272, "NA")</f>
        <v>29286.959999999999</v>
      </c>
      <c r="AA273" s="15">
        <f>IFERROR(Z273/Z444, "NA")</f>
        <v>9.2155471209075732E-3</v>
      </c>
      <c r="AB273" s="2"/>
      <c r="AC273" s="14">
        <f>IFERROR(-(Q273-Z273), "NA")</f>
        <v>-7009.9100000000035</v>
      </c>
      <c r="AD273" s="15">
        <f>IFERROR(AC273/AC444, "NA")</f>
        <v>-1.7523672322919091E-2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970.53</v>
      </c>
      <c r="C287" s="8">
        <f>IFERROR(B287/B444, "NA")</f>
        <v>1.3454369098178395E-3</v>
      </c>
      <c r="D287" s="9"/>
      <c r="E287" s="7">
        <v>2703</v>
      </c>
      <c r="F287" s="8">
        <f>IFERROR(E287/E444, "NA")</f>
        <v>3.3599004544653814E-3</v>
      </c>
      <c r="G287" s="9"/>
      <c r="H287" s="10">
        <f t="shared" si="72"/>
        <v>1732.47</v>
      </c>
      <c r="I287" s="8">
        <f>IFERROR(H287/H444, "NA")</f>
        <v>-2.083828489225252E-2</v>
      </c>
      <c r="J287" s="9"/>
      <c r="K287" s="7">
        <v>970.53</v>
      </c>
      <c r="L287" s="8">
        <f>IFERROR(K287/K444, "NA")</f>
        <v>1.4111618829345592E-3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5823.18</v>
      </c>
      <c r="R287" s="8">
        <f>IFERROR(Q287/Q444, "NA")</f>
        <v>1.6274867651098687E-3</v>
      </c>
      <c r="S287" s="9"/>
      <c r="T287" s="7">
        <v>16218</v>
      </c>
      <c r="U287" s="8">
        <f>IFERROR(T287/T444, "NA")</f>
        <v>4.4817214904066781E-3</v>
      </c>
      <c r="V287" s="9"/>
      <c r="W287" s="10">
        <f t="shared" si="74"/>
        <v>10394.82</v>
      </c>
      <c r="X287" s="8">
        <f>IFERROR(W287/W444, "NA")</f>
        <v>-0.25553358401214366</v>
      </c>
      <c r="Y287" s="9"/>
      <c r="Z287" s="7">
        <v>5823.18</v>
      </c>
      <c r="AA287" s="8">
        <f>IFERROR(Z287/Z444, "NA")</f>
        <v>1.8323441450914186E-3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765.99</v>
      </c>
      <c r="C288" s="8">
        <f>IFERROR(B288/B444, "NA")</f>
        <v>1.0618849685752804E-3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-765.99</v>
      </c>
      <c r="I288" s="8">
        <f>IFERROR(H288/H444, "NA")</f>
        <v>9.2133877323223538E-3</v>
      </c>
      <c r="J288" s="9"/>
      <c r="K288" s="7">
        <v>682.79000000000008</v>
      </c>
      <c r="L288" s="8">
        <f>IFERROR(K288/K444, "NA")</f>
        <v>9.9278458373145361E-4</v>
      </c>
      <c r="M288" s="9"/>
      <c r="N288" s="10">
        <f t="shared" si="73"/>
        <v>-83.199999999999932</v>
      </c>
      <c r="O288" s="8">
        <f>IFERROR(N288/N444, "NA")</f>
        <v>-2.4764189553202875E-3</v>
      </c>
      <c r="P288" s="9"/>
      <c r="Q288" s="7">
        <v>5520.0599999999995</v>
      </c>
      <c r="R288" s="8">
        <f>IFERROR(Q288/Q444, "NA")</f>
        <v>1.5427695164175555E-3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-5520.0599999999995</v>
      </c>
      <c r="X288" s="8">
        <f>IFERROR(W288/W444, "NA")</f>
        <v>0.13569842630868773</v>
      </c>
      <c r="Y288" s="9"/>
      <c r="Z288" s="7">
        <v>4032.98</v>
      </c>
      <c r="AA288" s="8">
        <f>IFERROR(Z288/Z444, "NA")</f>
        <v>1.2690329493972002E-3</v>
      </c>
      <c r="AB288" s="9"/>
      <c r="AC288" s="10">
        <f t="shared" si="75"/>
        <v>-1487.0799999999995</v>
      </c>
      <c r="AD288" s="8">
        <f>IFERROR(AC288/AC444, "NA")</f>
        <v>-3.7174660784470132E-3</v>
      </c>
    </row>
    <row r="289" spans="1:30" ht="16.5" customHeight="1" x14ac:dyDescent="0.45">
      <c r="A289" s="6" t="s">
        <v>262</v>
      </c>
      <c r="B289" s="7">
        <v>1098.8</v>
      </c>
      <c r="C289" s="8">
        <f>IFERROR(B289/B444, "NA")</f>
        <v>1.5232564439098659E-3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-1098.8</v>
      </c>
      <c r="I289" s="8">
        <f>IFERROR(H289/H444, "NA")</f>
        <v>1.3216452486684946E-2</v>
      </c>
      <c r="J289" s="9"/>
      <c r="K289" s="7">
        <v>998.95</v>
      </c>
      <c r="L289" s="8">
        <f>IFERROR(K289/K444, "NA")</f>
        <v>1.452484892746724E-3</v>
      </c>
      <c r="M289" s="9"/>
      <c r="N289" s="10">
        <f t="shared" si="73"/>
        <v>-99.849999999999909</v>
      </c>
      <c r="O289" s="8">
        <f>IFERROR(N289/N444, "NA")</f>
        <v>-2.9720003928933973E-3</v>
      </c>
      <c r="P289" s="9"/>
      <c r="Q289" s="7">
        <v>6415.9900000000007</v>
      </c>
      <c r="R289" s="8">
        <f>IFERROR(Q289/Q444, "NA")</f>
        <v>1.7931677897776244E-3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-6415.9900000000007</v>
      </c>
      <c r="X289" s="8">
        <f>IFERROR(W289/W444, "NA")</f>
        <v>0.15772287732602139</v>
      </c>
      <c r="Y289" s="9"/>
      <c r="Z289" s="7">
        <v>6148.8399999999992</v>
      </c>
      <c r="AA289" s="8">
        <f>IFERROR(Z289/Z444, "NA")</f>
        <v>1.9348175692841224E-3</v>
      </c>
      <c r="AB289" s="9"/>
      <c r="AC289" s="10">
        <f t="shared" si="75"/>
        <v>-267.15000000000146</v>
      </c>
      <c r="AD289" s="8">
        <f>IFERROR(AC289/AC444, "NA")</f>
        <v>-6.6783297660995061E-4</v>
      </c>
    </row>
    <row r="290" spans="1:30" ht="16.5" customHeight="1" x14ac:dyDescent="0.45">
      <c r="A290" s="6" t="s">
        <v>263</v>
      </c>
      <c r="B290" s="7">
        <v>3443.94</v>
      </c>
      <c r="C290" s="8">
        <f>IFERROR(B290/B444, "NA")</f>
        <v>4.7743026915170583E-3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-3443.94</v>
      </c>
      <c r="I290" s="8">
        <f>IFERROR(H290/H444, "NA")</f>
        <v>4.1423980139237128E-2</v>
      </c>
      <c r="J290" s="9"/>
      <c r="K290" s="7">
        <v>2807.25</v>
      </c>
      <c r="L290" s="8">
        <f>IFERROR(K290/K444, "NA")</f>
        <v>4.0817740779450825E-3</v>
      </c>
      <c r="M290" s="9"/>
      <c r="N290" s="10">
        <f t="shared" si="73"/>
        <v>-636.69000000000005</v>
      </c>
      <c r="O290" s="8">
        <f>IFERROR(N290/N444, "NA")</f>
        <v>-1.8950855584890326E-2</v>
      </c>
      <c r="P290" s="9"/>
      <c r="Q290" s="7">
        <v>19406.310000000001</v>
      </c>
      <c r="R290" s="8">
        <f>IFERROR(Q290/Q444, "NA")</f>
        <v>5.4237568965100329E-3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-19406.310000000001</v>
      </c>
      <c r="X290" s="8">
        <f>IFERROR(W290/W444, "NA")</f>
        <v>0.47706106952796717</v>
      </c>
      <c r="Y290" s="9"/>
      <c r="Z290" s="7">
        <v>14830.16</v>
      </c>
      <c r="AA290" s="8">
        <f>IFERROR(Z290/Z444, "NA")</f>
        <v>4.666515004991937E-3</v>
      </c>
      <c r="AB290" s="9"/>
      <c r="AC290" s="10">
        <f t="shared" si="75"/>
        <v>-4576.1500000000015</v>
      </c>
      <c r="AD290" s="8">
        <f>IFERROR(AC290/AC444, "NA")</f>
        <v>-1.1439655159699082E-2</v>
      </c>
    </row>
    <row r="291" spans="1:30" ht="16.5" customHeight="1" x14ac:dyDescent="0.45">
      <c r="A291" s="6" t="s">
        <v>264</v>
      </c>
      <c r="B291" s="7">
        <v>5700.76</v>
      </c>
      <c r="C291" s="8">
        <f>IFERROR(B291/B444, "NA")</f>
        <v>7.9029117265959296E-3</v>
      </c>
      <c r="D291" s="9"/>
      <c r="E291" s="7">
        <v>9861.58</v>
      </c>
      <c r="F291" s="8">
        <f>IFERROR(E291/E444, "NA")</f>
        <v>1.2258204633276626E-2</v>
      </c>
      <c r="G291" s="9"/>
      <c r="H291" s="10">
        <f t="shared" si="72"/>
        <v>4160.82</v>
      </c>
      <c r="I291" s="8">
        <f>IFERROR(H291/H444, "NA")</f>
        <v>-5.0046668943982943E-2</v>
      </c>
      <c r="J291" s="9"/>
      <c r="K291" s="7">
        <v>1671.35</v>
      </c>
      <c r="L291" s="8">
        <f>IFERROR(K291/K444, "NA")</f>
        <v>2.430162295902935E-3</v>
      </c>
      <c r="M291" s="9"/>
      <c r="N291" s="10">
        <f t="shared" si="73"/>
        <v>-4029.4100000000003</v>
      </c>
      <c r="O291" s="8">
        <f>IFERROR(N291/N444, "NA")</f>
        <v>-0.11993398200429241</v>
      </c>
      <c r="P291" s="9"/>
      <c r="Q291" s="7">
        <v>26004.879999999997</v>
      </c>
      <c r="R291" s="8">
        <f>IFERROR(Q291/Q444, "NA")</f>
        <v>7.2679529103119459E-3</v>
      </c>
      <c r="S291" s="9"/>
      <c r="T291" s="7">
        <v>44590.68</v>
      </c>
      <c r="U291" s="8">
        <f>IFERROR(T291/T444, "NA")</f>
        <v>1.2322296758407156E-2</v>
      </c>
      <c r="V291" s="9"/>
      <c r="W291" s="10">
        <f t="shared" si="74"/>
        <v>18585.800000000003</v>
      </c>
      <c r="X291" s="8">
        <f>IFERROR(W291/W444, "NA")</f>
        <v>-0.45689065185668437</v>
      </c>
      <c r="Y291" s="9"/>
      <c r="Z291" s="7">
        <v>12250.12</v>
      </c>
      <c r="AA291" s="8">
        <f>IFERROR(Z291/Z444, "NA")</f>
        <v>3.8546697266214143E-3</v>
      </c>
      <c r="AB291" s="9"/>
      <c r="AC291" s="10">
        <f t="shared" si="75"/>
        <v>-13754.759999999997</v>
      </c>
      <c r="AD291" s="8">
        <f>IFERROR(AC291/AC444, "NA")</f>
        <v>-3.4384736340465773E-2</v>
      </c>
    </row>
    <row r="292" spans="1:30" ht="16.5" customHeight="1" x14ac:dyDescent="0.45">
      <c r="A292" s="6" t="s">
        <v>265</v>
      </c>
      <c r="B292" s="7">
        <v>1398.5700000000002</v>
      </c>
      <c r="C292" s="8">
        <f>IFERROR(B292/B444, "NA")</f>
        <v>1.9388248678185488E-3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-1398.5700000000002</v>
      </c>
      <c r="I292" s="8">
        <f>IFERROR(H292/H444, "NA")</f>
        <v>1.6822109532492691E-2</v>
      </c>
      <c r="J292" s="9"/>
      <c r="K292" s="7">
        <v>1637.1599999999999</v>
      </c>
      <c r="L292" s="8">
        <f>IFERROR(K292/K444, "NA")</f>
        <v>2.3804496391303131E-3</v>
      </c>
      <c r="M292" s="9"/>
      <c r="N292" s="10">
        <f t="shared" si="73"/>
        <v>238.58999999999969</v>
      </c>
      <c r="O292" s="8">
        <f>IFERROR(N292/N444, "NA")</f>
        <v>7.101548059493595E-3</v>
      </c>
      <c r="P292" s="9"/>
      <c r="Q292" s="7">
        <v>5323.57</v>
      </c>
      <c r="R292" s="8">
        <f>IFERROR(Q292/Q444, "NA")</f>
        <v>1.4878536672635815E-3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-5323.57</v>
      </c>
      <c r="X292" s="8">
        <f>IFERROR(W292/W444, "NA")</f>
        <v>0.13086815566210164</v>
      </c>
      <c r="Y292" s="9"/>
      <c r="Z292" s="7">
        <v>3358.25</v>
      </c>
      <c r="AA292" s="8">
        <f>IFERROR(Z292/Z444, "NA")</f>
        <v>1.0567198206569701E-3</v>
      </c>
      <c r="AB292" s="9"/>
      <c r="AC292" s="10">
        <f t="shared" si="75"/>
        <v>-1965.3199999999997</v>
      </c>
      <c r="AD292" s="8">
        <f>IFERROR(AC292/AC444, "NA")</f>
        <v>-4.9129908500507606E-3</v>
      </c>
    </row>
    <row r="293" spans="1:30" ht="16.5" customHeight="1" x14ac:dyDescent="0.45">
      <c r="A293" s="6" t="s">
        <v>266</v>
      </c>
      <c r="B293" s="7">
        <v>1816.2599999999998</v>
      </c>
      <c r="C293" s="8">
        <f>IFERROR(B293/B444, "NA")</f>
        <v>2.5178647149760947E-3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-1816.2599999999998</v>
      </c>
      <c r="I293" s="8">
        <f>IFERROR(H293/H444, "NA")</f>
        <v>2.1846117576871493E-2</v>
      </c>
      <c r="J293" s="9"/>
      <c r="K293" s="7">
        <v>1622.81</v>
      </c>
      <c r="L293" s="8">
        <f>IFERROR(K293/K444, "NA")</f>
        <v>2.3595845725995403E-3</v>
      </c>
      <c r="M293" s="9"/>
      <c r="N293" s="10">
        <f t="shared" si="73"/>
        <v>-193.44999999999982</v>
      </c>
      <c r="O293" s="8">
        <f>IFERROR(N293/N444, "NA")</f>
        <v>-5.7579717176287201E-3</v>
      </c>
      <c r="P293" s="9"/>
      <c r="Q293" s="7">
        <v>3304.3599999999997</v>
      </c>
      <c r="R293" s="8">
        <f>IFERROR(Q293/Q444, "NA")</f>
        <v>9.235163891822758E-4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-3304.3599999999997</v>
      </c>
      <c r="X293" s="8">
        <f>IFERROR(W293/W444, "NA")</f>
        <v>8.1230358357948174E-2</v>
      </c>
      <c r="Y293" s="9"/>
      <c r="Z293" s="7">
        <v>3237.51</v>
      </c>
      <c r="AA293" s="8">
        <f>IFERROR(Z293/Z444, "NA")</f>
        <v>1.0187273093352632E-3</v>
      </c>
      <c r="AB293" s="9"/>
      <c r="AC293" s="10">
        <f t="shared" si="75"/>
        <v>-66.849999999999454</v>
      </c>
      <c r="AD293" s="8">
        <f>IFERROR(AC293/AC444, "NA")</f>
        <v>-1.6711448432107278E-4</v>
      </c>
    </row>
    <row r="294" spans="1:30" ht="16.5" customHeight="1" x14ac:dyDescent="0.45">
      <c r="A294" s="6" t="s">
        <v>267</v>
      </c>
      <c r="B294" s="7">
        <v>1703.18</v>
      </c>
      <c r="C294" s="8">
        <f>IFERROR(B294/B444, "NA")</f>
        <v>2.3611029396964009E-3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-1703.18</v>
      </c>
      <c r="I294" s="8">
        <f>IFERROR(H294/H444, "NA")</f>
        <v>2.0485982477495512E-2</v>
      </c>
      <c r="J294" s="9"/>
      <c r="K294" s="7">
        <v>1268.1799999999998</v>
      </c>
      <c r="L294" s="8">
        <f>IFERROR(K294/K444, "NA")</f>
        <v>1.8439484371425396E-3</v>
      </c>
      <c r="M294" s="9"/>
      <c r="N294" s="10">
        <f t="shared" si="73"/>
        <v>-435.00000000000023</v>
      </c>
      <c r="O294" s="8">
        <f>IFERROR(N294/N444, "NA")</f>
        <v>-1.2947623143802E-2</v>
      </c>
      <c r="P294" s="9"/>
      <c r="Q294" s="7">
        <v>11129.369999999999</v>
      </c>
      <c r="R294" s="8">
        <f>IFERROR(Q294/Q444, "NA")</f>
        <v>3.1104829970927941E-3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-11129.369999999999</v>
      </c>
      <c r="X294" s="8">
        <f>IFERROR(W294/W444, "NA")</f>
        <v>0.27359086582521208</v>
      </c>
      <c r="Y294" s="9"/>
      <c r="Z294" s="7">
        <v>7609.08</v>
      </c>
      <c r="AA294" s="8">
        <f>IFERROR(Z294/Z444, "NA")</f>
        <v>2.3943022862992747E-3</v>
      </c>
      <c r="AB294" s="9"/>
      <c r="AC294" s="10">
        <f t="shared" si="75"/>
        <v>-3520.2899999999991</v>
      </c>
      <c r="AD294" s="8">
        <f>IFERROR(AC294/AC444, "NA")</f>
        <v>-8.8001712492241421E-3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16898.03</v>
      </c>
      <c r="C295" s="15">
        <f>IFERROR(B295/B444, "NA")</f>
        <v>2.3425585262907018E-2</v>
      </c>
      <c r="D295" s="2"/>
      <c r="E295" s="14">
        <f>IFERROR(E286+E287+E288+E289+E290+E291+E292+E293+E294, "NA")</f>
        <v>12564.58</v>
      </c>
      <c r="F295" s="15">
        <f>IFERROR(E295/E444, "NA")</f>
        <v>1.5618105087742007E-2</v>
      </c>
      <c r="G295" s="2"/>
      <c r="H295" s="14">
        <f t="shared" si="72"/>
        <v>-4333.4499999999989</v>
      </c>
      <c r="I295" s="15">
        <f>IFERROR(H295/H444, "NA")</f>
        <v>5.2123076108868648E-2</v>
      </c>
      <c r="J295" s="2"/>
      <c r="K295" s="14">
        <f>IFERROR(K286+K287+K288+K289+K290+K291+K292+K293+K294, "NA")</f>
        <v>11659.02</v>
      </c>
      <c r="L295" s="15">
        <f>IFERROR(K295/K444, "NA")</f>
        <v>1.6952350382133149E-2</v>
      </c>
      <c r="M295" s="2"/>
      <c r="N295" s="14">
        <f t="shared" si="73"/>
        <v>-5239.0099999999984</v>
      </c>
      <c r="O295" s="15">
        <f>IFERROR(N295/N444, "NA")</f>
        <v>-0.15593730373933348</v>
      </c>
      <c r="P295" s="2"/>
      <c r="Q295" s="14">
        <f>IFERROR(Q286+Q287+Q288+Q289+Q290+Q291+Q292+Q293+Q294, "NA")</f>
        <v>82927.719999999987</v>
      </c>
      <c r="R295" s="15">
        <f>IFERROR(Q295/Q444, "NA")</f>
        <v>2.3176986931665675E-2</v>
      </c>
      <c r="S295" s="2"/>
      <c r="T295" s="14">
        <f>IFERROR(T286+T287+T288+T289+T290+T291+T292+T293+T294, "NA")</f>
        <v>60808.68</v>
      </c>
      <c r="U295" s="15">
        <f>IFERROR(T295/T444, "NA")</f>
        <v>1.6804018248813835E-2</v>
      </c>
      <c r="V295" s="2"/>
      <c r="W295" s="14">
        <f t="shared" si="74"/>
        <v>-22119.039999999986</v>
      </c>
      <c r="X295" s="15">
        <f>IFERROR(W295/W444, "NA")</f>
        <v>0.54374751713910985</v>
      </c>
      <c r="Y295" s="2"/>
      <c r="Z295" s="14">
        <f>IFERROR(Z286+Z287+Z288+Z289+Z290+Z291+Z292+Z293+Z294, "NA")</f>
        <v>57290.12</v>
      </c>
      <c r="AA295" s="15">
        <f>IFERROR(Z295/Z444, "NA")</f>
        <v>1.80271288116776E-2</v>
      </c>
      <c r="AB295" s="2"/>
      <c r="AC295" s="14">
        <f t="shared" si="75"/>
        <v>-25637.599999999984</v>
      </c>
      <c r="AD295" s="15">
        <f>IFERROR(AC295/AC444, "NA")</f>
        <v>-6.4089967138817761E-2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10458.35</v>
      </c>
      <c r="F297" s="8">
        <f>IFERROR(E297/E444, "NA")</f>
        <v>1.3000005519037374E-2</v>
      </c>
      <c r="G297" s="9"/>
      <c r="H297" s="10">
        <f t="shared" ref="H297:H325" si="76">IFERROR(-(B297-E297), "NA")</f>
        <v>10458.35</v>
      </c>
      <c r="I297" s="8">
        <f>IFERROR(H297/H444, "NA")</f>
        <v>-0.1257938531708423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47043.07</v>
      </c>
      <c r="U297" s="8">
        <f>IFERROR(T297/T444, "NA")</f>
        <v>1.2999996164367105E-2</v>
      </c>
      <c r="V297" s="9"/>
      <c r="W297" s="10">
        <f t="shared" ref="W297:W325" si="78">IFERROR(-(Q297-T297), "NA")</f>
        <v>47043.07</v>
      </c>
      <c r="X297" s="8">
        <f>IFERROR(W297/W444, "NA")</f>
        <v>-1.156449489268131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1691.62</v>
      </c>
      <c r="C299" s="8">
        <f>IFERROR(B299/B444, "NA")</f>
        <v>2.3450774168609456E-3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-1691.62</v>
      </c>
      <c r="I299" s="8">
        <f>IFERROR(H299/H444, "NA")</f>
        <v>2.0346937891814697E-2</v>
      </c>
      <c r="J299" s="9"/>
      <c r="K299" s="7">
        <v>1618.85</v>
      </c>
      <c r="L299" s="8">
        <f>IFERROR(K299/K444, "NA")</f>
        <v>2.3538266866440101E-3</v>
      </c>
      <c r="M299" s="9"/>
      <c r="N299" s="10">
        <f t="shared" si="77"/>
        <v>-72.769999999999982</v>
      </c>
      <c r="O299" s="8">
        <f>IFERROR(N299/N444, "NA")</f>
        <v>-2.1659736463780937E-3</v>
      </c>
      <c r="P299" s="9"/>
      <c r="Q299" s="7">
        <v>13722.259999999998</v>
      </c>
      <c r="R299" s="8">
        <f>IFERROR(Q299/Q444, "NA")</f>
        <v>3.8351547672228134E-3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-13722.259999999998</v>
      </c>
      <c r="X299" s="8">
        <f>IFERROR(W299/W444, "NA")</f>
        <v>0.33733131295649926</v>
      </c>
      <c r="Y299" s="9"/>
      <c r="Z299" s="7">
        <v>7565.7999999999993</v>
      </c>
      <c r="AA299" s="8">
        <f>IFERROR(Z299/Z444, "NA")</f>
        <v>2.3806836355621244E-3</v>
      </c>
      <c r="AB299" s="9"/>
      <c r="AC299" s="10">
        <f t="shared" si="79"/>
        <v>-6156.4599999999991</v>
      </c>
      <c r="AD299" s="8">
        <f>IFERROR(AC299/AC444, "NA")</f>
        <v>-1.539018157282453E-2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465.26</v>
      </c>
      <c r="R304" s="8">
        <f>IFERROR(Q304/Q444, "NA")</f>
        <v>1.3003281580425429E-4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-465.26</v>
      </c>
      <c r="X304" s="8">
        <f>IFERROR(W304/W444, "NA")</f>
        <v>1.1437384706756822E-2</v>
      </c>
      <c r="Y304" s="9"/>
      <c r="Z304" s="7">
        <v>451.25</v>
      </c>
      <c r="AA304" s="8">
        <f>IFERROR(Z304/Z444, "NA")</f>
        <v>1.4199205510949386E-4</v>
      </c>
      <c r="AB304" s="9"/>
      <c r="AC304" s="10">
        <f t="shared" si="79"/>
        <v>-14.009999999999991</v>
      </c>
      <c r="AD304" s="8">
        <f>IFERROR(AC304/AC444, "NA")</f>
        <v>-3.5022796190549692E-5</v>
      </c>
    </row>
    <row r="305" spans="1:30" ht="16.5" customHeight="1" x14ac:dyDescent="0.45">
      <c r="A305" s="6" t="s">
        <v>277</v>
      </c>
      <c r="B305" s="7">
        <v>160.94999999999999</v>
      </c>
      <c r="C305" s="8">
        <f>IFERROR(B305/B444, "NA")</f>
        <v>2.2312352079294949E-4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-160.94999999999999</v>
      </c>
      <c r="I305" s="8">
        <f>IFERROR(H305/H444, "NA")</f>
        <v>1.9359192098033693E-3</v>
      </c>
      <c r="J305" s="9"/>
      <c r="K305" s="7">
        <v>73.33</v>
      </c>
      <c r="L305" s="8">
        <f>IFERROR(K305/K444, "NA")</f>
        <v>1.066226709896564E-4</v>
      </c>
      <c r="M305" s="9"/>
      <c r="N305" s="10">
        <f t="shared" si="77"/>
        <v>-87.61999999999999</v>
      </c>
      <c r="O305" s="8">
        <f>IFERROR(N305/N444, "NA")</f>
        <v>-2.6079787123216795E-3</v>
      </c>
      <c r="P305" s="9"/>
      <c r="Q305" s="7">
        <v>109.53999999999999</v>
      </c>
      <c r="R305" s="8">
        <f>IFERROR(Q305/Q444, "NA")</f>
        <v>3.0614698541026552E-5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-109.53999999999999</v>
      </c>
      <c r="X305" s="8">
        <f>IFERROR(W305/W444, "NA")</f>
        <v>2.6927978351419467E-3</v>
      </c>
      <c r="Y305" s="9"/>
      <c r="Z305" s="7">
        <v>349.54</v>
      </c>
      <c r="AA305" s="8">
        <f>IFERROR(Z305/Z444, "NA")</f>
        <v>1.0998759654952353E-4</v>
      </c>
      <c r="AB305" s="9"/>
      <c r="AC305" s="10">
        <f t="shared" si="79"/>
        <v>240.00000000000003</v>
      </c>
      <c r="AD305" s="8">
        <f>IFERROR(AC305/AC444, "NA")</f>
        <v>5.999622473755841E-4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831.81</v>
      </c>
      <c r="C310" s="8">
        <f>IFERROR(B310/B444, "NA")</f>
        <v>1.1531306357923784E-3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-831.81</v>
      </c>
      <c r="I310" s="8">
        <f>IFERROR(H310/H444, "NA")</f>
        <v>1.0005075849062073E-2</v>
      </c>
      <c r="J310" s="9"/>
      <c r="K310" s="7">
        <v>187.23000000000002</v>
      </c>
      <c r="L310" s="8">
        <f>IFERROR(K310/K444, "NA")</f>
        <v>2.7223459279140011E-4</v>
      </c>
      <c r="M310" s="9"/>
      <c r="N310" s="10">
        <f t="shared" si="77"/>
        <v>-644.57999999999993</v>
      </c>
      <c r="O310" s="8">
        <f>IFERROR(N310/N444, "NA")</f>
        <v>-1.9185698680533075E-2</v>
      </c>
      <c r="P310" s="9"/>
      <c r="Q310" s="7">
        <v>1978.17</v>
      </c>
      <c r="R310" s="8">
        <f>IFERROR(Q310/Q444, "NA")</f>
        <v>5.5286724678567194E-4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-1978.17</v>
      </c>
      <c r="X310" s="8">
        <f>IFERROR(W310/W444, "NA")</f>
        <v>4.8628919970264244E-2</v>
      </c>
      <c r="Y310" s="9"/>
      <c r="Z310" s="7">
        <v>589.22</v>
      </c>
      <c r="AA310" s="8">
        <f>IFERROR(Z310/Z444, "NA")</f>
        <v>1.8540622429166978E-4</v>
      </c>
      <c r="AB310" s="9"/>
      <c r="AC310" s="10">
        <f t="shared" si="79"/>
        <v>-1388.95</v>
      </c>
      <c r="AD310" s="8">
        <f>IFERROR(AC310/AC444, "NA")</f>
        <v>-3.4721565145513227E-3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167.48</v>
      </c>
      <c r="R311" s="8">
        <f>IFERROR(Q311/Q444, "NA")</f>
        <v>4.6808012704501794E-5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-167.48</v>
      </c>
      <c r="X311" s="8">
        <f>IFERROR(W311/W444, "NA")</f>
        <v>4.1171241686103095E-3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-167.48</v>
      </c>
      <c r="AD311" s="8">
        <f>IFERROR(AC311/AC444, "NA")</f>
        <v>-4.1867365496026169E-4</v>
      </c>
    </row>
    <row r="312" spans="1:30" ht="16.5" customHeight="1" x14ac:dyDescent="0.45">
      <c r="A312" s="6" t="s">
        <v>284</v>
      </c>
      <c r="B312" s="7">
        <v>3552.77</v>
      </c>
      <c r="C312" s="8">
        <f>IFERROR(B312/B444, "NA")</f>
        <v>4.9251727304601874E-3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-3552.77</v>
      </c>
      <c r="I312" s="8">
        <f>IFERROR(H312/H444, "NA")</f>
        <v>4.2732995905642224E-2</v>
      </c>
      <c r="J312" s="9"/>
      <c r="K312" s="7">
        <v>912.25</v>
      </c>
      <c r="L312" s="8">
        <f>IFERROR(K312/K444, "NA")</f>
        <v>1.3264220865991279E-3</v>
      </c>
      <c r="M312" s="9"/>
      <c r="N312" s="10">
        <f t="shared" si="77"/>
        <v>-2640.52</v>
      </c>
      <c r="O312" s="8">
        <f>IFERROR(N312/N444, "NA")</f>
        <v>-7.8594156008441468E-2</v>
      </c>
      <c r="P312" s="9"/>
      <c r="Q312" s="7">
        <v>7766.52</v>
      </c>
      <c r="R312" s="8">
        <f>IFERROR(Q312/Q444, "NA")</f>
        <v>2.1706195774406933E-3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-7766.52</v>
      </c>
      <c r="X312" s="8">
        <f>IFERROR(W312/W444, "NA")</f>
        <v>0.19092266060422344</v>
      </c>
      <c r="Y312" s="9"/>
      <c r="Z312" s="7">
        <v>2541.5</v>
      </c>
      <c r="AA312" s="8">
        <f>IFERROR(Z312/Z444, "NA")</f>
        <v>7.9971813420671176E-4</v>
      </c>
      <c r="AB312" s="9"/>
      <c r="AC312" s="10">
        <f t="shared" si="79"/>
        <v>-5225.0200000000004</v>
      </c>
      <c r="AD312" s="8">
        <f>IFERROR(AC312/AC444, "NA")</f>
        <v>-1.3061728090759893E-2</v>
      </c>
    </row>
    <row r="313" spans="1:30" ht="16.5" customHeight="1" x14ac:dyDescent="0.45">
      <c r="A313" s="6" t="s">
        <v>285</v>
      </c>
      <c r="B313" s="7">
        <v>500.63</v>
      </c>
      <c r="C313" s="8">
        <f>IFERROR(B313/B444, "NA")</f>
        <v>6.9401881462922835E-4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-500.63</v>
      </c>
      <c r="I313" s="8">
        <f>IFERROR(H313/H444, "NA")</f>
        <v>6.0216168624036082E-3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-500.63</v>
      </c>
      <c r="O313" s="8">
        <f>IFERROR(N313/N444, "NA")</f>
        <v>-1.4901077182716304E-2</v>
      </c>
      <c r="P313" s="9"/>
      <c r="Q313" s="7">
        <v>2002.3999999999999</v>
      </c>
      <c r="R313" s="8">
        <f>IFERROR(Q313/Q444, "NA")</f>
        <v>5.596391487908669E-4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-2002.3999999999999</v>
      </c>
      <c r="X313" s="8">
        <f>IFERROR(W313/W444, "NA")</f>
        <v>4.922456075486794E-2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-2002.3999999999999</v>
      </c>
      <c r="AD313" s="8">
        <f>IFERROR(AC313/AC444, "NA")</f>
        <v>-5.0056850172702887E-3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2382.9700000000003</v>
      </c>
      <c r="C315" s="8">
        <f>IFERROR(B315/B444, "NA")</f>
        <v>3.3034896324571289E-3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-2382.9700000000003</v>
      </c>
      <c r="I315" s="8">
        <f>IFERROR(H315/H444, "NA")</f>
        <v>2.8662549856384813E-2</v>
      </c>
      <c r="J315" s="9"/>
      <c r="K315" s="7">
        <v>605.44000000000005</v>
      </c>
      <c r="L315" s="8">
        <f>IFERROR(K315/K444, "NA")</f>
        <v>8.8031678608997102E-4</v>
      </c>
      <c r="M315" s="9"/>
      <c r="N315" s="10">
        <f t="shared" si="77"/>
        <v>-1777.5300000000002</v>
      </c>
      <c r="O315" s="8">
        <f>IFERROR(N315/N444, "NA")</f>
        <v>-5.2907559923683588E-2</v>
      </c>
      <c r="P315" s="9"/>
      <c r="Q315" s="7">
        <v>9697.7999999999993</v>
      </c>
      <c r="R315" s="8">
        <f>IFERROR(Q315/Q444, "NA")</f>
        <v>2.7103818103995552E-3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-9697.7999999999993</v>
      </c>
      <c r="X315" s="8">
        <f>IFERROR(W315/W444, "NA")</f>
        <v>0.23839889397151334</v>
      </c>
      <c r="Y315" s="9"/>
      <c r="Z315" s="7">
        <v>3932.64</v>
      </c>
      <c r="AA315" s="8">
        <f>IFERROR(Z315/Z444, "NA")</f>
        <v>1.2374595802898615E-3</v>
      </c>
      <c r="AB315" s="9"/>
      <c r="AC315" s="10">
        <f t="shared" si="79"/>
        <v>-5765.16</v>
      </c>
      <c r="AD315" s="8">
        <f>IFERROR(AC315/AC444, "NA")</f>
        <v>-1.4411993125332591E-2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1319.75</v>
      </c>
      <c r="C318" s="8">
        <f>IFERROR(B318/B444, "NA")</f>
        <v>1.8295574188660771E-3</v>
      </c>
      <c r="D318" s="9"/>
      <c r="E318" s="7">
        <v>3210</v>
      </c>
      <c r="F318" s="8">
        <f>IFERROR(E318/E444, "NA")</f>
        <v>3.9901148571342493E-3</v>
      </c>
      <c r="G318" s="9"/>
      <c r="H318" s="10">
        <f t="shared" si="76"/>
        <v>1890.25</v>
      </c>
      <c r="I318" s="8">
        <f>IFERROR(H318/H444, "NA")</f>
        <v>-2.2736075093698783E-2</v>
      </c>
      <c r="J318" s="9"/>
      <c r="K318" s="7">
        <v>1319.75</v>
      </c>
      <c r="L318" s="8">
        <f>IFERROR(K318/K444, "NA")</f>
        <v>1.9189318156088782E-3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7918.5</v>
      </c>
      <c r="R318" s="8">
        <f>IFERROR(Q318/Q444, "NA")</f>
        <v>2.2130955851480624E-3</v>
      </c>
      <c r="S318" s="9"/>
      <c r="T318" s="7">
        <v>19260</v>
      </c>
      <c r="U318" s="8">
        <f>IFERROR(T318/T444, "NA")</f>
        <v>5.3223551550889521E-3</v>
      </c>
      <c r="V318" s="9"/>
      <c r="W318" s="10">
        <f t="shared" si="78"/>
        <v>11341.5</v>
      </c>
      <c r="X318" s="8">
        <f>IFERROR(W318/W444, "NA")</f>
        <v>-0.27880561116726671</v>
      </c>
      <c r="Y318" s="9"/>
      <c r="Z318" s="7">
        <v>7918.5</v>
      </c>
      <c r="AA318" s="8">
        <f>IFERROR(Z318/Z444, "NA")</f>
        <v>2.4916655698272072E-3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1238.0999999999999</v>
      </c>
      <c r="C319" s="8">
        <f>IFERROR(B319/B444, "NA")</f>
        <v>1.716366766658905E-3</v>
      </c>
      <c r="D319" s="9"/>
      <c r="E319" s="7">
        <v>1084</v>
      </c>
      <c r="F319" s="8">
        <f>IFERROR(E319/E444, "NA")</f>
        <v>1.3474406558048367E-3</v>
      </c>
      <c r="G319" s="9"/>
      <c r="H319" s="10">
        <f t="shared" si="76"/>
        <v>-154.09999999999991</v>
      </c>
      <c r="I319" s="8">
        <f>IFERROR(H319/H444, "NA")</f>
        <v>1.853526873132644E-3</v>
      </c>
      <c r="J319" s="9"/>
      <c r="K319" s="7">
        <v>1082.43</v>
      </c>
      <c r="L319" s="8">
        <f>IFERROR(K319/K444, "NA")</f>
        <v>1.5738657815264391E-3</v>
      </c>
      <c r="M319" s="9"/>
      <c r="N319" s="10">
        <f t="shared" si="77"/>
        <v>-155.66999999999985</v>
      </c>
      <c r="O319" s="8">
        <f>IFERROR(N319/N444, "NA")</f>
        <v>-4.6334632064267915E-3</v>
      </c>
      <c r="P319" s="9"/>
      <c r="Q319" s="7">
        <v>7213.4699999999993</v>
      </c>
      <c r="R319" s="8">
        <f>IFERROR(Q319/Q444, "NA")</f>
        <v>2.0160508443010663E-3</v>
      </c>
      <c r="S319" s="9"/>
      <c r="T319" s="7">
        <v>6504</v>
      </c>
      <c r="U319" s="8">
        <f>IFERROR(T319/T444, "NA")</f>
        <v>1.7973311489459264E-3</v>
      </c>
      <c r="V319" s="9"/>
      <c r="W319" s="10">
        <f t="shared" si="78"/>
        <v>-709.46999999999935</v>
      </c>
      <c r="X319" s="8">
        <f>IFERROR(W319/W444, "NA")</f>
        <v>1.7440745664580568E-2</v>
      </c>
      <c r="Y319" s="9"/>
      <c r="Z319" s="7">
        <v>6281.6900000000005</v>
      </c>
      <c r="AA319" s="8">
        <f>IFERROR(Z319/Z444, "NA")</f>
        <v>1.976620659636026E-3</v>
      </c>
      <c r="AB319" s="9"/>
      <c r="AC319" s="10">
        <f t="shared" si="79"/>
        <v>-931.77999999999884</v>
      </c>
      <c r="AD319" s="8">
        <f>IFERROR(AC319/AC444, "NA")</f>
        <v>-2.3293034285817539E-3</v>
      </c>
    </row>
    <row r="320" spans="1:30" ht="16.5" customHeight="1" x14ac:dyDescent="0.45">
      <c r="A320" s="6" t="s">
        <v>292</v>
      </c>
      <c r="B320" s="7">
        <v>6649.87</v>
      </c>
      <c r="C320" s="8">
        <f>IFERROR(B320/B444, "NA")</f>
        <v>9.2186542852774837E-3</v>
      </c>
      <c r="D320" s="9"/>
      <c r="E320" s="7">
        <v>4243</v>
      </c>
      <c r="F320" s="8">
        <f>IFERROR(E320/E444, "NA")</f>
        <v>5.2741611647416252E-3</v>
      </c>
      <c r="G320" s="9"/>
      <c r="H320" s="10">
        <f t="shared" si="76"/>
        <v>-2406.87</v>
      </c>
      <c r="I320" s="8">
        <f>IFERROR(H320/H444, "NA")</f>
        <v>2.8950020928856384E-2</v>
      </c>
      <c r="J320" s="9"/>
      <c r="K320" s="7">
        <v>3800.82</v>
      </c>
      <c r="L320" s="8">
        <f>IFERROR(K320/K444, "NA")</f>
        <v>5.5264363882572736E-3</v>
      </c>
      <c r="M320" s="9"/>
      <c r="N320" s="10">
        <f t="shared" si="77"/>
        <v>-2849.0499999999997</v>
      </c>
      <c r="O320" s="8">
        <f>IFERROR(N320/N444, "NA")</f>
        <v>-8.4800978661721996E-2</v>
      </c>
      <c r="P320" s="9"/>
      <c r="Q320" s="7">
        <v>34267.21</v>
      </c>
      <c r="R320" s="8">
        <f>IFERROR(Q320/Q444, "NA")</f>
        <v>9.5771435456641456E-3</v>
      </c>
      <c r="S320" s="9"/>
      <c r="T320" s="7">
        <v>25458</v>
      </c>
      <c r="U320" s="8">
        <f>IFERROR(T320/T444, "NA")</f>
        <v>7.0351255211970167E-3</v>
      </c>
      <c r="V320" s="9"/>
      <c r="W320" s="10">
        <f t="shared" si="78"/>
        <v>-8809.2099999999991</v>
      </c>
      <c r="X320" s="8">
        <f>IFERROR(W320/W444, "NA")</f>
        <v>0.21655488056701469</v>
      </c>
      <c r="Y320" s="9"/>
      <c r="Z320" s="7">
        <v>25111.84</v>
      </c>
      <c r="AA320" s="8">
        <f>IFERROR(Z320/Z444, "NA")</f>
        <v>7.9017878541402607E-3</v>
      </c>
      <c r="AB320" s="9"/>
      <c r="AC320" s="10">
        <f t="shared" si="79"/>
        <v>-9155.369999999999</v>
      </c>
      <c r="AD320" s="8">
        <f>IFERROR(AC320/AC444, "NA")</f>
        <v>-2.2886984836479166E-2</v>
      </c>
    </row>
    <row r="321" spans="1:30" ht="16.5" customHeight="1" x14ac:dyDescent="0.45">
      <c r="A321" s="6" t="s">
        <v>293</v>
      </c>
      <c r="B321" s="7">
        <v>8880.81</v>
      </c>
      <c r="C321" s="8">
        <f>IFERROR(B321/B444, "NA")</f>
        <v>1.2311386111793934E-2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-8880.81</v>
      </c>
      <c r="I321" s="8">
        <f>IFERROR(H321/H444, "NA")</f>
        <v>0.10681907845674966</v>
      </c>
      <c r="J321" s="9"/>
      <c r="K321" s="7">
        <v>11796.789999999999</v>
      </c>
      <c r="L321" s="8">
        <f>IFERROR(K321/K444, "NA")</f>
        <v>1.7152669560944616E-2</v>
      </c>
      <c r="M321" s="9"/>
      <c r="N321" s="10">
        <f t="shared" si="77"/>
        <v>2915.9799999999996</v>
      </c>
      <c r="O321" s="8">
        <f>IFERROR(N321/N444, "NA")</f>
        <v>8.6793126746813179E-2</v>
      </c>
      <c r="P321" s="9"/>
      <c r="Q321" s="7">
        <v>62721.25</v>
      </c>
      <c r="R321" s="8">
        <f>IFERROR(Q321/Q444, "NA")</f>
        <v>1.7529597962993991E-2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-62721.25</v>
      </c>
      <c r="X321" s="8">
        <f>IFERROR(W321/W444, "NA")</f>
        <v>1.5418627553167505</v>
      </c>
      <c r="Y321" s="9"/>
      <c r="Z321" s="7">
        <v>61914.97</v>
      </c>
      <c r="AA321" s="8">
        <f>IFERROR(Z321/Z444, "NA")</f>
        <v>1.9482401844526671E-2</v>
      </c>
      <c r="AB321" s="9"/>
      <c r="AC321" s="10">
        <f t="shared" si="79"/>
        <v>-806.27999999999884</v>
      </c>
      <c r="AD321" s="8">
        <f>IFERROR(AC321/AC444, "NA")</f>
        <v>-2.0155731700582714E-3</v>
      </c>
    </row>
    <row r="322" spans="1:30" ht="16.5" customHeight="1" x14ac:dyDescent="0.45">
      <c r="A322" s="6" t="s">
        <v>294</v>
      </c>
      <c r="B322" s="7">
        <v>2621.47</v>
      </c>
      <c r="C322" s="8">
        <f>IFERROR(B322/B444, "NA")</f>
        <v>3.6341200127560937E-3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-2621.47</v>
      </c>
      <c r="I322" s="8">
        <f>IFERROR(H322/H444, "NA")</f>
        <v>3.1531246541927543E-2</v>
      </c>
      <c r="J322" s="9"/>
      <c r="K322" s="7">
        <v>1136.3600000000001</v>
      </c>
      <c r="L322" s="8">
        <f>IFERROR(K322/K444, "NA")</f>
        <v>1.6522806273804168E-3</v>
      </c>
      <c r="M322" s="9"/>
      <c r="N322" s="10">
        <f t="shared" si="77"/>
        <v>-1485.1099999999997</v>
      </c>
      <c r="O322" s="8">
        <f>IFERROR(N322/N444, "NA")</f>
        <v>-4.4203780705958103E-2</v>
      </c>
      <c r="P322" s="9"/>
      <c r="Q322" s="7">
        <v>10375.91</v>
      </c>
      <c r="R322" s="8">
        <f>IFERROR(Q322/Q444, "NA")</f>
        <v>2.8999028367612087E-3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-10375.91</v>
      </c>
      <c r="X322" s="8">
        <f>IFERROR(W322/W444, "NA")</f>
        <v>0.25506872362267374</v>
      </c>
      <c r="Y322" s="9"/>
      <c r="Z322" s="7">
        <v>7649.4599999999991</v>
      </c>
      <c r="AA322" s="8">
        <f>IFERROR(Z322/Z444, "NA")</f>
        <v>2.4070084119177152E-3</v>
      </c>
      <c r="AB322" s="9"/>
      <c r="AC322" s="10">
        <f t="shared" si="79"/>
        <v>-2726.4500000000007</v>
      </c>
      <c r="AD322" s="8">
        <f>IFERROR(AC322/AC444, "NA")</f>
        <v>-6.8156961223215058E-3</v>
      </c>
    </row>
    <row r="323" spans="1:30" ht="16.5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-31.29</v>
      </c>
      <c r="AA323" s="8">
        <f>IFERROR(Z323/Z444, "NA")</f>
        <v>-9.8458313670383678E-6</v>
      </c>
      <c r="AB323" s="9"/>
      <c r="AC323" s="10">
        <f t="shared" si="79"/>
        <v>-31.29</v>
      </c>
      <c r="AD323" s="8">
        <f>IFERROR(AC323/AC444, "NA")</f>
        <v>-7.8220078001591765E-5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29830.75</v>
      </c>
      <c r="C324" s="15">
        <f>IFERROR(B324/B444, "NA")</f>
        <v>4.1354097346345313E-2</v>
      </c>
      <c r="D324" s="2"/>
      <c r="E324" s="14">
        <f>IFERROR(E297+E298+E299+E300+E301+E302+E303+E304+E305+E306+E307+E308+E309+E310+E311+E312+E313+E314+E315+E316+E317+E318+E319+E320+E321+E322+E323, "NA")</f>
        <v>18995.349999999999</v>
      </c>
      <c r="F324" s="15">
        <f>IFERROR(E324/E444, "NA")</f>
        <v>2.3611722196718084E-2</v>
      </c>
      <c r="G324" s="2"/>
      <c r="H324" s="14">
        <f t="shared" si="76"/>
        <v>-10835.400000000001</v>
      </c>
      <c r="I324" s="15">
        <f>IFERROR(H324/H444, "NA")</f>
        <v>0.13032904011123597</v>
      </c>
      <c r="J324" s="2"/>
      <c r="K324" s="14">
        <f>IFERROR(K297+K298+K299+K300+K301+K302+K303+K304+K305+K306+K307+K308+K309+K310+K311+K312+K313+K314+K315+K316+K317+K318+K319+K320+K321+K322+K323, "NA")</f>
        <v>22533.25</v>
      </c>
      <c r="L324" s="15">
        <f>IFERROR(K324/K444, "NA")</f>
        <v>3.2763606996831791E-2</v>
      </c>
      <c r="M324" s="2"/>
      <c r="N324" s="14">
        <f t="shared" si="77"/>
        <v>-7297.5</v>
      </c>
      <c r="O324" s="15">
        <f>IFERROR(N324/N444, "NA")</f>
        <v>-0.21720753998136794</v>
      </c>
      <c r="P324" s="2"/>
      <c r="Q324" s="14">
        <f>IFERROR(Q297+Q298+Q299+Q300+Q301+Q302+Q303+Q304+Q305+Q306+Q307+Q308+Q309+Q310+Q311+Q312+Q313+Q314+Q315+Q316+Q317+Q318+Q319+Q320+Q321+Q322+Q323, "NA")</f>
        <v>158405.76999999999</v>
      </c>
      <c r="R324" s="15">
        <f>IFERROR(Q324/Q444, "NA")</f>
        <v>4.4271908852557856E-2</v>
      </c>
      <c r="S324" s="2"/>
      <c r="T324" s="14">
        <f>IFERROR(T297+T298+T299+T300+T301+T302+T303+T304+T305+T306+T307+T308+T309+T310+T311+T312+T313+T314+T315+T316+T317+T318+T319+T320+T321+T322+T323, "NA")</f>
        <v>98265.07</v>
      </c>
      <c r="U324" s="15">
        <f>IFERROR(T324/T444, "NA")</f>
        <v>2.7154807989599003E-2</v>
      </c>
      <c r="V324" s="2"/>
      <c r="W324" s="14">
        <f t="shared" si="78"/>
        <v>-60140.699999999983</v>
      </c>
      <c r="X324" s="15">
        <f>IFERROR(W324/W444, "NA")</f>
        <v>1.4784256597034986</v>
      </c>
      <c r="Y324" s="2"/>
      <c r="Z324" s="14">
        <f>IFERROR(Z297+Z298+Z299+Z300+Z301+Z302+Z303+Z304+Z305+Z306+Z307+Z308+Z309+Z310+Z311+Z312+Z313+Z314+Z315+Z316+Z317+Z318+Z319+Z320+Z321+Z322+Z323, "NA")</f>
        <v>124275.12000000001</v>
      </c>
      <c r="AA324" s="15">
        <f>IFERROR(Z324/Z444, "NA")</f>
        <v>3.9104885734690231E-2</v>
      </c>
      <c r="AB324" s="2"/>
      <c r="AC324" s="14">
        <f t="shared" si="79"/>
        <v>-34130.64999999998</v>
      </c>
      <c r="AD324" s="15">
        <f>IFERROR(AC324/AC444, "NA")</f>
        <v>-8.5321256159956102E-2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180079.81</v>
      </c>
      <c r="C325" s="15">
        <f>IFERROR(B325/B444, "NA")</f>
        <v>0.24964300236673126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165999.75999999998</v>
      </c>
      <c r="F325" s="15">
        <f>IFERROR(E325/E444, "NA")</f>
        <v>0.20634208992421169</v>
      </c>
      <c r="G325" s="2"/>
      <c r="H325" s="14">
        <f t="shared" si="76"/>
        <v>-14080.050000000017</v>
      </c>
      <c r="I325" s="15">
        <f>IFERROR(H325/H444, "NA")</f>
        <v>0.1693559445168808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131362.67999999996</v>
      </c>
      <c r="L325" s="15">
        <f>IFERROR(K325/K444, "NA")</f>
        <v>0.19100286117495585</v>
      </c>
      <c r="M325" s="2"/>
      <c r="N325" s="14">
        <f t="shared" si="77"/>
        <v>-48717.130000000034</v>
      </c>
      <c r="O325" s="15">
        <f>IFERROR(N325/N444, "NA")</f>
        <v>-1.450048367557726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934136.09000000032</v>
      </c>
      <c r="R325" s="15">
        <f>IFERROR(Q325/Q444, "NA")</f>
        <v>0.26107627160528812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778392.91999999993</v>
      </c>
      <c r="U325" s="15">
        <f>IFERROR(T325/T444, "NA")</f>
        <v>0.21510298911976852</v>
      </c>
      <c r="V325" s="2"/>
      <c r="W325" s="14">
        <f t="shared" si="78"/>
        <v>-155743.17000000039</v>
      </c>
      <c r="X325" s="15">
        <f>IFERROR(W325/W444, "NA")</f>
        <v>3.8286002466144358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664568.47999999986</v>
      </c>
      <c r="AA325" s="15">
        <f>IFERROR(Z325/Z444, "NA")</f>
        <v>0.20911566589737962</v>
      </c>
      <c r="AB325" s="2"/>
      <c r="AC325" s="14">
        <f t="shared" si="79"/>
        <v>-269567.61000000045</v>
      </c>
      <c r="AD325" s="15">
        <f>IFERROR(AC325/AC444, "NA")</f>
        <v>-0.67387662131360515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58545.11</v>
      </c>
      <c r="C329" s="8">
        <f>IFERROR(B329/B444, "NA")</f>
        <v>8.1160553391801907E-2</v>
      </c>
      <c r="D329" s="9"/>
      <c r="E329" s="7">
        <v>68157.42</v>
      </c>
      <c r="F329" s="8">
        <f>IFERROR(E329/E444, "NA")</f>
        <v>8.4721474818049536E-2</v>
      </c>
      <c r="G329" s="9"/>
      <c r="H329" s="10">
        <f t="shared" si="80"/>
        <v>9612.3099999999977</v>
      </c>
      <c r="I329" s="8">
        <f>IFERROR(H329/H444, "NA")</f>
        <v>-0.11561761776691531</v>
      </c>
      <c r="J329" s="9"/>
      <c r="K329" s="7">
        <v>52186.869999999995</v>
      </c>
      <c r="L329" s="8">
        <f>IFERROR(K329/K444, "NA")</f>
        <v>7.5880314605072538E-2</v>
      </c>
      <c r="M329" s="9"/>
      <c r="N329" s="10">
        <f t="shared" si="81"/>
        <v>-6358.2400000000052</v>
      </c>
      <c r="O329" s="8">
        <f>IFERROR(N329/N444, "NA")</f>
        <v>-0.18925079397206357</v>
      </c>
      <c r="P329" s="9"/>
      <c r="Q329" s="7">
        <v>334124.07</v>
      </c>
      <c r="R329" s="8">
        <f>IFERROR(Q329/Q444, "NA")</f>
        <v>9.3382396187245337E-2</v>
      </c>
      <c r="S329" s="9"/>
      <c r="T329" s="7">
        <v>336213.72</v>
      </c>
      <c r="U329" s="8">
        <f>IFERROR(T329/T444, "NA")</f>
        <v>9.2910115568724472E-2</v>
      </c>
      <c r="V329" s="9"/>
      <c r="W329" s="10">
        <f t="shared" si="82"/>
        <v>2089.6499999999651</v>
      </c>
      <c r="X329" s="8">
        <f>IFERROR(W329/W444, "NA")</f>
        <v>-5.1369408400623297E-2</v>
      </c>
      <c r="Y329" s="9"/>
      <c r="Z329" s="7">
        <v>313121.21999999997</v>
      </c>
      <c r="AA329" s="8">
        <f>IFERROR(Z329/Z444, "NA")</f>
        <v>9.8527923603749484E-2</v>
      </c>
      <c r="AB329" s="9"/>
      <c r="AC329" s="10">
        <f t="shared" si="83"/>
        <v>-21002.850000000035</v>
      </c>
      <c r="AD329" s="8">
        <f>IFERROR(AC329/AC444, "NA")</f>
        <v>-5.250382119705127E-2</v>
      </c>
    </row>
    <row r="330" spans="1:30" ht="16.5" customHeight="1" x14ac:dyDescent="0.45">
      <c r="A330" s="6" t="s">
        <v>301</v>
      </c>
      <c r="B330" s="7">
        <v>5252.1900000000005</v>
      </c>
      <c r="C330" s="8">
        <f>IFERROR(B330/B444, "NA")</f>
        <v>7.2810632163623585E-3</v>
      </c>
      <c r="D330" s="9"/>
      <c r="E330" s="7">
        <v>6065</v>
      </c>
      <c r="F330" s="8">
        <f>IFERROR(E330/E444, "NA")</f>
        <v>7.5389553297567661E-3</v>
      </c>
      <c r="G330" s="9"/>
      <c r="H330" s="10">
        <f t="shared" si="80"/>
        <v>812.80999999999949</v>
      </c>
      <c r="I330" s="8">
        <f>IFERROR(H330/H444, "NA")</f>
        <v>-9.7765423604863344E-3</v>
      </c>
      <c r="J330" s="9"/>
      <c r="K330" s="7">
        <v>6496.64</v>
      </c>
      <c r="L330" s="8">
        <f>IFERROR(K330/K444, "NA")</f>
        <v>9.4461899530647944E-3</v>
      </c>
      <c r="M330" s="9"/>
      <c r="N330" s="10">
        <f t="shared" si="81"/>
        <v>1244.4499999999998</v>
      </c>
      <c r="O330" s="8">
        <f>IFERROR(N330/N444, "NA")</f>
        <v>3.7040619819090549E-2</v>
      </c>
      <c r="P330" s="9"/>
      <c r="Q330" s="7">
        <v>35743.360000000001</v>
      </c>
      <c r="R330" s="8">
        <f>IFERROR(Q330/Q444, "NA")</f>
        <v>9.9897041376975255E-3</v>
      </c>
      <c r="S330" s="9"/>
      <c r="T330" s="7">
        <v>36390</v>
      </c>
      <c r="U330" s="8">
        <f>IFERROR(T330/T444, "NA")</f>
        <v>1.0056100939443768E-2</v>
      </c>
      <c r="V330" s="9"/>
      <c r="W330" s="10">
        <f t="shared" si="82"/>
        <v>646.63999999999942</v>
      </c>
      <c r="X330" s="8">
        <f>IFERROR(W330/W444, "NA")</f>
        <v>-1.5896209531825699E-2</v>
      </c>
      <c r="Y330" s="9"/>
      <c r="Z330" s="7">
        <v>34521.850000000006</v>
      </c>
      <c r="AA330" s="8">
        <f>IFERROR(Z330/Z444, "NA")</f>
        <v>1.0862777679072979E-2</v>
      </c>
      <c r="AB330" s="9"/>
      <c r="AC330" s="10">
        <f t="shared" si="83"/>
        <v>-1221.5099999999948</v>
      </c>
      <c r="AD330" s="8">
        <f>IFERROR(AC330/AC444, "NA")</f>
        <v>-3.0535828532989437E-3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1490.4</v>
      </c>
      <c r="C332" s="8">
        <f>IFERROR(B332/B444, "NA")</f>
        <v>2.0661279614154209E-3</v>
      </c>
      <c r="D332" s="9"/>
      <c r="E332" s="7">
        <v>195</v>
      </c>
      <c r="F332" s="8">
        <f>IFERROR(E332/E444, "NA")</f>
        <v>2.4239015487264128E-4</v>
      </c>
      <c r="G332" s="9"/>
      <c r="H332" s="10">
        <f t="shared" si="80"/>
        <v>-1295.4000000000001</v>
      </c>
      <c r="I332" s="8">
        <f>IFERROR(H332/H444, "NA")</f>
        <v>1.5581172689526466E-2</v>
      </c>
      <c r="J332" s="9"/>
      <c r="K332" s="7">
        <v>195.16</v>
      </c>
      <c r="L332" s="8">
        <f>IFERROR(K332/K444, "NA")</f>
        <v>2.8376490481851004E-4</v>
      </c>
      <c r="M332" s="9"/>
      <c r="N332" s="10">
        <f t="shared" si="81"/>
        <v>-1295.24</v>
      </c>
      <c r="O332" s="8">
        <f>IFERROR(N332/N444, "NA")</f>
        <v>-3.855236643857033E-2</v>
      </c>
      <c r="P332" s="9"/>
      <c r="Q332" s="7">
        <v>2466.1999999999998</v>
      </c>
      <c r="R332" s="8">
        <f>IFERROR(Q332/Q444, "NA")</f>
        <v>6.8926391767281064E-4</v>
      </c>
      <c r="S332" s="9"/>
      <c r="T332" s="7">
        <v>1170</v>
      </c>
      <c r="U332" s="8">
        <f>IFERROR(T332/T444, "NA")</f>
        <v>3.2332064026241295E-4</v>
      </c>
      <c r="V332" s="9"/>
      <c r="W332" s="10">
        <f t="shared" si="82"/>
        <v>-1296.1999999999998</v>
      </c>
      <c r="X332" s="8">
        <f>IFERROR(W332/W444, "NA")</f>
        <v>3.1864200784288761E-2</v>
      </c>
      <c r="Y332" s="9"/>
      <c r="Z332" s="7">
        <v>1170.96</v>
      </c>
      <c r="AA332" s="8">
        <f>IFERROR(Z332/Z444, "NA")</f>
        <v>3.6845876310473782E-4</v>
      </c>
      <c r="AB332" s="9"/>
      <c r="AC332" s="10">
        <f t="shared" si="83"/>
        <v>-1295.2399999999998</v>
      </c>
      <c r="AD332" s="8">
        <f>IFERROR(AC332/AC444, "NA")</f>
        <v>-3.2378962553781302E-3</v>
      </c>
    </row>
    <row r="333" spans="1:30" ht="16.5" customHeight="1" x14ac:dyDescent="0.45">
      <c r="A333" s="6" t="s">
        <v>304</v>
      </c>
      <c r="B333" s="7">
        <v>5618.89</v>
      </c>
      <c r="C333" s="8">
        <f>IFERROR(B333/B444, "NA")</f>
        <v>7.7894160903901593E-3</v>
      </c>
      <c r="D333" s="9"/>
      <c r="E333" s="7">
        <v>5155</v>
      </c>
      <c r="F333" s="8">
        <f>IFERROR(E333/E444, "NA")</f>
        <v>6.40780127368444E-3</v>
      </c>
      <c r="G333" s="9"/>
      <c r="H333" s="10">
        <f t="shared" si="80"/>
        <v>-463.89000000000033</v>
      </c>
      <c r="I333" s="8">
        <f>IFERROR(H333/H444, "NA")</f>
        <v>5.5797052639682239E-3</v>
      </c>
      <c r="J333" s="9"/>
      <c r="K333" s="7">
        <v>5558.9100000000008</v>
      </c>
      <c r="L333" s="8">
        <f>IFERROR(K333/K444, "NA")</f>
        <v>8.0827196507720026E-3</v>
      </c>
      <c r="M333" s="9"/>
      <c r="N333" s="10">
        <f t="shared" si="81"/>
        <v>-59.979999999999563</v>
      </c>
      <c r="O333" s="8">
        <f>IFERROR(N333/N444, "NA")</f>
        <v>-1.7852837612993976E-3</v>
      </c>
      <c r="P333" s="9"/>
      <c r="Q333" s="7">
        <v>34148.339999999997</v>
      </c>
      <c r="R333" s="8">
        <f>IFERROR(Q333/Q444, "NA")</f>
        <v>9.5439212595990371E-3</v>
      </c>
      <c r="S333" s="9"/>
      <c r="T333" s="7">
        <v>30930</v>
      </c>
      <c r="U333" s="8">
        <f>IFERROR(T333/T444, "NA")</f>
        <v>8.547271284885841E-3</v>
      </c>
      <c r="V333" s="9"/>
      <c r="W333" s="10">
        <f t="shared" si="82"/>
        <v>-3218.3399999999965</v>
      </c>
      <c r="X333" s="8">
        <f>IFERROR(W333/W444, "NA")</f>
        <v>7.9115747532871317E-2</v>
      </c>
      <c r="Y333" s="9"/>
      <c r="Z333" s="7">
        <v>31577.07</v>
      </c>
      <c r="AA333" s="8">
        <f>IFERROR(Z333/Z444, "NA")</f>
        <v>9.9361619138755592E-3</v>
      </c>
      <c r="AB333" s="9"/>
      <c r="AC333" s="10">
        <f t="shared" si="83"/>
        <v>-2571.2699999999968</v>
      </c>
      <c r="AD333" s="8">
        <f>IFERROR(AC333/AC444, "NA")</f>
        <v>-6.4277705325392334E-3</v>
      </c>
    </row>
    <row r="334" spans="1:30" ht="16.5" customHeight="1" x14ac:dyDescent="0.45">
      <c r="A334" s="6" t="s">
        <v>305</v>
      </c>
      <c r="B334" s="7">
        <v>9015.94</v>
      </c>
      <c r="C334" s="8">
        <f>IFERROR(B334/B444, "NA")</f>
        <v>1.2498715601478628E-2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-9015.94</v>
      </c>
      <c r="I334" s="8">
        <f>IFERROR(H334/H444, "NA")</f>
        <v>0.10844443268365697</v>
      </c>
      <c r="J334" s="9"/>
      <c r="K334" s="7">
        <v>8036.78</v>
      </c>
      <c r="L334" s="8">
        <f>IFERROR(K334/K444, "NA")</f>
        <v>1.1685571386284614E-2</v>
      </c>
      <c r="M334" s="9"/>
      <c r="N334" s="10">
        <f t="shared" si="81"/>
        <v>-979.16000000000076</v>
      </c>
      <c r="O334" s="8">
        <f>IFERROR(N334/N444, "NA")</f>
        <v>-2.914435558042568E-2</v>
      </c>
      <c r="P334" s="9"/>
      <c r="Q334" s="7">
        <v>0</v>
      </c>
      <c r="R334" s="8">
        <f>IFERROR(Q334/Q444, "NA")</f>
        <v>0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0</v>
      </c>
      <c r="AA334" s="8">
        <f>IFERROR(Z334/Z444, "NA")</f>
        <v>0</v>
      </c>
      <c r="AB334" s="9"/>
      <c r="AC334" s="10">
        <f t="shared" si="83"/>
        <v>0</v>
      </c>
      <c r="AD334" s="8">
        <f>IFERROR(AC334/AC444, "NA")</f>
        <v>0</v>
      </c>
    </row>
    <row r="335" spans="1:30" ht="16.5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3309.62</v>
      </c>
      <c r="R335" s="8">
        <f>IFERROR(Q335/Q444, "NA")</f>
        <v>9.2498647603936736E-4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-3309.62</v>
      </c>
      <c r="X335" s="8">
        <f>IFERROR(W335/W444, "NA")</f>
        <v>8.135966378621956E-2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-3309.62</v>
      </c>
      <c r="AD335" s="8">
        <f>IFERROR(AC335/AC444, "NA")</f>
        <v>-8.2735293881632515E-3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16175.07</v>
      </c>
      <c r="F337" s="8">
        <f>IFERROR(E337/E444, "NA")</f>
        <v>2.010603960192725E-2</v>
      </c>
      <c r="G337" s="9"/>
      <c r="H337" s="10">
        <f t="shared" ref="H337:H344" si="84">IFERROR(-(B337-E337), "NA")</f>
        <v>16175.07</v>
      </c>
      <c r="I337" s="8">
        <f>IFERROR(H337/H444, "NA")</f>
        <v>-0.19455500921350843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90900.15</v>
      </c>
      <c r="U337" s="8">
        <f>IFERROR(T337/T444, "NA")</f>
        <v>2.5119568117905451E-2</v>
      </c>
      <c r="V337" s="9"/>
      <c r="W337" s="10">
        <f t="shared" ref="W337:W344" si="86">IFERROR(-(Q337-T337), "NA")</f>
        <v>90900.15</v>
      </c>
      <c r="X337" s="8">
        <f>IFERROR(W337/W444, "NA")</f>
        <v>-2.2345784839700404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9869.6</v>
      </c>
      <c r="C338" s="8">
        <f>IFERROR(B338/B444, "NA")</f>
        <v>1.3682136693495462E-2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-9869.6</v>
      </c>
      <c r="I338" s="8">
        <f>IFERROR(H338/H444, "NA")</f>
        <v>0.11871232204458114</v>
      </c>
      <c r="J338" s="9"/>
      <c r="K338" s="7">
        <v>9060.6899999999987</v>
      </c>
      <c r="L338" s="8">
        <f>IFERROR(K338/K444, "NA")</f>
        <v>1.3174348408690436E-2</v>
      </c>
      <c r="M338" s="9"/>
      <c r="N338" s="10">
        <f t="shared" si="85"/>
        <v>-808.91000000000167</v>
      </c>
      <c r="O338" s="8">
        <f>IFERROR(N338/N444, "NA")</f>
        <v>-2.4076923763799753E-2</v>
      </c>
      <c r="P338" s="9"/>
      <c r="Q338" s="7">
        <v>58045.4</v>
      </c>
      <c r="R338" s="8">
        <f>IFERROR(Q338/Q444, "NA")</f>
        <v>1.6222771797455748E-2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-58045.4</v>
      </c>
      <c r="X338" s="8">
        <f>IFERROR(W338/W444, "NA")</f>
        <v>1.4269173585899979</v>
      </c>
      <c r="Y338" s="9"/>
      <c r="Z338" s="7">
        <v>46955.680000000008</v>
      </c>
      <c r="AA338" s="8">
        <f>IFERROR(Z338/Z444, "NA")</f>
        <v>1.4775254298645452E-2</v>
      </c>
      <c r="AB338" s="9"/>
      <c r="AC338" s="10">
        <f t="shared" si="87"/>
        <v>-11089.719999999994</v>
      </c>
      <c r="AD338" s="8">
        <f>IFERROR(AC338/AC444, "NA")</f>
        <v>-2.7722555558191489E-2</v>
      </c>
    </row>
    <row r="339" spans="1:30" ht="16.5" customHeight="1" x14ac:dyDescent="0.45">
      <c r="A339" s="12" t="s">
        <v>309</v>
      </c>
      <c r="B339" s="7">
        <v>2076.7200000000003</v>
      </c>
      <c r="C339" s="8">
        <f>IFERROR(B339/B444, "NA")</f>
        <v>2.8789380434988141E-3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-2076.7200000000003</v>
      </c>
      <c r="I339" s="8">
        <f>IFERROR(H339/H444, "NA")</f>
        <v>2.4978950862894398E-2</v>
      </c>
      <c r="J339" s="9"/>
      <c r="K339" s="7">
        <v>1870.15</v>
      </c>
      <c r="L339" s="8">
        <f>IFERROR(K339/K444, "NA")</f>
        <v>2.7192198029633973E-3</v>
      </c>
      <c r="M339" s="9"/>
      <c r="N339" s="10">
        <f t="shared" si="85"/>
        <v>-206.57000000000016</v>
      </c>
      <c r="O339" s="8">
        <f>IFERROR(N339/N444, "NA")</f>
        <v>-6.148483937506161E-3</v>
      </c>
      <c r="P339" s="9"/>
      <c r="Q339" s="7">
        <v>15279.939999999999</v>
      </c>
      <c r="R339" s="8">
        <f>IFERROR(Q339/Q444, "NA")</f>
        <v>4.2705017055411102E-3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-15279.939999999999</v>
      </c>
      <c r="X339" s="8">
        <f>IFERROR(W339/W444, "NA")</f>
        <v>0.3756234193271758</v>
      </c>
      <c r="Y339" s="9"/>
      <c r="Z339" s="7">
        <v>15002.189999999999</v>
      </c>
      <c r="AA339" s="8">
        <f>IFERROR(Z339/Z444, "NA")</f>
        <v>4.7206466243614352E-3</v>
      </c>
      <c r="AB339" s="9"/>
      <c r="AC339" s="10">
        <f t="shared" si="87"/>
        <v>-277.75</v>
      </c>
      <c r="AD339" s="8">
        <f>IFERROR(AC339/AC444, "NA")</f>
        <v>-6.9433130920236853E-4</v>
      </c>
    </row>
    <row r="340" spans="1:30" ht="16.5" customHeight="1" x14ac:dyDescent="0.45">
      <c r="A340" s="12" t="s">
        <v>310</v>
      </c>
      <c r="B340" s="7">
        <v>2849.35</v>
      </c>
      <c r="C340" s="8">
        <f>IFERROR(B340/B444, "NA")</f>
        <v>3.9500279836681617E-3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-2849.35</v>
      </c>
      <c r="I340" s="8">
        <f>IFERROR(H340/H444, "NA")</f>
        <v>3.4272205035434794E-2</v>
      </c>
      <c r="J340" s="9"/>
      <c r="K340" s="7">
        <v>2300.36</v>
      </c>
      <c r="L340" s="8">
        <f>IFERROR(K340/K444, "NA")</f>
        <v>3.3447501355211512E-3</v>
      </c>
      <c r="M340" s="9"/>
      <c r="N340" s="10">
        <f t="shared" si="85"/>
        <v>-548.98999999999978</v>
      </c>
      <c r="O340" s="8">
        <f>IFERROR(N340/N444, "NA")</f>
        <v>-1.6340495700496217E-2</v>
      </c>
      <c r="P340" s="9"/>
      <c r="Q340" s="7">
        <v>16243.94</v>
      </c>
      <c r="R340" s="8">
        <f>IFERROR(Q340/Q444, "NA")</f>
        <v>4.5399244679434261E-3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-16243.94</v>
      </c>
      <c r="X340" s="8">
        <f>IFERROR(W340/W444, "NA")</f>
        <v>0.3993212202499149</v>
      </c>
      <c r="Y340" s="9"/>
      <c r="Z340" s="7">
        <v>14353.560000000001</v>
      </c>
      <c r="AA340" s="8">
        <f>IFERROR(Z340/Z444, "NA")</f>
        <v>4.5165462216895892E-3</v>
      </c>
      <c r="AB340" s="9"/>
      <c r="AC340" s="10">
        <f t="shared" si="87"/>
        <v>-1890.3799999999992</v>
      </c>
      <c r="AD340" s="8">
        <f>IFERROR(AC340/AC444, "NA")</f>
        <v>-4.7256526383077334E-3</v>
      </c>
    </row>
    <row r="341" spans="1:30" ht="16.5" customHeight="1" x14ac:dyDescent="0.45">
      <c r="A341" s="12" t="s">
        <v>311</v>
      </c>
      <c r="B341" s="7">
        <v>1884.35</v>
      </c>
      <c r="C341" s="8">
        <f>IFERROR(B341/B444, "NA")</f>
        <v>2.6122572625423696E-3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-1884.35</v>
      </c>
      <c r="I341" s="8">
        <f>IFERROR(H341/H444, "NA")</f>
        <v>2.2665109431456842E-2</v>
      </c>
      <c r="J341" s="9"/>
      <c r="K341" s="7">
        <v>1750.17</v>
      </c>
      <c r="L341" s="8">
        <f>IFERROR(K341/K444, "NA")</f>
        <v>2.5447674906036678E-3</v>
      </c>
      <c r="M341" s="9"/>
      <c r="N341" s="10">
        <f t="shared" si="85"/>
        <v>-134.17999999999984</v>
      </c>
      <c r="O341" s="8">
        <f>IFERROR(N341/N444, "NA")</f>
        <v>-3.9938208584720672E-3</v>
      </c>
      <c r="P341" s="9"/>
      <c r="Q341" s="7">
        <v>11264.84</v>
      </c>
      <c r="R341" s="8">
        <f>IFERROR(Q341/Q444, "NA")</f>
        <v>3.1483447207677337E-3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-11264.84</v>
      </c>
      <c r="X341" s="8">
        <f>IFERROR(W341/W444, "NA")</f>
        <v>0.27692109517272606</v>
      </c>
      <c r="Y341" s="9"/>
      <c r="Z341" s="7">
        <v>10498.59</v>
      </c>
      <c r="AA341" s="8">
        <f>IFERROR(Z341/Z444, "NA")</f>
        <v>3.3035265813894325E-3</v>
      </c>
      <c r="AB341" s="9"/>
      <c r="AC341" s="10">
        <f t="shared" si="87"/>
        <v>-766.25</v>
      </c>
      <c r="AD341" s="8">
        <f>IFERROR(AC341/AC444, "NA")</f>
        <v>-1.9155044668814219E-3</v>
      </c>
    </row>
    <row r="342" spans="1:30" ht="16.5" customHeight="1" x14ac:dyDescent="0.45">
      <c r="A342" s="13" t="s">
        <v>312</v>
      </c>
      <c r="B342" s="14">
        <f>IFERROR(B337+B338+B339+B340+B341, "NA")</f>
        <v>16680.02</v>
      </c>
      <c r="C342" s="15">
        <f>IFERROR(B342/B444, "NA")</f>
        <v>2.3123359983204805E-2</v>
      </c>
      <c r="D342" s="2"/>
      <c r="E342" s="14">
        <f>IFERROR(E337+E338+E339+E340+E341, "NA")</f>
        <v>16175.07</v>
      </c>
      <c r="F342" s="15">
        <f>IFERROR(E342/E444, "NA")</f>
        <v>2.010603960192725E-2</v>
      </c>
      <c r="G342" s="2"/>
      <c r="H342" s="14">
        <f t="shared" si="84"/>
        <v>-504.95000000000073</v>
      </c>
      <c r="I342" s="15">
        <f>IFERROR(H342/H444, "NA")</f>
        <v>6.0735781608587313E-3</v>
      </c>
      <c r="J342" s="2"/>
      <c r="K342" s="14">
        <f>IFERROR(K337+K338+K339+K340+K341, "NA")</f>
        <v>14981.369999999999</v>
      </c>
      <c r="L342" s="15">
        <f>IFERROR(K342/K444, "NA")</f>
        <v>2.1783085837778653E-2</v>
      </c>
      <c r="M342" s="2"/>
      <c r="N342" s="14">
        <f t="shared" si="85"/>
        <v>-1698.6500000000015</v>
      </c>
      <c r="O342" s="15">
        <f>IFERROR(N342/N444, "NA")</f>
        <v>-5.0559724260274198E-2</v>
      </c>
      <c r="P342" s="2"/>
      <c r="Q342" s="14">
        <f>IFERROR(Q337+Q338+Q339+Q340+Q341, "NA")</f>
        <v>100834.12</v>
      </c>
      <c r="R342" s="15">
        <f>IFERROR(Q342/Q444, "NA")</f>
        <v>2.8181542691708018E-2</v>
      </c>
      <c r="S342" s="2"/>
      <c r="T342" s="14">
        <f>IFERROR(T337+T338+T339+T340+T341, "NA")</f>
        <v>90900.15</v>
      </c>
      <c r="U342" s="15">
        <f>IFERROR(T342/T444, "NA")</f>
        <v>2.5119568117905451E-2</v>
      </c>
      <c r="V342" s="2"/>
      <c r="W342" s="14">
        <f t="shared" si="86"/>
        <v>-9933.9700000000012</v>
      </c>
      <c r="X342" s="15">
        <f>IFERROR(W342/W444, "NA")</f>
        <v>0.24420460936977406</v>
      </c>
      <c r="Y342" s="2"/>
      <c r="Z342" s="14">
        <f>IFERROR(Z337+Z338+Z339+Z340+Z341, "NA")</f>
        <v>86810.02</v>
      </c>
      <c r="AA342" s="15">
        <f>IFERROR(Z342/Z444, "NA")</f>
        <v>2.7315973726085907E-2</v>
      </c>
      <c r="AB342" s="2"/>
      <c r="AC342" s="14">
        <f t="shared" si="87"/>
        <v>-14024.099999999991</v>
      </c>
      <c r="AD342" s="15">
        <f>IFERROR(AC342/AC444, "NA")</f>
        <v>-3.5058043972583011E-2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96602.550000000032</v>
      </c>
      <c r="C343" s="15">
        <f>IFERROR(B343/B444, "NA")</f>
        <v>0.13391923624465332</v>
      </c>
      <c r="D343" s="2"/>
      <c r="E343" s="14">
        <f>IFERROR(E328+E329+E330+E331+E332+E333+E334+E335+E337+E338+E339+E340+E341, "NA")</f>
        <v>95747.489999999991</v>
      </c>
      <c r="F343" s="15">
        <f>IFERROR(E343/E444, "NA")</f>
        <v>0.11901666117829061</v>
      </c>
      <c r="G343" s="2"/>
      <c r="H343" s="14">
        <f t="shared" si="84"/>
        <v>-855.06000000004133</v>
      </c>
      <c r="I343" s="15">
        <f>IFERROR(H343/H444, "NA")</f>
        <v>1.028472867060919E-2</v>
      </c>
      <c r="J343" s="2"/>
      <c r="K343" s="14">
        <f>IFERROR(K328+K329+K330+K331+K332+K333+K334+K335+K337+K338+K339+K340+K341, "NA")</f>
        <v>87455.73</v>
      </c>
      <c r="L343" s="15">
        <f>IFERROR(K343/K444, "NA")</f>
        <v>0.12716164633779112</v>
      </c>
      <c r="M343" s="2"/>
      <c r="N343" s="14">
        <f t="shared" si="85"/>
        <v>-9146.8200000000361</v>
      </c>
      <c r="O343" s="15">
        <f>IFERROR(N343/N444, "NA")</f>
        <v>-0.2722519041935435</v>
      </c>
      <c r="P343" s="2"/>
      <c r="Q343" s="14">
        <f>IFERROR(Q328+Q329+Q330+Q331+Q332+Q333+Q334+Q335+Q337+Q338+Q339+Q340+Q341, "NA")</f>
        <v>510625.71</v>
      </c>
      <c r="R343" s="15">
        <f>IFERROR(Q343/Q444, "NA")</f>
        <v>0.14271181466996211</v>
      </c>
      <c r="S343" s="2"/>
      <c r="T343" s="14">
        <f>IFERROR(T328+T329+T330+T331+T332+T333+T334+T335+T337+T338+T339+T340+T341, "NA")</f>
        <v>495603.87</v>
      </c>
      <c r="U343" s="15">
        <f>IFERROR(T343/T444, "NA")</f>
        <v>0.13695637655122195</v>
      </c>
      <c r="V343" s="2"/>
      <c r="W343" s="14">
        <f t="shared" si="86"/>
        <v>-15021.840000000026</v>
      </c>
      <c r="X343" s="15">
        <f>IFERROR(W343/W444, "NA")</f>
        <v>0.36927860354070452</v>
      </c>
      <c r="Y343" s="2"/>
      <c r="Z343" s="14">
        <f>IFERROR(Z328+Z329+Z330+Z331+Z332+Z333+Z334+Z335+Z337+Z338+Z339+Z340+Z341, "NA")</f>
        <v>467201.12</v>
      </c>
      <c r="AA343" s="15">
        <f>IFERROR(Z343/Z444, "NA")</f>
        <v>0.14701129568588867</v>
      </c>
      <c r="AB343" s="2"/>
      <c r="AC343" s="14">
        <f t="shared" si="87"/>
        <v>-43424.590000000026</v>
      </c>
      <c r="AD343" s="15">
        <f>IFERROR(AC343/AC444, "NA")</f>
        <v>-0.10855464419901387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96602.550000000032</v>
      </c>
      <c r="C344" s="15">
        <f>IFERROR(B344/B444, "NA")</f>
        <v>0.13391923624465332</v>
      </c>
      <c r="D344" s="2"/>
      <c r="E344" s="14">
        <f>IFERROR(E328+E329+E330+E331+E332+E333+E334+E335+E337+E338+E339+E340+E341, "NA")</f>
        <v>95747.489999999991</v>
      </c>
      <c r="F344" s="15">
        <f>IFERROR(E344/E444, "NA")</f>
        <v>0.11901666117829061</v>
      </c>
      <c r="G344" s="2"/>
      <c r="H344" s="14">
        <f t="shared" si="84"/>
        <v>-855.06000000004133</v>
      </c>
      <c r="I344" s="15">
        <f>IFERROR(H344/H444, "NA")</f>
        <v>1.028472867060919E-2</v>
      </c>
      <c r="J344" s="2"/>
      <c r="K344" s="14">
        <f>IFERROR(K328+K329+K330+K331+K332+K333+K334+K335+K337+K338+K339+K340+K341, "NA")</f>
        <v>87455.73</v>
      </c>
      <c r="L344" s="15">
        <f>IFERROR(K344/K444, "NA")</f>
        <v>0.12716164633779112</v>
      </c>
      <c r="M344" s="2"/>
      <c r="N344" s="14">
        <f t="shared" si="85"/>
        <v>-9146.8200000000361</v>
      </c>
      <c r="O344" s="15">
        <f>IFERROR(N344/N444, "NA")</f>
        <v>-0.2722519041935435</v>
      </c>
      <c r="P344" s="2"/>
      <c r="Q344" s="14">
        <f>IFERROR(Q328+Q329+Q330+Q331+Q332+Q333+Q334+Q335+Q337+Q338+Q339+Q340+Q341, "NA")</f>
        <v>510625.71</v>
      </c>
      <c r="R344" s="15">
        <f>IFERROR(Q344/Q444, "NA")</f>
        <v>0.14271181466996211</v>
      </c>
      <c r="S344" s="2"/>
      <c r="T344" s="14">
        <f>IFERROR(T328+T329+T330+T331+T332+T333+T334+T335+T337+T338+T339+T340+T341, "NA")</f>
        <v>495603.87</v>
      </c>
      <c r="U344" s="15">
        <f>IFERROR(T344/T444, "NA")</f>
        <v>0.13695637655122195</v>
      </c>
      <c r="V344" s="2"/>
      <c r="W344" s="14">
        <f t="shared" si="86"/>
        <v>-15021.840000000026</v>
      </c>
      <c r="X344" s="15">
        <f>IFERROR(W344/W444, "NA")</f>
        <v>0.36927860354070452</v>
      </c>
      <c r="Y344" s="2"/>
      <c r="Z344" s="14">
        <f>IFERROR(Z328+Z329+Z330+Z331+Z332+Z333+Z334+Z335+Z337+Z338+Z339+Z340+Z341, "NA")</f>
        <v>467201.12</v>
      </c>
      <c r="AA344" s="15">
        <f>IFERROR(Z344/Z444, "NA")</f>
        <v>0.14701129568588867</v>
      </c>
      <c r="AB344" s="2"/>
      <c r="AC344" s="14">
        <f t="shared" si="87"/>
        <v>-43424.590000000026</v>
      </c>
      <c r="AD344" s="15">
        <f>IFERROR(AC344/AC444, "NA")</f>
        <v>-0.10855464419901387</v>
      </c>
    </row>
    <row r="345" spans="1:30" ht="16.5" customHeight="1" x14ac:dyDescent="0.45">
      <c r="A345" s="22" t="s">
        <v>315</v>
      </c>
      <c r="B345" s="23">
        <f>IFERROR(B198-B325-B344, "NA")</f>
        <v>42736.35999999971</v>
      </c>
      <c r="C345" s="24">
        <f>IFERROR(B345/B444, "NA")</f>
        <v>5.9245027083410444E-2</v>
      </c>
      <c r="D345" s="25"/>
      <c r="E345" s="23">
        <f>IFERROR(E198-E325-E344, "NA")</f>
        <v>136610.99000000002</v>
      </c>
      <c r="F345" s="24">
        <f>IFERROR(E345/E444, "NA")</f>
        <v>0.16981107191489669</v>
      </c>
      <c r="G345" s="25"/>
      <c r="H345" s="23">
        <f>IFERROR(B345-E345, "NA")</f>
        <v>-93874.63000000031</v>
      </c>
      <c r="I345" s="24">
        <f>IFERROR(H345/H444, "NA")</f>
        <v>1.1291314043503216</v>
      </c>
      <c r="J345" s="25"/>
      <c r="K345" s="23">
        <f>IFERROR(K198-K325-K344, "NA")</f>
        <v>86639.099999999875</v>
      </c>
      <c r="L345" s="24">
        <f>IFERROR(K345/K444, "NA")</f>
        <v>0.12597425684085539</v>
      </c>
      <c r="M345" s="25"/>
      <c r="N345" s="23">
        <f>IFERROR(B345-K345, "NA")</f>
        <v>-43902.740000000165</v>
      </c>
      <c r="O345" s="24">
        <f>IFERROR(N345/N444, "NA")</f>
        <v>-1.3067497298858015</v>
      </c>
      <c r="P345" s="25"/>
      <c r="Q345" s="23">
        <f>IFERROR(Q198-Q325-Q344, "NA")</f>
        <v>112581.24999999901</v>
      </c>
      <c r="R345" s="24">
        <f>IFERROR(Q345/Q444, "NA")</f>
        <v>3.1464679844092708E-2</v>
      </c>
      <c r="S345" s="25"/>
      <c r="T345" s="23">
        <f>IFERROR(T198-T325-T344, "NA")</f>
        <v>409253.36999999976</v>
      </c>
      <c r="U345" s="24">
        <f>IFERROR(T345/T444, "NA")</f>
        <v>0.11309406975893173</v>
      </c>
      <c r="V345" s="25"/>
      <c r="W345" s="23">
        <f>IFERROR(Q345-T345, "NA")</f>
        <v>-296672.12000000075</v>
      </c>
      <c r="X345" s="24">
        <f>IFERROR(W345/W444, "NA")</f>
        <v>7.2930257666877303</v>
      </c>
      <c r="Y345" s="25"/>
      <c r="Z345" s="23">
        <f>IFERROR(Z198-Z325-Z344, "NA")</f>
        <v>215122.71000000113</v>
      </c>
      <c r="AA345" s="24">
        <f>IFERROR(Z345/Z444, "NA")</f>
        <v>6.7691336717171924E-2</v>
      </c>
      <c r="AB345" s="25"/>
      <c r="AC345" s="23">
        <f>IFERROR(Q345-Z345, "NA")</f>
        <v>-102541.46000000212</v>
      </c>
      <c r="AD345" s="24">
        <f>IFERROR(AC345/AC444, "NA")</f>
        <v>-0.25633751996156173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customHeight="1" x14ac:dyDescent="0.45">
      <c r="A350" s="6" t="s">
        <v>319</v>
      </c>
      <c r="B350" s="7">
        <v>51009.55</v>
      </c>
      <c r="C350" s="8">
        <f>IFERROR(B350/B444, "NA")</f>
        <v>7.0714075116893427E-2</v>
      </c>
      <c r="D350" s="9"/>
      <c r="E350" s="7">
        <v>77644</v>
      </c>
      <c r="F350" s="8">
        <f>IFERROR(E350/E444, "NA")</f>
        <v>9.6513544538109536E-2</v>
      </c>
      <c r="G350" s="9"/>
      <c r="H350" s="10">
        <f t="shared" si="88"/>
        <v>26634.449999999997</v>
      </c>
      <c r="I350" s="8">
        <f>IFERROR(H350/H444, "NA")</f>
        <v>-0.32036125130504717</v>
      </c>
      <c r="J350" s="9"/>
      <c r="K350" s="7">
        <v>47163.4</v>
      </c>
      <c r="L350" s="8">
        <f>IFERROR(K350/K444, "NA")</f>
        <v>6.8576130928045279E-2</v>
      </c>
      <c r="M350" s="9"/>
      <c r="N350" s="10">
        <f t="shared" si="89"/>
        <v>-3846.1500000000015</v>
      </c>
      <c r="O350" s="8">
        <f>IFERROR(N350/N444, "NA")</f>
        <v>-0.11447931207938863</v>
      </c>
      <c r="P350" s="9"/>
      <c r="Q350" s="7">
        <v>313621.8</v>
      </c>
      <c r="R350" s="8">
        <f>IFERROR(Q350/Q444, "NA")</f>
        <v>8.765233579417675E-2</v>
      </c>
      <c r="S350" s="9"/>
      <c r="T350" s="7">
        <v>396441</v>
      </c>
      <c r="U350" s="8">
        <f>IFERROR(T350/T444, "NA")</f>
        <v>0.10955346833014638</v>
      </c>
      <c r="V350" s="9"/>
      <c r="W350" s="10">
        <f t="shared" si="90"/>
        <v>82819.200000000012</v>
      </c>
      <c r="X350" s="8">
        <f>IFERROR(W350/W444, "NA")</f>
        <v>-2.035926259523352</v>
      </c>
      <c r="Y350" s="9"/>
      <c r="Z350" s="7">
        <v>314541.74</v>
      </c>
      <c r="AA350" s="8">
        <f>IFERROR(Z350/Z444, "NA")</f>
        <v>9.8974909873276659E-2</v>
      </c>
      <c r="AB350" s="9"/>
      <c r="AC350" s="10">
        <f t="shared" si="91"/>
        <v>919.94000000000233</v>
      </c>
      <c r="AD350" s="8">
        <f>IFERROR(AC350/AC444, "NA")</f>
        <v>2.2997052910445673E-3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13461.55</v>
      </c>
      <c r="L352" s="8">
        <f>IFERROR(K352/K444, "NA")</f>
        <v>1.9573249920371048E-2</v>
      </c>
      <c r="M352" s="9"/>
      <c r="N352" s="10">
        <f t="shared" si="89"/>
        <v>13461.55</v>
      </c>
      <c r="O352" s="8">
        <f>IFERROR(N352/N444, "NA")</f>
        <v>0.40067833639413269</v>
      </c>
      <c r="P352" s="9"/>
      <c r="Q352" s="7">
        <v>0</v>
      </c>
      <c r="R352" s="8">
        <f>IFERROR(Q352/Q444, "NA")</f>
        <v>0</v>
      </c>
      <c r="S352" s="9"/>
      <c r="T352" s="7">
        <v>12375</v>
      </c>
      <c r="U352" s="8">
        <f>IFERROR(T352/T444, "NA")</f>
        <v>3.4197375412370603E-3</v>
      </c>
      <c r="V352" s="9"/>
      <c r="W352" s="10">
        <f t="shared" si="90"/>
        <v>12375</v>
      </c>
      <c r="X352" s="8">
        <f>IFERROR(W352/W444, "NA")</f>
        <v>-0.30421191537229864</v>
      </c>
      <c r="Y352" s="9"/>
      <c r="Z352" s="7">
        <v>59807.73</v>
      </c>
      <c r="AA352" s="8">
        <f>IFERROR(Z352/Z444, "NA")</f>
        <v>1.8819329626889154E-2</v>
      </c>
      <c r="AB352" s="9"/>
      <c r="AC352" s="10">
        <f t="shared" si="91"/>
        <v>59807.73</v>
      </c>
      <c r="AD352" s="8">
        <f>IFERROR(AC352/AC444, "NA")</f>
        <v>0.14950991708846725</v>
      </c>
    </row>
    <row r="353" spans="1:30" ht="16.5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6553.36</v>
      </c>
      <c r="F353" s="8">
        <f>IFERROR(E353/E444, "NA")</f>
        <v>8.1459997196726783E-3</v>
      </c>
      <c r="G353" s="9"/>
      <c r="H353" s="10">
        <f t="shared" si="88"/>
        <v>6553.36</v>
      </c>
      <c r="I353" s="8">
        <f>IFERROR(H353/H444, "NA")</f>
        <v>-7.8824327510139847E-2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6774.8</v>
      </c>
      <c r="R353" s="8">
        <f>IFERROR(Q353/Q444, "NA")</f>
        <v>1.8934495131983449E-3</v>
      </c>
      <c r="S353" s="9"/>
      <c r="T353" s="7">
        <v>30265.57</v>
      </c>
      <c r="U353" s="8">
        <f>IFERROR(T353/T444, "NA")</f>
        <v>8.363661085732374E-3</v>
      </c>
      <c r="V353" s="9"/>
      <c r="W353" s="10">
        <f t="shared" si="90"/>
        <v>23490.77</v>
      </c>
      <c r="X353" s="8">
        <f>IFERROR(W353/W444, "NA")</f>
        <v>-0.57746845537536418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-6774.8</v>
      </c>
      <c r="AD353" s="8">
        <f>IFERROR(AC353/AC444, "NA")</f>
        <v>-1.6935934306333777E-2</v>
      </c>
    </row>
    <row r="354" spans="1:30" ht="16.5" customHeight="1" x14ac:dyDescent="0.45">
      <c r="A354" s="6" t="s">
        <v>323</v>
      </c>
      <c r="B354" s="7">
        <v>4110.0200000000004</v>
      </c>
      <c r="C354" s="8">
        <f>IFERROR(B354/B444, "NA")</f>
        <v>5.6976833360014812E-3</v>
      </c>
      <c r="D354" s="9"/>
      <c r="E354" s="7">
        <v>5976.1</v>
      </c>
      <c r="F354" s="8">
        <f>IFERROR(E354/E444, "NA")</f>
        <v>7.4284502796635472E-3</v>
      </c>
      <c r="G354" s="9"/>
      <c r="H354" s="10">
        <f t="shared" si="88"/>
        <v>1866.08</v>
      </c>
      <c r="I354" s="8">
        <f>IFERROR(H354/H444, "NA")</f>
        <v>-2.2445356440073758E-2</v>
      </c>
      <c r="J354" s="9"/>
      <c r="K354" s="7">
        <v>4133.62</v>
      </c>
      <c r="L354" s="8">
        <f>IFERROR(K354/K444, "NA")</f>
        <v>6.0103314503786101E-3</v>
      </c>
      <c r="M354" s="9"/>
      <c r="N354" s="10">
        <f t="shared" si="89"/>
        <v>23.599999999999454</v>
      </c>
      <c r="O354" s="8">
        <f>IFERROR(N354/N444, "NA")</f>
        <v>7.0244576136487349E-4</v>
      </c>
      <c r="P354" s="9"/>
      <c r="Q354" s="7">
        <v>27771.45</v>
      </c>
      <c r="R354" s="8">
        <f>IFERROR(Q354/Q444, "NA")</f>
        <v>7.7616813017819235E-3</v>
      </c>
      <c r="S354" s="9"/>
      <c r="T354" s="7">
        <v>34338.74</v>
      </c>
      <c r="U354" s="8">
        <f>IFERROR(T354/T444, "NA")</f>
        <v>9.4892507714568631E-3</v>
      </c>
      <c r="V354" s="9"/>
      <c r="W354" s="10">
        <f t="shared" si="90"/>
        <v>6567.2899999999972</v>
      </c>
      <c r="X354" s="8">
        <f>IFERROR(W354/W444, "NA")</f>
        <v>-0.1614422520974014</v>
      </c>
      <c r="Y354" s="9"/>
      <c r="Z354" s="7">
        <v>28852.92</v>
      </c>
      <c r="AA354" s="8">
        <f>IFERROR(Z354/Z444, "NA")</f>
        <v>9.0789704303818677E-3</v>
      </c>
      <c r="AB354" s="9"/>
      <c r="AC354" s="10">
        <f t="shared" si="91"/>
        <v>1081.4699999999975</v>
      </c>
      <c r="AD354" s="8">
        <f>IFERROR(AC354/AC444, "NA")</f>
        <v>2.7035048819552972E-3</v>
      </c>
    </row>
    <row r="355" spans="1:30" ht="16.5" customHeight="1" x14ac:dyDescent="0.45">
      <c r="A355" s="6" t="s">
        <v>324</v>
      </c>
      <c r="B355" s="7">
        <v>190.8</v>
      </c>
      <c r="C355" s="8">
        <f>IFERROR(B355/B444, "NA")</f>
        <v>2.645043042391722E-4</v>
      </c>
      <c r="D355" s="9"/>
      <c r="E355" s="7">
        <v>350</v>
      </c>
      <c r="F355" s="8">
        <f>IFERROR(E355/E444, "NA")</f>
        <v>4.3505925233551003E-4</v>
      </c>
      <c r="G355" s="9"/>
      <c r="H355" s="10">
        <f t="shared" si="88"/>
        <v>159.19999999999999</v>
      </c>
      <c r="I355" s="8">
        <f>IFERROR(H355/H444, "NA")</f>
        <v>-1.9148700726977098E-3</v>
      </c>
      <c r="J355" s="9"/>
      <c r="K355" s="7">
        <v>508.8</v>
      </c>
      <c r="L355" s="8">
        <f>IFERROR(K355/K444, "NA")</f>
        <v>7.3980110458935194E-4</v>
      </c>
      <c r="M355" s="9"/>
      <c r="N355" s="10">
        <f t="shared" si="89"/>
        <v>318</v>
      </c>
      <c r="O355" s="8">
        <f>IFERROR(N355/N444, "NA")</f>
        <v>9.4651589878828376E-3</v>
      </c>
      <c r="P355" s="9"/>
      <c r="Q355" s="7">
        <v>1409.8</v>
      </c>
      <c r="R355" s="8">
        <f>IFERROR(Q355/Q444, "NA")</f>
        <v>3.9401681580371767E-4</v>
      </c>
      <c r="S355" s="9"/>
      <c r="T355" s="7">
        <v>1820</v>
      </c>
      <c r="U355" s="8">
        <f>IFERROR(T355/T444, "NA")</f>
        <v>5.0294321818597574E-4</v>
      </c>
      <c r="V355" s="9"/>
      <c r="W355" s="10">
        <f t="shared" si="90"/>
        <v>410.20000000000005</v>
      </c>
      <c r="X355" s="8">
        <f>IFERROR(W355/W444, "NA")</f>
        <v>-1.0083856782684196E-2</v>
      </c>
      <c r="Y355" s="9"/>
      <c r="Z355" s="7">
        <v>1539.12</v>
      </c>
      <c r="AA355" s="8">
        <f>IFERROR(Z355/Z444, "NA")</f>
        <v>4.8430540024404253E-4</v>
      </c>
      <c r="AB355" s="9"/>
      <c r="AC355" s="10">
        <f t="shared" si="91"/>
        <v>129.31999999999994</v>
      </c>
      <c r="AD355" s="8">
        <f>IFERROR(AC355/AC444, "NA")</f>
        <v>3.2327965762754367E-4</v>
      </c>
    </row>
    <row r="356" spans="1:30" ht="16.5" customHeight="1" x14ac:dyDescent="0.45">
      <c r="A356" s="6" t="s">
        <v>325</v>
      </c>
      <c r="B356" s="7">
        <v>6187.5</v>
      </c>
      <c r="C356" s="8">
        <f>IFERROR(B356/B444, "NA")</f>
        <v>8.5776749605863626E-3</v>
      </c>
      <c r="D356" s="9"/>
      <c r="E356" s="7">
        <v>6187.5</v>
      </c>
      <c r="F356" s="8">
        <f>IFERROR(E356/E444, "NA")</f>
        <v>7.6912260680741945E-3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-6187.5</v>
      </c>
      <c r="O356" s="8">
        <f>IFERROR(N356/N444, "NA")</f>
        <v>-0.18416877747649388</v>
      </c>
      <c r="P356" s="9"/>
      <c r="Q356" s="7">
        <v>40237.5</v>
      </c>
      <c r="R356" s="8">
        <f>IFERROR(Q356/Q444, "NA")</f>
        <v>1.1245745230459703E-2</v>
      </c>
      <c r="S356" s="9"/>
      <c r="T356" s="7">
        <v>37125</v>
      </c>
      <c r="U356" s="8">
        <f>IFERROR(T356/T444, "NA")</f>
        <v>1.0259212623711182E-2</v>
      </c>
      <c r="V356" s="9"/>
      <c r="W356" s="10">
        <f t="shared" si="90"/>
        <v>-3112.5</v>
      </c>
      <c r="X356" s="8">
        <f>IFERROR(W356/W444, "NA")</f>
        <v>7.6513905987578151E-2</v>
      </c>
      <c r="Y356" s="9"/>
      <c r="Z356" s="7">
        <v>11800</v>
      </c>
      <c r="AA356" s="8">
        <f>IFERROR(Z356/Z444, "NA")</f>
        <v>3.7130332416443826E-3</v>
      </c>
      <c r="AB356" s="9"/>
      <c r="AC356" s="10">
        <f t="shared" si="91"/>
        <v>-28437.5</v>
      </c>
      <c r="AD356" s="8">
        <f>IFERROR(AC356/AC444, "NA")</f>
        <v>-7.1089276707263213E-2</v>
      </c>
    </row>
    <row r="357" spans="1:30" ht="16.5" customHeight="1" x14ac:dyDescent="0.45">
      <c r="A357" s="6" t="s">
        <v>326</v>
      </c>
      <c r="B357" s="7">
        <v>3217.47</v>
      </c>
      <c r="C357" s="8">
        <f>IFERROR(B357/B444, "NA")</f>
        <v>4.4603493907778265E-3</v>
      </c>
      <c r="D357" s="9"/>
      <c r="E357" s="7">
        <v>3183.4</v>
      </c>
      <c r="F357" s="8">
        <f>IFERROR(E357/E444, "NA")</f>
        <v>3.9570503539567503E-3</v>
      </c>
      <c r="G357" s="9"/>
      <c r="H357" s="10">
        <f t="shared" si="88"/>
        <v>-34.069999999999709</v>
      </c>
      <c r="I357" s="8">
        <f>IFERROR(H357/H444, "NA")</f>
        <v>4.0979662925132171E-4</v>
      </c>
      <c r="J357" s="9"/>
      <c r="K357" s="7">
        <v>2439.61</v>
      </c>
      <c r="L357" s="8">
        <f>IFERROR(K357/K444, "NA")</f>
        <v>3.5472212515079184E-3</v>
      </c>
      <c r="M357" s="9"/>
      <c r="N357" s="10">
        <f t="shared" si="89"/>
        <v>-777.85999999999967</v>
      </c>
      <c r="O357" s="8">
        <f>IFERROR(N357/N444, "NA")</f>
        <v>-2.3152731353190379E-2</v>
      </c>
      <c r="P357" s="9"/>
      <c r="Q357" s="7">
        <v>20722.5</v>
      </c>
      <c r="R357" s="8">
        <f>IFERROR(Q357/Q444, "NA")</f>
        <v>5.7916111969730033E-3</v>
      </c>
      <c r="S357" s="9"/>
      <c r="T357" s="7">
        <v>16254.08</v>
      </c>
      <c r="U357" s="8">
        <f>IFERROR(T357/T444, "NA")</f>
        <v>4.4916919251935736E-3</v>
      </c>
      <c r="V357" s="9"/>
      <c r="W357" s="10">
        <f t="shared" si="90"/>
        <v>-4468.42</v>
      </c>
      <c r="X357" s="8">
        <f>IFERROR(W357/W444, "NA")</f>
        <v>0.10984619045558681</v>
      </c>
      <c r="Y357" s="9"/>
      <c r="Z357" s="7">
        <v>14404.86</v>
      </c>
      <c r="AA357" s="8">
        <f>IFERROR(Z357/Z444, "NA")</f>
        <v>4.532688476375721E-3</v>
      </c>
      <c r="AB357" s="9"/>
      <c r="AC357" s="10">
        <f t="shared" si="91"/>
        <v>-6317.6399999999994</v>
      </c>
      <c r="AD357" s="8">
        <f>IFERROR(AC357/AC444, "NA")</f>
        <v>-1.5793106218791184E-2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64715.340000000011</v>
      </c>
      <c r="C358" s="15">
        <f>IFERROR(B358/B444, "NA")</f>
        <v>8.9714287108498283E-2</v>
      </c>
      <c r="D358" s="2"/>
      <c r="E358" s="14">
        <f>IFERROR(E349+E350+E351+E352+E353+E354+E355+E356+E357, "NA")</f>
        <v>99894.36</v>
      </c>
      <c r="F358" s="15">
        <f>IFERROR(E358/E444, "NA")</f>
        <v>0.12417133021181222</v>
      </c>
      <c r="G358" s="2"/>
      <c r="H358" s="14">
        <f t="shared" si="88"/>
        <v>35179.01999999999</v>
      </c>
      <c r="I358" s="15">
        <f>IFERROR(H358/H444, "NA")</f>
        <v>-0.4231360086987071</v>
      </c>
      <c r="J358" s="2"/>
      <c r="K358" s="14">
        <f>IFERROR(K349+K350+K351+K352+K353+K354+K355+K356+K357, "NA")</f>
        <v>67706.98</v>
      </c>
      <c r="L358" s="15">
        <f>IFERROR(K358/K444, "NA")</f>
        <v>9.8446734654892204E-2</v>
      </c>
      <c r="M358" s="2"/>
      <c r="N358" s="14">
        <f t="shared" si="89"/>
        <v>2991.6399999999849</v>
      </c>
      <c r="O358" s="15">
        <f>IFERROR(N358/N444, "NA")</f>
        <v>8.9045120234307135E-2</v>
      </c>
      <c r="P358" s="2"/>
      <c r="Q358" s="14">
        <f>IFERROR(Q349+Q350+Q351+Q352+Q353+Q354+Q355+Q356+Q357, "NA")</f>
        <v>410537.85</v>
      </c>
      <c r="R358" s="15">
        <f>IFERROR(Q358/Q444, "NA")</f>
        <v>0.11473883985239344</v>
      </c>
      <c r="S358" s="2"/>
      <c r="T358" s="14">
        <f>IFERROR(T349+T350+T351+T352+T353+T354+T355+T356+T357, "NA")</f>
        <v>528619.39</v>
      </c>
      <c r="U358" s="15">
        <f>IFERROR(T358/T444, "NA")</f>
        <v>0.14607996549566341</v>
      </c>
      <c r="V358" s="2"/>
      <c r="W358" s="14">
        <f t="shared" si="90"/>
        <v>118081.54000000004</v>
      </c>
      <c r="X358" s="15">
        <f>IFERROR(W358/W444, "NA")</f>
        <v>-2.9027726427079363</v>
      </c>
      <c r="Y358" s="2"/>
      <c r="Z358" s="14">
        <f>IFERROR(Z349+Z350+Z351+Z352+Z353+Z354+Z355+Z356+Z357, "NA")</f>
        <v>430946.36999999994</v>
      </c>
      <c r="AA358" s="15">
        <f>IFERROR(Z358/Z444, "NA")</f>
        <v>0.1356032370488118</v>
      </c>
      <c r="AB358" s="2"/>
      <c r="AC358" s="14">
        <f t="shared" si="91"/>
        <v>20408.51999999996</v>
      </c>
      <c r="AD358" s="15">
        <f>IFERROR(AC358/AC444, "NA")</f>
        <v>5.1018089686706375E-2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1500</v>
      </c>
      <c r="F360" s="8">
        <f>IFERROR(E360/E444, "NA")</f>
        <v>1.8645396528664715E-3</v>
      </c>
      <c r="G360" s="9"/>
      <c r="H360" s="10">
        <f t="shared" ref="H360:H383" si="92">IFERROR(-(B360-E360), "NA")</f>
        <v>1500</v>
      </c>
      <c r="I360" s="8">
        <f>IFERROR(H360/H444, "NA")</f>
        <v>-1.8042117519136713E-2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8500</v>
      </c>
      <c r="U360" s="8">
        <f>IFERROR(T360/T444, "NA")</f>
        <v>2.3489106343850515E-3</v>
      </c>
      <c r="V360" s="9"/>
      <c r="W360" s="10">
        <f t="shared" ref="W360:W383" si="94">IFERROR(-(Q360-T360), "NA")</f>
        <v>8500</v>
      </c>
      <c r="X360" s="8">
        <f>IFERROR(W360/W444, "NA")</f>
        <v>-0.20895363884157889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513.75</v>
      </c>
      <c r="L361" s="8">
        <f>IFERROR(K361/K444, "NA")</f>
        <v>7.4699846203376478E-4</v>
      </c>
      <c r="M361" s="9"/>
      <c r="N361" s="10">
        <f t="shared" si="93"/>
        <v>513.75</v>
      </c>
      <c r="O361" s="8">
        <f>IFERROR(N361/N444, "NA")</f>
        <v>1.5291589402593734E-2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2632.05</v>
      </c>
      <c r="AA361" s="8">
        <f>IFERROR(Z361/Z444, "NA")</f>
        <v>8.282109443788219E-4</v>
      </c>
      <c r="AB361" s="9"/>
      <c r="AC361" s="10">
        <f t="shared" si="95"/>
        <v>2632.05</v>
      </c>
      <c r="AD361" s="8">
        <f>IFERROR(AC361/AC444, "NA")</f>
        <v>6.5797109716871083E-3</v>
      </c>
    </row>
    <row r="362" spans="1:30" ht="16.5" customHeight="1" x14ac:dyDescent="0.45">
      <c r="A362" s="6" t="s">
        <v>330</v>
      </c>
      <c r="B362" s="7">
        <v>695.55</v>
      </c>
      <c r="C362" s="8">
        <f>IFERROR(B362/B444, "NA")</f>
        <v>9.6423463738761113E-4</v>
      </c>
      <c r="D362" s="9"/>
      <c r="E362" s="7">
        <v>500</v>
      </c>
      <c r="F362" s="8">
        <f>IFERROR(E362/E444, "NA")</f>
        <v>6.2151321762215714E-4</v>
      </c>
      <c r="G362" s="9"/>
      <c r="H362" s="10">
        <f t="shared" si="92"/>
        <v>-195.54999999999995</v>
      </c>
      <c r="I362" s="8">
        <f>IFERROR(H362/H444, "NA")</f>
        <v>2.3520907205781222E-3</v>
      </c>
      <c r="J362" s="9"/>
      <c r="K362" s="7">
        <v>507.75</v>
      </c>
      <c r="L362" s="8">
        <f>IFERROR(K362/K444, "NA")</f>
        <v>7.3827439240417342E-4</v>
      </c>
      <c r="M362" s="9"/>
      <c r="N362" s="10">
        <f t="shared" si="93"/>
        <v>-187.79999999999995</v>
      </c>
      <c r="O362" s="8">
        <f>IFERROR(N362/N444, "NA")</f>
        <v>-5.589801440013825E-3</v>
      </c>
      <c r="P362" s="9"/>
      <c r="Q362" s="7">
        <v>4872.1499999999996</v>
      </c>
      <c r="R362" s="8">
        <f>IFERROR(Q362/Q444, "NA")</f>
        <v>1.3616889126954767E-3</v>
      </c>
      <c r="S362" s="9"/>
      <c r="T362" s="7">
        <v>2700</v>
      </c>
      <c r="U362" s="8">
        <f>IFERROR(T362/T444, "NA")</f>
        <v>7.461245544517223E-4</v>
      </c>
      <c r="V362" s="9"/>
      <c r="W362" s="10">
        <f t="shared" si="94"/>
        <v>-2172.1499999999996</v>
      </c>
      <c r="X362" s="8">
        <f>IFERROR(W362/W444, "NA")</f>
        <v>5.3397487836439467E-2</v>
      </c>
      <c r="Y362" s="9"/>
      <c r="Z362" s="7">
        <v>2327.9</v>
      </c>
      <c r="AA362" s="8">
        <f>IFERROR(Z362/Z444, "NA")</f>
        <v>7.3250593925626775E-4</v>
      </c>
      <c r="AB362" s="9"/>
      <c r="AC362" s="10">
        <f t="shared" si="95"/>
        <v>-2544.2499999999995</v>
      </c>
      <c r="AD362" s="8">
        <f>IFERROR(AC362/AC444, "NA")</f>
        <v>-6.3602247828555385E-3</v>
      </c>
    </row>
    <row r="363" spans="1:30" ht="16.5" customHeight="1" x14ac:dyDescent="0.45">
      <c r="A363" s="6" t="s">
        <v>331</v>
      </c>
      <c r="B363" s="7">
        <v>763.54</v>
      </c>
      <c r="C363" s="8">
        <f>IFERROR(B363/B444, "NA")</f>
        <v>1.0584885558636138E-3</v>
      </c>
      <c r="D363" s="9"/>
      <c r="E363" s="7">
        <v>250</v>
      </c>
      <c r="F363" s="8">
        <f>IFERROR(E363/E444, "NA")</f>
        <v>3.1075660881107857E-4</v>
      </c>
      <c r="G363" s="9"/>
      <c r="H363" s="10">
        <f t="shared" si="92"/>
        <v>-513.54</v>
      </c>
      <c r="I363" s="8">
        <f>IFERROR(H363/H444, "NA")</f>
        <v>6.1768993538516446E-3</v>
      </c>
      <c r="J363" s="9"/>
      <c r="K363" s="7">
        <v>133.41999999999999</v>
      </c>
      <c r="L363" s="8">
        <f>IFERROR(K363/K444, "NA")</f>
        <v>1.9399422833001439E-4</v>
      </c>
      <c r="M363" s="9"/>
      <c r="N363" s="10">
        <f t="shared" si="93"/>
        <v>-630.12</v>
      </c>
      <c r="O363" s="8">
        <f>IFERROR(N363/N444, "NA")</f>
        <v>-1.8755301828442556E-2</v>
      </c>
      <c r="P363" s="9"/>
      <c r="Q363" s="7">
        <v>5765.3</v>
      </c>
      <c r="R363" s="8">
        <f>IFERROR(Q363/Q444, "NA")</f>
        <v>1.6113102199979952E-3</v>
      </c>
      <c r="S363" s="9"/>
      <c r="T363" s="7">
        <v>1300</v>
      </c>
      <c r="U363" s="8">
        <f>IFERROR(T363/T444, "NA")</f>
        <v>3.5924515584712552E-4</v>
      </c>
      <c r="V363" s="9"/>
      <c r="W363" s="10">
        <f t="shared" si="94"/>
        <v>-4465.3</v>
      </c>
      <c r="X363" s="8">
        <f>IFERROR(W363/W444, "NA")</f>
        <v>0.10976949217874143</v>
      </c>
      <c r="Y363" s="9"/>
      <c r="Z363" s="7">
        <v>14137.64</v>
      </c>
      <c r="AA363" s="8">
        <f>IFERROR(Z363/Z444, "NA")</f>
        <v>4.4486040066441775E-3</v>
      </c>
      <c r="AB363" s="9"/>
      <c r="AC363" s="10">
        <f t="shared" si="95"/>
        <v>8372.34</v>
      </c>
      <c r="AD363" s="8">
        <f>IFERROR(AC363/AC444, "NA")</f>
        <v>2.0929533009135404E-2</v>
      </c>
    </row>
    <row r="364" spans="1:30" ht="16.5" customHeight="1" x14ac:dyDescent="0.45">
      <c r="A364" s="6" t="s">
        <v>332</v>
      </c>
      <c r="B364" s="7">
        <v>765.33</v>
      </c>
      <c r="C364" s="8">
        <f>IFERROR(B364/B444, "NA")</f>
        <v>1.0609700165794846E-3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-765.33</v>
      </c>
      <c r="I364" s="8">
        <f>IFERROR(H364/H444, "NA")</f>
        <v>9.2054492006139344E-3</v>
      </c>
      <c r="J364" s="9"/>
      <c r="K364" s="7">
        <v>272.17</v>
      </c>
      <c r="L364" s="8">
        <f>IFERROR(K364/K444, "NA")</f>
        <v>3.9573833851431589E-4</v>
      </c>
      <c r="M364" s="9"/>
      <c r="N364" s="10">
        <f t="shared" si="93"/>
        <v>-493.16</v>
      </c>
      <c r="O364" s="8">
        <f>IFERROR(N364/N444, "NA")</f>
        <v>-1.4678735240453773E-2</v>
      </c>
      <c r="P364" s="9"/>
      <c r="Q364" s="7">
        <v>4724.93</v>
      </c>
      <c r="R364" s="8">
        <f>IFERROR(Q364/Q444, "NA")</f>
        <v>1.3205432497485174E-3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-4724.93</v>
      </c>
      <c r="X364" s="8">
        <f>IFERROR(W364/W444, "NA")</f>
        <v>0.11615191962020487</v>
      </c>
      <c r="Y364" s="9"/>
      <c r="Z364" s="7">
        <v>2931.91</v>
      </c>
      <c r="AA364" s="8">
        <f>IFERROR(Z364/Z444, "NA")</f>
        <v>9.2256604165335437E-4</v>
      </c>
      <c r="AB364" s="9"/>
      <c r="AC364" s="10">
        <f t="shared" si="95"/>
        <v>-1793.0200000000004</v>
      </c>
      <c r="AD364" s="8">
        <f>IFERROR(AC364/AC444, "NA")</f>
        <v>-4.4822679532890413E-3</v>
      </c>
    </row>
    <row r="365" spans="1:30" ht="16.5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210</v>
      </c>
      <c r="F365" s="8">
        <f>IFERROR(E365/E444, "NA")</f>
        <v>2.6103555140130603E-4</v>
      </c>
      <c r="G365" s="9"/>
      <c r="H365" s="10">
        <f t="shared" si="92"/>
        <v>210</v>
      </c>
      <c r="I365" s="8">
        <f>IFERROR(H365/H444, "NA")</f>
        <v>-2.52589645267914E-3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4358.38</v>
      </c>
      <c r="R365" s="8">
        <f>IFERROR(Q365/Q444, "NA")</f>
        <v>1.218098318671164E-3</v>
      </c>
      <c r="S365" s="9"/>
      <c r="T365" s="7">
        <v>1050</v>
      </c>
      <c r="U365" s="8">
        <f>IFERROR(T365/T444, "NA")</f>
        <v>2.9015954895344754E-4</v>
      </c>
      <c r="V365" s="9"/>
      <c r="W365" s="10">
        <f t="shared" si="94"/>
        <v>-3308.38</v>
      </c>
      <c r="X365" s="8">
        <f>IFERROR(W365/W444, "NA")</f>
        <v>8.1329181137729731E-2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-4358.38</v>
      </c>
      <c r="AD365" s="8">
        <f>IFERROR(AC365/AC444, "NA")</f>
        <v>-1.0895264415486657E-2</v>
      </c>
    </row>
    <row r="366" spans="1:30" ht="16.5" customHeight="1" x14ac:dyDescent="0.45">
      <c r="A366" s="6" t="s">
        <v>334</v>
      </c>
      <c r="B366" s="7">
        <v>75</v>
      </c>
      <c r="C366" s="8">
        <f>IFERROR(B366/B444, "NA")</f>
        <v>1.0397181770407712E-4</v>
      </c>
      <c r="D366" s="9"/>
      <c r="E366" s="7">
        <v>345</v>
      </c>
      <c r="F366" s="8">
        <f>IFERROR(E366/E444, "NA")</f>
        <v>4.2884412015928845E-4</v>
      </c>
      <c r="G366" s="9"/>
      <c r="H366" s="10">
        <f t="shared" si="92"/>
        <v>270</v>
      </c>
      <c r="I366" s="8">
        <f>IFERROR(H366/H444, "NA")</f>
        <v>-3.2475811534446084E-3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-75</v>
      </c>
      <c r="O366" s="8">
        <f>IFERROR(N366/N444, "NA")</f>
        <v>-2.2323488178968955E-3</v>
      </c>
      <c r="P366" s="9"/>
      <c r="Q366" s="7">
        <v>2868.51</v>
      </c>
      <c r="R366" s="8">
        <f>IFERROR(Q366/Q444, "NA")</f>
        <v>8.0170320350483925E-4</v>
      </c>
      <c r="S366" s="9"/>
      <c r="T366" s="7">
        <v>2070</v>
      </c>
      <c r="U366" s="8">
        <f>IFERROR(T366/T444, "NA")</f>
        <v>5.7202882507965372E-4</v>
      </c>
      <c r="V366" s="9"/>
      <c r="W366" s="10">
        <f t="shared" si="94"/>
        <v>-798.51000000000022</v>
      </c>
      <c r="X366" s="8">
        <f>IFERROR(W366/W444, "NA")</f>
        <v>1.9629596488398727E-2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-2868.51</v>
      </c>
      <c r="AD366" s="8">
        <f>IFERROR(AC366/AC444, "NA")</f>
        <v>-7.1708237759139024E-3</v>
      </c>
    </row>
    <row r="367" spans="1:30" ht="16.5" customHeight="1" x14ac:dyDescent="0.45">
      <c r="A367" s="6" t="s">
        <v>335</v>
      </c>
      <c r="B367" s="7">
        <v>1292.32</v>
      </c>
      <c r="C367" s="8">
        <f>IFERROR(B367/B444, "NA")</f>
        <v>1.7915314594044393E-3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-1292.32</v>
      </c>
      <c r="I367" s="8">
        <f>IFERROR(H367/H444, "NA")</f>
        <v>1.5544126208220503E-2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-1292.32</v>
      </c>
      <c r="O367" s="8">
        <f>IFERROR(N367/N444, "NA")</f>
        <v>-3.8465453657926876E-2</v>
      </c>
      <c r="P367" s="9"/>
      <c r="Q367" s="7">
        <v>6774.06</v>
      </c>
      <c r="R367" s="8">
        <f>IFERROR(Q367/Q444, "NA")</f>
        <v>1.893242694895256E-3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-6774.06</v>
      </c>
      <c r="X367" s="8">
        <f>IFERROR(W367/W444, "NA")</f>
        <v>0.1665252337330807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-6774.06</v>
      </c>
      <c r="AD367" s="8">
        <f>IFERROR(AC367/AC444, "NA")</f>
        <v>-1.6934084422737705E-2</v>
      </c>
    </row>
    <row r="368" spans="1:30" ht="16.5" customHeight="1" x14ac:dyDescent="0.45">
      <c r="A368" s="19" t="s">
        <v>336</v>
      </c>
      <c r="B368" s="14">
        <f>IFERROR(B360+B361+B362+B363+B364+B365+B366+B367, "NA")</f>
        <v>3591.74</v>
      </c>
      <c r="C368" s="15">
        <f>IFERROR(B368/B444, "NA")</f>
        <v>4.9791964869392259E-3</v>
      </c>
      <c r="D368" s="2"/>
      <c r="E368" s="14">
        <f>IFERROR(E360+E361+E362+E363+E364+E365+E366+E367, "NA")</f>
        <v>2805</v>
      </c>
      <c r="F368" s="15">
        <f>IFERROR(E368/E444, "NA")</f>
        <v>3.4866891508603015E-3</v>
      </c>
      <c r="G368" s="2"/>
      <c r="H368" s="14">
        <f t="shared" si="92"/>
        <v>-786.73999999999978</v>
      </c>
      <c r="I368" s="15">
        <f>IFERROR(H368/H444, "NA")</f>
        <v>9.4629703580037423E-3</v>
      </c>
      <c r="J368" s="2"/>
      <c r="K368" s="14">
        <f>IFERROR(K360+K361+K362+K363+K364+K365+K366+K367, "NA")</f>
        <v>1427.0900000000001</v>
      </c>
      <c r="L368" s="15">
        <f>IFERROR(K368/K444, "NA")</f>
        <v>2.0750054212822686E-3</v>
      </c>
      <c r="M368" s="2"/>
      <c r="N368" s="14">
        <f t="shared" si="93"/>
        <v>-2164.6499999999996</v>
      </c>
      <c r="O368" s="15">
        <f>IFERROR(N368/N444, "NA")</f>
        <v>-6.4430051582140185E-2</v>
      </c>
      <c r="P368" s="2"/>
      <c r="Q368" s="14">
        <f>IFERROR(Q360+Q361+Q362+Q363+Q364+Q365+Q366+Q367, "NA")</f>
        <v>29363.330000000005</v>
      </c>
      <c r="R368" s="15">
        <f>IFERROR(Q368/Q444, "NA")</f>
        <v>8.2065865995132499E-3</v>
      </c>
      <c r="S368" s="2"/>
      <c r="T368" s="14">
        <f>IFERROR(T360+T361+T362+T363+T364+T365+T366+T367, "NA")</f>
        <v>15620</v>
      </c>
      <c r="U368" s="15">
        <f>IFERROR(T368/T444, "NA")</f>
        <v>4.3164687187170004E-3</v>
      </c>
      <c r="V368" s="2"/>
      <c r="W368" s="14">
        <f t="shared" si="94"/>
        <v>-13743.330000000005</v>
      </c>
      <c r="X368" s="15">
        <f>IFERROR(W368/W444, "NA")</f>
        <v>0.33784927215301613</v>
      </c>
      <c r="Y368" s="2"/>
      <c r="Z368" s="14">
        <f>IFERROR(Z360+Z361+Z362+Z363+Z364+Z365+Z366+Z367, "NA")</f>
        <v>22029.5</v>
      </c>
      <c r="AA368" s="15">
        <f>IFERROR(Z368/Z444, "NA")</f>
        <v>6.9318869319326213E-3</v>
      </c>
      <c r="AB368" s="2"/>
      <c r="AC368" s="14">
        <f t="shared" si="95"/>
        <v>-7333.8300000000054</v>
      </c>
      <c r="AD368" s="15">
        <f>IFERROR(AC368/AC444, "NA")</f>
        <v>-1.8333421369460343E-2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customHeight="1" x14ac:dyDescent="0.45">
      <c r="A370" s="20" t="s">
        <v>338</v>
      </c>
      <c r="B370" s="7">
        <v>98</v>
      </c>
      <c r="C370" s="8">
        <f>IFERROR(B370/B444, "NA")</f>
        <v>1.3585650846666077E-4</v>
      </c>
      <c r="D370" s="9"/>
      <c r="E370" s="7">
        <v>635</v>
      </c>
      <c r="F370" s="8">
        <f>IFERROR(E370/E444, "NA")</f>
        <v>7.8932178638013955E-4</v>
      </c>
      <c r="G370" s="9"/>
      <c r="H370" s="10">
        <f t="shared" si="92"/>
        <v>537</v>
      </c>
      <c r="I370" s="8">
        <f>IFERROR(H370/H444, "NA")</f>
        <v>-6.4590780718509436E-3</v>
      </c>
      <c r="J370" s="9"/>
      <c r="K370" s="7">
        <v>2074</v>
      </c>
      <c r="L370" s="8">
        <f>IFERROR(K370/K444, "NA")</f>
        <v>3.0156200686287655E-3</v>
      </c>
      <c r="M370" s="9"/>
      <c r="N370" s="10">
        <f t="shared" si="93"/>
        <v>1976</v>
      </c>
      <c r="O370" s="8">
        <f>IFERROR(N370/N444, "NA")</f>
        <v>5.8814950188856872E-2</v>
      </c>
      <c r="P370" s="9"/>
      <c r="Q370" s="7">
        <v>1487</v>
      </c>
      <c r="R370" s="8">
        <f>IFERROR(Q370/Q444, "NA")</f>
        <v>4.1559299553137197E-4</v>
      </c>
      <c r="S370" s="9"/>
      <c r="T370" s="7">
        <v>3810</v>
      </c>
      <c r="U370" s="8">
        <f>IFERROR(T370/T444, "NA")</f>
        <v>1.0528646490596525E-3</v>
      </c>
      <c r="V370" s="9"/>
      <c r="W370" s="10">
        <f t="shared" si="94"/>
        <v>2323</v>
      </c>
      <c r="X370" s="8">
        <f>IFERROR(W370/W444, "NA")</f>
        <v>-5.7105800356351495E-2</v>
      </c>
      <c r="Y370" s="9"/>
      <c r="Z370" s="7">
        <v>4696.6000000000004</v>
      </c>
      <c r="AA370" s="8">
        <f>IFERROR(Z370/Z444, "NA")</f>
        <v>1.477850162941272E-3</v>
      </c>
      <c r="AB370" s="9"/>
      <c r="AC370" s="10">
        <f t="shared" si="95"/>
        <v>3209.6000000000004</v>
      </c>
      <c r="AD370" s="8">
        <f>IFERROR(AC370/AC444, "NA")</f>
        <v>8.023495121569477E-3</v>
      </c>
    </row>
    <row r="371" spans="1:30" ht="16.5" customHeight="1" x14ac:dyDescent="0.45">
      <c r="A371" s="20" t="s">
        <v>339</v>
      </c>
      <c r="B371" s="7">
        <v>1590.11</v>
      </c>
      <c r="C371" s="8">
        <f>IFERROR(B371/B444, "NA")</f>
        <v>2.204355027325734E-3</v>
      </c>
      <c r="D371" s="9"/>
      <c r="E371" s="7">
        <v>100</v>
      </c>
      <c r="F371" s="8">
        <f>IFERROR(E371/E444, "NA")</f>
        <v>1.2430264352443143E-4</v>
      </c>
      <c r="G371" s="9"/>
      <c r="H371" s="10">
        <f t="shared" si="92"/>
        <v>-1490.11</v>
      </c>
      <c r="I371" s="8">
        <f>IFERROR(H371/H444, "NA")</f>
        <v>1.792315982429387E-2</v>
      </c>
      <c r="J371" s="9"/>
      <c r="K371" s="7">
        <v>591.88</v>
      </c>
      <c r="L371" s="8">
        <f>IFERROR(K371/K444, "NA")</f>
        <v>8.6060038872709434E-4</v>
      </c>
      <c r="M371" s="9"/>
      <c r="N371" s="10">
        <f t="shared" si="93"/>
        <v>-998.2299999999999</v>
      </c>
      <c r="O371" s="8">
        <f>IFERROR(N371/N444, "NA")</f>
        <v>-2.971196747318957E-2</v>
      </c>
      <c r="P371" s="9"/>
      <c r="Q371" s="7">
        <v>3994.94</v>
      </c>
      <c r="R371" s="8">
        <f>IFERROR(Q371/Q444, "NA")</f>
        <v>1.1165225834351708E-3</v>
      </c>
      <c r="S371" s="9"/>
      <c r="T371" s="7">
        <v>600</v>
      </c>
      <c r="U371" s="8">
        <f>IFERROR(T371/T444, "NA")</f>
        <v>1.6580545654482716E-4</v>
      </c>
      <c r="V371" s="9"/>
      <c r="W371" s="10">
        <f t="shared" si="94"/>
        <v>-3394.94</v>
      </c>
      <c r="X371" s="8">
        <f>IFERROR(W371/W444, "NA")</f>
        <v>8.3457066664568216E-2</v>
      </c>
      <c r="Y371" s="9"/>
      <c r="Z371" s="7">
        <v>3562.35</v>
      </c>
      <c r="AA371" s="8">
        <f>IFERROR(Z371/Z444, "NA")</f>
        <v>1.1209427091840565E-3</v>
      </c>
      <c r="AB371" s="9"/>
      <c r="AC371" s="10">
        <f t="shared" si="95"/>
        <v>-432.59000000000015</v>
      </c>
      <c r="AD371" s="8">
        <f>IFERROR(AC371/AC444, "NA")</f>
        <v>-1.0814069524675166E-3</v>
      </c>
    </row>
    <row r="372" spans="1:30" ht="16.5" customHeight="1" x14ac:dyDescent="0.45">
      <c r="A372" s="20" t="s">
        <v>340</v>
      </c>
      <c r="B372" s="7">
        <v>277.17</v>
      </c>
      <c r="C372" s="8">
        <f>IFERROR(B372/B444, "NA")</f>
        <v>3.8423824950718744E-4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-277.17</v>
      </c>
      <c r="I372" s="8">
        <f>IFERROR(H372/H444, "NA")</f>
        <v>3.3338224751860821E-3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-277.17</v>
      </c>
      <c r="O372" s="8">
        <f>IFERROR(N372/N444, "NA")</f>
        <v>-8.2498682914197673E-3</v>
      </c>
      <c r="P372" s="9"/>
      <c r="Q372" s="7">
        <v>2385.85</v>
      </c>
      <c r="R372" s="8">
        <f>IFERROR(Q372/Q444, "NA")</f>
        <v>6.6680736273606173E-4</v>
      </c>
      <c r="S372" s="9"/>
      <c r="T372" s="7">
        <v>3500</v>
      </c>
      <c r="U372" s="8">
        <f>IFERROR(T372/T444, "NA")</f>
        <v>9.6719849651149181E-4</v>
      </c>
      <c r="V372" s="9"/>
      <c r="W372" s="10">
        <f t="shared" si="94"/>
        <v>1114.1500000000001</v>
      </c>
      <c r="X372" s="8">
        <f>IFERROR(W372/W444, "NA")</f>
        <v>-2.7388905495922957E-2</v>
      </c>
      <c r="Y372" s="9"/>
      <c r="Z372" s="7">
        <v>3450</v>
      </c>
      <c r="AA372" s="8">
        <f>IFERROR(Z372/Z444, "NA")</f>
        <v>1.0855902274299254E-3</v>
      </c>
      <c r="AB372" s="9"/>
      <c r="AC372" s="10">
        <f t="shared" si="95"/>
        <v>1064.1500000000001</v>
      </c>
      <c r="AD372" s="8">
        <f>IFERROR(AC372/AC444, "NA")</f>
        <v>2.6602076064363659E-3</v>
      </c>
    </row>
    <row r="373" spans="1:30" ht="16.5" customHeight="1" x14ac:dyDescent="0.45">
      <c r="A373" s="20" t="s">
        <v>341</v>
      </c>
      <c r="B373" s="7">
        <v>237.08</v>
      </c>
      <c r="C373" s="8">
        <f>IFERROR(B373/B444, "NA")</f>
        <v>3.2866184721710138E-4</v>
      </c>
      <c r="D373" s="9"/>
      <c r="E373" s="7">
        <v>325</v>
      </c>
      <c r="F373" s="8">
        <f>IFERROR(E373/E444, "NA")</f>
        <v>4.0398359145440212E-4</v>
      </c>
      <c r="G373" s="9"/>
      <c r="H373" s="10">
        <f t="shared" si="92"/>
        <v>87.919999999999987</v>
      </c>
      <c r="I373" s="8">
        <f>IFERROR(H373/H444, "NA")</f>
        <v>-1.0575086481883331E-3</v>
      </c>
      <c r="J373" s="9"/>
      <c r="K373" s="7">
        <v>880.96</v>
      </c>
      <c r="L373" s="8">
        <f>IFERROR(K373/K444, "NA")</f>
        <v>1.2809260634808087E-3</v>
      </c>
      <c r="M373" s="9"/>
      <c r="N373" s="10">
        <f t="shared" si="93"/>
        <v>643.88</v>
      </c>
      <c r="O373" s="8">
        <f>IFERROR(N373/N444, "NA")</f>
        <v>1.9164863424899373E-2</v>
      </c>
      <c r="P373" s="9"/>
      <c r="Q373" s="7">
        <v>2387.7199999999998</v>
      </c>
      <c r="R373" s="8">
        <f>IFERROR(Q373/Q444, "NA")</f>
        <v>6.6732999817765125E-4</v>
      </c>
      <c r="S373" s="9"/>
      <c r="T373" s="7">
        <v>1950</v>
      </c>
      <c r="U373" s="8">
        <f>IFERROR(T373/T444, "NA")</f>
        <v>5.3886773377068826E-4</v>
      </c>
      <c r="V373" s="9"/>
      <c r="W373" s="10">
        <f t="shared" si="94"/>
        <v>-437.7199999999998</v>
      </c>
      <c r="X373" s="8">
        <f>IFERROR(W373/W444, "NA")</f>
        <v>1.0760374916910101E-2</v>
      </c>
      <c r="Y373" s="9"/>
      <c r="Z373" s="7">
        <v>5224.75</v>
      </c>
      <c r="AA373" s="8">
        <f>IFERROR(Z373/Z444, "NA")</f>
        <v>1.6440398668882618E-3</v>
      </c>
      <c r="AB373" s="9"/>
      <c r="AC373" s="10">
        <f t="shared" si="95"/>
        <v>2837.03</v>
      </c>
      <c r="AD373" s="8">
        <f>IFERROR(AC373/AC444, "NA")</f>
        <v>7.0921287277998053E-3</v>
      </c>
    </row>
    <row r="374" spans="1:30" ht="16.5" customHeight="1" x14ac:dyDescent="0.45">
      <c r="A374" s="20" t="s">
        <v>342</v>
      </c>
      <c r="B374" s="7">
        <v>2149.5300000000002</v>
      </c>
      <c r="C374" s="8">
        <f>IFERROR(B374/B444, "NA")</f>
        <v>2.9798738841259323E-3</v>
      </c>
      <c r="D374" s="9"/>
      <c r="E374" s="7">
        <v>1900</v>
      </c>
      <c r="F374" s="8">
        <f>IFERROR(E374/E444, "NA")</f>
        <v>2.3617502269641971E-3</v>
      </c>
      <c r="G374" s="9"/>
      <c r="H374" s="10">
        <f t="shared" si="92"/>
        <v>-249.5300000000002</v>
      </c>
      <c r="I374" s="8">
        <f>IFERROR(H374/H444, "NA")</f>
        <v>3.0013663897001251E-3</v>
      </c>
      <c r="J374" s="9"/>
      <c r="K374" s="7">
        <v>1897.01</v>
      </c>
      <c r="L374" s="8">
        <f>IFERROR(K374/K444, "NA")</f>
        <v>2.7582745546718681E-3</v>
      </c>
      <c r="M374" s="9"/>
      <c r="N374" s="10">
        <f t="shared" si="93"/>
        <v>-252.52000000000021</v>
      </c>
      <c r="O374" s="8">
        <f>IFERROR(N374/N444, "NA")</f>
        <v>-7.516169646604327E-3</v>
      </c>
      <c r="P374" s="9"/>
      <c r="Q374" s="7">
        <v>11733.54</v>
      </c>
      <c r="R374" s="8">
        <f>IFERROR(Q374/Q444, "NA")</f>
        <v>3.2793389621971585E-3</v>
      </c>
      <c r="S374" s="9"/>
      <c r="T374" s="7">
        <v>11400</v>
      </c>
      <c r="U374" s="8">
        <f>IFERROR(T374/T444, "NA")</f>
        <v>3.1503036743517161E-3</v>
      </c>
      <c r="V374" s="9"/>
      <c r="W374" s="10">
        <f t="shared" si="94"/>
        <v>-333.54000000000087</v>
      </c>
      <c r="X374" s="8">
        <f>IFERROR(W374/W444, "NA")</f>
        <v>8.1993407881435759E-3</v>
      </c>
      <c r="Y374" s="9"/>
      <c r="Z374" s="7">
        <v>10723.71</v>
      </c>
      <c r="AA374" s="8">
        <f>IFERROR(Z374/Z444, "NA")</f>
        <v>3.3743637037079899E-3</v>
      </c>
      <c r="AB374" s="9"/>
      <c r="AC374" s="10">
        <f t="shared" si="95"/>
        <v>-1009.8300000000017</v>
      </c>
      <c r="AD374" s="8">
        <f>IFERROR(AC374/AC444, "NA")</f>
        <v>-2.524416151113696E-3</v>
      </c>
    </row>
    <row r="375" spans="1:30" ht="16.5" customHeight="1" x14ac:dyDescent="0.45">
      <c r="A375" s="20" t="s">
        <v>343</v>
      </c>
      <c r="B375" s="7">
        <v>3675.82</v>
      </c>
      <c r="C375" s="8">
        <f>IFERROR(B375/B444, "NA")</f>
        <v>5.0957558260400103E-3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-3675.82</v>
      </c>
      <c r="I375" s="8">
        <f>IFERROR(H375/H444, "NA")</f>
        <v>4.4213050946128742E-2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-3675.82</v>
      </c>
      <c r="O375" s="8">
        <f>IFERROR(N375/N444, "NA")</f>
        <v>-0.10940949909069023</v>
      </c>
      <c r="P375" s="9"/>
      <c r="Q375" s="7">
        <v>3881.08</v>
      </c>
      <c r="R375" s="8">
        <f>IFERROR(Q375/Q444, "NA")</f>
        <v>1.0847005131788144E-3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-3881.08</v>
      </c>
      <c r="X375" s="8">
        <f>IFERROR(W375/W444, "NA")</f>
        <v>9.5407739839444103E-2</v>
      </c>
      <c r="Y375" s="9"/>
      <c r="Z375" s="7">
        <v>184.99</v>
      </c>
      <c r="AA375" s="8">
        <f>IFERROR(Z375/Z444, "NA")</f>
        <v>5.8209662658626645E-5</v>
      </c>
      <c r="AB375" s="9"/>
      <c r="AC375" s="10">
        <f t="shared" si="95"/>
        <v>-3696.09</v>
      </c>
      <c r="AD375" s="8">
        <f>IFERROR(AC375/AC444, "NA")</f>
        <v>-9.2396435954267605E-3</v>
      </c>
    </row>
    <row r="376" spans="1:30" ht="16.5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-2413</v>
      </c>
      <c r="R376" s="8">
        <f>IFERROR(Q376/Q444, "NA")</f>
        <v>-6.7439535858587795E-4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2413</v>
      </c>
      <c r="X376" s="8">
        <f>IFERROR(W376/W444, "NA")</f>
        <v>-5.9318250649968214E-2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2413</v>
      </c>
      <c r="AD376" s="8">
        <f>IFERROR(AC376/AC444, "NA")</f>
        <v>6.0321204288220171E-3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customHeight="1" x14ac:dyDescent="0.45">
      <c r="A378" s="20" t="s">
        <v>346</v>
      </c>
      <c r="B378" s="7">
        <v>12589.94</v>
      </c>
      <c r="C378" s="8">
        <f>IFERROR(B378/B444, "NA")</f>
        <v>1.7453319287803585E-2</v>
      </c>
      <c r="D378" s="9"/>
      <c r="E378" s="7">
        <v>8470.33</v>
      </c>
      <c r="F378" s="8">
        <f>IFERROR(E378/E444, "NA")</f>
        <v>1.0528844105242973E-2</v>
      </c>
      <c r="G378" s="9"/>
      <c r="H378" s="10">
        <f t="shared" si="92"/>
        <v>-4119.6100000000006</v>
      </c>
      <c r="I378" s="8">
        <f>IFERROR(H378/H444, "NA")</f>
        <v>4.9550991835340535E-2</v>
      </c>
      <c r="J378" s="9"/>
      <c r="K378" s="7">
        <v>5177.54</v>
      </c>
      <c r="L378" s="8">
        <f>IFERROR(K378/K444, "NA")</f>
        <v>7.5282032449991215E-3</v>
      </c>
      <c r="M378" s="9"/>
      <c r="N378" s="10">
        <f t="shared" si="93"/>
        <v>-7412.4000000000005</v>
      </c>
      <c r="O378" s="8">
        <f>IFERROR(N378/N444, "NA")</f>
        <v>-0.22062749837038598</v>
      </c>
      <c r="P378" s="9"/>
      <c r="Q378" s="7">
        <v>56219.96</v>
      </c>
      <c r="R378" s="8">
        <f>IFERROR(Q378/Q444, "NA")</f>
        <v>1.5712590171522468E-2</v>
      </c>
      <c r="S378" s="9"/>
      <c r="T378" s="7">
        <v>50821.98</v>
      </c>
      <c r="U378" s="8">
        <f>IFERROR(T378/T444, "NA")</f>
        <v>1.404426932735346E-2</v>
      </c>
      <c r="V378" s="9"/>
      <c r="W378" s="10">
        <f t="shared" si="94"/>
        <v>-5397.9799999999959</v>
      </c>
      <c r="X378" s="8">
        <f>IFERROR(W378/W444, "NA")</f>
        <v>0.13269736039930177</v>
      </c>
      <c r="Y378" s="9"/>
      <c r="Z378" s="7">
        <v>34418.18</v>
      </c>
      <c r="AA378" s="8">
        <f>IFERROR(Z378/Z444, "NA")</f>
        <v>1.0830156479398294E-2</v>
      </c>
      <c r="AB378" s="9"/>
      <c r="AC378" s="10">
        <f t="shared" si="95"/>
        <v>-21801.78</v>
      </c>
      <c r="AD378" s="8">
        <f>IFERROR(AC378/AC444, "NA")</f>
        <v>-5.450102052328358E-2</v>
      </c>
    </row>
    <row r="379" spans="1:30" ht="16.5" customHeight="1" x14ac:dyDescent="0.45">
      <c r="A379" s="20" t="s">
        <v>347</v>
      </c>
      <c r="B379" s="7">
        <v>1183.08</v>
      </c>
      <c r="C379" s="8">
        <f>IFERROR(B379/B444, "NA")</f>
        <v>1.6400930411911941E-3</v>
      </c>
      <c r="D379" s="9"/>
      <c r="E379" s="7">
        <v>200</v>
      </c>
      <c r="F379" s="8">
        <f>IFERROR(E379/E444, "NA")</f>
        <v>2.4860528704886287E-4</v>
      </c>
      <c r="G379" s="9"/>
      <c r="H379" s="10">
        <f t="shared" si="92"/>
        <v>-983.07999999999993</v>
      </c>
      <c r="I379" s="8">
        <f>IFERROR(H379/H444, "NA")</f>
        <v>1.1824563260475278E-2</v>
      </c>
      <c r="J379" s="9"/>
      <c r="K379" s="7">
        <v>591.15</v>
      </c>
      <c r="L379" s="8">
        <f>IFERROR(K379/K444, "NA")</f>
        <v>8.5953896025549401E-4</v>
      </c>
      <c r="M379" s="9"/>
      <c r="N379" s="10">
        <f t="shared" si="93"/>
        <v>-591.92999999999995</v>
      </c>
      <c r="O379" s="8">
        <f>IFERROR(N379/N444, "NA")</f>
        <v>-1.7618589810369456E-2</v>
      </c>
      <c r="P379" s="9"/>
      <c r="Q379" s="7">
        <v>6211.91</v>
      </c>
      <c r="R379" s="8">
        <f>IFERROR(Q379/Q444, "NA")</f>
        <v>1.7361306555960219E-3</v>
      </c>
      <c r="S379" s="9"/>
      <c r="T379" s="7">
        <v>1200</v>
      </c>
      <c r="U379" s="8">
        <f>IFERROR(T379/T444, "NA")</f>
        <v>3.3161091308965432E-4</v>
      </c>
      <c r="V379" s="9"/>
      <c r="W379" s="10">
        <f t="shared" si="94"/>
        <v>-5011.91</v>
      </c>
      <c r="X379" s="8">
        <f>IFERROR(W379/W444, "NA")</f>
        <v>0.12320668612311736</v>
      </c>
      <c r="Y379" s="9"/>
      <c r="Z379" s="7">
        <v>2106.1799999999998</v>
      </c>
      <c r="AA379" s="8">
        <f>IFERROR(Z379/Z444, "NA")</f>
        <v>6.6273867397343778E-4</v>
      </c>
      <c r="AB379" s="9"/>
      <c r="AC379" s="10">
        <f t="shared" si="95"/>
        <v>-4105.7299999999996</v>
      </c>
      <c r="AD379" s="8">
        <f>IFERROR(AC379/AC444, "NA")</f>
        <v>-1.0263679157988984E-2</v>
      </c>
    </row>
    <row r="380" spans="1:30" ht="16.5" customHeight="1" x14ac:dyDescent="0.45">
      <c r="A380" s="20" t="s">
        <v>348</v>
      </c>
      <c r="B380" s="7">
        <v>12190</v>
      </c>
      <c r="C380" s="8">
        <f>IFERROR(B380/B444, "NA")</f>
        <v>1.6898886104169335E-2</v>
      </c>
      <c r="D380" s="9"/>
      <c r="E380" s="7">
        <v>11500</v>
      </c>
      <c r="F380" s="8">
        <f>IFERROR(E380/E444, "NA")</f>
        <v>1.4294804005309615E-2</v>
      </c>
      <c r="G380" s="9"/>
      <c r="H380" s="10">
        <f t="shared" si="92"/>
        <v>-690</v>
      </c>
      <c r="I380" s="8">
        <f>IFERROR(H380/H444, "NA")</f>
        <v>8.2993740588028879E-3</v>
      </c>
      <c r="J380" s="9"/>
      <c r="K380" s="7">
        <v>11500</v>
      </c>
      <c r="L380" s="8">
        <f>IFERROR(K380/K444, "NA")</f>
        <v>1.6721133456716875E-2</v>
      </c>
      <c r="M380" s="9"/>
      <c r="N380" s="10">
        <f t="shared" si="93"/>
        <v>-690</v>
      </c>
      <c r="O380" s="8">
        <f>IFERROR(N380/N444, "NA")</f>
        <v>-2.0537609124651437E-2</v>
      </c>
      <c r="P380" s="9"/>
      <c r="Q380" s="7">
        <v>69690</v>
      </c>
      <c r="R380" s="8">
        <f>IFERROR(Q380/Q444, "NA")</f>
        <v>1.9477253435495168E-2</v>
      </c>
      <c r="S380" s="9"/>
      <c r="T380" s="7">
        <v>69000</v>
      </c>
      <c r="U380" s="8">
        <f>IFERROR(T380/T444, "NA")</f>
        <v>1.9067627502655126E-2</v>
      </c>
      <c r="V380" s="9"/>
      <c r="W380" s="10">
        <f t="shared" si="94"/>
        <v>-690</v>
      </c>
      <c r="X380" s="8">
        <f>IFERROR(W380/W444, "NA")</f>
        <v>1.6962118917728166E-2</v>
      </c>
      <c r="Y380" s="9"/>
      <c r="Z380" s="7">
        <v>69000</v>
      </c>
      <c r="AA380" s="8">
        <f>IFERROR(Z380/Z444, "NA")</f>
        <v>2.1711804548598508E-2</v>
      </c>
      <c r="AB380" s="9"/>
      <c r="AC380" s="10">
        <f t="shared" si="95"/>
        <v>-690</v>
      </c>
      <c r="AD380" s="8">
        <f>IFERROR(AC380/AC444, "NA")</f>
        <v>-1.724891461204804E-3</v>
      </c>
    </row>
    <row r="381" spans="1:30" ht="16.5" customHeight="1" x14ac:dyDescent="0.45">
      <c r="A381" s="20" t="s">
        <v>349</v>
      </c>
      <c r="B381" s="7">
        <v>5950</v>
      </c>
      <c r="C381" s="8">
        <f>IFERROR(B381/B444, "NA")</f>
        <v>8.2484308711901176E-3</v>
      </c>
      <c r="D381" s="9"/>
      <c r="E381" s="7">
        <v>4000</v>
      </c>
      <c r="F381" s="8">
        <f>IFERROR(E381/E444, "NA")</f>
        <v>4.9721057409772571E-3</v>
      </c>
      <c r="G381" s="9"/>
      <c r="H381" s="10">
        <f t="shared" si="92"/>
        <v>-1950</v>
      </c>
      <c r="I381" s="8">
        <f>IFERROR(H381/H444, "NA")</f>
        <v>2.3454752774877727E-2</v>
      </c>
      <c r="J381" s="9"/>
      <c r="K381" s="7">
        <v>39966.949999999997</v>
      </c>
      <c r="L381" s="8">
        <f>IFERROR(K381/K444, "NA")</f>
        <v>5.8112409113733089E-2</v>
      </c>
      <c r="M381" s="9"/>
      <c r="N381" s="10">
        <f t="shared" si="93"/>
        <v>34016.949999999997</v>
      </c>
      <c r="O381" s="8">
        <f>IFERROR(N381/N444, "NA")</f>
        <v>1.0125026416127705</v>
      </c>
      <c r="P381" s="9"/>
      <c r="Q381" s="7">
        <v>36441.51</v>
      </c>
      <c r="R381" s="8">
        <f>IFERROR(Q381/Q444, "NA")</f>
        <v>1.0184826027294182E-2</v>
      </c>
      <c r="S381" s="9"/>
      <c r="T381" s="7">
        <v>24000</v>
      </c>
      <c r="U381" s="8">
        <f>IFERROR(T381/T444, "NA")</f>
        <v>6.6322182617930868E-3</v>
      </c>
      <c r="V381" s="9"/>
      <c r="W381" s="10">
        <f t="shared" si="94"/>
        <v>-12441.510000000002</v>
      </c>
      <c r="X381" s="8">
        <f>IFERROR(W381/W444, "NA")</f>
        <v>0.30584691613928144</v>
      </c>
      <c r="Y381" s="9"/>
      <c r="Z381" s="7">
        <v>79996.47</v>
      </c>
      <c r="AA381" s="8">
        <f>IFERROR(Z381/Z444, "NA")</f>
        <v>2.5171995959678613E-2</v>
      </c>
      <c r="AB381" s="9"/>
      <c r="AC381" s="10">
        <f t="shared" si="95"/>
        <v>43554.96</v>
      </c>
      <c r="AD381" s="8">
        <f>IFERROR(AC381/AC444, "NA")</f>
        <v>0.10888054869147361</v>
      </c>
    </row>
    <row r="382" spans="1:30" ht="16.5" customHeight="1" x14ac:dyDescent="0.45">
      <c r="A382" s="20" t="s">
        <v>350</v>
      </c>
      <c r="B382" s="7">
        <v>982.62</v>
      </c>
      <c r="C382" s="8">
        <f>IFERROR(B382/B444, "NA")</f>
        <v>1.3621971668317369E-3</v>
      </c>
      <c r="D382" s="9"/>
      <c r="E382" s="7">
        <v>795</v>
      </c>
      <c r="F382" s="8">
        <f>IFERROR(E382/E444, "NA")</f>
        <v>9.8820601601922993E-4</v>
      </c>
      <c r="G382" s="9"/>
      <c r="H382" s="10">
        <f t="shared" si="92"/>
        <v>-187.62</v>
      </c>
      <c r="I382" s="8">
        <f>IFERROR(H382/H444, "NA")</f>
        <v>2.25670805929362E-3</v>
      </c>
      <c r="J382" s="9"/>
      <c r="K382" s="7">
        <v>168.54</v>
      </c>
      <c r="L382" s="8">
        <f>IFERROR(K382/K444, "NA")</f>
        <v>2.4505911589522283E-4</v>
      </c>
      <c r="M382" s="9"/>
      <c r="N382" s="10">
        <f t="shared" si="93"/>
        <v>-814.08</v>
      </c>
      <c r="O382" s="8">
        <f>IFERROR(N382/N444, "NA")</f>
        <v>-2.4230807008980063E-2</v>
      </c>
      <c r="P382" s="9"/>
      <c r="Q382" s="7">
        <v>3774.38</v>
      </c>
      <c r="R382" s="8">
        <f>IFERROR(Q382/Q444, "NA")</f>
        <v>1.0548795497469399E-3</v>
      </c>
      <c r="S382" s="9"/>
      <c r="T382" s="7">
        <v>4770</v>
      </c>
      <c r="U382" s="8">
        <f>IFERROR(T382/T444, "NA")</f>
        <v>1.318153379531376E-3</v>
      </c>
      <c r="V382" s="9"/>
      <c r="W382" s="10">
        <f t="shared" si="94"/>
        <v>995.61999999999989</v>
      </c>
      <c r="X382" s="8">
        <f>IFERROR(W382/W444, "NA")</f>
        <v>-2.4475108459229733E-2</v>
      </c>
      <c r="Y382" s="9"/>
      <c r="Z382" s="7">
        <v>1648.23</v>
      </c>
      <c r="AA382" s="8">
        <f>IFERROR(Z382/Z444, "NA")</f>
        <v>5.1863837117589165E-4</v>
      </c>
      <c r="AB382" s="9"/>
      <c r="AC382" s="10">
        <f t="shared" si="95"/>
        <v>-2126.15</v>
      </c>
      <c r="AD382" s="8">
        <f>IFERROR(AC382/AC444, "NA")</f>
        <v>-5.315040551073325E-3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customHeight="1" x14ac:dyDescent="0.45">
      <c r="A385" s="6" t="s">
        <v>352</v>
      </c>
      <c r="B385" s="7">
        <v>2542.7800000000002</v>
      </c>
      <c r="C385" s="8">
        <f>IFERROR(B385/B444, "NA")</f>
        <v>3.5250327816209767E-3</v>
      </c>
      <c r="D385" s="9"/>
      <c r="E385" s="7">
        <v>1608.98</v>
      </c>
      <c r="F385" s="8">
        <f>IFERROR(E385/E444, "NA")</f>
        <v>2.000004673779397E-3</v>
      </c>
      <c r="G385" s="9"/>
      <c r="H385" s="10">
        <f>IFERROR(-(B385-E385), "NA")</f>
        <v>-933.80000000000018</v>
      </c>
      <c r="I385" s="8">
        <f>IFERROR(H385/H444, "NA")</f>
        <v>1.1231819559579911E-2</v>
      </c>
      <c r="J385" s="9"/>
      <c r="K385" s="7">
        <v>1857.45</v>
      </c>
      <c r="L385" s="8">
        <f>IFERROR(K385/K444, "NA")</f>
        <v>2.7007538555807622E-3</v>
      </c>
      <c r="M385" s="9"/>
      <c r="N385" s="10">
        <f>IFERROR(-(B385-K385), "NA")</f>
        <v>-685.33000000000015</v>
      </c>
      <c r="O385" s="8">
        <f>IFERROR(N385/N444, "NA")</f>
        <v>-2.0398608204923729E-2</v>
      </c>
      <c r="P385" s="9"/>
      <c r="Q385" s="7">
        <v>20129.330000000002</v>
      </c>
      <c r="R385" s="8">
        <f>IFERROR(Q385/Q444, "NA")</f>
        <v>5.6258295579956373E-3</v>
      </c>
      <c r="S385" s="9"/>
      <c r="T385" s="7">
        <v>15084.62</v>
      </c>
      <c r="U385" s="8">
        <f>IFERROR(T385/T444, "NA")</f>
        <v>4.1685205098420516E-3</v>
      </c>
      <c r="V385" s="9"/>
      <c r="W385" s="10">
        <f>IFERROR(-(Q385-T385), "NA")</f>
        <v>-5044.7100000000009</v>
      </c>
      <c r="X385" s="8">
        <f>IFERROR(W385/W444, "NA")</f>
        <v>0.12401300134123548</v>
      </c>
      <c r="Y385" s="9"/>
      <c r="Z385" s="7">
        <v>12971.68</v>
      </c>
      <c r="AA385" s="8">
        <f>IFERROR(Z385/Z444, "NA")</f>
        <v>4.0817185627096278E-3</v>
      </c>
      <c r="AB385" s="9"/>
      <c r="AC385" s="10">
        <f>IFERROR(-(Q385-Z385), "NA")</f>
        <v>-7157.6500000000015</v>
      </c>
      <c r="AD385" s="8">
        <f>IFERROR(AC385/AC444, "NA")</f>
        <v>-1.7892999083032705E-2</v>
      </c>
    </row>
    <row r="386" spans="1:30" ht="16.5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51.47</v>
      </c>
      <c r="R386" s="8">
        <f>IFERROR(Q386/Q444, "NA")</f>
        <v>1.4385051432414065E-5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-51.47</v>
      </c>
      <c r="X386" s="8">
        <f>IFERROR(W386/W444, "NA")</f>
        <v>1.2652757401383605E-3</v>
      </c>
      <c r="Y386" s="9"/>
      <c r="Z386" s="7">
        <v>4371.13</v>
      </c>
      <c r="AA386" s="8">
        <f>IFERROR(Z386/Z444, "NA")</f>
        <v>1.3754365248770349E-3</v>
      </c>
      <c r="AB386" s="9"/>
      <c r="AC386" s="10">
        <f>IFERROR(-(Q386-Z386), "NA")</f>
        <v>4319.66</v>
      </c>
      <c r="AD386" s="8">
        <f>IFERROR(AC386/AC444, "NA")</f>
        <v>1.0798470506243397E-2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customHeight="1" x14ac:dyDescent="0.45">
      <c r="A389" s="12" t="s">
        <v>355</v>
      </c>
      <c r="B389" s="7">
        <v>7237.59</v>
      </c>
      <c r="C389" s="8">
        <f>IFERROR(B389/B444, "NA")</f>
        <v>1.0033405174624687E-2</v>
      </c>
      <c r="D389" s="9"/>
      <c r="E389" s="7">
        <v>3602.18</v>
      </c>
      <c r="F389" s="8">
        <f>IFERROR(E389/E444, "NA")</f>
        <v>4.4776049645083643E-3</v>
      </c>
      <c r="G389" s="9"/>
      <c r="H389" s="10">
        <f t="shared" si="96"/>
        <v>-3635.4100000000003</v>
      </c>
      <c r="I389" s="8">
        <f>IFERROR(H389/H444, "NA")</f>
        <v>4.3726996300163204E-2</v>
      </c>
      <c r="J389" s="9"/>
      <c r="K389" s="7">
        <v>1768.49</v>
      </c>
      <c r="L389" s="8">
        <f>IFERROR(K389/K444, "NA")</f>
        <v>2.5714049832060199E-3</v>
      </c>
      <c r="M389" s="9"/>
      <c r="N389" s="10">
        <f t="shared" si="97"/>
        <v>-5469.1</v>
      </c>
      <c r="O389" s="8">
        <f>IFERROR(N389/N444, "NA")</f>
        <v>-0.16278585226613215</v>
      </c>
      <c r="P389" s="9"/>
      <c r="Q389" s="7">
        <v>28318.959999999999</v>
      </c>
      <c r="R389" s="8">
        <f>IFERROR(Q389/Q444, "NA")</f>
        <v>7.9147016924903165E-3</v>
      </c>
      <c r="S389" s="9"/>
      <c r="T389" s="7">
        <v>16645.12</v>
      </c>
      <c r="U389" s="8">
        <f>IFERROR(T389/T444, "NA")</f>
        <v>4.5997528680723886E-3</v>
      </c>
      <c r="V389" s="9"/>
      <c r="W389" s="10">
        <f t="shared" si="98"/>
        <v>-11673.84</v>
      </c>
      <c r="X389" s="8">
        <f>IFERROR(W389/W444, "NA")</f>
        <v>0.28697545261816204</v>
      </c>
      <c r="Y389" s="9"/>
      <c r="Z389" s="7">
        <v>7900.97</v>
      </c>
      <c r="AA389" s="8">
        <f>IFERROR(Z389/Z444, "NA")</f>
        <v>2.4861495128165271E-3</v>
      </c>
      <c r="AB389" s="9"/>
      <c r="AC389" s="10">
        <f t="shared" si="99"/>
        <v>-20417.989999999998</v>
      </c>
      <c r="AD389" s="8">
        <f>IFERROR(AC389/AC444, "NA")</f>
        <v>-5.1041763197050831E-2</v>
      </c>
    </row>
    <row r="390" spans="1:30" ht="16.5" customHeight="1" x14ac:dyDescent="0.45">
      <c r="A390" s="12" t="s">
        <v>356</v>
      </c>
      <c r="B390" s="7">
        <v>918.4</v>
      </c>
      <c r="C390" s="8">
        <f>IFERROR(B390/B444, "NA")</f>
        <v>1.2731695650589924E-3</v>
      </c>
      <c r="D390" s="9"/>
      <c r="E390" s="7">
        <v>17503.43</v>
      </c>
      <c r="F390" s="8">
        <f>IFERROR(E390/E444, "NA")</f>
        <v>2.1757226197448389E-2</v>
      </c>
      <c r="G390" s="9"/>
      <c r="H390" s="10">
        <f t="shared" si="96"/>
        <v>16585.03</v>
      </c>
      <c r="I390" s="8">
        <f>IFERROR(H390/H444, "NA")</f>
        <v>-0.19948604021227195</v>
      </c>
      <c r="J390" s="9"/>
      <c r="K390" s="7">
        <v>19751.14</v>
      </c>
      <c r="L390" s="8">
        <f>IFERROR(K390/K444, "NA")</f>
        <v>2.8718386770634693E-2</v>
      </c>
      <c r="M390" s="9"/>
      <c r="N390" s="10">
        <f t="shared" si="97"/>
        <v>18832.739999999998</v>
      </c>
      <c r="O390" s="8">
        <f>IFERROR(N390/N444, "NA")</f>
        <v>0.56054993169012768</v>
      </c>
      <c r="P390" s="9"/>
      <c r="Q390" s="7">
        <v>55756.46</v>
      </c>
      <c r="R390" s="8">
        <f>IFERROR(Q390/Q444, "NA")</f>
        <v>1.5583049247898533E-2</v>
      </c>
      <c r="S390" s="9"/>
      <c r="T390" s="7">
        <v>80880.570000000007</v>
      </c>
      <c r="U390" s="8">
        <f>IFERROR(T390/T444, "NA")</f>
        <v>2.2350733057426422E-2</v>
      </c>
      <c r="V390" s="9"/>
      <c r="W390" s="10">
        <f t="shared" si="98"/>
        <v>25124.110000000008</v>
      </c>
      <c r="X390" s="8">
        <f>IFERROR(W390/W444, "NA")</f>
        <v>-0.61762049495954141</v>
      </c>
      <c r="Y390" s="9"/>
      <c r="Z390" s="7">
        <v>86121.41</v>
      </c>
      <c r="AA390" s="8">
        <f>IFERROR(Z390/Z444, "NA")</f>
        <v>2.7099293063329234E-2</v>
      </c>
      <c r="AB390" s="9"/>
      <c r="AC390" s="10">
        <f t="shared" si="99"/>
        <v>30364.950000000004</v>
      </c>
      <c r="AD390" s="8">
        <f>IFERROR(AC390/AC444, "NA")</f>
        <v>7.5907598514363503E-2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customHeight="1" x14ac:dyDescent="0.45">
      <c r="A392" s="12" t="s">
        <v>358</v>
      </c>
      <c r="B392" s="7">
        <v>4932.67</v>
      </c>
      <c r="C392" s="8">
        <f>IFERROR(B392/B444, "NA")</f>
        <v>6.8381155471249344E-3</v>
      </c>
      <c r="D392" s="9"/>
      <c r="E392" s="7">
        <v>2688.95</v>
      </c>
      <c r="F392" s="8">
        <f>IFERROR(E392/E444, "NA")</f>
        <v>3.3424359330501987E-3</v>
      </c>
      <c r="G392" s="9"/>
      <c r="H392" s="10">
        <f t="shared" si="96"/>
        <v>-2243.7200000000003</v>
      </c>
      <c r="I392" s="8">
        <f>IFERROR(H392/H444, "NA")</f>
        <v>2.6987639946691622E-2</v>
      </c>
      <c r="J392" s="9"/>
      <c r="K392" s="7">
        <v>4675.8</v>
      </c>
      <c r="L392" s="8">
        <f>IFERROR(K392/K444, "NA")</f>
        <v>6.798667462340589E-3</v>
      </c>
      <c r="M392" s="9"/>
      <c r="N392" s="10">
        <f t="shared" si="97"/>
        <v>-256.86999999999989</v>
      </c>
      <c r="O392" s="8">
        <f>IFERROR(N392/N444, "NA")</f>
        <v>-7.6456458780423371E-3</v>
      </c>
      <c r="P392" s="9"/>
      <c r="Q392" s="7">
        <v>29147.79</v>
      </c>
      <c r="R392" s="8">
        <f>IFERROR(Q392/Q444, "NA")</f>
        <v>8.1463465764757027E-3</v>
      </c>
      <c r="S392" s="9"/>
      <c r="T392" s="7">
        <v>12425.19</v>
      </c>
      <c r="U392" s="8">
        <f>IFERROR(T392/T444, "NA")</f>
        <v>3.4336071676770354E-3</v>
      </c>
      <c r="V392" s="9"/>
      <c r="W392" s="10">
        <f t="shared" si="98"/>
        <v>-16722.599999999999</v>
      </c>
      <c r="X392" s="8">
        <f>IFERROR(W392/W444, "NA")</f>
        <v>0.41108801422261021</v>
      </c>
      <c r="Y392" s="9"/>
      <c r="Z392" s="7">
        <v>18705.23</v>
      </c>
      <c r="AA392" s="8">
        <f>IFERROR(Z392/Z444, "NA")</f>
        <v>5.8858593883562502E-3</v>
      </c>
      <c r="AB392" s="9"/>
      <c r="AC392" s="10">
        <f t="shared" si="99"/>
        <v>-10442.560000000001</v>
      </c>
      <c r="AD392" s="8">
        <f>IFERROR(AC392/AC444, "NA")</f>
        <v>-2.6104757358143247E-2</v>
      </c>
    </row>
    <row r="393" spans="1:30" ht="16.5" customHeight="1" x14ac:dyDescent="0.45">
      <c r="A393" s="13" t="s">
        <v>359</v>
      </c>
      <c r="B393" s="14">
        <f>IFERROR(B388+B389+B390+B391+B392, "NA")</f>
        <v>13088.66</v>
      </c>
      <c r="C393" s="15">
        <f>IFERROR(B393/B444, "NA")</f>
        <v>1.8144690286808613E-2</v>
      </c>
      <c r="D393" s="2"/>
      <c r="E393" s="14">
        <f>IFERROR(E388+E389+E390+E391+E392, "NA")</f>
        <v>23794.560000000001</v>
      </c>
      <c r="F393" s="15">
        <f>IFERROR(E393/E444, "NA")</f>
        <v>2.9577267095006955E-2</v>
      </c>
      <c r="G393" s="2"/>
      <c r="H393" s="14">
        <f t="shared" si="96"/>
        <v>10705.900000000001</v>
      </c>
      <c r="I393" s="15">
        <f>IFERROR(H393/H444, "NA")</f>
        <v>-0.12877140396541717</v>
      </c>
      <c r="J393" s="2"/>
      <c r="K393" s="14">
        <f>IFERROR(K388+K389+K390+K391+K392, "NA")</f>
        <v>26195.43</v>
      </c>
      <c r="L393" s="15">
        <f>IFERROR(K393/K444, "NA")</f>
        <v>3.80884592161813E-2</v>
      </c>
      <c r="M393" s="2"/>
      <c r="N393" s="14">
        <f t="shared" si="97"/>
        <v>13106.77</v>
      </c>
      <c r="O393" s="15">
        <f>IFERROR(N393/N444, "NA")</f>
        <v>0.39011843354595327</v>
      </c>
      <c r="P393" s="2"/>
      <c r="Q393" s="14">
        <f>IFERROR(Q388+Q389+Q390+Q391+Q392, "NA")</f>
        <v>113223.20999999999</v>
      </c>
      <c r="R393" s="15">
        <f>IFERROR(Q393/Q444, "NA")</f>
        <v>3.1644097516864547E-2</v>
      </c>
      <c r="S393" s="2"/>
      <c r="T393" s="14">
        <f>IFERROR(T388+T389+T390+T391+T392, "NA")</f>
        <v>109950.88</v>
      </c>
      <c r="U393" s="15">
        <f>IFERROR(T393/T444, "NA")</f>
        <v>3.0384093093175846E-2</v>
      </c>
      <c r="V393" s="2"/>
      <c r="W393" s="14">
        <f t="shared" si="98"/>
        <v>-3272.3299999999872</v>
      </c>
      <c r="X393" s="15">
        <f>IFERROR(W393/W444, "NA")</f>
        <v>8.0442971881230715E-2</v>
      </c>
      <c r="Y393" s="2"/>
      <c r="Z393" s="14">
        <f>IFERROR(Z388+Z389+Z390+Z391+Z392, "NA")</f>
        <v>112727.61</v>
      </c>
      <c r="AA393" s="15">
        <f>IFERROR(Z393/Z444, "NA")</f>
        <v>3.547130196450201E-2</v>
      </c>
      <c r="AB393" s="2"/>
      <c r="AC393" s="14">
        <f t="shared" si="99"/>
        <v>-495.59999999999127</v>
      </c>
      <c r="AD393" s="15">
        <f>IFERROR(AC393/AC444, "NA")</f>
        <v>-1.2389220408305591E-3</v>
      </c>
    </row>
    <row r="394" spans="1:30" ht="16.5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7240.39</v>
      </c>
      <c r="F394" s="8">
        <f>IFERROR(E394/E444, "NA")</f>
        <v>8.999996171478581E-3</v>
      </c>
      <c r="G394" s="9"/>
      <c r="H394" s="10">
        <f t="shared" si="96"/>
        <v>7240.39</v>
      </c>
      <c r="I394" s="8">
        <f>IFERROR(H394/H444, "NA")</f>
        <v>-8.7087978176254854E-2</v>
      </c>
      <c r="J394" s="9"/>
      <c r="K394" s="7">
        <v>7569.52</v>
      </c>
      <c r="L394" s="8">
        <f>IFERROR(K394/K444, "NA")</f>
        <v>1.1006169923764134E-2</v>
      </c>
      <c r="M394" s="9"/>
      <c r="N394" s="10">
        <f t="shared" si="97"/>
        <v>7569.52</v>
      </c>
      <c r="O394" s="8">
        <f>IFERROR(N394/N444, "NA")</f>
        <v>0.22530412032062547</v>
      </c>
      <c r="P394" s="9"/>
      <c r="Q394" s="7">
        <v>6612.06</v>
      </c>
      <c r="R394" s="8">
        <f>IFERROR(Q394/Q444, "NA")</f>
        <v>1.8479662555703857E-3</v>
      </c>
      <c r="S394" s="9"/>
      <c r="T394" s="7">
        <v>28558.53</v>
      </c>
      <c r="U394" s="8">
        <f>IFERROR(T394/T444, "NA")</f>
        <v>7.8919335081652376E-3</v>
      </c>
      <c r="V394" s="9"/>
      <c r="W394" s="10">
        <f t="shared" si="98"/>
        <v>21946.469999999998</v>
      </c>
      <c r="X394" s="8">
        <f>IFERROR(W394/W444, "NA")</f>
        <v>-0.53950526661500531</v>
      </c>
      <c r="Y394" s="9"/>
      <c r="Z394" s="7">
        <v>35035.22</v>
      </c>
      <c r="AA394" s="8">
        <f>IFERROR(Z394/Z444, "NA")</f>
        <v>1.1024316651552891E-2</v>
      </c>
      <c r="AB394" s="9"/>
      <c r="AC394" s="10">
        <f t="shared" si="99"/>
        <v>28423.16</v>
      </c>
      <c r="AD394" s="8">
        <f>IFERROR(AC394/AC444, "NA")</f>
        <v>7.1053428962982515E-2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15631.44</v>
      </c>
      <c r="C396" s="15">
        <f>IFERROR(B396/B444, "NA")</f>
        <v>2.166972306842959E-2</v>
      </c>
      <c r="D396" s="2"/>
      <c r="E396" s="14">
        <f>IFERROR(E385+E386+E388+E389+E390+E391+E392+E394+E395, "NA")</f>
        <v>32643.93</v>
      </c>
      <c r="F396" s="15">
        <f>IFERROR(E396/E444, "NA")</f>
        <v>4.0577267940264929E-2</v>
      </c>
      <c r="G396" s="2"/>
      <c r="H396" s="14">
        <f t="shared" si="96"/>
        <v>17012.489999999998</v>
      </c>
      <c r="I396" s="15">
        <f>IFERROR(H396/H444, "NA")</f>
        <v>-0.20462756258209208</v>
      </c>
      <c r="J396" s="2"/>
      <c r="K396" s="14">
        <f>IFERROR(K385+K386+K388+K389+K390+K391+K392+K394+K395, "NA")</f>
        <v>35622.399999999994</v>
      </c>
      <c r="L396" s="15">
        <f>IFERROR(K396/K444, "NA")</f>
        <v>5.179538299552619E-2</v>
      </c>
      <c r="M396" s="2"/>
      <c r="N396" s="14">
        <f t="shared" si="97"/>
        <v>19990.959999999992</v>
      </c>
      <c r="O396" s="15">
        <f>IFERROR(N396/N444, "NA")</f>
        <v>0.59502394566165473</v>
      </c>
      <c r="P396" s="2"/>
      <c r="Q396" s="14">
        <f>IFERROR(Q385+Q386+Q388+Q389+Q390+Q391+Q392+Q394+Q395, "NA")</f>
        <v>140016.07</v>
      </c>
      <c r="R396" s="15">
        <f>IFERROR(Q396/Q444, "NA")</f>
        <v>3.9132278381862992E-2</v>
      </c>
      <c r="S396" s="2"/>
      <c r="T396" s="14">
        <f>IFERROR(T385+T386+T388+T389+T390+T391+T392+T394+T395, "NA")</f>
        <v>153594.03</v>
      </c>
      <c r="U396" s="15">
        <f>IFERROR(T396/T444, "NA")</f>
        <v>4.2444547111183131E-2</v>
      </c>
      <c r="V396" s="2"/>
      <c r="W396" s="14">
        <f t="shared" si="98"/>
        <v>13577.959999999992</v>
      </c>
      <c r="X396" s="15">
        <f>IFERROR(W396/W444, "NA")</f>
        <v>-0.33378401765240029</v>
      </c>
      <c r="Y396" s="2"/>
      <c r="Z396" s="14">
        <f>IFERROR(Z385+Z386+Z388+Z389+Z390+Z391+Z392+Z394+Z395, "NA")</f>
        <v>165105.64000000001</v>
      </c>
      <c r="AA396" s="15">
        <f>IFERROR(Z396/Z444, "NA")</f>
        <v>5.1952773703641569E-2</v>
      </c>
      <c r="AB396" s="2"/>
      <c r="AC396" s="14">
        <f t="shared" si="99"/>
        <v>25089.570000000007</v>
      </c>
      <c r="AD396" s="15">
        <f>IFERROR(AC396/AC444, "NA")</f>
        <v>6.2719978345362651E-2</v>
      </c>
    </row>
    <row r="397" spans="1:30" ht="16.5" customHeight="1" x14ac:dyDescent="0.45">
      <c r="A397" s="20" t="s">
        <v>363</v>
      </c>
      <c r="B397" s="7">
        <v>16921.990000000002</v>
      </c>
      <c r="C397" s="8">
        <f>IFERROR(B397/B444, "NA")</f>
        <v>2.3458800792936215E-2</v>
      </c>
      <c r="D397" s="9"/>
      <c r="E397" s="7">
        <v>20224.240000000002</v>
      </c>
      <c r="F397" s="8">
        <f>IFERROR(E397/E444, "NA")</f>
        <v>2.5139264952725473E-2</v>
      </c>
      <c r="G397" s="9"/>
      <c r="H397" s="10">
        <f t="shared" si="96"/>
        <v>3302.25</v>
      </c>
      <c r="I397" s="8">
        <f>IFERROR(H397/H444, "NA")</f>
        <v>-3.9719721718379473E-2</v>
      </c>
      <c r="J397" s="9"/>
      <c r="K397" s="7">
        <v>10141.25</v>
      </c>
      <c r="L397" s="8">
        <f>IFERROR(K397/K444, "NA")</f>
        <v>1.4745495188515655E-2</v>
      </c>
      <c r="M397" s="9"/>
      <c r="N397" s="10">
        <f t="shared" si="97"/>
        <v>-6780.7400000000016</v>
      </c>
      <c r="O397" s="8">
        <f>IFERROR(N397/N444, "NA")</f>
        <v>-0.20182635897954931</v>
      </c>
      <c r="P397" s="9"/>
      <c r="Q397" s="7">
        <v>39239.25</v>
      </c>
      <c r="R397" s="8">
        <f>IFERROR(Q397/Q444, "NA")</f>
        <v>1.0966750134434692E-2</v>
      </c>
      <c r="S397" s="9"/>
      <c r="T397" s="7">
        <v>103754.53</v>
      </c>
      <c r="U397" s="8">
        <f>IFERROR(T397/T444, "NA")</f>
        <v>2.8671778692073279E-2</v>
      </c>
      <c r="V397" s="9"/>
      <c r="W397" s="10">
        <f t="shared" si="98"/>
        <v>64515.28</v>
      </c>
      <c r="X397" s="8">
        <f>IFERROR(W397/W444, "NA")</f>
        <v>-1.585965001986275</v>
      </c>
      <c r="Y397" s="9"/>
      <c r="Z397" s="7">
        <v>46404.639999999999</v>
      </c>
      <c r="AA397" s="8">
        <f>IFERROR(Z397/Z444, "NA")</f>
        <v>1.4601861939537338E-2</v>
      </c>
      <c r="AB397" s="9"/>
      <c r="AC397" s="10">
        <f t="shared" si="99"/>
        <v>7165.3899999999994</v>
      </c>
      <c r="AD397" s="8">
        <f>IFERROR(AC397/AC444, "NA")</f>
        <v>1.7912347865510565E-2</v>
      </c>
    </row>
    <row r="398" spans="1:30" ht="16.5" customHeight="1" x14ac:dyDescent="0.45">
      <c r="A398" s="20" t="s">
        <v>364</v>
      </c>
      <c r="B398" s="7">
        <v>141.44</v>
      </c>
      <c r="C398" s="8">
        <f>IFERROR(B398/B444, "NA")</f>
        <v>1.9607698528086224E-4</v>
      </c>
      <c r="D398" s="9"/>
      <c r="E398" s="7">
        <v>75</v>
      </c>
      <c r="F398" s="8">
        <f>IFERROR(E398/E444, "NA")</f>
        <v>9.3226982643323568E-5</v>
      </c>
      <c r="G398" s="9"/>
      <c r="H398" s="10">
        <f t="shared" si="96"/>
        <v>-66.44</v>
      </c>
      <c r="I398" s="8">
        <f>IFERROR(H398/H444, "NA")</f>
        <v>7.9914552531429545E-4</v>
      </c>
      <c r="J398" s="9"/>
      <c r="K398" s="7">
        <v>137.31</v>
      </c>
      <c r="L398" s="8">
        <f>IFERROR(K398/K444, "NA")</f>
        <v>1.9965033347319952E-4</v>
      </c>
      <c r="M398" s="9"/>
      <c r="N398" s="10">
        <f t="shared" si="97"/>
        <v>-4.1299999999999955</v>
      </c>
      <c r="O398" s="8">
        <f>IFERROR(N398/N444, "NA")</f>
        <v>-1.2292800823885557E-4</v>
      </c>
      <c r="P398" s="9"/>
      <c r="Q398" s="7">
        <v>845.28</v>
      </c>
      <c r="R398" s="8">
        <f>IFERROR(Q398/Q444, "NA")</f>
        <v>2.3624239896621256E-4</v>
      </c>
      <c r="S398" s="9"/>
      <c r="T398" s="7">
        <v>450</v>
      </c>
      <c r="U398" s="8">
        <f>IFERROR(T398/T444, "NA")</f>
        <v>1.2435409240862038E-4</v>
      </c>
      <c r="V398" s="9"/>
      <c r="W398" s="10">
        <f t="shared" si="98"/>
        <v>-395.28</v>
      </c>
      <c r="X398" s="8">
        <f>IFERROR(W398/W444, "NA")</f>
        <v>9.7170816895646231E-3</v>
      </c>
      <c r="Y398" s="9"/>
      <c r="Z398" s="7">
        <v>722.55</v>
      </c>
      <c r="AA398" s="8">
        <f>IFERROR(Z398/Z444, "NA")</f>
        <v>2.2736035328391091E-4</v>
      </c>
      <c r="AB398" s="9"/>
      <c r="AC398" s="10">
        <f t="shared" si="99"/>
        <v>-122.73000000000002</v>
      </c>
      <c r="AD398" s="8">
        <f>IFERROR(AC398/AC444, "NA")</f>
        <v>-3.0680569425168934E-4</v>
      </c>
    </row>
    <row r="399" spans="1:30" ht="16.5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700</v>
      </c>
      <c r="F399" s="8">
        <f>IFERROR(E399/E444, "NA")</f>
        <v>8.7011850467102005E-4</v>
      </c>
      <c r="G399" s="9"/>
      <c r="H399" s="10">
        <f t="shared" si="96"/>
        <v>700</v>
      </c>
      <c r="I399" s="8">
        <f>IFERROR(H399/H444, "NA")</f>
        <v>-8.419654842263799E-3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500</v>
      </c>
      <c r="R399" s="8">
        <f>IFERROR(Q399/Q444, "NA")</f>
        <v>1.3974209668169872E-4</v>
      </c>
      <c r="S399" s="9"/>
      <c r="T399" s="7">
        <v>4200</v>
      </c>
      <c r="U399" s="8">
        <f>IFERROR(T399/T444, "NA")</f>
        <v>1.1606381958137902E-3</v>
      </c>
      <c r="V399" s="9"/>
      <c r="W399" s="10">
        <f t="shared" si="98"/>
        <v>3700</v>
      </c>
      <c r="X399" s="8">
        <f>IFERROR(W399/W444, "NA")</f>
        <v>-9.0956289848687269E-2</v>
      </c>
      <c r="Y399" s="9"/>
      <c r="Z399" s="7">
        <v>3676</v>
      </c>
      <c r="AA399" s="8">
        <f>IFERROR(Z399/Z444, "NA")</f>
        <v>1.1567042539224366E-3</v>
      </c>
      <c r="AB399" s="9"/>
      <c r="AC399" s="10">
        <f t="shared" si="99"/>
        <v>3176</v>
      </c>
      <c r="AD399" s="8">
        <f>IFERROR(AC399/AC444, "NA")</f>
        <v>7.9395004069368943E-3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8333.34</v>
      </c>
      <c r="L401" s="8">
        <f>IFERROR(K401/K444, "NA")</f>
        <v>1.211677306784322E-2</v>
      </c>
      <c r="M401" s="9"/>
      <c r="N401" s="10">
        <f t="shared" si="97"/>
        <v>8333.34</v>
      </c>
      <c r="O401" s="8">
        <f>IFERROR(N401/N444, "NA")</f>
        <v>0.24803895597510553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50000</v>
      </c>
      <c r="AA401" s="8">
        <f>IFERROR(Z401/Z444, "NA")</f>
        <v>1.5733191701882979E-2</v>
      </c>
      <c r="AB401" s="9"/>
      <c r="AC401" s="10">
        <f t="shared" si="99"/>
        <v>50000</v>
      </c>
      <c r="AD401" s="8">
        <f>IFERROR(AC401/AC444, "NA")</f>
        <v>0.12499213486991334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141925.30000000002</v>
      </c>
      <c r="C403" s="15">
        <f>IFERROR(B403/B444, "NA")</f>
        <v>0.19674975225595279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184267.86000000002</v>
      </c>
      <c r="F403" s="15">
        <f>IFERROR(E403/E444, "NA")</f>
        <v>0.22904982114589839</v>
      </c>
      <c r="G403" s="2"/>
      <c r="H403" s="14">
        <f t="shared" si="96"/>
        <v>42342.559999999998</v>
      </c>
      <c r="I403" s="15">
        <f>IFERROR(H403/H444, "NA")</f>
        <v>-0.5092996290540649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186216.39999999997</v>
      </c>
      <c r="L403" s="15">
        <f>IFERROR(K403/K444, "NA")</f>
        <v>0.27076080662864105</v>
      </c>
      <c r="M403" s="2"/>
      <c r="N403" s="14">
        <f t="shared" si="97"/>
        <v>44291.099999999948</v>
      </c>
      <c r="O403" s="15">
        <f>IFERROR(N403/N444, "NA")</f>
        <v>1.3183091297113743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816296.66999999993</v>
      </c>
      <c r="R403" s="15">
        <f>IFERROR(Q403/Q444, "NA")</f>
        <v>0.22814201636017739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977289.92999999993</v>
      </c>
      <c r="U403" s="15">
        <f>IFERROR(T403/T444, "NA")</f>
        <v>0.27006667170052029</v>
      </c>
      <c r="V403" s="2"/>
      <c r="W403" s="14">
        <f t="shared" si="98"/>
        <v>160993.26</v>
      </c>
      <c r="X403" s="15">
        <f>IFERROR(W403/W444, "NA")</f>
        <v>-3.9576620595256951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933896.15999999992</v>
      </c>
      <c r="AA403" s="15">
        <f>IFERROR(Z403/Z444, "NA")</f>
        <v>0.29386334629864752</v>
      </c>
      <c r="AB403" s="2"/>
      <c r="AC403" s="14">
        <f t="shared" si="99"/>
        <v>117599.48999999999</v>
      </c>
      <c r="AD403" s="15">
        <f>IFERROR(AC403/AC444, "NA")</f>
        <v>0.29398022629426046</v>
      </c>
    </row>
    <row r="404" spans="1:30" ht="16.5" customHeight="1" x14ac:dyDescent="0.45">
      <c r="A404" s="22" t="s">
        <v>370</v>
      </c>
      <c r="B404" s="23">
        <f>IFERROR(B345-B403, "NA")</f>
        <v>-99188.940000000308</v>
      </c>
      <c r="C404" s="24">
        <f>IFERROR(B404/B444, "NA")</f>
        <v>-0.13750472517254234</v>
      </c>
      <c r="D404" s="25"/>
      <c r="E404" s="23">
        <f>IFERROR(E345-E403, "NA")</f>
        <v>-47656.869999999995</v>
      </c>
      <c r="F404" s="24">
        <f>IFERROR(E404/E444, "NA")</f>
        <v>-5.9238749231001697E-2</v>
      </c>
      <c r="G404" s="25"/>
      <c r="H404" s="23">
        <f>IFERROR(B404-E404, "NA")</f>
        <v>-51532.070000000313</v>
      </c>
      <c r="I404" s="24">
        <f>IFERROR(H404/H444, "NA")</f>
        <v>0.61983177529625677</v>
      </c>
      <c r="J404" s="25"/>
      <c r="K404" s="23">
        <f>IFERROR(K345-K403, "NA")</f>
        <v>-99577.30000000009</v>
      </c>
      <c r="L404" s="24">
        <f>IFERROR(K404/K444, "NA")</f>
        <v>-0.14478654978778566</v>
      </c>
      <c r="M404" s="25"/>
      <c r="N404" s="23">
        <f>IFERROR(B404-K404, "NA")</f>
        <v>388.3599999997823</v>
      </c>
      <c r="O404" s="24">
        <f>IFERROR(N404/N444, "NA")</f>
        <v>1.1559399825572698E-2</v>
      </c>
      <c r="P404" s="25"/>
      <c r="Q404" s="23">
        <f>IFERROR(Q345-Q403, "NA")</f>
        <v>-703715.42000000086</v>
      </c>
      <c r="R404" s="24">
        <f>IFERROR(Q404/Q444, "NA")</f>
        <v>-0.19667733651608466</v>
      </c>
      <c r="S404" s="25"/>
      <c r="T404" s="23">
        <f>IFERROR(T345-T403, "NA")</f>
        <v>-568036.56000000017</v>
      </c>
      <c r="U404" s="24">
        <f>IFERROR(T404/T444, "NA")</f>
        <v>-0.15697260194158857</v>
      </c>
      <c r="V404" s="25"/>
      <c r="W404" s="23">
        <f>IFERROR(Q404-T404, "NA")</f>
        <v>-135678.86000000068</v>
      </c>
      <c r="X404" s="24">
        <f>IFERROR(W404/W444, "NA")</f>
        <v>3.3353637071620335</v>
      </c>
      <c r="Y404" s="25"/>
      <c r="Z404" s="23">
        <f>IFERROR(Z345-Z403, "NA")</f>
        <v>-718773.44999999879</v>
      </c>
      <c r="AA404" s="24">
        <f>IFERROR(Z404/Z444, "NA")</f>
        <v>-0.2261720095814756</v>
      </c>
      <c r="AB404" s="25"/>
      <c r="AC404" s="23">
        <f>IFERROR(Q404-Z404, "NA")</f>
        <v>15058.029999997932</v>
      </c>
      <c r="AD404" s="24">
        <f>IFERROR(AC404/AC444, "NA")</f>
        <v>3.7642706332698853E-2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-58938.32</v>
      </c>
      <c r="AA407" s="8">
        <f>IFERROR(Z407/Z444, "NA")</f>
        <v>-1.8545757742938471E-2</v>
      </c>
      <c r="AB407" s="9"/>
      <c r="AC407" s="10">
        <f t="shared" ref="AC407:AC429" si="103">IFERROR(-(Q407-Z407), "NA")</f>
        <v>-58938.32</v>
      </c>
      <c r="AD407" s="8">
        <f>IFERROR(AC407/AC444, "NA")</f>
        <v>-0.1473365288489222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2043.69</v>
      </c>
      <c r="AA408" s="8">
        <f>IFERROR(Z408/Z444, "NA")</f>
        <v>6.4307533098442444E-4</v>
      </c>
      <c r="AB408" s="9"/>
      <c r="AC408" s="10">
        <f t="shared" si="103"/>
        <v>2043.69</v>
      </c>
      <c r="AD408" s="8">
        <f>IFERROR(AC408/AC444, "NA")</f>
        <v>5.1089035222458635E-3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28637.91</v>
      </c>
      <c r="C410" s="8">
        <f>IFERROR(B410/B444, "NA")</f>
        <v>3.9700474105943566E-2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-28637.91</v>
      </c>
      <c r="I410" s="8">
        <f>IFERROR(H410/H444, "NA")</f>
        <v>0.34445902514830695</v>
      </c>
      <c r="J410" s="9"/>
      <c r="K410" s="7">
        <v>29418.049999999996</v>
      </c>
      <c r="L410" s="8">
        <f>IFERROR(K410/K444, "NA")</f>
        <v>4.277418609446694E-2</v>
      </c>
      <c r="M410" s="9"/>
      <c r="N410" s="10">
        <f t="shared" si="101"/>
        <v>780.13999999999578</v>
      </c>
      <c r="O410" s="8">
        <f>IFERROR(N410/N444, "NA")</f>
        <v>2.3220594757254329E-2</v>
      </c>
      <c r="P410" s="9"/>
      <c r="Q410" s="7">
        <v>168797.62</v>
      </c>
      <c r="R410" s="8">
        <f>IFERROR(Q410/Q444, "NA")</f>
        <v>4.7176266667361279E-2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-168797.62</v>
      </c>
      <c r="X410" s="8">
        <f>IFERROR(W410/W444, "NA")</f>
        <v>4.1495149325644789</v>
      </c>
      <c r="Y410" s="9"/>
      <c r="Z410" s="7">
        <v>199119.91000000003</v>
      </c>
      <c r="AA410" s="8">
        <f>IFERROR(Z410/Z444, "NA")</f>
        <v>6.2655834313833716E-2</v>
      </c>
      <c r="AB410" s="9"/>
      <c r="AC410" s="10">
        <f t="shared" si="103"/>
        <v>30322.290000000037</v>
      </c>
      <c r="AD410" s="8">
        <f>IFERROR(AC410/AC444, "NA")</f>
        <v>7.580095522489258E-2</v>
      </c>
    </row>
    <row r="411" spans="1:30" ht="16.5" customHeight="1" x14ac:dyDescent="0.45">
      <c r="A411" s="6" t="s">
        <v>376</v>
      </c>
      <c r="B411" s="7">
        <v>268.37</v>
      </c>
      <c r="C411" s="8">
        <f>IFERROR(B411/B444, "NA")</f>
        <v>3.7203888956324239E-4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-268.37</v>
      </c>
      <c r="I411" s="8">
        <f>IFERROR(H411/H444, "NA")</f>
        <v>3.22797538574048E-3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-268.37</v>
      </c>
      <c r="O411" s="8">
        <f>IFERROR(N411/N444, "NA")</f>
        <v>-7.9879393634531975E-3</v>
      </c>
      <c r="P411" s="9"/>
      <c r="Q411" s="7">
        <v>1341.85</v>
      </c>
      <c r="R411" s="8">
        <f>IFERROR(Q411/Q444, "NA")</f>
        <v>3.750258648646748E-4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-1341.85</v>
      </c>
      <c r="X411" s="8">
        <f>IFERROR(W411/W444, "NA")</f>
        <v>3.2986404738773248E-2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-1341.85</v>
      </c>
      <c r="AD411" s="8">
        <f>IFERROR(AC411/AC444, "NA")</f>
        <v>-3.3544139235038638E-3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-123.57</v>
      </c>
      <c r="C416" s="8">
        <f>IFERROR(B416/B444, "NA")</f>
        <v>-1.7130396684923745E-4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123.57</v>
      </c>
      <c r="I416" s="8">
        <f>IFERROR(H416/H444, "NA")</f>
        <v>-1.4863096412264824E-3</v>
      </c>
      <c r="J416" s="9"/>
      <c r="K416" s="7">
        <v>-152.01</v>
      </c>
      <c r="L416" s="8">
        <f>IFERROR(K416/K444, "NA")</f>
        <v>-2.2102430406569846E-4</v>
      </c>
      <c r="M416" s="9"/>
      <c r="N416" s="10">
        <f t="shared" si="101"/>
        <v>-28.439999999999998</v>
      </c>
      <c r="O416" s="8">
        <f>IFERROR(N416/N444, "NA")</f>
        <v>-8.4650667174650273E-4</v>
      </c>
      <c r="P416" s="9"/>
      <c r="Q416" s="7">
        <v>-191</v>
      </c>
      <c r="R416" s="8">
        <f>IFERROR(Q416/Q444, "NA")</f>
        <v>-5.3381480932408904E-5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191</v>
      </c>
      <c r="X416" s="8">
        <f>IFERROR(W416/W444, "NA")</f>
        <v>-4.6953111786754778E-3</v>
      </c>
      <c r="Y416" s="9"/>
      <c r="Z416" s="7">
        <v>-735.58</v>
      </c>
      <c r="AA416" s="8">
        <f>IFERROR(Z416/Z444, "NA")</f>
        <v>-2.3146042304142162E-4</v>
      </c>
      <c r="AB416" s="9"/>
      <c r="AC416" s="10">
        <f t="shared" si="103"/>
        <v>-544.58000000000004</v>
      </c>
      <c r="AD416" s="8">
        <f>IFERROR(AC416/AC444, "NA")</f>
        <v>-1.3613643361491481E-3</v>
      </c>
    </row>
    <row r="417" spans="1:30" ht="16.5" customHeight="1" x14ac:dyDescent="0.45">
      <c r="A417" s="6" t="s">
        <v>382</v>
      </c>
      <c r="B417" s="7">
        <v>-87.889999999999986</v>
      </c>
      <c r="C417" s="8">
        <f>IFERROR(B417/B444, "NA")</f>
        <v>-1.2184110744015116E-4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87.889999999999986</v>
      </c>
      <c r="I417" s="8">
        <f>IFERROR(H417/H444, "NA")</f>
        <v>-1.0571478058379502E-3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87.889999999999986</v>
      </c>
      <c r="O417" s="8">
        <f>IFERROR(N417/N444, "NA")</f>
        <v>2.6160151680661081E-3</v>
      </c>
      <c r="P417" s="9"/>
      <c r="Q417" s="7">
        <v>-351.18999999999994</v>
      </c>
      <c r="R417" s="8">
        <f>IFERROR(Q417/Q444, "NA")</f>
        <v>-9.8152053867291519E-5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351.18999999999994</v>
      </c>
      <c r="X417" s="8">
        <f>IFERROR(W417/W444, "NA")</f>
        <v>-8.6332268735028316E-3</v>
      </c>
      <c r="Y417" s="9"/>
      <c r="Z417" s="7">
        <v>-10.940000000000001</v>
      </c>
      <c r="AA417" s="8">
        <f>IFERROR(Z417/Z444, "NA")</f>
        <v>-3.4424223443719961E-6</v>
      </c>
      <c r="AB417" s="9"/>
      <c r="AC417" s="10">
        <f t="shared" si="103"/>
        <v>340.24999999999994</v>
      </c>
      <c r="AD417" s="8">
        <f>IFERROR(AC417/AC444, "NA")</f>
        <v>8.5057147778976007E-4</v>
      </c>
    </row>
    <row r="418" spans="1:30" ht="16.5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-3725.69</v>
      </c>
      <c r="R418" s="8">
        <f>IFERROR(Q418/Q444, "NA")</f>
        <v>-1.0412714643720762E-3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3725.69</v>
      </c>
      <c r="X418" s="8">
        <f>IFERROR(W418/W444, "NA")</f>
        <v>-9.1587821493609653E-2</v>
      </c>
      <c r="Y418" s="9"/>
      <c r="Z418" s="7">
        <v>-2278.69</v>
      </c>
      <c r="AA418" s="8">
        <f>IFERROR(Z418/Z444, "NA")</f>
        <v>-7.1702133198327451E-4</v>
      </c>
      <c r="AB418" s="9"/>
      <c r="AC418" s="10">
        <f t="shared" si="103"/>
        <v>1447</v>
      </c>
      <c r="AD418" s="8">
        <f>IFERROR(AC418/AC444, "NA")</f>
        <v>3.6172723831352921E-3</v>
      </c>
    </row>
    <row r="419" spans="1:30" ht="16.5" customHeight="1" x14ac:dyDescent="0.45">
      <c r="A419" s="6" t="s">
        <v>384</v>
      </c>
      <c r="B419" s="7">
        <v>56.25</v>
      </c>
      <c r="C419" s="8">
        <f>IFERROR(B419/B444, "NA")</f>
        <v>7.7978863278057835E-5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-56.25</v>
      </c>
      <c r="I419" s="8">
        <f>IFERROR(H419/H444, "NA")</f>
        <v>6.7657940696762677E-4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-56.25</v>
      </c>
      <c r="O419" s="8">
        <f>IFERROR(N419/N444, "NA")</f>
        <v>-1.6742616134226716E-3</v>
      </c>
      <c r="P419" s="9"/>
      <c r="Q419" s="7">
        <v>56.25</v>
      </c>
      <c r="R419" s="8">
        <f>IFERROR(Q419/Q444, "NA")</f>
        <v>1.5720985876691104E-5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-56.25</v>
      </c>
      <c r="X419" s="8">
        <f>IFERROR(W419/W444, "NA")</f>
        <v>1.3827814335104485E-3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-56.25</v>
      </c>
      <c r="AD419" s="8">
        <f>IFERROR(AC419/AC444, "NA")</f>
        <v>-1.4061615172865249E-4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-50</v>
      </c>
      <c r="R421" s="8">
        <f>IFERROR(Q421/Q444, "NA")</f>
        <v>-1.3974209668169871E-5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50</v>
      </c>
      <c r="X421" s="8">
        <f>IFERROR(W421/W444, "NA")</f>
        <v>-1.2291390520092875E-3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50</v>
      </c>
      <c r="AD421" s="8">
        <f>IFERROR(AC421/AC444, "NA")</f>
        <v>1.2499213486991335E-4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-3.84</v>
      </c>
      <c r="R423" s="8">
        <f>IFERROR(Q423/Q444, "NA")</f>
        <v>-1.0732193025154461E-6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3.84</v>
      </c>
      <c r="X423" s="8">
        <f>IFERROR(W423/W444, "NA")</f>
        <v>-9.439787919431327E-5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3.84</v>
      </c>
      <c r="AD423" s="8">
        <f>IFERROR(AC423/AC444, "NA")</f>
        <v>9.5993959580093435E-6</v>
      </c>
    </row>
    <row r="424" spans="1:30" ht="16.5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328.57</v>
      </c>
      <c r="L424" s="8">
        <f>IFERROR(K424/K444, "NA")</f>
        <v>4.7774459303247512E-4</v>
      </c>
      <c r="M424" s="9"/>
      <c r="N424" s="10">
        <f t="shared" si="101"/>
        <v>328.57</v>
      </c>
      <c r="O424" s="8">
        <f>IFERROR(N424/N444, "NA")</f>
        <v>9.7797713479517729E-3</v>
      </c>
      <c r="P424" s="9"/>
      <c r="Q424" s="7">
        <v>239.6</v>
      </c>
      <c r="R424" s="8">
        <f>IFERROR(Q424/Q444, "NA")</f>
        <v>6.696441272987002E-5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-239.6</v>
      </c>
      <c r="X424" s="8">
        <f>IFERROR(W424/W444, "NA")</f>
        <v>5.8900343372285053E-3</v>
      </c>
      <c r="Y424" s="9"/>
      <c r="Z424" s="7">
        <v>353.05</v>
      </c>
      <c r="AA424" s="8">
        <f>IFERROR(Z424/Z444, "NA")</f>
        <v>1.1109206660699572E-4</v>
      </c>
      <c r="AB424" s="9"/>
      <c r="AC424" s="10">
        <f t="shared" si="103"/>
        <v>113.45000000000002</v>
      </c>
      <c r="AD424" s="8">
        <f>IFERROR(AC424/AC444, "NA")</f>
        <v>2.8360715401983341E-4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customHeight="1" x14ac:dyDescent="0.45">
      <c r="A426" s="6" t="s">
        <v>391</v>
      </c>
      <c r="B426" s="7">
        <v>-17156.599999999999</v>
      </c>
      <c r="C426" s="8">
        <f>IFERROR(B426/B444, "NA")</f>
        <v>-2.378403850162359E-2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17156.599999999999</v>
      </c>
      <c r="I426" s="8">
        <f>IFERROR(H426/H444, "NA")</f>
        <v>-0.20636092895254726</v>
      </c>
      <c r="J426" s="9"/>
      <c r="K426" s="7">
        <v>-1793.98</v>
      </c>
      <c r="L426" s="8">
        <f>IFERROR(K426/K444, "NA")</f>
        <v>-2.6084677390157342E-3</v>
      </c>
      <c r="M426" s="9"/>
      <c r="N426" s="10">
        <f t="shared" si="101"/>
        <v>15362.619999999999</v>
      </c>
      <c r="O426" s="8">
        <f>IFERROR(N426/N444, "NA")</f>
        <v>0.45726302129065605</v>
      </c>
      <c r="P426" s="9"/>
      <c r="Q426" s="7">
        <v>-63666.799999999996</v>
      </c>
      <c r="R426" s="8">
        <f>IFERROR(Q426/Q444, "NA")</f>
        <v>-1.7793864242028751E-2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63666.799999999996</v>
      </c>
      <c r="X426" s="8">
        <f>IFERROR(W426/W444, "NA")</f>
        <v>-1.565107003929298</v>
      </c>
      <c r="Y426" s="9"/>
      <c r="Z426" s="7">
        <v>-4008.09</v>
      </c>
      <c r="AA426" s="8">
        <f>IFERROR(Z426/Z444, "NA")</f>
        <v>-1.261200966568003E-3</v>
      </c>
      <c r="AB426" s="9"/>
      <c r="AC426" s="10">
        <f t="shared" si="103"/>
        <v>59658.709999999992</v>
      </c>
      <c r="AD426" s="8">
        <f>IFERROR(AC426/AC444, "NA")</f>
        <v>0.14913739052970093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11594.470000000001</v>
      </c>
      <c r="C428" s="15">
        <f>IFERROR(B428/B444, "NA")</f>
        <v>1.6073308282871884E-2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-11594.470000000001</v>
      </c>
      <c r="I428" s="15">
        <f>IFERROR(H428/H444, "NA")</f>
        <v>0.13945919354140338</v>
      </c>
      <c r="J428" s="2"/>
      <c r="K428" s="14">
        <f>IFERROR(K407+K408+K409+K410+K411+K412+K413+K414+K415+K416+K417+K418+K419+K420+K421+K422+K423+K424+K425+K426+K427, "NA")</f>
        <v>27800.629999999997</v>
      </c>
      <c r="L428" s="15">
        <f>IFERROR(K428/K444, "NA")</f>
        <v>4.0422438644417989E-2</v>
      </c>
      <c r="M428" s="2"/>
      <c r="N428" s="14">
        <f t="shared" si="101"/>
        <v>16206.159999999996</v>
      </c>
      <c r="O428" s="15">
        <f>IFERROR(N428/N444, "NA")</f>
        <v>0.48237069491530593</v>
      </c>
      <c r="P428" s="2"/>
      <c r="Q428" s="14">
        <f>IFERROR(Q407+Q408+Q409+Q410+Q411+Q412+Q413+Q414+Q415+Q416+Q417+Q418+Q419+Q420+Q421+Q422+Q423+Q424+Q425+Q426+Q427, "NA")</f>
        <v>102446.80000000002</v>
      </c>
      <c r="R428" s="15">
        <f>IFERROR(Q428/Q444, "NA")</f>
        <v>2.8632261260661308E-2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-102446.80000000002</v>
      </c>
      <c r="X428" s="15">
        <f>IFERROR(W428/W444, "NA")</f>
        <v>2.5184272526677018</v>
      </c>
      <c r="Y428" s="2"/>
      <c r="Z428" s="14">
        <f>IFERROR(Z407+Z408+Z409+Z410+Z411+Z412+Z413+Z414+Z415+Z416+Z417+Z418+Z419+Z420+Z421+Z422+Z423+Z424+Z425+Z426+Z427, "NA")</f>
        <v>135545.03000000003</v>
      </c>
      <c r="AA428" s="15">
        <f>IFERROR(Z428/Z444, "NA")</f>
        <v>4.2651118824549597E-2</v>
      </c>
      <c r="AB428" s="2"/>
      <c r="AC428" s="14">
        <f t="shared" si="103"/>
        <v>33098.23000000001</v>
      </c>
      <c r="AD428" s="15">
        <f>IFERROR(AC428/AC444, "NA")</f>
        <v>8.2740368562308264E-2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11594.470000000001</v>
      </c>
      <c r="C429" s="15">
        <f>IFERROR(B429/B444, "NA")</f>
        <v>1.6073308282871884E-2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-11594.470000000001</v>
      </c>
      <c r="I429" s="15">
        <f>IFERROR(H429/H444, "NA")</f>
        <v>0.13945919354140338</v>
      </c>
      <c r="J429" s="2"/>
      <c r="K429" s="14">
        <f>IFERROR(K407+K408+K409+K410+K411+K412+K413+K414+K415+K416+K417+K418+K419+K420+K421+K422+K423+K424+K425+K426+K427, "NA")</f>
        <v>27800.629999999997</v>
      </c>
      <c r="L429" s="15">
        <f>IFERROR(K429/K444, "NA")</f>
        <v>4.0422438644417989E-2</v>
      </c>
      <c r="M429" s="2"/>
      <c r="N429" s="14">
        <f t="shared" si="101"/>
        <v>16206.159999999996</v>
      </c>
      <c r="O429" s="15">
        <f>IFERROR(N429/N444, "NA")</f>
        <v>0.48237069491530593</v>
      </c>
      <c r="P429" s="2"/>
      <c r="Q429" s="14">
        <f>IFERROR(Q407+Q408+Q409+Q410+Q411+Q412+Q413+Q414+Q415+Q416+Q417+Q418+Q419+Q420+Q421+Q422+Q423+Q424+Q425+Q426+Q427, "NA")</f>
        <v>102446.80000000002</v>
      </c>
      <c r="R429" s="15">
        <f>IFERROR(Q429/Q444, "NA")</f>
        <v>2.8632261260661308E-2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-102446.80000000002</v>
      </c>
      <c r="X429" s="15">
        <f>IFERROR(W429/W444, "NA")</f>
        <v>2.5184272526677018</v>
      </c>
      <c r="Y429" s="2"/>
      <c r="Z429" s="14">
        <f>IFERROR(Z407+Z408+Z409+Z410+Z411+Z412+Z413+Z414+Z415+Z416+Z417+Z418+Z419+Z420+Z421+Z422+Z423+Z424+Z425+Z426+Z427, "NA")</f>
        <v>135545.03000000003</v>
      </c>
      <c r="AA429" s="15">
        <f>IFERROR(Z429/Z444, "NA")</f>
        <v>4.2651118824549597E-2</v>
      </c>
      <c r="AB429" s="2"/>
      <c r="AC429" s="14">
        <f t="shared" si="103"/>
        <v>33098.23000000001</v>
      </c>
      <c r="AD429" s="15">
        <f>IFERROR(AC429/AC444, "NA")</f>
        <v>8.2740368562308264E-2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-110783.41000000031</v>
      </c>
      <c r="C443" s="24">
        <f>IFERROR(B443/B444, "NA")</f>
        <v>-0.15357803345541421</v>
      </c>
      <c r="D443" s="25"/>
      <c r="E443" s="23">
        <f>IFERROR(E404-E429-E442, "NA")</f>
        <v>-47656.869999999995</v>
      </c>
      <c r="F443" s="24">
        <f>IFERROR(E443/E444, "NA")</f>
        <v>-5.9238749231001697E-2</v>
      </c>
      <c r="G443" s="25"/>
      <c r="H443" s="23">
        <f>IFERROR(B443-E443, "NA")</f>
        <v>-63126.540000000314</v>
      </c>
      <c r="I443" s="24">
        <f>IFERROR(H443/H444, "NA")</f>
        <v>0.75929096883766012</v>
      </c>
      <c r="J443" s="25"/>
      <c r="K443" s="23">
        <f>IFERROR(K404-K429-K442, "NA")</f>
        <v>-127377.93000000008</v>
      </c>
      <c r="L443" s="24">
        <f>IFERROR(K443/K444, "NA")</f>
        <v>-0.18520898843220363</v>
      </c>
      <c r="M443" s="25"/>
      <c r="N443" s="23">
        <f>IFERROR(B443-K443, "NA")</f>
        <v>16594.519999999771</v>
      </c>
      <c r="O443" s="24">
        <f>IFERROR(N443/N444, "NA")</f>
        <v>0.4939300947408784</v>
      </c>
      <c r="P443" s="25"/>
      <c r="Q443" s="23">
        <f>IFERROR(Q404-Q429-Q442, "NA")</f>
        <v>-806162.2200000009</v>
      </c>
      <c r="R443" s="24">
        <f>IFERROR(Q443/Q444, "NA")</f>
        <v>-0.22530959777674597</v>
      </c>
      <c r="S443" s="25"/>
      <c r="T443" s="23">
        <f>IFERROR(T404-T429-T442, "NA")</f>
        <v>-568036.56000000017</v>
      </c>
      <c r="U443" s="24">
        <f>IFERROR(T443/T444, "NA")</f>
        <v>-0.15697260194158857</v>
      </c>
      <c r="V443" s="25"/>
      <c r="W443" s="23">
        <f>IFERROR(Q443-T443, "NA")</f>
        <v>-238125.66000000073</v>
      </c>
      <c r="X443" s="24">
        <f>IFERROR(W443/W444, "NA")</f>
        <v>5.8537909598297366</v>
      </c>
      <c r="Y443" s="25"/>
      <c r="Z443" s="23">
        <f>IFERROR(Z404-Z429-Z442, "NA")</f>
        <v>-854318.47999999882</v>
      </c>
      <c r="AA443" s="24">
        <f>IFERROR(Z443/Z444, "NA")</f>
        <v>-0.26882312840602518</v>
      </c>
      <c r="AB443" s="25"/>
      <c r="AC443" s="23">
        <f>IFERROR(Q443-Z443, "NA")</f>
        <v>48156.259999997914</v>
      </c>
      <c r="AD443" s="24">
        <f>IFERROR(AC443/AC444, "NA")</f>
        <v>0.12038307489500703</v>
      </c>
    </row>
    <row r="444" spans="1:30" ht="15.75" hidden="1" x14ac:dyDescent="0.45">
      <c r="A444" s="26" t="s">
        <v>117</v>
      </c>
      <c r="B444" s="7">
        <v>721349.32000000007</v>
      </c>
      <c r="C444" s="27"/>
      <c r="D444" s="9"/>
      <c r="E444" s="7">
        <v>804488.11999999988</v>
      </c>
      <c r="F444" s="27"/>
      <c r="G444" s="9"/>
      <c r="H444" s="10">
        <f>IFERROR(B444-E444, "NA")</f>
        <v>-83138.799999999814</v>
      </c>
      <c r="I444" s="27"/>
      <c r="J444" s="9"/>
      <c r="K444" s="7">
        <v>687752.42000000016</v>
      </c>
      <c r="L444" s="27"/>
      <c r="M444" s="9"/>
      <c r="N444" s="10">
        <f>IFERROR(B444-K444, "NA")</f>
        <v>33596.899999999907</v>
      </c>
      <c r="O444" s="27"/>
      <c r="P444" s="9"/>
      <c r="Q444" s="7">
        <v>3578019.88</v>
      </c>
      <c r="R444" s="27"/>
      <c r="S444" s="9"/>
      <c r="T444" s="7">
        <v>3618698.7600000002</v>
      </c>
      <c r="U444" s="27"/>
      <c r="V444" s="9"/>
      <c r="W444" s="10">
        <f>IFERROR(Q444-T444, "NA")</f>
        <v>-40678.880000000354</v>
      </c>
      <c r="X444" s="27"/>
      <c r="Y444" s="9"/>
      <c r="Z444" s="7">
        <v>3177994.71</v>
      </c>
      <c r="AA444" s="27"/>
      <c r="AB444" s="9"/>
      <c r="AC444" s="10">
        <f>IFERROR(Q444-Z444, "NA")</f>
        <v>400025.16999999993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411</v>
      </c>
      <c r="B3" s="31" t="s">
        <v>411</v>
      </c>
      <c r="C3" s="31" t="s">
        <v>411</v>
      </c>
      <c r="D3" s="31" t="s">
        <v>411</v>
      </c>
      <c r="E3" s="31" t="s">
        <v>411</v>
      </c>
      <c r="F3" s="31" t="s">
        <v>411</v>
      </c>
      <c r="G3" s="31" t="s">
        <v>411</v>
      </c>
      <c r="H3" s="31" t="s">
        <v>411</v>
      </c>
      <c r="I3" s="31" t="s">
        <v>411</v>
      </c>
      <c r="J3" s="31" t="s">
        <v>411</v>
      </c>
      <c r="K3" s="31" t="s">
        <v>411</v>
      </c>
      <c r="L3" s="31" t="s">
        <v>411</v>
      </c>
      <c r="M3" s="31" t="s">
        <v>411</v>
      </c>
      <c r="N3" s="31" t="s">
        <v>411</v>
      </c>
      <c r="O3" s="31" t="s">
        <v>411</v>
      </c>
      <c r="P3" s="31" t="s">
        <v>411</v>
      </c>
      <c r="Q3" s="31" t="s">
        <v>411</v>
      </c>
      <c r="R3" s="31" t="s">
        <v>411</v>
      </c>
      <c r="S3" s="31" t="s">
        <v>411</v>
      </c>
      <c r="T3" s="31" t="s">
        <v>411</v>
      </c>
      <c r="U3" s="31" t="s">
        <v>411</v>
      </c>
      <c r="V3" s="31" t="s">
        <v>411</v>
      </c>
      <c r="W3" s="31" t="s">
        <v>411</v>
      </c>
      <c r="X3" s="31" t="s">
        <v>411</v>
      </c>
      <c r="Y3" s="31" t="s">
        <v>411</v>
      </c>
      <c r="Z3" s="31" t="s">
        <v>411</v>
      </c>
      <c r="AA3" s="31" t="s">
        <v>411</v>
      </c>
      <c r="AB3" s="31" t="s">
        <v>411</v>
      </c>
      <c r="AC3" s="31" t="s">
        <v>411</v>
      </c>
      <c r="AD3" s="31" t="s">
        <v>411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 t="str">
        <f>IFERROR(B8/B444, "NA")</f>
        <v>NA</v>
      </c>
      <c r="D8" s="9"/>
      <c r="E8" s="7">
        <v>0</v>
      </c>
      <c r="F8" s="8" t="str">
        <f>IFERROR(E8/E444, "NA")</f>
        <v>NA</v>
      </c>
      <c r="G8" s="9"/>
      <c r="H8" s="10">
        <f>IFERROR(B8-E8, "NA")</f>
        <v>0</v>
      </c>
      <c r="I8" s="8" t="str">
        <f>IFERROR(H8/H444, "NA")</f>
        <v>NA</v>
      </c>
      <c r="J8" s="9"/>
      <c r="K8" s="7">
        <v>0</v>
      </c>
      <c r="L8" s="8" t="str">
        <f>IFERROR(K8/K444, "NA")</f>
        <v>NA</v>
      </c>
      <c r="M8" s="9"/>
      <c r="N8" s="10">
        <f>IFERROR(B8-K8, "NA")</f>
        <v>0</v>
      </c>
      <c r="O8" s="8" t="str">
        <f>IFERROR(N8/N444, "NA")</f>
        <v>NA</v>
      </c>
      <c r="P8" s="9"/>
      <c r="Q8" s="7">
        <v>0</v>
      </c>
      <c r="R8" s="8" t="str">
        <f>IFERROR(Q8/Q444, "NA")</f>
        <v>NA</v>
      </c>
      <c r="S8" s="9"/>
      <c r="T8" s="7">
        <v>0</v>
      </c>
      <c r="U8" s="8" t="str">
        <f>IFERROR(T8/T444, "NA")</f>
        <v>NA</v>
      </c>
      <c r="V8" s="9"/>
      <c r="W8" s="10">
        <f>IFERROR(Q8-T8, "NA")</f>
        <v>0</v>
      </c>
      <c r="X8" s="8" t="str">
        <f>IFERROR(W8/W444, "NA")</f>
        <v>NA</v>
      </c>
      <c r="Y8" s="9"/>
      <c r="Z8" s="7">
        <v>0</v>
      </c>
      <c r="AA8" s="8" t="str">
        <f>IFERROR(Z8/Z444, "NA")</f>
        <v>NA</v>
      </c>
      <c r="AB8" s="9"/>
      <c r="AC8" s="10">
        <f>IFERROR(Q8-Z8, "NA")</f>
        <v>0</v>
      </c>
      <c r="AD8" s="8" t="str">
        <f>IFERROR(AC8/AC444, "NA")</f>
        <v>NA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hidden="1" customHeight="1" x14ac:dyDescent="0.45">
      <c r="A10" s="12" t="s">
        <v>12</v>
      </c>
      <c r="B10" s="7">
        <v>0</v>
      </c>
      <c r="C10" s="8" t="str">
        <f>IFERROR(B10/B444, "NA")</f>
        <v>NA</v>
      </c>
      <c r="D10" s="9"/>
      <c r="E10" s="7">
        <v>0</v>
      </c>
      <c r="F10" s="8" t="str">
        <f>IFERROR(E10/E444, "NA")</f>
        <v>NA</v>
      </c>
      <c r="G10" s="9"/>
      <c r="H10" s="10">
        <f t="shared" ref="H10:H19" si="0">IFERROR(B10-E10, "NA")</f>
        <v>0</v>
      </c>
      <c r="I10" s="8" t="str">
        <f>IFERROR(H10/H444, "NA")</f>
        <v>NA</v>
      </c>
      <c r="J10" s="9"/>
      <c r="K10" s="7">
        <v>0</v>
      </c>
      <c r="L10" s="8" t="str">
        <f>IFERROR(K10/K444, "NA")</f>
        <v>NA</v>
      </c>
      <c r="M10" s="9"/>
      <c r="N10" s="10">
        <f t="shared" ref="N10:N19" si="1">IFERROR(B10-K10, "NA")</f>
        <v>0</v>
      </c>
      <c r="O10" s="8" t="str">
        <f>IFERROR(N10/N444, "NA")</f>
        <v>NA</v>
      </c>
      <c r="P10" s="9"/>
      <c r="Q10" s="7">
        <v>0</v>
      </c>
      <c r="R10" s="8" t="str">
        <f>IFERROR(Q10/Q444, "NA")</f>
        <v>NA</v>
      </c>
      <c r="S10" s="9"/>
      <c r="T10" s="7">
        <v>0</v>
      </c>
      <c r="U10" s="8" t="str">
        <f>IFERROR(T10/T444, "NA")</f>
        <v>NA</v>
      </c>
      <c r="V10" s="9"/>
      <c r="W10" s="10">
        <f t="shared" ref="W10:W19" si="2">IFERROR(Q10-T10, "NA")</f>
        <v>0</v>
      </c>
      <c r="X10" s="8" t="str">
        <f>IFERROR(W10/W444, "NA")</f>
        <v>NA</v>
      </c>
      <c r="Y10" s="9"/>
      <c r="Z10" s="7">
        <v>0</v>
      </c>
      <c r="AA10" s="8" t="str">
        <f>IFERROR(Z10/Z444, "NA")</f>
        <v>NA</v>
      </c>
      <c r="AB10" s="9"/>
      <c r="AC10" s="10">
        <f t="shared" ref="AC10:AC19" si="3">IFERROR(Q10-Z10, "NA")</f>
        <v>0</v>
      </c>
      <c r="AD10" s="8" t="str">
        <f>IFERROR(AC10/AC444, "NA")</f>
        <v>NA</v>
      </c>
    </row>
    <row r="11" spans="1:30" ht="16.5" hidden="1" customHeight="1" x14ac:dyDescent="0.45">
      <c r="A11" s="12" t="s">
        <v>13</v>
      </c>
      <c r="B11" s="7">
        <v>0</v>
      </c>
      <c r="C11" s="8" t="str">
        <f>IFERROR(B11/B444, "NA")</f>
        <v>NA</v>
      </c>
      <c r="D11" s="9"/>
      <c r="E11" s="7">
        <v>0</v>
      </c>
      <c r="F11" s="8" t="str">
        <f>IFERROR(E11/E444, "NA")</f>
        <v>NA</v>
      </c>
      <c r="G11" s="9"/>
      <c r="H11" s="10">
        <f t="shared" si="0"/>
        <v>0</v>
      </c>
      <c r="I11" s="8" t="str">
        <f>IFERROR(H11/H444, "NA")</f>
        <v>NA</v>
      </c>
      <c r="J11" s="9"/>
      <c r="K11" s="7">
        <v>0</v>
      </c>
      <c r="L11" s="8" t="str">
        <f>IFERROR(K11/K444, "NA")</f>
        <v>NA</v>
      </c>
      <c r="M11" s="9"/>
      <c r="N11" s="10">
        <f t="shared" si="1"/>
        <v>0</v>
      </c>
      <c r="O11" s="8" t="str">
        <f>IFERROR(N11/N444, "NA")</f>
        <v>NA</v>
      </c>
      <c r="P11" s="9"/>
      <c r="Q11" s="7">
        <v>0</v>
      </c>
      <c r="R11" s="8" t="str">
        <f>IFERROR(Q11/Q444, "NA")</f>
        <v>NA</v>
      </c>
      <c r="S11" s="9"/>
      <c r="T11" s="7">
        <v>0</v>
      </c>
      <c r="U11" s="8" t="str">
        <f>IFERROR(T11/T444, "NA")</f>
        <v>NA</v>
      </c>
      <c r="V11" s="9"/>
      <c r="W11" s="10">
        <f t="shared" si="2"/>
        <v>0</v>
      </c>
      <c r="X11" s="8" t="str">
        <f>IFERROR(W11/W444, "NA")</f>
        <v>NA</v>
      </c>
      <c r="Y11" s="9"/>
      <c r="Z11" s="7">
        <v>0</v>
      </c>
      <c r="AA11" s="8" t="str">
        <f>IFERROR(Z11/Z444, "NA")</f>
        <v>NA</v>
      </c>
      <c r="AB11" s="9"/>
      <c r="AC11" s="10">
        <f t="shared" si="3"/>
        <v>0</v>
      </c>
      <c r="AD11" s="8" t="str">
        <f>IFERROR(AC11/AC444, "NA")</f>
        <v>NA</v>
      </c>
    </row>
    <row r="12" spans="1:30" ht="16.5" hidden="1" customHeight="1" x14ac:dyDescent="0.45">
      <c r="A12" s="12" t="s">
        <v>14</v>
      </c>
      <c r="B12" s="7">
        <v>0</v>
      </c>
      <c r="C12" s="8" t="str">
        <f>IFERROR(B12/B444, "NA")</f>
        <v>NA</v>
      </c>
      <c r="D12" s="9"/>
      <c r="E12" s="7">
        <v>0</v>
      </c>
      <c r="F12" s="8" t="str">
        <f>IFERROR(E12/E444, "NA")</f>
        <v>NA</v>
      </c>
      <c r="G12" s="9"/>
      <c r="H12" s="10">
        <f t="shared" si="0"/>
        <v>0</v>
      </c>
      <c r="I12" s="8" t="str">
        <f>IFERROR(H12/H444, "NA")</f>
        <v>NA</v>
      </c>
      <c r="J12" s="9"/>
      <c r="K12" s="7">
        <v>0</v>
      </c>
      <c r="L12" s="8" t="str">
        <f>IFERROR(K12/K444, "NA")</f>
        <v>NA</v>
      </c>
      <c r="M12" s="9"/>
      <c r="N12" s="10">
        <f t="shared" si="1"/>
        <v>0</v>
      </c>
      <c r="O12" s="8" t="str">
        <f>IFERROR(N12/N444, "NA")</f>
        <v>NA</v>
      </c>
      <c r="P12" s="9"/>
      <c r="Q12" s="7">
        <v>0</v>
      </c>
      <c r="R12" s="8" t="str">
        <f>IFERROR(Q12/Q444, "NA")</f>
        <v>NA</v>
      </c>
      <c r="S12" s="9"/>
      <c r="T12" s="7">
        <v>0</v>
      </c>
      <c r="U12" s="8" t="str">
        <f>IFERROR(T12/T444, "NA")</f>
        <v>NA</v>
      </c>
      <c r="V12" s="9"/>
      <c r="W12" s="10">
        <f t="shared" si="2"/>
        <v>0</v>
      </c>
      <c r="X12" s="8" t="str">
        <f>IFERROR(W12/W444, "NA")</f>
        <v>NA</v>
      </c>
      <c r="Y12" s="9"/>
      <c r="Z12" s="7">
        <v>0</v>
      </c>
      <c r="AA12" s="8" t="str">
        <f>IFERROR(Z12/Z444, "NA")</f>
        <v>NA</v>
      </c>
      <c r="AB12" s="9"/>
      <c r="AC12" s="10">
        <f t="shared" si="3"/>
        <v>0</v>
      </c>
      <c r="AD12" s="8" t="str">
        <f>IFERROR(AC12/AC444, "NA")</f>
        <v>NA</v>
      </c>
    </row>
    <row r="13" spans="1:30" ht="16.5" hidden="1" customHeight="1" x14ac:dyDescent="0.45">
      <c r="A13" s="12" t="s">
        <v>15</v>
      </c>
      <c r="B13" s="7">
        <v>0</v>
      </c>
      <c r="C13" s="8" t="str">
        <f>IFERROR(B13/B444, "NA")</f>
        <v>NA</v>
      </c>
      <c r="D13" s="9"/>
      <c r="E13" s="7">
        <v>0</v>
      </c>
      <c r="F13" s="8" t="str">
        <f>IFERROR(E13/E444, "NA")</f>
        <v>NA</v>
      </c>
      <c r="G13" s="9"/>
      <c r="H13" s="10">
        <f t="shared" si="0"/>
        <v>0</v>
      </c>
      <c r="I13" s="8" t="str">
        <f>IFERROR(H13/H444, "NA")</f>
        <v>NA</v>
      </c>
      <c r="J13" s="9"/>
      <c r="K13" s="7">
        <v>0</v>
      </c>
      <c r="L13" s="8" t="str">
        <f>IFERROR(K13/K444, "NA")</f>
        <v>NA</v>
      </c>
      <c r="M13" s="9"/>
      <c r="N13" s="10">
        <f t="shared" si="1"/>
        <v>0</v>
      </c>
      <c r="O13" s="8" t="str">
        <f>IFERROR(N13/N444, "NA")</f>
        <v>NA</v>
      </c>
      <c r="P13" s="9"/>
      <c r="Q13" s="7">
        <v>0</v>
      </c>
      <c r="R13" s="8" t="str">
        <f>IFERROR(Q13/Q444, "NA")</f>
        <v>NA</v>
      </c>
      <c r="S13" s="9"/>
      <c r="T13" s="7">
        <v>0</v>
      </c>
      <c r="U13" s="8" t="str">
        <f>IFERROR(T13/T444, "NA")</f>
        <v>NA</v>
      </c>
      <c r="V13" s="9"/>
      <c r="W13" s="10">
        <f t="shared" si="2"/>
        <v>0</v>
      </c>
      <c r="X13" s="8" t="str">
        <f>IFERROR(W13/W444, "NA")</f>
        <v>NA</v>
      </c>
      <c r="Y13" s="9"/>
      <c r="Z13" s="7">
        <v>0</v>
      </c>
      <c r="AA13" s="8" t="str">
        <f>IFERROR(Z13/Z444, "NA")</f>
        <v>NA</v>
      </c>
      <c r="AB13" s="9"/>
      <c r="AC13" s="10">
        <f t="shared" si="3"/>
        <v>0</v>
      </c>
      <c r="AD13" s="8" t="str">
        <f>IFERROR(AC13/AC444, "NA")</f>
        <v>NA</v>
      </c>
    </row>
    <row r="14" spans="1:30" ht="16.5" hidden="1" customHeight="1" x14ac:dyDescent="0.45">
      <c r="A14" s="12" t="s">
        <v>16</v>
      </c>
      <c r="B14" s="7">
        <v>0</v>
      </c>
      <c r="C14" s="8" t="str">
        <f>IFERROR(B14/B444, "NA")</f>
        <v>NA</v>
      </c>
      <c r="D14" s="9"/>
      <c r="E14" s="7">
        <v>0</v>
      </c>
      <c r="F14" s="8" t="str">
        <f>IFERROR(E14/E444, "NA")</f>
        <v>NA</v>
      </c>
      <c r="G14" s="9"/>
      <c r="H14" s="10">
        <f t="shared" si="0"/>
        <v>0</v>
      </c>
      <c r="I14" s="8" t="str">
        <f>IFERROR(H14/H444, "NA")</f>
        <v>NA</v>
      </c>
      <c r="J14" s="9"/>
      <c r="K14" s="7">
        <v>0</v>
      </c>
      <c r="L14" s="8" t="str">
        <f>IFERROR(K14/K444, "NA")</f>
        <v>NA</v>
      </c>
      <c r="M14" s="9"/>
      <c r="N14" s="10">
        <f t="shared" si="1"/>
        <v>0</v>
      </c>
      <c r="O14" s="8" t="str">
        <f>IFERROR(N14/N444, "NA")</f>
        <v>NA</v>
      </c>
      <c r="P14" s="9"/>
      <c r="Q14" s="7">
        <v>0</v>
      </c>
      <c r="R14" s="8" t="str">
        <f>IFERROR(Q14/Q444, "NA")</f>
        <v>NA</v>
      </c>
      <c r="S14" s="9"/>
      <c r="T14" s="7">
        <v>0</v>
      </c>
      <c r="U14" s="8" t="str">
        <f>IFERROR(T14/T444, "NA")</f>
        <v>NA</v>
      </c>
      <c r="V14" s="9"/>
      <c r="W14" s="10">
        <f t="shared" si="2"/>
        <v>0</v>
      </c>
      <c r="X14" s="8" t="str">
        <f>IFERROR(W14/W444, "NA")</f>
        <v>NA</v>
      </c>
      <c r="Y14" s="9"/>
      <c r="Z14" s="7">
        <v>0</v>
      </c>
      <c r="AA14" s="8" t="str">
        <f>IFERROR(Z14/Z444, "NA")</f>
        <v>NA</v>
      </c>
      <c r="AB14" s="9"/>
      <c r="AC14" s="10">
        <f t="shared" si="3"/>
        <v>0</v>
      </c>
      <c r="AD14" s="8" t="str">
        <f>IFERROR(AC14/AC444, "NA")</f>
        <v>NA</v>
      </c>
    </row>
    <row r="15" spans="1:30" ht="16.5" hidden="1" customHeight="1" x14ac:dyDescent="0.45">
      <c r="A15" s="12" t="s">
        <v>17</v>
      </c>
      <c r="B15" s="7">
        <v>0</v>
      </c>
      <c r="C15" s="8" t="str">
        <f>IFERROR(B15/B444, "NA")</f>
        <v>NA</v>
      </c>
      <c r="D15" s="9"/>
      <c r="E15" s="7">
        <v>0</v>
      </c>
      <c r="F15" s="8" t="str">
        <f>IFERROR(E15/E444, "NA")</f>
        <v>NA</v>
      </c>
      <c r="G15" s="9"/>
      <c r="H15" s="10">
        <f t="shared" si="0"/>
        <v>0</v>
      </c>
      <c r="I15" s="8" t="str">
        <f>IFERROR(H15/H444, "NA")</f>
        <v>NA</v>
      </c>
      <c r="J15" s="9"/>
      <c r="K15" s="7">
        <v>0</v>
      </c>
      <c r="L15" s="8" t="str">
        <f>IFERROR(K15/K444, "NA")</f>
        <v>NA</v>
      </c>
      <c r="M15" s="9"/>
      <c r="N15" s="10">
        <f t="shared" si="1"/>
        <v>0</v>
      </c>
      <c r="O15" s="8" t="str">
        <f>IFERROR(N15/N444, "NA")</f>
        <v>NA</v>
      </c>
      <c r="P15" s="9"/>
      <c r="Q15" s="7">
        <v>0</v>
      </c>
      <c r="R15" s="8" t="str">
        <f>IFERROR(Q15/Q444, "NA")</f>
        <v>NA</v>
      </c>
      <c r="S15" s="9"/>
      <c r="T15" s="7">
        <v>0</v>
      </c>
      <c r="U15" s="8" t="str">
        <f>IFERROR(T15/T444, "NA")</f>
        <v>NA</v>
      </c>
      <c r="V15" s="9"/>
      <c r="W15" s="10">
        <f t="shared" si="2"/>
        <v>0</v>
      </c>
      <c r="X15" s="8" t="str">
        <f>IFERROR(W15/W444, "NA")</f>
        <v>NA</v>
      </c>
      <c r="Y15" s="9"/>
      <c r="Z15" s="7">
        <v>0</v>
      </c>
      <c r="AA15" s="8" t="str">
        <f>IFERROR(Z15/Z444, "NA")</f>
        <v>NA</v>
      </c>
      <c r="AB15" s="9"/>
      <c r="AC15" s="10">
        <f t="shared" si="3"/>
        <v>0</v>
      </c>
      <c r="AD15" s="8" t="str">
        <f>IFERROR(AC15/AC444, "NA")</f>
        <v>NA</v>
      </c>
    </row>
    <row r="16" spans="1:30" ht="16.5" hidden="1" customHeight="1" x14ac:dyDescent="0.45">
      <c r="A16" s="12" t="s">
        <v>18</v>
      </c>
      <c r="B16" s="7">
        <v>0</v>
      </c>
      <c r="C16" s="8" t="str">
        <f>IFERROR(B16/B444, "NA")</f>
        <v>NA</v>
      </c>
      <c r="D16" s="9"/>
      <c r="E16" s="7">
        <v>0</v>
      </c>
      <c r="F16" s="8" t="str">
        <f>IFERROR(E16/E444, "NA")</f>
        <v>NA</v>
      </c>
      <c r="G16" s="9"/>
      <c r="H16" s="10">
        <f t="shared" si="0"/>
        <v>0</v>
      </c>
      <c r="I16" s="8" t="str">
        <f>IFERROR(H16/H444, "NA")</f>
        <v>NA</v>
      </c>
      <c r="J16" s="9"/>
      <c r="K16" s="7">
        <v>0</v>
      </c>
      <c r="L16" s="8" t="str">
        <f>IFERROR(K16/K444, "NA")</f>
        <v>NA</v>
      </c>
      <c r="M16" s="9"/>
      <c r="N16" s="10">
        <f t="shared" si="1"/>
        <v>0</v>
      </c>
      <c r="O16" s="8" t="str">
        <f>IFERROR(N16/N444, "NA")</f>
        <v>NA</v>
      </c>
      <c r="P16" s="9"/>
      <c r="Q16" s="7">
        <v>0</v>
      </c>
      <c r="R16" s="8" t="str">
        <f>IFERROR(Q16/Q444, "NA")</f>
        <v>NA</v>
      </c>
      <c r="S16" s="9"/>
      <c r="T16" s="7">
        <v>0</v>
      </c>
      <c r="U16" s="8" t="str">
        <f>IFERROR(T16/T444, "NA")</f>
        <v>NA</v>
      </c>
      <c r="V16" s="9"/>
      <c r="W16" s="10">
        <f t="shared" si="2"/>
        <v>0</v>
      </c>
      <c r="X16" s="8" t="str">
        <f>IFERROR(W16/W444, "NA")</f>
        <v>NA</v>
      </c>
      <c r="Y16" s="9"/>
      <c r="Z16" s="7">
        <v>0</v>
      </c>
      <c r="AA16" s="8" t="str">
        <f>IFERROR(Z16/Z444, "NA")</f>
        <v>NA</v>
      </c>
      <c r="AB16" s="9"/>
      <c r="AC16" s="10">
        <f t="shared" si="3"/>
        <v>0</v>
      </c>
      <c r="AD16" s="8" t="str">
        <f>IFERROR(AC16/AC444, "NA")</f>
        <v>NA</v>
      </c>
    </row>
    <row r="17" spans="1:30" ht="16.5" hidden="1" customHeight="1" x14ac:dyDescent="0.45">
      <c r="A17" s="12" t="s">
        <v>19</v>
      </c>
      <c r="B17" s="7">
        <v>0</v>
      </c>
      <c r="C17" s="8" t="str">
        <f>IFERROR(B17/B444, "NA")</f>
        <v>NA</v>
      </c>
      <c r="D17" s="9"/>
      <c r="E17" s="7">
        <v>0</v>
      </c>
      <c r="F17" s="8" t="str">
        <f>IFERROR(E17/E444, "NA")</f>
        <v>NA</v>
      </c>
      <c r="G17" s="9"/>
      <c r="H17" s="10">
        <f t="shared" si="0"/>
        <v>0</v>
      </c>
      <c r="I17" s="8" t="str">
        <f>IFERROR(H17/H444, "NA")</f>
        <v>NA</v>
      </c>
      <c r="J17" s="9"/>
      <c r="K17" s="7">
        <v>0</v>
      </c>
      <c r="L17" s="8" t="str">
        <f>IFERROR(K17/K444, "NA")</f>
        <v>NA</v>
      </c>
      <c r="M17" s="9"/>
      <c r="N17" s="10">
        <f t="shared" si="1"/>
        <v>0</v>
      </c>
      <c r="O17" s="8" t="str">
        <f>IFERROR(N17/N444, "NA")</f>
        <v>NA</v>
      </c>
      <c r="P17" s="9"/>
      <c r="Q17" s="7">
        <v>0</v>
      </c>
      <c r="R17" s="8" t="str">
        <f>IFERROR(Q17/Q444, "NA")</f>
        <v>NA</v>
      </c>
      <c r="S17" s="9"/>
      <c r="T17" s="7">
        <v>0</v>
      </c>
      <c r="U17" s="8" t="str">
        <f>IFERROR(T17/T444, "NA")</f>
        <v>NA</v>
      </c>
      <c r="V17" s="9"/>
      <c r="W17" s="10">
        <f t="shared" si="2"/>
        <v>0</v>
      </c>
      <c r="X17" s="8" t="str">
        <f>IFERROR(W17/W444, "NA")</f>
        <v>NA</v>
      </c>
      <c r="Y17" s="9"/>
      <c r="Z17" s="7">
        <v>0</v>
      </c>
      <c r="AA17" s="8" t="str">
        <f>IFERROR(Z17/Z444, "NA")</f>
        <v>NA</v>
      </c>
      <c r="AB17" s="9"/>
      <c r="AC17" s="10">
        <f t="shared" si="3"/>
        <v>0</v>
      </c>
      <c r="AD17" s="8" t="str">
        <f>IFERROR(AC17/AC444, "NA")</f>
        <v>NA</v>
      </c>
    </row>
    <row r="18" spans="1:30" ht="16.5" customHeight="1" x14ac:dyDescent="0.45">
      <c r="A18" s="13" t="s">
        <v>20</v>
      </c>
      <c r="B18" s="14">
        <f>IFERROR(B10+B11+B12+B13+B14+B15+B16+B17, "NA")</f>
        <v>0</v>
      </c>
      <c r="C18" s="15" t="str">
        <f>IFERROR(B18/B444, "NA")</f>
        <v>NA</v>
      </c>
      <c r="D18" s="2"/>
      <c r="E18" s="14">
        <f>IFERROR(E10+E11+E12+E13+E14+E15+E16+E17, "NA")</f>
        <v>0</v>
      </c>
      <c r="F18" s="15" t="str">
        <f>IFERROR(E18/E444, "NA")</f>
        <v>NA</v>
      </c>
      <c r="G18" s="2"/>
      <c r="H18" s="14">
        <f t="shared" si="0"/>
        <v>0</v>
      </c>
      <c r="I18" s="15" t="str">
        <f>IFERROR(H18/H444, "NA")</f>
        <v>NA</v>
      </c>
      <c r="J18" s="2"/>
      <c r="K18" s="14">
        <f>IFERROR(K10+K11+K12+K13+K14+K15+K16+K17, "NA")</f>
        <v>0</v>
      </c>
      <c r="L18" s="15" t="str">
        <f>IFERROR(K18/K444, "NA")</f>
        <v>NA</v>
      </c>
      <c r="M18" s="2"/>
      <c r="N18" s="14">
        <f t="shared" si="1"/>
        <v>0</v>
      </c>
      <c r="O18" s="15" t="str">
        <f>IFERROR(N18/N444, "NA")</f>
        <v>NA</v>
      </c>
      <c r="P18" s="2"/>
      <c r="Q18" s="14">
        <f>IFERROR(Q10+Q11+Q12+Q13+Q14+Q15+Q16+Q17, "NA")</f>
        <v>0</v>
      </c>
      <c r="R18" s="15" t="str">
        <f>IFERROR(Q18/Q444, "NA")</f>
        <v>NA</v>
      </c>
      <c r="S18" s="2"/>
      <c r="T18" s="14">
        <f>IFERROR(T10+T11+T12+T13+T14+T15+T16+T17, "NA")</f>
        <v>0</v>
      </c>
      <c r="U18" s="15" t="str">
        <f>IFERROR(T18/T444, "NA")</f>
        <v>NA</v>
      </c>
      <c r="V18" s="2"/>
      <c r="W18" s="14">
        <f t="shared" si="2"/>
        <v>0</v>
      </c>
      <c r="X18" s="15" t="str">
        <f>IFERROR(W18/W444, "NA")</f>
        <v>NA</v>
      </c>
      <c r="Y18" s="2"/>
      <c r="Z18" s="14">
        <f>IFERROR(Z10+Z11+Z12+Z13+Z14+Z15+Z16+Z17, "NA")</f>
        <v>0</v>
      </c>
      <c r="AA18" s="15" t="str">
        <f>IFERROR(Z18/Z444, "NA")</f>
        <v>NA</v>
      </c>
      <c r="AB18" s="2"/>
      <c r="AC18" s="14">
        <f t="shared" si="3"/>
        <v>0</v>
      </c>
      <c r="AD18" s="15" t="str">
        <f>IFERROR(AC18/AC444, "NA")</f>
        <v>NA</v>
      </c>
    </row>
    <row r="19" spans="1:30" ht="16.5" hidden="1" customHeight="1" x14ac:dyDescent="0.45">
      <c r="A19" s="6" t="s">
        <v>21</v>
      </c>
      <c r="B19" s="7">
        <v>0</v>
      </c>
      <c r="C19" s="8" t="str">
        <f>IFERROR(B19/B444, "NA")</f>
        <v>NA</v>
      </c>
      <c r="D19" s="9"/>
      <c r="E19" s="7">
        <v>0</v>
      </c>
      <c r="F19" s="8" t="str">
        <f>IFERROR(E19/E444, "NA")</f>
        <v>NA</v>
      </c>
      <c r="G19" s="9"/>
      <c r="H19" s="10">
        <f t="shared" si="0"/>
        <v>0</v>
      </c>
      <c r="I19" s="8" t="str">
        <f>IFERROR(H19/H444, "NA")</f>
        <v>NA</v>
      </c>
      <c r="J19" s="9"/>
      <c r="K19" s="7">
        <v>0</v>
      </c>
      <c r="L19" s="8" t="str">
        <f>IFERROR(K19/K444, "NA")</f>
        <v>NA</v>
      </c>
      <c r="M19" s="9"/>
      <c r="N19" s="10">
        <f t="shared" si="1"/>
        <v>0</v>
      </c>
      <c r="O19" s="8" t="str">
        <f>IFERROR(N19/N444, "NA")</f>
        <v>NA</v>
      </c>
      <c r="P19" s="9"/>
      <c r="Q19" s="7">
        <v>0</v>
      </c>
      <c r="R19" s="8" t="str">
        <f>IFERROR(Q19/Q444, "NA")</f>
        <v>NA</v>
      </c>
      <c r="S19" s="9"/>
      <c r="T19" s="7">
        <v>0</v>
      </c>
      <c r="U19" s="8" t="str">
        <f>IFERROR(T19/T444, "NA")</f>
        <v>NA</v>
      </c>
      <c r="V19" s="9"/>
      <c r="W19" s="10">
        <f t="shared" si="2"/>
        <v>0</v>
      </c>
      <c r="X19" s="8" t="str">
        <f>IFERROR(W19/W444, "NA")</f>
        <v>NA</v>
      </c>
      <c r="Y19" s="9"/>
      <c r="Z19" s="7">
        <v>0</v>
      </c>
      <c r="AA19" s="8" t="str">
        <f>IFERROR(Z19/Z444, "NA")</f>
        <v>NA</v>
      </c>
      <c r="AB19" s="9"/>
      <c r="AC19" s="10">
        <f t="shared" si="3"/>
        <v>0</v>
      </c>
      <c r="AD19" s="8" t="str">
        <f>IFERROR(AC19/AC444, "NA")</f>
        <v>NA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hidden="1" customHeight="1" x14ac:dyDescent="0.45">
      <c r="A21" s="12" t="s">
        <v>22</v>
      </c>
      <c r="B21" s="7">
        <v>0</v>
      </c>
      <c r="C21" s="8" t="str">
        <f>IFERROR(B21/B444, "NA")</f>
        <v>NA</v>
      </c>
      <c r="D21" s="9"/>
      <c r="E21" s="7">
        <v>0</v>
      </c>
      <c r="F21" s="8" t="str">
        <f>IFERROR(E21/E444, "NA")</f>
        <v>NA</v>
      </c>
      <c r="G21" s="9"/>
      <c r="H21" s="10">
        <f t="shared" ref="H21:H29" si="4">IFERROR(B21-E21, "NA")</f>
        <v>0</v>
      </c>
      <c r="I21" s="8" t="str">
        <f>IFERROR(H21/H444, "NA")</f>
        <v>NA</v>
      </c>
      <c r="J21" s="9"/>
      <c r="K21" s="7">
        <v>0</v>
      </c>
      <c r="L21" s="8" t="str">
        <f>IFERROR(K21/K444, "NA")</f>
        <v>NA</v>
      </c>
      <c r="M21" s="9"/>
      <c r="N21" s="10">
        <f t="shared" ref="N21:N29" si="5">IFERROR(B21-K21, "NA")</f>
        <v>0</v>
      </c>
      <c r="O21" s="8" t="str">
        <f>IFERROR(N21/N444, "NA")</f>
        <v>NA</v>
      </c>
      <c r="P21" s="9"/>
      <c r="Q21" s="7">
        <v>0</v>
      </c>
      <c r="R21" s="8" t="str">
        <f>IFERROR(Q21/Q444, "NA")</f>
        <v>NA</v>
      </c>
      <c r="S21" s="9"/>
      <c r="T21" s="7">
        <v>0</v>
      </c>
      <c r="U21" s="8" t="str">
        <f>IFERROR(T21/T444, "NA")</f>
        <v>NA</v>
      </c>
      <c r="V21" s="9"/>
      <c r="W21" s="10">
        <f t="shared" ref="W21:W29" si="6">IFERROR(Q21-T21, "NA")</f>
        <v>0</v>
      </c>
      <c r="X21" s="8" t="str">
        <f>IFERROR(W21/W444, "NA")</f>
        <v>NA</v>
      </c>
      <c r="Y21" s="9"/>
      <c r="Z21" s="7">
        <v>0</v>
      </c>
      <c r="AA21" s="8" t="str">
        <f>IFERROR(Z21/Z444, "NA")</f>
        <v>NA</v>
      </c>
      <c r="AB21" s="9"/>
      <c r="AC21" s="10">
        <f t="shared" ref="AC21:AC29" si="7">IFERROR(Q21-Z21, "NA")</f>
        <v>0</v>
      </c>
      <c r="AD21" s="8" t="str">
        <f>IFERROR(AC21/AC444, "NA")</f>
        <v>NA</v>
      </c>
    </row>
    <row r="22" spans="1:30" ht="16.5" hidden="1" customHeight="1" x14ac:dyDescent="0.45">
      <c r="A22" s="12" t="s">
        <v>23</v>
      </c>
      <c r="B22" s="7">
        <v>0</v>
      </c>
      <c r="C22" s="8" t="str">
        <f>IFERROR(B22/B444, "NA")</f>
        <v>NA</v>
      </c>
      <c r="D22" s="9"/>
      <c r="E22" s="7">
        <v>0</v>
      </c>
      <c r="F22" s="8" t="str">
        <f>IFERROR(E22/E444, "NA")</f>
        <v>NA</v>
      </c>
      <c r="G22" s="9"/>
      <c r="H22" s="10">
        <f t="shared" si="4"/>
        <v>0</v>
      </c>
      <c r="I22" s="8" t="str">
        <f>IFERROR(H22/H444, "NA")</f>
        <v>NA</v>
      </c>
      <c r="J22" s="9"/>
      <c r="K22" s="7">
        <v>0</v>
      </c>
      <c r="L22" s="8" t="str">
        <f>IFERROR(K22/K444, "NA")</f>
        <v>NA</v>
      </c>
      <c r="M22" s="9"/>
      <c r="N22" s="10">
        <f t="shared" si="5"/>
        <v>0</v>
      </c>
      <c r="O22" s="8" t="str">
        <f>IFERROR(N22/N444, "NA")</f>
        <v>NA</v>
      </c>
      <c r="P22" s="9"/>
      <c r="Q22" s="7">
        <v>0</v>
      </c>
      <c r="R22" s="8" t="str">
        <f>IFERROR(Q22/Q444, "NA")</f>
        <v>NA</v>
      </c>
      <c r="S22" s="9"/>
      <c r="T22" s="7">
        <v>0</v>
      </c>
      <c r="U22" s="8" t="str">
        <f>IFERROR(T22/T444, "NA")</f>
        <v>NA</v>
      </c>
      <c r="V22" s="9"/>
      <c r="W22" s="10">
        <f t="shared" si="6"/>
        <v>0</v>
      </c>
      <c r="X22" s="8" t="str">
        <f>IFERROR(W22/W444, "NA")</f>
        <v>NA</v>
      </c>
      <c r="Y22" s="9"/>
      <c r="Z22" s="7">
        <v>0</v>
      </c>
      <c r="AA22" s="8" t="str">
        <f>IFERROR(Z22/Z444, "NA")</f>
        <v>NA</v>
      </c>
      <c r="AB22" s="9"/>
      <c r="AC22" s="10">
        <f t="shared" si="7"/>
        <v>0</v>
      </c>
      <c r="AD22" s="8" t="str">
        <f>IFERROR(AC22/AC444, "NA")</f>
        <v>NA</v>
      </c>
    </row>
    <row r="23" spans="1:30" ht="16.5" hidden="1" customHeight="1" x14ac:dyDescent="0.45">
      <c r="A23" s="12" t="s">
        <v>24</v>
      </c>
      <c r="B23" s="7">
        <v>0</v>
      </c>
      <c r="C23" s="8" t="str">
        <f>IFERROR(B23/B444, "NA")</f>
        <v>NA</v>
      </c>
      <c r="D23" s="9"/>
      <c r="E23" s="7">
        <v>0</v>
      </c>
      <c r="F23" s="8" t="str">
        <f>IFERROR(E23/E444, "NA")</f>
        <v>NA</v>
      </c>
      <c r="G23" s="9"/>
      <c r="H23" s="10">
        <f t="shared" si="4"/>
        <v>0</v>
      </c>
      <c r="I23" s="8" t="str">
        <f>IFERROR(H23/H444, "NA")</f>
        <v>NA</v>
      </c>
      <c r="J23" s="9"/>
      <c r="K23" s="7">
        <v>0</v>
      </c>
      <c r="L23" s="8" t="str">
        <f>IFERROR(K23/K444, "NA")</f>
        <v>NA</v>
      </c>
      <c r="M23" s="9"/>
      <c r="N23" s="10">
        <f t="shared" si="5"/>
        <v>0</v>
      </c>
      <c r="O23" s="8" t="str">
        <f>IFERROR(N23/N444, "NA")</f>
        <v>NA</v>
      </c>
      <c r="P23" s="9"/>
      <c r="Q23" s="7">
        <v>0</v>
      </c>
      <c r="R23" s="8" t="str">
        <f>IFERROR(Q23/Q444, "NA")</f>
        <v>NA</v>
      </c>
      <c r="S23" s="9"/>
      <c r="T23" s="7">
        <v>0</v>
      </c>
      <c r="U23" s="8" t="str">
        <f>IFERROR(T23/T444, "NA")</f>
        <v>NA</v>
      </c>
      <c r="V23" s="9"/>
      <c r="W23" s="10">
        <f t="shared" si="6"/>
        <v>0</v>
      </c>
      <c r="X23" s="8" t="str">
        <f>IFERROR(W23/W444, "NA")</f>
        <v>NA</v>
      </c>
      <c r="Y23" s="9"/>
      <c r="Z23" s="7">
        <v>0</v>
      </c>
      <c r="AA23" s="8" t="str">
        <f>IFERROR(Z23/Z444, "NA")</f>
        <v>NA</v>
      </c>
      <c r="AB23" s="9"/>
      <c r="AC23" s="10">
        <f t="shared" si="7"/>
        <v>0</v>
      </c>
      <c r="AD23" s="8" t="str">
        <f>IFERROR(AC23/AC444, "NA")</f>
        <v>NA</v>
      </c>
    </row>
    <row r="24" spans="1:30" ht="16.5" hidden="1" customHeight="1" x14ac:dyDescent="0.45">
      <c r="A24" s="12" t="s">
        <v>25</v>
      </c>
      <c r="B24" s="7">
        <v>0</v>
      </c>
      <c r="C24" s="8" t="str">
        <f>IFERROR(B24/B444, "NA")</f>
        <v>NA</v>
      </c>
      <c r="D24" s="9"/>
      <c r="E24" s="7">
        <v>0</v>
      </c>
      <c r="F24" s="8" t="str">
        <f>IFERROR(E24/E444, "NA")</f>
        <v>NA</v>
      </c>
      <c r="G24" s="9"/>
      <c r="H24" s="10">
        <f t="shared" si="4"/>
        <v>0</v>
      </c>
      <c r="I24" s="8" t="str">
        <f>IFERROR(H24/H444, "NA")</f>
        <v>NA</v>
      </c>
      <c r="J24" s="9"/>
      <c r="K24" s="7">
        <v>0</v>
      </c>
      <c r="L24" s="8" t="str">
        <f>IFERROR(K24/K444, "NA")</f>
        <v>NA</v>
      </c>
      <c r="M24" s="9"/>
      <c r="N24" s="10">
        <f t="shared" si="5"/>
        <v>0</v>
      </c>
      <c r="O24" s="8" t="str">
        <f>IFERROR(N24/N444, "NA")</f>
        <v>NA</v>
      </c>
      <c r="P24" s="9"/>
      <c r="Q24" s="7">
        <v>0</v>
      </c>
      <c r="R24" s="8" t="str">
        <f>IFERROR(Q24/Q444, "NA")</f>
        <v>NA</v>
      </c>
      <c r="S24" s="9"/>
      <c r="T24" s="7">
        <v>0</v>
      </c>
      <c r="U24" s="8" t="str">
        <f>IFERROR(T24/T444, "NA")</f>
        <v>NA</v>
      </c>
      <c r="V24" s="9"/>
      <c r="W24" s="10">
        <f t="shared" si="6"/>
        <v>0</v>
      </c>
      <c r="X24" s="8" t="str">
        <f>IFERROR(W24/W444, "NA")</f>
        <v>NA</v>
      </c>
      <c r="Y24" s="9"/>
      <c r="Z24" s="7">
        <v>0</v>
      </c>
      <c r="AA24" s="8" t="str">
        <f>IFERROR(Z24/Z444, "NA")</f>
        <v>NA</v>
      </c>
      <c r="AB24" s="9"/>
      <c r="AC24" s="10">
        <f t="shared" si="7"/>
        <v>0</v>
      </c>
      <c r="AD24" s="8" t="str">
        <f>IFERROR(AC24/AC444, "NA")</f>
        <v>NA</v>
      </c>
    </row>
    <row r="25" spans="1:30" ht="16.5" hidden="1" customHeight="1" x14ac:dyDescent="0.45">
      <c r="A25" s="12" t="s">
        <v>26</v>
      </c>
      <c r="B25" s="7">
        <v>0</v>
      </c>
      <c r="C25" s="8" t="str">
        <f>IFERROR(B25/B444, "NA")</f>
        <v>NA</v>
      </c>
      <c r="D25" s="9"/>
      <c r="E25" s="7">
        <v>0</v>
      </c>
      <c r="F25" s="8" t="str">
        <f>IFERROR(E25/E444, "NA")</f>
        <v>NA</v>
      </c>
      <c r="G25" s="9"/>
      <c r="H25" s="10">
        <f t="shared" si="4"/>
        <v>0</v>
      </c>
      <c r="I25" s="8" t="str">
        <f>IFERROR(H25/H444, "NA")</f>
        <v>NA</v>
      </c>
      <c r="J25" s="9"/>
      <c r="K25" s="7">
        <v>0</v>
      </c>
      <c r="L25" s="8" t="str">
        <f>IFERROR(K25/K444, "NA")</f>
        <v>NA</v>
      </c>
      <c r="M25" s="9"/>
      <c r="N25" s="10">
        <f t="shared" si="5"/>
        <v>0</v>
      </c>
      <c r="O25" s="8" t="str">
        <f>IFERROR(N25/N444, "NA")</f>
        <v>NA</v>
      </c>
      <c r="P25" s="9"/>
      <c r="Q25" s="7">
        <v>0</v>
      </c>
      <c r="R25" s="8" t="str">
        <f>IFERROR(Q25/Q444, "NA")</f>
        <v>NA</v>
      </c>
      <c r="S25" s="9"/>
      <c r="T25" s="7">
        <v>0</v>
      </c>
      <c r="U25" s="8" t="str">
        <f>IFERROR(T25/T444, "NA")</f>
        <v>NA</v>
      </c>
      <c r="V25" s="9"/>
      <c r="W25" s="10">
        <f t="shared" si="6"/>
        <v>0</v>
      </c>
      <c r="X25" s="8" t="str">
        <f>IFERROR(W25/W444, "NA")</f>
        <v>NA</v>
      </c>
      <c r="Y25" s="9"/>
      <c r="Z25" s="7">
        <v>0</v>
      </c>
      <c r="AA25" s="8" t="str">
        <f>IFERROR(Z25/Z444, "NA")</f>
        <v>NA</v>
      </c>
      <c r="AB25" s="9"/>
      <c r="AC25" s="10">
        <f t="shared" si="7"/>
        <v>0</v>
      </c>
      <c r="AD25" s="8" t="str">
        <f>IFERROR(AC25/AC444, "NA")</f>
        <v>NA</v>
      </c>
    </row>
    <row r="26" spans="1:30" ht="16.5" hidden="1" customHeight="1" x14ac:dyDescent="0.45">
      <c r="A26" s="12" t="s">
        <v>27</v>
      </c>
      <c r="B26" s="7">
        <v>0</v>
      </c>
      <c r="C26" s="8" t="str">
        <f>IFERROR(B26/B444, "NA")</f>
        <v>NA</v>
      </c>
      <c r="D26" s="9"/>
      <c r="E26" s="7">
        <v>0</v>
      </c>
      <c r="F26" s="8" t="str">
        <f>IFERROR(E26/E444, "NA")</f>
        <v>NA</v>
      </c>
      <c r="G26" s="9"/>
      <c r="H26" s="10">
        <f t="shared" si="4"/>
        <v>0</v>
      </c>
      <c r="I26" s="8" t="str">
        <f>IFERROR(H26/H444, "NA")</f>
        <v>NA</v>
      </c>
      <c r="J26" s="9"/>
      <c r="K26" s="7">
        <v>0</v>
      </c>
      <c r="L26" s="8" t="str">
        <f>IFERROR(K26/K444, "NA")</f>
        <v>NA</v>
      </c>
      <c r="M26" s="9"/>
      <c r="N26" s="10">
        <f t="shared" si="5"/>
        <v>0</v>
      </c>
      <c r="O26" s="8" t="str">
        <f>IFERROR(N26/N444, "NA")</f>
        <v>NA</v>
      </c>
      <c r="P26" s="9"/>
      <c r="Q26" s="7">
        <v>0</v>
      </c>
      <c r="R26" s="8" t="str">
        <f>IFERROR(Q26/Q444, "NA")</f>
        <v>NA</v>
      </c>
      <c r="S26" s="9"/>
      <c r="T26" s="7">
        <v>0</v>
      </c>
      <c r="U26" s="8" t="str">
        <f>IFERROR(T26/T444, "NA")</f>
        <v>NA</v>
      </c>
      <c r="V26" s="9"/>
      <c r="W26" s="10">
        <f t="shared" si="6"/>
        <v>0</v>
      </c>
      <c r="X26" s="8" t="str">
        <f>IFERROR(W26/W444, "NA")</f>
        <v>NA</v>
      </c>
      <c r="Y26" s="9"/>
      <c r="Z26" s="7">
        <v>0</v>
      </c>
      <c r="AA26" s="8" t="str">
        <f>IFERROR(Z26/Z444, "NA")</f>
        <v>NA</v>
      </c>
      <c r="AB26" s="9"/>
      <c r="AC26" s="10">
        <f t="shared" si="7"/>
        <v>0</v>
      </c>
      <c r="AD26" s="8" t="str">
        <f>IFERROR(AC26/AC444, "NA")</f>
        <v>NA</v>
      </c>
    </row>
    <row r="27" spans="1:30" ht="16.5" hidden="1" customHeight="1" x14ac:dyDescent="0.45">
      <c r="A27" s="12" t="s">
        <v>28</v>
      </c>
      <c r="B27" s="7">
        <v>0</v>
      </c>
      <c r="C27" s="8" t="str">
        <f>IFERROR(B27/B444, "NA")</f>
        <v>NA</v>
      </c>
      <c r="D27" s="9"/>
      <c r="E27" s="7">
        <v>0</v>
      </c>
      <c r="F27" s="8" t="str">
        <f>IFERROR(E27/E444, "NA")</f>
        <v>NA</v>
      </c>
      <c r="G27" s="9"/>
      <c r="H27" s="10">
        <f t="shared" si="4"/>
        <v>0</v>
      </c>
      <c r="I27" s="8" t="str">
        <f>IFERROR(H27/H444, "NA")</f>
        <v>NA</v>
      </c>
      <c r="J27" s="9"/>
      <c r="K27" s="7">
        <v>0</v>
      </c>
      <c r="L27" s="8" t="str">
        <f>IFERROR(K27/K444, "NA")</f>
        <v>NA</v>
      </c>
      <c r="M27" s="9"/>
      <c r="N27" s="10">
        <f t="shared" si="5"/>
        <v>0</v>
      </c>
      <c r="O27" s="8" t="str">
        <f>IFERROR(N27/N444, "NA")</f>
        <v>NA</v>
      </c>
      <c r="P27" s="9"/>
      <c r="Q27" s="7">
        <v>0</v>
      </c>
      <c r="R27" s="8" t="str">
        <f>IFERROR(Q27/Q444, "NA")</f>
        <v>NA</v>
      </c>
      <c r="S27" s="9"/>
      <c r="T27" s="7">
        <v>0</v>
      </c>
      <c r="U27" s="8" t="str">
        <f>IFERROR(T27/T444, "NA")</f>
        <v>NA</v>
      </c>
      <c r="V27" s="9"/>
      <c r="W27" s="10">
        <f t="shared" si="6"/>
        <v>0</v>
      </c>
      <c r="X27" s="8" t="str">
        <f>IFERROR(W27/W444, "NA")</f>
        <v>NA</v>
      </c>
      <c r="Y27" s="9"/>
      <c r="Z27" s="7">
        <v>0</v>
      </c>
      <c r="AA27" s="8" t="str">
        <f>IFERROR(Z27/Z444, "NA")</f>
        <v>NA</v>
      </c>
      <c r="AB27" s="9"/>
      <c r="AC27" s="10">
        <f t="shared" si="7"/>
        <v>0</v>
      </c>
      <c r="AD27" s="8" t="str">
        <f>IFERROR(AC27/AC444, "NA")</f>
        <v>NA</v>
      </c>
    </row>
    <row r="28" spans="1:30" ht="16.5" hidden="1" customHeight="1" x14ac:dyDescent="0.45">
      <c r="A28" s="12" t="s">
        <v>29</v>
      </c>
      <c r="B28" s="7">
        <v>0</v>
      </c>
      <c r="C28" s="8" t="str">
        <f>IFERROR(B28/B444, "NA")</f>
        <v>NA</v>
      </c>
      <c r="D28" s="9"/>
      <c r="E28" s="7">
        <v>0</v>
      </c>
      <c r="F28" s="8" t="str">
        <f>IFERROR(E28/E444, "NA")</f>
        <v>NA</v>
      </c>
      <c r="G28" s="9"/>
      <c r="H28" s="10">
        <f t="shared" si="4"/>
        <v>0</v>
      </c>
      <c r="I28" s="8" t="str">
        <f>IFERROR(H28/H444, "NA")</f>
        <v>NA</v>
      </c>
      <c r="J28" s="9"/>
      <c r="K28" s="7">
        <v>0</v>
      </c>
      <c r="L28" s="8" t="str">
        <f>IFERROR(K28/K444, "NA")</f>
        <v>NA</v>
      </c>
      <c r="M28" s="9"/>
      <c r="N28" s="10">
        <f t="shared" si="5"/>
        <v>0</v>
      </c>
      <c r="O28" s="8" t="str">
        <f>IFERROR(N28/N444, "NA")</f>
        <v>NA</v>
      </c>
      <c r="P28" s="9"/>
      <c r="Q28" s="7">
        <v>0</v>
      </c>
      <c r="R28" s="8" t="str">
        <f>IFERROR(Q28/Q444, "NA")</f>
        <v>NA</v>
      </c>
      <c r="S28" s="9"/>
      <c r="T28" s="7">
        <v>0</v>
      </c>
      <c r="U28" s="8" t="str">
        <f>IFERROR(T28/T444, "NA")</f>
        <v>NA</v>
      </c>
      <c r="V28" s="9"/>
      <c r="W28" s="10">
        <f t="shared" si="6"/>
        <v>0</v>
      </c>
      <c r="X28" s="8" t="str">
        <f>IFERROR(W28/W444, "NA")</f>
        <v>NA</v>
      </c>
      <c r="Y28" s="9"/>
      <c r="Z28" s="7">
        <v>0</v>
      </c>
      <c r="AA28" s="8" t="str">
        <f>IFERROR(Z28/Z444, "NA")</f>
        <v>NA</v>
      </c>
      <c r="AB28" s="9"/>
      <c r="AC28" s="10">
        <f t="shared" si="7"/>
        <v>0</v>
      </c>
      <c r="AD28" s="8" t="str">
        <f>IFERROR(AC28/AC444, "NA")</f>
        <v>NA</v>
      </c>
    </row>
    <row r="29" spans="1:30" ht="16.5" customHeight="1" x14ac:dyDescent="0.45">
      <c r="A29" s="13" t="s">
        <v>30</v>
      </c>
      <c r="B29" s="14">
        <f>IFERROR(B21+B22+B23+B24+B25+B26+B27+B28, "NA")</f>
        <v>0</v>
      </c>
      <c r="C29" s="15" t="str">
        <f>IFERROR(B29/B444, "NA")</f>
        <v>NA</v>
      </c>
      <c r="D29" s="2"/>
      <c r="E29" s="14">
        <f>IFERROR(E21+E22+E23+E24+E25+E26+E27+E28, "NA")</f>
        <v>0</v>
      </c>
      <c r="F29" s="15" t="str">
        <f>IFERROR(E29/E444, "NA")</f>
        <v>NA</v>
      </c>
      <c r="G29" s="2"/>
      <c r="H29" s="14">
        <f t="shared" si="4"/>
        <v>0</v>
      </c>
      <c r="I29" s="15" t="str">
        <f>IFERROR(H29/H444, "NA")</f>
        <v>NA</v>
      </c>
      <c r="J29" s="2"/>
      <c r="K29" s="14">
        <f>IFERROR(K21+K22+K23+K24+K25+K26+K27+K28, "NA")</f>
        <v>0</v>
      </c>
      <c r="L29" s="15" t="str">
        <f>IFERROR(K29/K444, "NA")</f>
        <v>NA</v>
      </c>
      <c r="M29" s="2"/>
      <c r="N29" s="14">
        <f t="shared" si="5"/>
        <v>0</v>
      </c>
      <c r="O29" s="15" t="str">
        <f>IFERROR(N29/N444, "NA")</f>
        <v>NA</v>
      </c>
      <c r="P29" s="2"/>
      <c r="Q29" s="14">
        <f>IFERROR(Q21+Q22+Q23+Q24+Q25+Q26+Q27+Q28, "NA")</f>
        <v>0</v>
      </c>
      <c r="R29" s="15" t="str">
        <f>IFERROR(Q29/Q444, "NA")</f>
        <v>NA</v>
      </c>
      <c r="S29" s="2"/>
      <c r="T29" s="14">
        <f>IFERROR(T21+T22+T23+T24+T25+T26+T27+T28, "NA")</f>
        <v>0</v>
      </c>
      <c r="U29" s="15" t="str">
        <f>IFERROR(T29/T444, "NA")</f>
        <v>NA</v>
      </c>
      <c r="V29" s="2"/>
      <c r="W29" s="14">
        <f t="shared" si="6"/>
        <v>0</v>
      </c>
      <c r="X29" s="15" t="str">
        <f>IFERROR(W29/W444, "NA")</f>
        <v>NA</v>
      </c>
      <c r="Y29" s="2"/>
      <c r="Z29" s="14">
        <f>IFERROR(Z21+Z22+Z23+Z24+Z25+Z26+Z27+Z28, "NA")</f>
        <v>0</v>
      </c>
      <c r="AA29" s="15" t="str">
        <f>IFERROR(Z29/Z444, "NA")</f>
        <v>NA</v>
      </c>
      <c r="AB29" s="2"/>
      <c r="AC29" s="14">
        <f t="shared" si="7"/>
        <v>0</v>
      </c>
      <c r="AD29" s="15" t="str">
        <f>IFERROR(AC29/AC444, "NA")</f>
        <v>NA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hidden="1" customHeight="1" x14ac:dyDescent="0.45">
      <c r="A31" s="12" t="s">
        <v>31</v>
      </c>
      <c r="B31" s="7">
        <v>0</v>
      </c>
      <c r="C31" s="8" t="str">
        <f>IFERROR(B31/B444, "NA")</f>
        <v>NA</v>
      </c>
      <c r="D31" s="9"/>
      <c r="E31" s="7">
        <v>0</v>
      </c>
      <c r="F31" s="8" t="str">
        <f>IFERROR(E31/E444, "NA")</f>
        <v>NA</v>
      </c>
      <c r="G31" s="9"/>
      <c r="H31" s="10">
        <f t="shared" ref="H31:H40" si="8">IFERROR(B31-E31, "NA")</f>
        <v>0</v>
      </c>
      <c r="I31" s="8" t="str">
        <f>IFERROR(H31/H444, "NA")</f>
        <v>NA</v>
      </c>
      <c r="J31" s="9"/>
      <c r="K31" s="7">
        <v>0</v>
      </c>
      <c r="L31" s="8" t="str">
        <f>IFERROR(K31/K444, "NA")</f>
        <v>NA</v>
      </c>
      <c r="M31" s="9"/>
      <c r="N31" s="10">
        <f t="shared" ref="N31:N40" si="9">IFERROR(B31-K31, "NA")</f>
        <v>0</v>
      </c>
      <c r="O31" s="8" t="str">
        <f>IFERROR(N31/N444, "NA")</f>
        <v>NA</v>
      </c>
      <c r="P31" s="9"/>
      <c r="Q31" s="7">
        <v>0</v>
      </c>
      <c r="R31" s="8" t="str">
        <f>IFERROR(Q31/Q444, "NA")</f>
        <v>NA</v>
      </c>
      <c r="S31" s="9"/>
      <c r="T31" s="7">
        <v>0</v>
      </c>
      <c r="U31" s="8" t="str">
        <f>IFERROR(T31/T444, "NA")</f>
        <v>NA</v>
      </c>
      <c r="V31" s="9"/>
      <c r="W31" s="10">
        <f t="shared" ref="W31:W40" si="10">IFERROR(Q31-T31, "NA")</f>
        <v>0</v>
      </c>
      <c r="X31" s="8" t="str">
        <f>IFERROR(W31/W444, "NA")</f>
        <v>NA</v>
      </c>
      <c r="Y31" s="9"/>
      <c r="Z31" s="7">
        <v>0</v>
      </c>
      <c r="AA31" s="8" t="str">
        <f>IFERROR(Z31/Z444, "NA")</f>
        <v>NA</v>
      </c>
      <c r="AB31" s="9"/>
      <c r="AC31" s="10">
        <f t="shared" ref="AC31:AC40" si="11">IFERROR(Q31-Z31, "NA")</f>
        <v>0</v>
      </c>
      <c r="AD31" s="8" t="str">
        <f>IFERROR(AC31/AC444, "NA")</f>
        <v>NA</v>
      </c>
    </row>
    <row r="32" spans="1:30" ht="16.5" hidden="1" customHeight="1" x14ac:dyDescent="0.45">
      <c r="A32" s="12" t="s">
        <v>32</v>
      </c>
      <c r="B32" s="7">
        <v>0</v>
      </c>
      <c r="C32" s="8" t="str">
        <f>IFERROR(B32/B444, "NA")</f>
        <v>NA</v>
      </c>
      <c r="D32" s="9"/>
      <c r="E32" s="7">
        <v>0</v>
      </c>
      <c r="F32" s="8" t="str">
        <f>IFERROR(E32/E444, "NA")</f>
        <v>NA</v>
      </c>
      <c r="G32" s="9"/>
      <c r="H32" s="10">
        <f t="shared" si="8"/>
        <v>0</v>
      </c>
      <c r="I32" s="8" t="str">
        <f>IFERROR(H32/H444, "NA")</f>
        <v>NA</v>
      </c>
      <c r="J32" s="9"/>
      <c r="K32" s="7">
        <v>0</v>
      </c>
      <c r="L32" s="8" t="str">
        <f>IFERROR(K32/K444, "NA")</f>
        <v>NA</v>
      </c>
      <c r="M32" s="9"/>
      <c r="N32" s="10">
        <f t="shared" si="9"/>
        <v>0</v>
      </c>
      <c r="O32" s="8" t="str">
        <f>IFERROR(N32/N444, "NA")</f>
        <v>NA</v>
      </c>
      <c r="P32" s="9"/>
      <c r="Q32" s="7">
        <v>0</v>
      </c>
      <c r="R32" s="8" t="str">
        <f>IFERROR(Q32/Q444, "NA")</f>
        <v>NA</v>
      </c>
      <c r="S32" s="9"/>
      <c r="T32" s="7">
        <v>0</v>
      </c>
      <c r="U32" s="8" t="str">
        <f>IFERROR(T32/T444, "NA")</f>
        <v>NA</v>
      </c>
      <c r="V32" s="9"/>
      <c r="W32" s="10">
        <f t="shared" si="10"/>
        <v>0</v>
      </c>
      <c r="X32" s="8" t="str">
        <f>IFERROR(W32/W444, "NA")</f>
        <v>NA</v>
      </c>
      <c r="Y32" s="9"/>
      <c r="Z32" s="7">
        <v>0</v>
      </c>
      <c r="AA32" s="8" t="str">
        <f>IFERROR(Z32/Z444, "NA")</f>
        <v>NA</v>
      </c>
      <c r="AB32" s="9"/>
      <c r="AC32" s="10">
        <f t="shared" si="11"/>
        <v>0</v>
      </c>
      <c r="AD32" s="8" t="str">
        <f>IFERROR(AC32/AC444, "NA")</f>
        <v>NA</v>
      </c>
    </row>
    <row r="33" spans="1:30" ht="16.5" hidden="1" customHeight="1" x14ac:dyDescent="0.45">
      <c r="A33" s="12" t="s">
        <v>33</v>
      </c>
      <c r="B33" s="7">
        <v>0</v>
      </c>
      <c r="C33" s="8" t="str">
        <f>IFERROR(B33/B444, "NA")</f>
        <v>NA</v>
      </c>
      <c r="D33" s="9"/>
      <c r="E33" s="7">
        <v>0</v>
      </c>
      <c r="F33" s="8" t="str">
        <f>IFERROR(E33/E444, "NA")</f>
        <v>NA</v>
      </c>
      <c r="G33" s="9"/>
      <c r="H33" s="10">
        <f t="shared" si="8"/>
        <v>0</v>
      </c>
      <c r="I33" s="8" t="str">
        <f>IFERROR(H33/H444, "NA")</f>
        <v>NA</v>
      </c>
      <c r="J33" s="9"/>
      <c r="K33" s="7">
        <v>0</v>
      </c>
      <c r="L33" s="8" t="str">
        <f>IFERROR(K33/K444, "NA")</f>
        <v>NA</v>
      </c>
      <c r="M33" s="9"/>
      <c r="N33" s="10">
        <f t="shared" si="9"/>
        <v>0</v>
      </c>
      <c r="O33" s="8" t="str">
        <f>IFERROR(N33/N444, "NA")</f>
        <v>NA</v>
      </c>
      <c r="P33" s="9"/>
      <c r="Q33" s="7">
        <v>0</v>
      </c>
      <c r="R33" s="8" t="str">
        <f>IFERROR(Q33/Q444, "NA")</f>
        <v>NA</v>
      </c>
      <c r="S33" s="9"/>
      <c r="T33" s="7">
        <v>0</v>
      </c>
      <c r="U33" s="8" t="str">
        <f>IFERROR(T33/T444, "NA")</f>
        <v>NA</v>
      </c>
      <c r="V33" s="9"/>
      <c r="W33" s="10">
        <f t="shared" si="10"/>
        <v>0</v>
      </c>
      <c r="X33" s="8" t="str">
        <f>IFERROR(W33/W444, "NA")</f>
        <v>NA</v>
      </c>
      <c r="Y33" s="9"/>
      <c r="Z33" s="7">
        <v>0</v>
      </c>
      <c r="AA33" s="8" t="str">
        <f>IFERROR(Z33/Z444, "NA")</f>
        <v>NA</v>
      </c>
      <c r="AB33" s="9"/>
      <c r="AC33" s="10">
        <f t="shared" si="11"/>
        <v>0</v>
      </c>
      <c r="AD33" s="8" t="str">
        <f>IFERROR(AC33/AC444, "NA")</f>
        <v>NA</v>
      </c>
    </row>
    <row r="34" spans="1:30" ht="16.5" hidden="1" customHeight="1" x14ac:dyDescent="0.45">
      <c r="A34" s="12" t="s">
        <v>34</v>
      </c>
      <c r="B34" s="7">
        <v>0</v>
      </c>
      <c r="C34" s="8" t="str">
        <f>IFERROR(B34/B444, "NA")</f>
        <v>NA</v>
      </c>
      <c r="D34" s="9"/>
      <c r="E34" s="7">
        <v>0</v>
      </c>
      <c r="F34" s="8" t="str">
        <f>IFERROR(E34/E444, "NA")</f>
        <v>NA</v>
      </c>
      <c r="G34" s="9"/>
      <c r="H34" s="10">
        <f t="shared" si="8"/>
        <v>0</v>
      </c>
      <c r="I34" s="8" t="str">
        <f>IFERROR(H34/H444, "NA")</f>
        <v>NA</v>
      </c>
      <c r="J34" s="9"/>
      <c r="K34" s="7">
        <v>0</v>
      </c>
      <c r="L34" s="8" t="str">
        <f>IFERROR(K34/K444, "NA")</f>
        <v>NA</v>
      </c>
      <c r="M34" s="9"/>
      <c r="N34" s="10">
        <f t="shared" si="9"/>
        <v>0</v>
      </c>
      <c r="O34" s="8" t="str">
        <f>IFERROR(N34/N444, "NA")</f>
        <v>NA</v>
      </c>
      <c r="P34" s="9"/>
      <c r="Q34" s="7">
        <v>0</v>
      </c>
      <c r="R34" s="8" t="str">
        <f>IFERROR(Q34/Q444, "NA")</f>
        <v>NA</v>
      </c>
      <c r="S34" s="9"/>
      <c r="T34" s="7">
        <v>0</v>
      </c>
      <c r="U34" s="8" t="str">
        <f>IFERROR(T34/T444, "NA")</f>
        <v>NA</v>
      </c>
      <c r="V34" s="9"/>
      <c r="W34" s="10">
        <f t="shared" si="10"/>
        <v>0</v>
      </c>
      <c r="X34" s="8" t="str">
        <f>IFERROR(W34/W444, "NA")</f>
        <v>NA</v>
      </c>
      <c r="Y34" s="9"/>
      <c r="Z34" s="7">
        <v>0</v>
      </c>
      <c r="AA34" s="8" t="str">
        <f>IFERROR(Z34/Z444, "NA")</f>
        <v>NA</v>
      </c>
      <c r="AB34" s="9"/>
      <c r="AC34" s="10">
        <f t="shared" si="11"/>
        <v>0</v>
      </c>
      <c r="AD34" s="8" t="str">
        <f>IFERROR(AC34/AC444, "NA")</f>
        <v>NA</v>
      </c>
    </row>
    <row r="35" spans="1:30" ht="16.5" hidden="1" customHeight="1" x14ac:dyDescent="0.45">
      <c r="A35" s="12" t="s">
        <v>35</v>
      </c>
      <c r="B35" s="7">
        <v>0</v>
      </c>
      <c r="C35" s="8" t="str">
        <f>IFERROR(B35/B444, "NA")</f>
        <v>NA</v>
      </c>
      <c r="D35" s="9"/>
      <c r="E35" s="7">
        <v>0</v>
      </c>
      <c r="F35" s="8" t="str">
        <f>IFERROR(E35/E444, "NA")</f>
        <v>NA</v>
      </c>
      <c r="G35" s="9"/>
      <c r="H35" s="10">
        <f t="shared" si="8"/>
        <v>0</v>
      </c>
      <c r="I35" s="8" t="str">
        <f>IFERROR(H35/H444, "NA")</f>
        <v>NA</v>
      </c>
      <c r="J35" s="9"/>
      <c r="K35" s="7">
        <v>0</v>
      </c>
      <c r="L35" s="8" t="str">
        <f>IFERROR(K35/K444, "NA")</f>
        <v>NA</v>
      </c>
      <c r="M35" s="9"/>
      <c r="N35" s="10">
        <f t="shared" si="9"/>
        <v>0</v>
      </c>
      <c r="O35" s="8" t="str">
        <f>IFERROR(N35/N444, "NA")</f>
        <v>NA</v>
      </c>
      <c r="P35" s="9"/>
      <c r="Q35" s="7">
        <v>0</v>
      </c>
      <c r="R35" s="8" t="str">
        <f>IFERROR(Q35/Q444, "NA")</f>
        <v>NA</v>
      </c>
      <c r="S35" s="9"/>
      <c r="T35" s="7">
        <v>0</v>
      </c>
      <c r="U35" s="8" t="str">
        <f>IFERROR(T35/T444, "NA")</f>
        <v>NA</v>
      </c>
      <c r="V35" s="9"/>
      <c r="W35" s="10">
        <f t="shared" si="10"/>
        <v>0</v>
      </c>
      <c r="X35" s="8" t="str">
        <f>IFERROR(W35/W444, "NA")</f>
        <v>NA</v>
      </c>
      <c r="Y35" s="9"/>
      <c r="Z35" s="7">
        <v>0</v>
      </c>
      <c r="AA35" s="8" t="str">
        <f>IFERROR(Z35/Z444, "NA")</f>
        <v>NA</v>
      </c>
      <c r="AB35" s="9"/>
      <c r="AC35" s="10">
        <f t="shared" si="11"/>
        <v>0</v>
      </c>
      <c r="AD35" s="8" t="str">
        <f>IFERROR(AC35/AC444, "NA")</f>
        <v>NA</v>
      </c>
    </row>
    <row r="36" spans="1:30" ht="16.5" hidden="1" customHeight="1" x14ac:dyDescent="0.45">
      <c r="A36" s="12" t="s">
        <v>36</v>
      </c>
      <c r="B36" s="7">
        <v>0</v>
      </c>
      <c r="C36" s="8" t="str">
        <f>IFERROR(B36/B444, "NA")</f>
        <v>NA</v>
      </c>
      <c r="D36" s="9"/>
      <c r="E36" s="7">
        <v>0</v>
      </c>
      <c r="F36" s="8" t="str">
        <f>IFERROR(E36/E444, "NA")</f>
        <v>NA</v>
      </c>
      <c r="G36" s="9"/>
      <c r="H36" s="10">
        <f t="shared" si="8"/>
        <v>0</v>
      </c>
      <c r="I36" s="8" t="str">
        <f>IFERROR(H36/H444, "NA")</f>
        <v>NA</v>
      </c>
      <c r="J36" s="9"/>
      <c r="K36" s="7">
        <v>0</v>
      </c>
      <c r="L36" s="8" t="str">
        <f>IFERROR(K36/K444, "NA")</f>
        <v>NA</v>
      </c>
      <c r="M36" s="9"/>
      <c r="N36" s="10">
        <f t="shared" si="9"/>
        <v>0</v>
      </c>
      <c r="O36" s="8" t="str">
        <f>IFERROR(N36/N444, "NA")</f>
        <v>NA</v>
      </c>
      <c r="P36" s="9"/>
      <c r="Q36" s="7">
        <v>0</v>
      </c>
      <c r="R36" s="8" t="str">
        <f>IFERROR(Q36/Q444, "NA")</f>
        <v>NA</v>
      </c>
      <c r="S36" s="9"/>
      <c r="T36" s="7">
        <v>0</v>
      </c>
      <c r="U36" s="8" t="str">
        <f>IFERROR(T36/T444, "NA")</f>
        <v>NA</v>
      </c>
      <c r="V36" s="9"/>
      <c r="W36" s="10">
        <f t="shared" si="10"/>
        <v>0</v>
      </c>
      <c r="X36" s="8" t="str">
        <f>IFERROR(W36/W444, "NA")</f>
        <v>NA</v>
      </c>
      <c r="Y36" s="9"/>
      <c r="Z36" s="7">
        <v>0</v>
      </c>
      <c r="AA36" s="8" t="str">
        <f>IFERROR(Z36/Z444, "NA")</f>
        <v>NA</v>
      </c>
      <c r="AB36" s="9"/>
      <c r="AC36" s="10">
        <f t="shared" si="11"/>
        <v>0</v>
      </c>
      <c r="AD36" s="8" t="str">
        <f>IFERROR(AC36/AC444, "NA")</f>
        <v>NA</v>
      </c>
    </row>
    <row r="37" spans="1:30" ht="16.5" hidden="1" customHeight="1" x14ac:dyDescent="0.45">
      <c r="A37" s="12" t="s">
        <v>37</v>
      </c>
      <c r="B37" s="7">
        <v>0</v>
      </c>
      <c r="C37" s="8" t="str">
        <f>IFERROR(B37/B444, "NA")</f>
        <v>NA</v>
      </c>
      <c r="D37" s="9"/>
      <c r="E37" s="7">
        <v>0</v>
      </c>
      <c r="F37" s="8" t="str">
        <f>IFERROR(E37/E444, "NA")</f>
        <v>NA</v>
      </c>
      <c r="G37" s="9"/>
      <c r="H37" s="10">
        <f t="shared" si="8"/>
        <v>0</v>
      </c>
      <c r="I37" s="8" t="str">
        <f>IFERROR(H37/H444, "NA")</f>
        <v>NA</v>
      </c>
      <c r="J37" s="9"/>
      <c r="K37" s="7">
        <v>0</v>
      </c>
      <c r="L37" s="8" t="str">
        <f>IFERROR(K37/K444, "NA")</f>
        <v>NA</v>
      </c>
      <c r="M37" s="9"/>
      <c r="N37" s="10">
        <f t="shared" si="9"/>
        <v>0</v>
      </c>
      <c r="O37" s="8" t="str">
        <f>IFERROR(N37/N444, "NA")</f>
        <v>NA</v>
      </c>
      <c r="P37" s="9"/>
      <c r="Q37" s="7">
        <v>0</v>
      </c>
      <c r="R37" s="8" t="str">
        <f>IFERROR(Q37/Q444, "NA")</f>
        <v>NA</v>
      </c>
      <c r="S37" s="9"/>
      <c r="T37" s="7">
        <v>0</v>
      </c>
      <c r="U37" s="8" t="str">
        <f>IFERROR(T37/T444, "NA")</f>
        <v>NA</v>
      </c>
      <c r="V37" s="9"/>
      <c r="W37" s="10">
        <f t="shared" si="10"/>
        <v>0</v>
      </c>
      <c r="X37" s="8" t="str">
        <f>IFERROR(W37/W444, "NA")</f>
        <v>NA</v>
      </c>
      <c r="Y37" s="9"/>
      <c r="Z37" s="7">
        <v>0</v>
      </c>
      <c r="AA37" s="8" t="str">
        <f>IFERROR(Z37/Z444, "NA")</f>
        <v>NA</v>
      </c>
      <c r="AB37" s="9"/>
      <c r="AC37" s="10">
        <f t="shared" si="11"/>
        <v>0</v>
      </c>
      <c r="AD37" s="8" t="str">
        <f>IFERROR(AC37/AC444, "NA")</f>
        <v>NA</v>
      </c>
    </row>
    <row r="38" spans="1:30" ht="16.5" hidden="1" customHeight="1" x14ac:dyDescent="0.45">
      <c r="A38" s="12" t="s">
        <v>38</v>
      </c>
      <c r="B38" s="7">
        <v>0</v>
      </c>
      <c r="C38" s="8" t="str">
        <f>IFERROR(B38/B444, "NA")</f>
        <v>NA</v>
      </c>
      <c r="D38" s="9"/>
      <c r="E38" s="7">
        <v>0</v>
      </c>
      <c r="F38" s="8" t="str">
        <f>IFERROR(E38/E444, "NA")</f>
        <v>NA</v>
      </c>
      <c r="G38" s="9"/>
      <c r="H38" s="10">
        <f t="shared" si="8"/>
        <v>0</v>
      </c>
      <c r="I38" s="8" t="str">
        <f>IFERROR(H38/H444, "NA")</f>
        <v>NA</v>
      </c>
      <c r="J38" s="9"/>
      <c r="K38" s="7">
        <v>0</v>
      </c>
      <c r="L38" s="8" t="str">
        <f>IFERROR(K38/K444, "NA")</f>
        <v>NA</v>
      </c>
      <c r="M38" s="9"/>
      <c r="N38" s="10">
        <f t="shared" si="9"/>
        <v>0</v>
      </c>
      <c r="O38" s="8" t="str">
        <f>IFERROR(N38/N444, "NA")</f>
        <v>NA</v>
      </c>
      <c r="P38" s="9"/>
      <c r="Q38" s="7">
        <v>0</v>
      </c>
      <c r="R38" s="8" t="str">
        <f>IFERROR(Q38/Q444, "NA")</f>
        <v>NA</v>
      </c>
      <c r="S38" s="9"/>
      <c r="T38" s="7">
        <v>0</v>
      </c>
      <c r="U38" s="8" t="str">
        <f>IFERROR(T38/T444, "NA")</f>
        <v>NA</v>
      </c>
      <c r="V38" s="9"/>
      <c r="W38" s="10">
        <f t="shared" si="10"/>
        <v>0</v>
      </c>
      <c r="X38" s="8" t="str">
        <f>IFERROR(W38/W444, "NA")</f>
        <v>NA</v>
      </c>
      <c r="Y38" s="9"/>
      <c r="Z38" s="7">
        <v>0</v>
      </c>
      <c r="AA38" s="8" t="str">
        <f>IFERROR(Z38/Z444, "NA")</f>
        <v>NA</v>
      </c>
      <c r="AB38" s="9"/>
      <c r="AC38" s="10">
        <f t="shared" si="11"/>
        <v>0</v>
      </c>
      <c r="AD38" s="8" t="str">
        <f>IFERROR(AC38/AC444, "NA")</f>
        <v>NA</v>
      </c>
    </row>
    <row r="39" spans="1:30" ht="16.5" hidden="1" customHeight="1" x14ac:dyDescent="0.45">
      <c r="A39" s="12" t="s">
        <v>39</v>
      </c>
      <c r="B39" s="7">
        <v>0</v>
      </c>
      <c r="C39" s="8" t="str">
        <f>IFERROR(B39/B444, "NA")</f>
        <v>NA</v>
      </c>
      <c r="D39" s="9"/>
      <c r="E39" s="7">
        <v>0</v>
      </c>
      <c r="F39" s="8" t="str">
        <f>IFERROR(E39/E444, "NA")</f>
        <v>NA</v>
      </c>
      <c r="G39" s="9"/>
      <c r="H39" s="10">
        <f t="shared" si="8"/>
        <v>0</v>
      </c>
      <c r="I39" s="8" t="str">
        <f>IFERROR(H39/H444, "NA")</f>
        <v>NA</v>
      </c>
      <c r="J39" s="9"/>
      <c r="K39" s="7">
        <v>0</v>
      </c>
      <c r="L39" s="8" t="str">
        <f>IFERROR(K39/K444, "NA")</f>
        <v>NA</v>
      </c>
      <c r="M39" s="9"/>
      <c r="N39" s="10">
        <f t="shared" si="9"/>
        <v>0</v>
      </c>
      <c r="O39" s="8" t="str">
        <f>IFERROR(N39/N444, "NA")</f>
        <v>NA</v>
      </c>
      <c r="P39" s="9"/>
      <c r="Q39" s="7">
        <v>0</v>
      </c>
      <c r="R39" s="8" t="str">
        <f>IFERROR(Q39/Q444, "NA")</f>
        <v>NA</v>
      </c>
      <c r="S39" s="9"/>
      <c r="T39" s="7">
        <v>0</v>
      </c>
      <c r="U39" s="8" t="str">
        <f>IFERROR(T39/T444, "NA")</f>
        <v>NA</v>
      </c>
      <c r="V39" s="9"/>
      <c r="W39" s="10">
        <f t="shared" si="10"/>
        <v>0</v>
      </c>
      <c r="X39" s="8" t="str">
        <f>IFERROR(W39/W444, "NA")</f>
        <v>NA</v>
      </c>
      <c r="Y39" s="9"/>
      <c r="Z39" s="7">
        <v>0</v>
      </c>
      <c r="AA39" s="8" t="str">
        <f>IFERROR(Z39/Z444, "NA")</f>
        <v>NA</v>
      </c>
      <c r="AB39" s="9"/>
      <c r="AC39" s="10">
        <f t="shared" si="11"/>
        <v>0</v>
      </c>
      <c r="AD39" s="8" t="str">
        <f>IFERROR(AC39/AC444, "NA")</f>
        <v>NA</v>
      </c>
    </row>
    <row r="40" spans="1:30" ht="16.5" customHeight="1" x14ac:dyDescent="0.45">
      <c r="A40" s="13" t="s">
        <v>40</v>
      </c>
      <c r="B40" s="14">
        <f>IFERROR(B31+B32+B33+B34+B35+B36+B37+B38+B39, "NA")</f>
        <v>0</v>
      </c>
      <c r="C40" s="15" t="str">
        <f>IFERROR(B40/B444, "NA")</f>
        <v>NA</v>
      </c>
      <c r="D40" s="2"/>
      <c r="E40" s="14">
        <f>IFERROR(E31+E32+E33+E34+E35+E36+E37+E38+E39, "NA")</f>
        <v>0</v>
      </c>
      <c r="F40" s="15" t="str">
        <f>IFERROR(E40/E444, "NA")</f>
        <v>NA</v>
      </c>
      <c r="G40" s="2"/>
      <c r="H40" s="14">
        <f t="shared" si="8"/>
        <v>0</v>
      </c>
      <c r="I40" s="15" t="str">
        <f>IFERROR(H40/H444, "NA")</f>
        <v>NA</v>
      </c>
      <c r="J40" s="2"/>
      <c r="K40" s="14">
        <f>IFERROR(K31+K32+K33+K34+K35+K36+K37+K38+K39, "NA")</f>
        <v>0</v>
      </c>
      <c r="L40" s="15" t="str">
        <f>IFERROR(K40/K444, "NA")</f>
        <v>NA</v>
      </c>
      <c r="M40" s="2"/>
      <c r="N40" s="14">
        <f t="shared" si="9"/>
        <v>0</v>
      </c>
      <c r="O40" s="15" t="str">
        <f>IFERROR(N40/N444, "NA")</f>
        <v>NA</v>
      </c>
      <c r="P40" s="2"/>
      <c r="Q40" s="14">
        <f>IFERROR(Q31+Q32+Q33+Q34+Q35+Q36+Q37+Q38+Q39, "NA")</f>
        <v>0</v>
      </c>
      <c r="R40" s="15" t="str">
        <f>IFERROR(Q40/Q444, "NA")</f>
        <v>NA</v>
      </c>
      <c r="S40" s="2"/>
      <c r="T40" s="14">
        <f>IFERROR(T31+T32+T33+T34+T35+T36+T37+T38+T39, "NA")</f>
        <v>0</v>
      </c>
      <c r="U40" s="15" t="str">
        <f>IFERROR(T40/T444, "NA")</f>
        <v>NA</v>
      </c>
      <c r="V40" s="2"/>
      <c r="W40" s="14">
        <f t="shared" si="10"/>
        <v>0</v>
      </c>
      <c r="X40" s="15" t="str">
        <f>IFERROR(W40/W444, "NA")</f>
        <v>NA</v>
      </c>
      <c r="Y40" s="2"/>
      <c r="Z40" s="14">
        <f>IFERROR(Z31+Z32+Z33+Z34+Z35+Z36+Z37+Z38+Z39, "NA")</f>
        <v>0</v>
      </c>
      <c r="AA40" s="15" t="str">
        <f>IFERROR(Z40/Z444, "NA")</f>
        <v>NA</v>
      </c>
      <c r="AB40" s="2"/>
      <c r="AC40" s="14">
        <f t="shared" si="11"/>
        <v>0</v>
      </c>
      <c r="AD40" s="15" t="str">
        <f>IFERROR(AC40/AC444, "NA")</f>
        <v>NA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 t="str">
        <f>IFERROR(B42/B444, "NA")</f>
        <v>NA</v>
      </c>
      <c r="D42" s="9"/>
      <c r="E42" s="7">
        <v>0</v>
      </c>
      <c r="F42" s="8" t="str">
        <f>IFERROR(E42/E444, "NA")</f>
        <v>NA</v>
      </c>
      <c r="G42" s="9"/>
      <c r="H42" s="10">
        <f>IFERROR(B42-E42, "NA")</f>
        <v>0</v>
      </c>
      <c r="I42" s="8" t="str">
        <f>IFERROR(H42/H444, "NA")</f>
        <v>NA</v>
      </c>
      <c r="J42" s="9"/>
      <c r="K42" s="7">
        <v>0</v>
      </c>
      <c r="L42" s="8" t="str">
        <f>IFERROR(K42/K444, "NA")</f>
        <v>NA</v>
      </c>
      <c r="M42" s="9"/>
      <c r="N42" s="10">
        <f>IFERROR(B42-K42, "NA")</f>
        <v>0</v>
      </c>
      <c r="O42" s="8" t="str">
        <f>IFERROR(N42/N444, "NA")</f>
        <v>NA</v>
      </c>
      <c r="P42" s="9"/>
      <c r="Q42" s="7">
        <v>0</v>
      </c>
      <c r="R42" s="8" t="str">
        <f>IFERROR(Q42/Q444, "NA")</f>
        <v>NA</v>
      </c>
      <c r="S42" s="9"/>
      <c r="T42" s="7">
        <v>0</v>
      </c>
      <c r="U42" s="8" t="str">
        <f>IFERROR(T42/T444, "NA")</f>
        <v>NA</v>
      </c>
      <c r="V42" s="9"/>
      <c r="W42" s="10">
        <f>IFERROR(Q42-T42, "NA")</f>
        <v>0</v>
      </c>
      <c r="X42" s="8" t="str">
        <f>IFERROR(W42/W444, "NA")</f>
        <v>NA</v>
      </c>
      <c r="Y42" s="9"/>
      <c r="Z42" s="7">
        <v>0</v>
      </c>
      <c r="AA42" s="8" t="str">
        <f>IFERROR(Z42/Z444, "NA")</f>
        <v>NA</v>
      </c>
      <c r="AB42" s="9"/>
      <c r="AC42" s="10">
        <f>IFERROR(Q42-Z42, "NA")</f>
        <v>0</v>
      </c>
      <c r="AD42" s="8" t="str">
        <f>IFERROR(AC42/AC444, "NA")</f>
        <v>NA</v>
      </c>
    </row>
    <row r="43" spans="1:30" ht="16.5" hidden="1" customHeight="1" x14ac:dyDescent="0.45">
      <c r="A43" s="12" t="s">
        <v>42</v>
      </c>
      <c r="B43" s="7">
        <v>0</v>
      </c>
      <c r="C43" s="8" t="str">
        <f>IFERROR(B43/B444, "NA")</f>
        <v>NA</v>
      </c>
      <c r="D43" s="9"/>
      <c r="E43" s="7">
        <v>0</v>
      </c>
      <c r="F43" s="8" t="str">
        <f>IFERROR(E43/E444, "NA")</f>
        <v>NA</v>
      </c>
      <c r="G43" s="9"/>
      <c r="H43" s="10">
        <f>IFERROR(B43-E43, "NA")</f>
        <v>0</v>
      </c>
      <c r="I43" s="8" t="str">
        <f>IFERROR(H43/H444, "NA")</f>
        <v>NA</v>
      </c>
      <c r="J43" s="9"/>
      <c r="K43" s="7">
        <v>0</v>
      </c>
      <c r="L43" s="8" t="str">
        <f>IFERROR(K43/K444, "NA")</f>
        <v>NA</v>
      </c>
      <c r="M43" s="9"/>
      <c r="N43" s="10">
        <f>IFERROR(B43-K43, "NA")</f>
        <v>0</v>
      </c>
      <c r="O43" s="8" t="str">
        <f>IFERROR(N43/N444, "NA")</f>
        <v>NA</v>
      </c>
      <c r="P43" s="9"/>
      <c r="Q43" s="7">
        <v>0</v>
      </c>
      <c r="R43" s="8" t="str">
        <f>IFERROR(Q43/Q444, "NA")</f>
        <v>NA</v>
      </c>
      <c r="S43" s="9"/>
      <c r="T43" s="7">
        <v>0</v>
      </c>
      <c r="U43" s="8" t="str">
        <f>IFERROR(T43/T444, "NA")</f>
        <v>NA</v>
      </c>
      <c r="V43" s="9"/>
      <c r="W43" s="10">
        <f>IFERROR(Q43-T43, "NA")</f>
        <v>0</v>
      </c>
      <c r="X43" s="8" t="str">
        <f>IFERROR(W43/W444, "NA")</f>
        <v>NA</v>
      </c>
      <c r="Y43" s="9"/>
      <c r="Z43" s="7">
        <v>0</v>
      </c>
      <c r="AA43" s="8" t="str">
        <f>IFERROR(Z43/Z444, "NA")</f>
        <v>NA</v>
      </c>
      <c r="AB43" s="9"/>
      <c r="AC43" s="10">
        <f>IFERROR(Q43-Z43, "NA")</f>
        <v>0</v>
      </c>
      <c r="AD43" s="8" t="str">
        <f>IFERROR(AC43/AC444, "NA")</f>
        <v>NA</v>
      </c>
    </row>
    <row r="44" spans="1:30" ht="16.5" hidden="1" customHeight="1" x14ac:dyDescent="0.45">
      <c r="A44" s="12" t="s">
        <v>43</v>
      </c>
      <c r="B44" s="7">
        <v>0</v>
      </c>
      <c r="C44" s="8" t="str">
        <f>IFERROR(B44/B444, "NA")</f>
        <v>NA</v>
      </c>
      <c r="D44" s="9"/>
      <c r="E44" s="7">
        <v>0</v>
      </c>
      <c r="F44" s="8" t="str">
        <f>IFERROR(E44/E444, "NA")</f>
        <v>NA</v>
      </c>
      <c r="G44" s="9"/>
      <c r="H44" s="10">
        <f>IFERROR(B44-E44, "NA")</f>
        <v>0</v>
      </c>
      <c r="I44" s="8" t="str">
        <f>IFERROR(H44/H444, "NA")</f>
        <v>NA</v>
      </c>
      <c r="J44" s="9"/>
      <c r="K44" s="7">
        <v>0</v>
      </c>
      <c r="L44" s="8" t="str">
        <f>IFERROR(K44/K444, "NA")</f>
        <v>NA</v>
      </c>
      <c r="M44" s="9"/>
      <c r="N44" s="10">
        <f>IFERROR(B44-K44, "NA")</f>
        <v>0</v>
      </c>
      <c r="O44" s="8" t="str">
        <f>IFERROR(N44/N444, "NA")</f>
        <v>NA</v>
      </c>
      <c r="P44" s="9"/>
      <c r="Q44" s="7">
        <v>0</v>
      </c>
      <c r="R44" s="8" t="str">
        <f>IFERROR(Q44/Q444, "NA")</f>
        <v>NA</v>
      </c>
      <c r="S44" s="9"/>
      <c r="T44" s="7">
        <v>0</v>
      </c>
      <c r="U44" s="8" t="str">
        <f>IFERROR(T44/T444, "NA")</f>
        <v>NA</v>
      </c>
      <c r="V44" s="9"/>
      <c r="W44" s="10">
        <f>IFERROR(Q44-T44, "NA")</f>
        <v>0</v>
      </c>
      <c r="X44" s="8" t="str">
        <f>IFERROR(W44/W444, "NA")</f>
        <v>NA</v>
      </c>
      <c r="Y44" s="9"/>
      <c r="Z44" s="7">
        <v>0</v>
      </c>
      <c r="AA44" s="8" t="str">
        <f>IFERROR(Z44/Z444, "NA")</f>
        <v>NA</v>
      </c>
      <c r="AB44" s="9"/>
      <c r="AC44" s="10">
        <f>IFERROR(Q44-Z44, "NA")</f>
        <v>0</v>
      </c>
      <c r="AD44" s="8" t="str">
        <f>IFERROR(AC44/AC444, "NA")</f>
        <v>NA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hidden="1" customHeight="1" x14ac:dyDescent="0.45">
      <c r="A46" s="17" t="s">
        <v>44</v>
      </c>
      <c r="B46" s="7">
        <v>0</v>
      </c>
      <c r="C46" s="8" t="str">
        <f>IFERROR(B46/B444, "NA")</f>
        <v>NA</v>
      </c>
      <c r="D46" s="9"/>
      <c r="E46" s="7">
        <v>0</v>
      </c>
      <c r="F46" s="8" t="str">
        <f>IFERROR(E46/E444, "NA")</f>
        <v>NA</v>
      </c>
      <c r="G46" s="9"/>
      <c r="H46" s="10">
        <f t="shared" ref="H46:H62" si="12">IFERROR(B46-E46, "NA")</f>
        <v>0</v>
      </c>
      <c r="I46" s="8" t="str">
        <f>IFERROR(H46/H444, "NA")</f>
        <v>NA</v>
      </c>
      <c r="J46" s="9"/>
      <c r="K46" s="7">
        <v>0</v>
      </c>
      <c r="L46" s="8" t="str">
        <f>IFERROR(K46/K444, "NA")</f>
        <v>NA</v>
      </c>
      <c r="M46" s="9"/>
      <c r="N46" s="10">
        <f t="shared" ref="N46:N62" si="13">IFERROR(B46-K46, "NA")</f>
        <v>0</v>
      </c>
      <c r="O46" s="8" t="str">
        <f>IFERROR(N46/N444, "NA")</f>
        <v>NA</v>
      </c>
      <c r="P46" s="9"/>
      <c r="Q46" s="7">
        <v>0</v>
      </c>
      <c r="R46" s="8" t="str">
        <f>IFERROR(Q46/Q444, "NA")</f>
        <v>NA</v>
      </c>
      <c r="S46" s="9"/>
      <c r="T46" s="7">
        <v>0</v>
      </c>
      <c r="U46" s="8" t="str">
        <f>IFERROR(T46/T444, "NA")</f>
        <v>NA</v>
      </c>
      <c r="V46" s="9"/>
      <c r="W46" s="10">
        <f t="shared" ref="W46:W62" si="14">IFERROR(Q46-T46, "NA")</f>
        <v>0</v>
      </c>
      <c r="X46" s="8" t="str">
        <f>IFERROR(W46/W444, "NA")</f>
        <v>NA</v>
      </c>
      <c r="Y46" s="9"/>
      <c r="Z46" s="7">
        <v>0</v>
      </c>
      <c r="AA46" s="8" t="str">
        <f>IFERROR(Z46/Z444, "NA")</f>
        <v>NA</v>
      </c>
      <c r="AB46" s="9"/>
      <c r="AC46" s="10">
        <f t="shared" ref="AC46:AC62" si="15">IFERROR(Q46-Z46, "NA")</f>
        <v>0</v>
      </c>
      <c r="AD46" s="8" t="str">
        <f>IFERROR(AC46/AC444, "NA")</f>
        <v>NA</v>
      </c>
    </row>
    <row r="47" spans="1:30" ht="16.5" hidden="1" customHeight="1" x14ac:dyDescent="0.45">
      <c r="A47" s="17" t="s">
        <v>45</v>
      </c>
      <c r="B47" s="7">
        <v>0</v>
      </c>
      <c r="C47" s="8" t="str">
        <f>IFERROR(B47/B444, "NA")</f>
        <v>NA</v>
      </c>
      <c r="D47" s="9"/>
      <c r="E47" s="7">
        <v>0</v>
      </c>
      <c r="F47" s="8" t="str">
        <f>IFERROR(E47/E444, "NA")</f>
        <v>NA</v>
      </c>
      <c r="G47" s="9"/>
      <c r="H47" s="10">
        <f t="shared" si="12"/>
        <v>0</v>
      </c>
      <c r="I47" s="8" t="str">
        <f>IFERROR(H47/H444, "NA")</f>
        <v>NA</v>
      </c>
      <c r="J47" s="9"/>
      <c r="K47" s="7">
        <v>0</v>
      </c>
      <c r="L47" s="8" t="str">
        <f>IFERROR(K47/K444, "NA")</f>
        <v>NA</v>
      </c>
      <c r="M47" s="9"/>
      <c r="N47" s="10">
        <f t="shared" si="13"/>
        <v>0</v>
      </c>
      <c r="O47" s="8" t="str">
        <f>IFERROR(N47/N444, "NA")</f>
        <v>NA</v>
      </c>
      <c r="P47" s="9"/>
      <c r="Q47" s="7">
        <v>0</v>
      </c>
      <c r="R47" s="8" t="str">
        <f>IFERROR(Q47/Q444, "NA")</f>
        <v>NA</v>
      </c>
      <c r="S47" s="9"/>
      <c r="T47" s="7">
        <v>0</v>
      </c>
      <c r="U47" s="8" t="str">
        <f>IFERROR(T47/T444, "NA")</f>
        <v>NA</v>
      </c>
      <c r="V47" s="9"/>
      <c r="W47" s="10">
        <f t="shared" si="14"/>
        <v>0</v>
      </c>
      <c r="X47" s="8" t="str">
        <f>IFERROR(W47/W444, "NA")</f>
        <v>NA</v>
      </c>
      <c r="Y47" s="9"/>
      <c r="Z47" s="7">
        <v>0</v>
      </c>
      <c r="AA47" s="8" t="str">
        <f>IFERROR(Z47/Z444, "NA")</f>
        <v>NA</v>
      </c>
      <c r="AB47" s="9"/>
      <c r="AC47" s="10">
        <f t="shared" si="15"/>
        <v>0</v>
      </c>
      <c r="AD47" s="8" t="str">
        <f>IFERROR(AC47/AC444, "NA")</f>
        <v>NA</v>
      </c>
    </row>
    <row r="48" spans="1:30" ht="16.5" hidden="1" customHeight="1" x14ac:dyDescent="0.45">
      <c r="A48" s="17" t="s">
        <v>46</v>
      </c>
      <c r="B48" s="7">
        <v>0</v>
      </c>
      <c r="C48" s="8" t="str">
        <f>IFERROR(B48/B444, "NA")</f>
        <v>NA</v>
      </c>
      <c r="D48" s="9"/>
      <c r="E48" s="7">
        <v>0</v>
      </c>
      <c r="F48" s="8" t="str">
        <f>IFERROR(E48/E444, "NA")</f>
        <v>NA</v>
      </c>
      <c r="G48" s="9"/>
      <c r="H48" s="10">
        <f t="shared" si="12"/>
        <v>0</v>
      </c>
      <c r="I48" s="8" t="str">
        <f>IFERROR(H48/H444, "NA")</f>
        <v>NA</v>
      </c>
      <c r="J48" s="9"/>
      <c r="K48" s="7">
        <v>0</v>
      </c>
      <c r="L48" s="8" t="str">
        <f>IFERROR(K48/K444, "NA")</f>
        <v>NA</v>
      </c>
      <c r="M48" s="9"/>
      <c r="N48" s="10">
        <f t="shared" si="13"/>
        <v>0</v>
      </c>
      <c r="O48" s="8" t="str">
        <f>IFERROR(N48/N444, "NA")</f>
        <v>NA</v>
      </c>
      <c r="P48" s="9"/>
      <c r="Q48" s="7">
        <v>0</v>
      </c>
      <c r="R48" s="8" t="str">
        <f>IFERROR(Q48/Q444, "NA")</f>
        <v>NA</v>
      </c>
      <c r="S48" s="9"/>
      <c r="T48" s="7">
        <v>0</v>
      </c>
      <c r="U48" s="8" t="str">
        <f>IFERROR(T48/T444, "NA")</f>
        <v>NA</v>
      </c>
      <c r="V48" s="9"/>
      <c r="W48" s="10">
        <f t="shared" si="14"/>
        <v>0</v>
      </c>
      <c r="X48" s="8" t="str">
        <f>IFERROR(W48/W444, "NA")</f>
        <v>NA</v>
      </c>
      <c r="Y48" s="9"/>
      <c r="Z48" s="7">
        <v>0</v>
      </c>
      <c r="AA48" s="8" t="str">
        <f>IFERROR(Z48/Z444, "NA")</f>
        <v>NA</v>
      </c>
      <c r="AB48" s="9"/>
      <c r="AC48" s="10">
        <f t="shared" si="15"/>
        <v>0</v>
      </c>
      <c r="AD48" s="8" t="str">
        <f>IFERROR(AC48/AC444, "NA")</f>
        <v>NA</v>
      </c>
    </row>
    <row r="49" spans="1:30" ht="16.5" hidden="1" customHeight="1" x14ac:dyDescent="0.45">
      <c r="A49" s="17" t="s">
        <v>47</v>
      </c>
      <c r="B49" s="7">
        <v>0</v>
      </c>
      <c r="C49" s="8" t="str">
        <f>IFERROR(B49/B444, "NA")</f>
        <v>NA</v>
      </c>
      <c r="D49" s="9"/>
      <c r="E49" s="7">
        <v>0</v>
      </c>
      <c r="F49" s="8" t="str">
        <f>IFERROR(E49/E444, "NA")</f>
        <v>NA</v>
      </c>
      <c r="G49" s="9"/>
      <c r="H49" s="10">
        <f t="shared" si="12"/>
        <v>0</v>
      </c>
      <c r="I49" s="8" t="str">
        <f>IFERROR(H49/H444, "NA")</f>
        <v>NA</v>
      </c>
      <c r="J49" s="9"/>
      <c r="K49" s="7">
        <v>0</v>
      </c>
      <c r="L49" s="8" t="str">
        <f>IFERROR(K49/K444, "NA")</f>
        <v>NA</v>
      </c>
      <c r="M49" s="9"/>
      <c r="N49" s="10">
        <f t="shared" si="13"/>
        <v>0</v>
      </c>
      <c r="O49" s="8" t="str">
        <f>IFERROR(N49/N444, "NA")</f>
        <v>NA</v>
      </c>
      <c r="P49" s="9"/>
      <c r="Q49" s="7">
        <v>0</v>
      </c>
      <c r="R49" s="8" t="str">
        <f>IFERROR(Q49/Q444, "NA")</f>
        <v>NA</v>
      </c>
      <c r="S49" s="9"/>
      <c r="T49" s="7">
        <v>0</v>
      </c>
      <c r="U49" s="8" t="str">
        <f>IFERROR(T49/T444, "NA")</f>
        <v>NA</v>
      </c>
      <c r="V49" s="9"/>
      <c r="W49" s="10">
        <f t="shared" si="14"/>
        <v>0</v>
      </c>
      <c r="X49" s="8" t="str">
        <f>IFERROR(W49/W444, "NA")</f>
        <v>NA</v>
      </c>
      <c r="Y49" s="9"/>
      <c r="Z49" s="7">
        <v>0</v>
      </c>
      <c r="AA49" s="8" t="str">
        <f>IFERROR(Z49/Z444, "NA")</f>
        <v>NA</v>
      </c>
      <c r="AB49" s="9"/>
      <c r="AC49" s="10">
        <f t="shared" si="15"/>
        <v>0</v>
      </c>
      <c r="AD49" s="8" t="str">
        <f>IFERROR(AC49/AC444, "NA")</f>
        <v>NA</v>
      </c>
    </row>
    <row r="50" spans="1:30" ht="16.5" hidden="1" customHeight="1" x14ac:dyDescent="0.45">
      <c r="A50" s="17" t="s">
        <v>48</v>
      </c>
      <c r="B50" s="7">
        <v>0</v>
      </c>
      <c r="C50" s="8" t="str">
        <f>IFERROR(B50/B444, "NA")</f>
        <v>NA</v>
      </c>
      <c r="D50" s="9"/>
      <c r="E50" s="7">
        <v>0</v>
      </c>
      <c r="F50" s="8" t="str">
        <f>IFERROR(E50/E444, "NA")</f>
        <v>NA</v>
      </c>
      <c r="G50" s="9"/>
      <c r="H50" s="10">
        <f t="shared" si="12"/>
        <v>0</v>
      </c>
      <c r="I50" s="8" t="str">
        <f>IFERROR(H50/H444, "NA")</f>
        <v>NA</v>
      </c>
      <c r="J50" s="9"/>
      <c r="K50" s="7">
        <v>0</v>
      </c>
      <c r="L50" s="8" t="str">
        <f>IFERROR(K50/K444, "NA")</f>
        <v>NA</v>
      </c>
      <c r="M50" s="9"/>
      <c r="N50" s="10">
        <f t="shared" si="13"/>
        <v>0</v>
      </c>
      <c r="O50" s="8" t="str">
        <f>IFERROR(N50/N444, "NA")</f>
        <v>NA</v>
      </c>
      <c r="P50" s="9"/>
      <c r="Q50" s="7">
        <v>0</v>
      </c>
      <c r="R50" s="8" t="str">
        <f>IFERROR(Q50/Q444, "NA")</f>
        <v>NA</v>
      </c>
      <c r="S50" s="9"/>
      <c r="T50" s="7">
        <v>0</v>
      </c>
      <c r="U50" s="8" t="str">
        <f>IFERROR(T50/T444, "NA")</f>
        <v>NA</v>
      </c>
      <c r="V50" s="9"/>
      <c r="W50" s="10">
        <f t="shared" si="14"/>
        <v>0</v>
      </c>
      <c r="X50" s="8" t="str">
        <f>IFERROR(W50/W444, "NA")</f>
        <v>NA</v>
      </c>
      <c r="Y50" s="9"/>
      <c r="Z50" s="7">
        <v>0</v>
      </c>
      <c r="AA50" s="8" t="str">
        <f>IFERROR(Z50/Z444, "NA")</f>
        <v>NA</v>
      </c>
      <c r="AB50" s="9"/>
      <c r="AC50" s="10">
        <f t="shared" si="15"/>
        <v>0</v>
      </c>
      <c r="AD50" s="8" t="str">
        <f>IFERROR(AC50/AC444, "NA")</f>
        <v>NA</v>
      </c>
    </row>
    <row r="51" spans="1:30" ht="16.5" hidden="1" customHeight="1" x14ac:dyDescent="0.45">
      <c r="A51" s="17" t="s">
        <v>49</v>
      </c>
      <c r="B51" s="7">
        <v>0</v>
      </c>
      <c r="C51" s="8" t="str">
        <f>IFERROR(B51/B444, "NA")</f>
        <v>NA</v>
      </c>
      <c r="D51" s="9"/>
      <c r="E51" s="7">
        <v>0</v>
      </c>
      <c r="F51" s="8" t="str">
        <f>IFERROR(E51/E444, "NA")</f>
        <v>NA</v>
      </c>
      <c r="G51" s="9"/>
      <c r="H51" s="10">
        <f t="shared" si="12"/>
        <v>0</v>
      </c>
      <c r="I51" s="8" t="str">
        <f>IFERROR(H51/H444, "NA")</f>
        <v>NA</v>
      </c>
      <c r="J51" s="9"/>
      <c r="K51" s="7">
        <v>0</v>
      </c>
      <c r="L51" s="8" t="str">
        <f>IFERROR(K51/K444, "NA")</f>
        <v>NA</v>
      </c>
      <c r="M51" s="9"/>
      <c r="N51" s="10">
        <f t="shared" si="13"/>
        <v>0</v>
      </c>
      <c r="O51" s="8" t="str">
        <f>IFERROR(N51/N444, "NA")</f>
        <v>NA</v>
      </c>
      <c r="P51" s="9"/>
      <c r="Q51" s="7">
        <v>0</v>
      </c>
      <c r="R51" s="8" t="str">
        <f>IFERROR(Q51/Q444, "NA")</f>
        <v>NA</v>
      </c>
      <c r="S51" s="9"/>
      <c r="T51" s="7">
        <v>0</v>
      </c>
      <c r="U51" s="8" t="str">
        <f>IFERROR(T51/T444, "NA")</f>
        <v>NA</v>
      </c>
      <c r="V51" s="9"/>
      <c r="W51" s="10">
        <f t="shared" si="14"/>
        <v>0</v>
      </c>
      <c r="X51" s="8" t="str">
        <f>IFERROR(W51/W444, "NA")</f>
        <v>NA</v>
      </c>
      <c r="Y51" s="9"/>
      <c r="Z51" s="7">
        <v>0</v>
      </c>
      <c r="AA51" s="8" t="str">
        <f>IFERROR(Z51/Z444, "NA")</f>
        <v>NA</v>
      </c>
      <c r="AB51" s="9"/>
      <c r="AC51" s="10">
        <f t="shared" si="15"/>
        <v>0</v>
      </c>
      <c r="AD51" s="8" t="str">
        <f>IFERROR(AC51/AC444, "NA")</f>
        <v>NA</v>
      </c>
    </row>
    <row r="52" spans="1:30" ht="16.5" hidden="1" customHeight="1" x14ac:dyDescent="0.45">
      <c r="A52" s="17" t="s">
        <v>50</v>
      </c>
      <c r="B52" s="7">
        <v>0</v>
      </c>
      <c r="C52" s="8" t="str">
        <f>IFERROR(B52/B444, "NA")</f>
        <v>NA</v>
      </c>
      <c r="D52" s="9"/>
      <c r="E52" s="7">
        <v>0</v>
      </c>
      <c r="F52" s="8" t="str">
        <f>IFERROR(E52/E444, "NA")</f>
        <v>NA</v>
      </c>
      <c r="G52" s="9"/>
      <c r="H52" s="10">
        <f t="shared" si="12"/>
        <v>0</v>
      </c>
      <c r="I52" s="8" t="str">
        <f>IFERROR(H52/H444, "NA")</f>
        <v>NA</v>
      </c>
      <c r="J52" s="9"/>
      <c r="K52" s="7">
        <v>0</v>
      </c>
      <c r="L52" s="8" t="str">
        <f>IFERROR(K52/K444, "NA")</f>
        <v>NA</v>
      </c>
      <c r="M52" s="9"/>
      <c r="N52" s="10">
        <f t="shared" si="13"/>
        <v>0</v>
      </c>
      <c r="O52" s="8" t="str">
        <f>IFERROR(N52/N444, "NA")</f>
        <v>NA</v>
      </c>
      <c r="P52" s="9"/>
      <c r="Q52" s="7">
        <v>0</v>
      </c>
      <c r="R52" s="8" t="str">
        <f>IFERROR(Q52/Q444, "NA")</f>
        <v>NA</v>
      </c>
      <c r="S52" s="9"/>
      <c r="T52" s="7">
        <v>0</v>
      </c>
      <c r="U52" s="8" t="str">
        <f>IFERROR(T52/T444, "NA")</f>
        <v>NA</v>
      </c>
      <c r="V52" s="9"/>
      <c r="W52" s="10">
        <f t="shared" si="14"/>
        <v>0</v>
      </c>
      <c r="X52" s="8" t="str">
        <f>IFERROR(W52/W444, "NA")</f>
        <v>NA</v>
      </c>
      <c r="Y52" s="9"/>
      <c r="Z52" s="7">
        <v>0</v>
      </c>
      <c r="AA52" s="8" t="str">
        <f>IFERROR(Z52/Z444, "NA")</f>
        <v>NA</v>
      </c>
      <c r="AB52" s="9"/>
      <c r="AC52" s="10">
        <f t="shared" si="15"/>
        <v>0</v>
      </c>
      <c r="AD52" s="8" t="str">
        <f>IFERROR(AC52/AC444, "NA")</f>
        <v>NA</v>
      </c>
    </row>
    <row r="53" spans="1:30" ht="16.5" hidden="1" customHeight="1" x14ac:dyDescent="0.45">
      <c r="A53" s="17" t="s">
        <v>51</v>
      </c>
      <c r="B53" s="7">
        <v>0</v>
      </c>
      <c r="C53" s="8" t="str">
        <f>IFERROR(B53/B444, "NA")</f>
        <v>NA</v>
      </c>
      <c r="D53" s="9"/>
      <c r="E53" s="7">
        <v>0</v>
      </c>
      <c r="F53" s="8" t="str">
        <f>IFERROR(E53/E444, "NA")</f>
        <v>NA</v>
      </c>
      <c r="G53" s="9"/>
      <c r="H53" s="10">
        <f t="shared" si="12"/>
        <v>0</v>
      </c>
      <c r="I53" s="8" t="str">
        <f>IFERROR(H53/H444, "NA")</f>
        <v>NA</v>
      </c>
      <c r="J53" s="9"/>
      <c r="K53" s="7">
        <v>0</v>
      </c>
      <c r="L53" s="8" t="str">
        <f>IFERROR(K53/K444, "NA")</f>
        <v>NA</v>
      </c>
      <c r="M53" s="9"/>
      <c r="N53" s="10">
        <f t="shared" si="13"/>
        <v>0</v>
      </c>
      <c r="O53" s="8" t="str">
        <f>IFERROR(N53/N444, "NA")</f>
        <v>NA</v>
      </c>
      <c r="P53" s="9"/>
      <c r="Q53" s="7">
        <v>0</v>
      </c>
      <c r="R53" s="8" t="str">
        <f>IFERROR(Q53/Q444, "NA")</f>
        <v>NA</v>
      </c>
      <c r="S53" s="9"/>
      <c r="T53" s="7">
        <v>0</v>
      </c>
      <c r="U53" s="8" t="str">
        <f>IFERROR(T53/T444, "NA")</f>
        <v>NA</v>
      </c>
      <c r="V53" s="9"/>
      <c r="W53" s="10">
        <f t="shared" si="14"/>
        <v>0</v>
      </c>
      <c r="X53" s="8" t="str">
        <f>IFERROR(W53/W444, "NA")</f>
        <v>NA</v>
      </c>
      <c r="Y53" s="9"/>
      <c r="Z53" s="7">
        <v>0</v>
      </c>
      <c r="AA53" s="8" t="str">
        <f>IFERROR(Z53/Z444, "NA")</f>
        <v>NA</v>
      </c>
      <c r="AB53" s="9"/>
      <c r="AC53" s="10">
        <f t="shared" si="15"/>
        <v>0</v>
      </c>
      <c r="AD53" s="8" t="str">
        <f>IFERROR(AC53/AC444, "NA")</f>
        <v>NA</v>
      </c>
    </row>
    <row r="54" spans="1:30" ht="16.5" hidden="1" customHeight="1" x14ac:dyDescent="0.45">
      <c r="A54" s="17" t="s">
        <v>52</v>
      </c>
      <c r="B54" s="7">
        <v>0</v>
      </c>
      <c r="C54" s="8" t="str">
        <f>IFERROR(B54/B444, "NA")</f>
        <v>NA</v>
      </c>
      <c r="D54" s="9"/>
      <c r="E54" s="7">
        <v>0</v>
      </c>
      <c r="F54" s="8" t="str">
        <f>IFERROR(E54/E444, "NA")</f>
        <v>NA</v>
      </c>
      <c r="G54" s="9"/>
      <c r="H54" s="10">
        <f t="shared" si="12"/>
        <v>0</v>
      </c>
      <c r="I54" s="8" t="str">
        <f>IFERROR(H54/H444, "NA")</f>
        <v>NA</v>
      </c>
      <c r="J54" s="9"/>
      <c r="K54" s="7">
        <v>0</v>
      </c>
      <c r="L54" s="8" t="str">
        <f>IFERROR(K54/K444, "NA")</f>
        <v>NA</v>
      </c>
      <c r="M54" s="9"/>
      <c r="N54" s="10">
        <f t="shared" si="13"/>
        <v>0</v>
      </c>
      <c r="O54" s="8" t="str">
        <f>IFERROR(N54/N444, "NA")</f>
        <v>NA</v>
      </c>
      <c r="P54" s="9"/>
      <c r="Q54" s="7">
        <v>0</v>
      </c>
      <c r="R54" s="8" t="str">
        <f>IFERROR(Q54/Q444, "NA")</f>
        <v>NA</v>
      </c>
      <c r="S54" s="9"/>
      <c r="T54" s="7">
        <v>0</v>
      </c>
      <c r="U54" s="8" t="str">
        <f>IFERROR(T54/T444, "NA")</f>
        <v>NA</v>
      </c>
      <c r="V54" s="9"/>
      <c r="W54" s="10">
        <f t="shared" si="14"/>
        <v>0</v>
      </c>
      <c r="X54" s="8" t="str">
        <f>IFERROR(W54/W444, "NA")</f>
        <v>NA</v>
      </c>
      <c r="Y54" s="9"/>
      <c r="Z54" s="7">
        <v>0</v>
      </c>
      <c r="AA54" s="8" t="str">
        <f>IFERROR(Z54/Z444, "NA")</f>
        <v>NA</v>
      </c>
      <c r="AB54" s="9"/>
      <c r="AC54" s="10">
        <f t="shared" si="15"/>
        <v>0</v>
      </c>
      <c r="AD54" s="8" t="str">
        <f>IFERROR(AC54/AC444, "NA")</f>
        <v>NA</v>
      </c>
    </row>
    <row r="55" spans="1:30" ht="16.5" hidden="1" customHeight="1" x14ac:dyDescent="0.45">
      <c r="A55" s="17" t="s">
        <v>53</v>
      </c>
      <c r="B55" s="7">
        <v>0</v>
      </c>
      <c r="C55" s="8" t="str">
        <f>IFERROR(B55/B444, "NA")</f>
        <v>NA</v>
      </c>
      <c r="D55" s="9"/>
      <c r="E55" s="7">
        <v>0</v>
      </c>
      <c r="F55" s="8" t="str">
        <f>IFERROR(E55/E444, "NA")</f>
        <v>NA</v>
      </c>
      <c r="G55" s="9"/>
      <c r="H55" s="10">
        <f t="shared" si="12"/>
        <v>0</v>
      </c>
      <c r="I55" s="8" t="str">
        <f>IFERROR(H55/H444, "NA")</f>
        <v>NA</v>
      </c>
      <c r="J55" s="9"/>
      <c r="K55" s="7">
        <v>0</v>
      </c>
      <c r="L55" s="8" t="str">
        <f>IFERROR(K55/K444, "NA")</f>
        <v>NA</v>
      </c>
      <c r="M55" s="9"/>
      <c r="N55" s="10">
        <f t="shared" si="13"/>
        <v>0</v>
      </c>
      <c r="O55" s="8" t="str">
        <f>IFERROR(N55/N444, "NA")</f>
        <v>NA</v>
      </c>
      <c r="P55" s="9"/>
      <c r="Q55" s="7">
        <v>0</v>
      </c>
      <c r="R55" s="8" t="str">
        <f>IFERROR(Q55/Q444, "NA")</f>
        <v>NA</v>
      </c>
      <c r="S55" s="9"/>
      <c r="T55" s="7">
        <v>0</v>
      </c>
      <c r="U55" s="8" t="str">
        <f>IFERROR(T55/T444, "NA")</f>
        <v>NA</v>
      </c>
      <c r="V55" s="9"/>
      <c r="W55" s="10">
        <f t="shared" si="14"/>
        <v>0</v>
      </c>
      <c r="X55" s="8" t="str">
        <f>IFERROR(W55/W444, "NA")</f>
        <v>NA</v>
      </c>
      <c r="Y55" s="9"/>
      <c r="Z55" s="7">
        <v>0</v>
      </c>
      <c r="AA55" s="8" t="str">
        <f>IFERROR(Z55/Z444, "NA")</f>
        <v>NA</v>
      </c>
      <c r="AB55" s="9"/>
      <c r="AC55" s="10">
        <f t="shared" si="15"/>
        <v>0</v>
      </c>
      <c r="AD55" s="8" t="str">
        <f>IFERROR(AC55/AC444, "NA")</f>
        <v>NA</v>
      </c>
    </row>
    <row r="56" spans="1:30" ht="16.5" hidden="1" customHeight="1" x14ac:dyDescent="0.45">
      <c r="A56" s="17" t="s">
        <v>54</v>
      </c>
      <c r="B56" s="7">
        <v>0</v>
      </c>
      <c r="C56" s="8" t="str">
        <f>IFERROR(B56/B444, "NA")</f>
        <v>NA</v>
      </c>
      <c r="D56" s="9"/>
      <c r="E56" s="7">
        <v>0</v>
      </c>
      <c r="F56" s="8" t="str">
        <f>IFERROR(E56/E444, "NA")</f>
        <v>NA</v>
      </c>
      <c r="G56" s="9"/>
      <c r="H56" s="10">
        <f t="shared" si="12"/>
        <v>0</v>
      </c>
      <c r="I56" s="8" t="str">
        <f>IFERROR(H56/H444, "NA")</f>
        <v>NA</v>
      </c>
      <c r="J56" s="9"/>
      <c r="K56" s="7">
        <v>0</v>
      </c>
      <c r="L56" s="8" t="str">
        <f>IFERROR(K56/K444, "NA")</f>
        <v>NA</v>
      </c>
      <c r="M56" s="9"/>
      <c r="N56" s="10">
        <f t="shared" si="13"/>
        <v>0</v>
      </c>
      <c r="O56" s="8" t="str">
        <f>IFERROR(N56/N444, "NA")</f>
        <v>NA</v>
      </c>
      <c r="P56" s="9"/>
      <c r="Q56" s="7">
        <v>0</v>
      </c>
      <c r="R56" s="8" t="str">
        <f>IFERROR(Q56/Q444, "NA")</f>
        <v>NA</v>
      </c>
      <c r="S56" s="9"/>
      <c r="T56" s="7">
        <v>0</v>
      </c>
      <c r="U56" s="8" t="str">
        <f>IFERROR(T56/T444, "NA")</f>
        <v>NA</v>
      </c>
      <c r="V56" s="9"/>
      <c r="W56" s="10">
        <f t="shared" si="14"/>
        <v>0</v>
      </c>
      <c r="X56" s="8" t="str">
        <f>IFERROR(W56/W444, "NA")</f>
        <v>NA</v>
      </c>
      <c r="Y56" s="9"/>
      <c r="Z56" s="7">
        <v>0</v>
      </c>
      <c r="AA56" s="8" t="str">
        <f>IFERROR(Z56/Z444, "NA")</f>
        <v>NA</v>
      </c>
      <c r="AB56" s="9"/>
      <c r="AC56" s="10">
        <f t="shared" si="15"/>
        <v>0</v>
      </c>
      <c r="AD56" s="8" t="str">
        <f>IFERROR(AC56/AC444, "NA")</f>
        <v>NA</v>
      </c>
    </row>
    <row r="57" spans="1:30" ht="16.5" hidden="1" customHeight="1" x14ac:dyDescent="0.45">
      <c r="A57" s="17" t="s">
        <v>55</v>
      </c>
      <c r="B57" s="7">
        <v>0</v>
      </c>
      <c r="C57" s="8" t="str">
        <f>IFERROR(B57/B444, "NA")</f>
        <v>NA</v>
      </c>
      <c r="D57" s="9"/>
      <c r="E57" s="7">
        <v>0</v>
      </c>
      <c r="F57" s="8" t="str">
        <f>IFERROR(E57/E444, "NA")</f>
        <v>NA</v>
      </c>
      <c r="G57" s="9"/>
      <c r="H57" s="10">
        <f t="shared" si="12"/>
        <v>0</v>
      </c>
      <c r="I57" s="8" t="str">
        <f>IFERROR(H57/H444, "NA")</f>
        <v>NA</v>
      </c>
      <c r="J57" s="9"/>
      <c r="K57" s="7">
        <v>0</v>
      </c>
      <c r="L57" s="8" t="str">
        <f>IFERROR(K57/K444, "NA")</f>
        <v>NA</v>
      </c>
      <c r="M57" s="9"/>
      <c r="N57" s="10">
        <f t="shared" si="13"/>
        <v>0</v>
      </c>
      <c r="O57" s="8" t="str">
        <f>IFERROR(N57/N444, "NA")</f>
        <v>NA</v>
      </c>
      <c r="P57" s="9"/>
      <c r="Q57" s="7">
        <v>0</v>
      </c>
      <c r="R57" s="8" t="str">
        <f>IFERROR(Q57/Q444, "NA")</f>
        <v>NA</v>
      </c>
      <c r="S57" s="9"/>
      <c r="T57" s="7">
        <v>0</v>
      </c>
      <c r="U57" s="8" t="str">
        <f>IFERROR(T57/T444, "NA")</f>
        <v>NA</v>
      </c>
      <c r="V57" s="9"/>
      <c r="W57" s="10">
        <f t="shared" si="14"/>
        <v>0</v>
      </c>
      <c r="X57" s="8" t="str">
        <f>IFERROR(W57/W444, "NA")</f>
        <v>NA</v>
      </c>
      <c r="Y57" s="9"/>
      <c r="Z57" s="7">
        <v>0</v>
      </c>
      <c r="AA57" s="8" t="str">
        <f>IFERROR(Z57/Z444, "NA")</f>
        <v>NA</v>
      </c>
      <c r="AB57" s="9"/>
      <c r="AC57" s="10">
        <f t="shared" si="15"/>
        <v>0</v>
      </c>
      <c r="AD57" s="8" t="str">
        <f>IFERROR(AC57/AC444, "NA")</f>
        <v>NA</v>
      </c>
    </row>
    <row r="58" spans="1:30" ht="16.5" hidden="1" customHeight="1" x14ac:dyDescent="0.45">
      <c r="A58" s="17" t="s">
        <v>56</v>
      </c>
      <c r="B58" s="7">
        <v>0</v>
      </c>
      <c r="C58" s="8" t="str">
        <f>IFERROR(B58/B444, "NA")</f>
        <v>NA</v>
      </c>
      <c r="D58" s="9"/>
      <c r="E58" s="7">
        <v>0</v>
      </c>
      <c r="F58" s="8" t="str">
        <f>IFERROR(E58/E444, "NA")</f>
        <v>NA</v>
      </c>
      <c r="G58" s="9"/>
      <c r="H58" s="10">
        <f t="shared" si="12"/>
        <v>0</v>
      </c>
      <c r="I58" s="8" t="str">
        <f>IFERROR(H58/H444, "NA")</f>
        <v>NA</v>
      </c>
      <c r="J58" s="9"/>
      <c r="K58" s="7">
        <v>0</v>
      </c>
      <c r="L58" s="8" t="str">
        <f>IFERROR(K58/K444, "NA")</f>
        <v>NA</v>
      </c>
      <c r="M58" s="9"/>
      <c r="N58" s="10">
        <f t="shared" si="13"/>
        <v>0</v>
      </c>
      <c r="O58" s="8" t="str">
        <f>IFERROR(N58/N444, "NA")</f>
        <v>NA</v>
      </c>
      <c r="P58" s="9"/>
      <c r="Q58" s="7">
        <v>0</v>
      </c>
      <c r="R58" s="8" t="str">
        <f>IFERROR(Q58/Q444, "NA")</f>
        <v>NA</v>
      </c>
      <c r="S58" s="9"/>
      <c r="T58" s="7">
        <v>0</v>
      </c>
      <c r="U58" s="8" t="str">
        <f>IFERROR(T58/T444, "NA")</f>
        <v>NA</v>
      </c>
      <c r="V58" s="9"/>
      <c r="W58" s="10">
        <f t="shared" si="14"/>
        <v>0</v>
      </c>
      <c r="X58" s="8" t="str">
        <f>IFERROR(W58/W444, "NA")</f>
        <v>NA</v>
      </c>
      <c r="Y58" s="9"/>
      <c r="Z58" s="7">
        <v>0</v>
      </c>
      <c r="AA58" s="8" t="str">
        <f>IFERROR(Z58/Z444, "NA")</f>
        <v>NA</v>
      </c>
      <c r="AB58" s="9"/>
      <c r="AC58" s="10">
        <f t="shared" si="15"/>
        <v>0</v>
      </c>
      <c r="AD58" s="8" t="str">
        <f>IFERROR(AC58/AC444, "NA")</f>
        <v>NA</v>
      </c>
    </row>
    <row r="59" spans="1:30" ht="16.5" hidden="1" customHeight="1" x14ac:dyDescent="0.45">
      <c r="A59" s="17" t="s">
        <v>57</v>
      </c>
      <c r="B59" s="7">
        <v>0</v>
      </c>
      <c r="C59" s="8" t="str">
        <f>IFERROR(B59/B444, "NA")</f>
        <v>NA</v>
      </c>
      <c r="D59" s="9"/>
      <c r="E59" s="7">
        <v>0</v>
      </c>
      <c r="F59" s="8" t="str">
        <f>IFERROR(E59/E444, "NA")</f>
        <v>NA</v>
      </c>
      <c r="G59" s="9"/>
      <c r="H59" s="10">
        <f t="shared" si="12"/>
        <v>0</v>
      </c>
      <c r="I59" s="8" t="str">
        <f>IFERROR(H59/H444, "NA")</f>
        <v>NA</v>
      </c>
      <c r="J59" s="9"/>
      <c r="K59" s="7">
        <v>0</v>
      </c>
      <c r="L59" s="8" t="str">
        <f>IFERROR(K59/K444, "NA")</f>
        <v>NA</v>
      </c>
      <c r="M59" s="9"/>
      <c r="N59" s="10">
        <f t="shared" si="13"/>
        <v>0</v>
      </c>
      <c r="O59" s="8" t="str">
        <f>IFERROR(N59/N444, "NA")</f>
        <v>NA</v>
      </c>
      <c r="P59" s="9"/>
      <c r="Q59" s="7">
        <v>0</v>
      </c>
      <c r="R59" s="8" t="str">
        <f>IFERROR(Q59/Q444, "NA")</f>
        <v>NA</v>
      </c>
      <c r="S59" s="9"/>
      <c r="T59" s="7">
        <v>0</v>
      </c>
      <c r="U59" s="8" t="str">
        <f>IFERROR(T59/T444, "NA")</f>
        <v>NA</v>
      </c>
      <c r="V59" s="9"/>
      <c r="W59" s="10">
        <f t="shared" si="14"/>
        <v>0</v>
      </c>
      <c r="X59" s="8" t="str">
        <f>IFERROR(W59/W444, "NA")</f>
        <v>NA</v>
      </c>
      <c r="Y59" s="9"/>
      <c r="Z59" s="7">
        <v>0</v>
      </c>
      <c r="AA59" s="8" t="str">
        <f>IFERROR(Z59/Z444, "NA")</f>
        <v>NA</v>
      </c>
      <c r="AB59" s="9"/>
      <c r="AC59" s="10">
        <f t="shared" si="15"/>
        <v>0</v>
      </c>
      <c r="AD59" s="8" t="str">
        <f>IFERROR(AC59/AC444, "NA")</f>
        <v>NA</v>
      </c>
    </row>
    <row r="60" spans="1:30" ht="16.5" hidden="1" customHeight="1" x14ac:dyDescent="0.45">
      <c r="A60" s="17" t="s">
        <v>58</v>
      </c>
      <c r="B60" s="7">
        <v>0</v>
      </c>
      <c r="C60" s="8" t="str">
        <f>IFERROR(B60/B444, "NA")</f>
        <v>NA</v>
      </c>
      <c r="D60" s="9"/>
      <c r="E60" s="7">
        <v>0</v>
      </c>
      <c r="F60" s="8" t="str">
        <f>IFERROR(E60/E444, "NA")</f>
        <v>NA</v>
      </c>
      <c r="G60" s="9"/>
      <c r="H60" s="10">
        <f t="shared" si="12"/>
        <v>0</v>
      </c>
      <c r="I60" s="8" t="str">
        <f>IFERROR(H60/H444, "NA")</f>
        <v>NA</v>
      </c>
      <c r="J60" s="9"/>
      <c r="K60" s="7">
        <v>0</v>
      </c>
      <c r="L60" s="8" t="str">
        <f>IFERROR(K60/K444, "NA")</f>
        <v>NA</v>
      </c>
      <c r="M60" s="9"/>
      <c r="N60" s="10">
        <f t="shared" si="13"/>
        <v>0</v>
      </c>
      <c r="O60" s="8" t="str">
        <f>IFERROR(N60/N444, "NA")</f>
        <v>NA</v>
      </c>
      <c r="P60" s="9"/>
      <c r="Q60" s="7">
        <v>0</v>
      </c>
      <c r="R60" s="8" t="str">
        <f>IFERROR(Q60/Q444, "NA")</f>
        <v>NA</v>
      </c>
      <c r="S60" s="9"/>
      <c r="T60" s="7">
        <v>0</v>
      </c>
      <c r="U60" s="8" t="str">
        <f>IFERROR(T60/T444, "NA")</f>
        <v>NA</v>
      </c>
      <c r="V60" s="9"/>
      <c r="W60" s="10">
        <f t="shared" si="14"/>
        <v>0</v>
      </c>
      <c r="X60" s="8" t="str">
        <f>IFERROR(W60/W444, "NA")</f>
        <v>NA</v>
      </c>
      <c r="Y60" s="9"/>
      <c r="Z60" s="7">
        <v>0</v>
      </c>
      <c r="AA60" s="8" t="str">
        <f>IFERROR(Z60/Z444, "NA")</f>
        <v>NA</v>
      </c>
      <c r="AB60" s="9"/>
      <c r="AC60" s="10">
        <f t="shared" si="15"/>
        <v>0</v>
      </c>
      <c r="AD60" s="8" t="str">
        <f>IFERROR(AC60/AC444, "NA")</f>
        <v>NA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0</v>
      </c>
      <c r="C61" s="15" t="str">
        <f>IFERROR(B61/B444, "NA")</f>
        <v>NA</v>
      </c>
      <c r="D61" s="2"/>
      <c r="E61" s="14">
        <f>IFERROR(E46+E47+E48+E49+E50+E51+E52+E53+E54+E55+E56+E57+E58+E59+E60, "NA")</f>
        <v>0</v>
      </c>
      <c r="F61" s="15" t="str">
        <f>IFERROR(E61/E444, "NA")</f>
        <v>NA</v>
      </c>
      <c r="G61" s="2"/>
      <c r="H61" s="14">
        <f t="shared" si="12"/>
        <v>0</v>
      </c>
      <c r="I61" s="15" t="str">
        <f>IFERROR(H61/H444, "NA")</f>
        <v>NA</v>
      </c>
      <c r="J61" s="2"/>
      <c r="K61" s="14">
        <f>IFERROR(K46+K47+K48+K49+K50+K51+K52+K53+K54+K55+K56+K57+K58+K59+K60, "NA")</f>
        <v>0</v>
      </c>
      <c r="L61" s="15" t="str">
        <f>IFERROR(K61/K444, "NA")</f>
        <v>NA</v>
      </c>
      <c r="M61" s="2"/>
      <c r="N61" s="14">
        <f t="shared" si="13"/>
        <v>0</v>
      </c>
      <c r="O61" s="15" t="str">
        <f>IFERROR(N61/N444, "NA")</f>
        <v>NA</v>
      </c>
      <c r="P61" s="2"/>
      <c r="Q61" s="14">
        <f>IFERROR(Q46+Q47+Q48+Q49+Q50+Q51+Q52+Q53+Q54+Q55+Q56+Q57+Q58+Q59+Q60, "NA")</f>
        <v>0</v>
      </c>
      <c r="R61" s="15" t="str">
        <f>IFERROR(Q61/Q444, "NA")</f>
        <v>NA</v>
      </c>
      <c r="S61" s="2"/>
      <c r="T61" s="14">
        <f>IFERROR(T46+T47+T48+T49+T50+T51+T52+T53+T54+T55+T56+T57+T58+T59+T60, "NA")</f>
        <v>0</v>
      </c>
      <c r="U61" s="15" t="str">
        <f>IFERROR(T61/T444, "NA")</f>
        <v>NA</v>
      </c>
      <c r="V61" s="2"/>
      <c r="W61" s="14">
        <f t="shared" si="14"/>
        <v>0</v>
      </c>
      <c r="X61" s="15" t="str">
        <f>IFERROR(W61/W444, "NA")</f>
        <v>NA</v>
      </c>
      <c r="Y61" s="2"/>
      <c r="Z61" s="14">
        <f>IFERROR(Z46+Z47+Z48+Z49+Z50+Z51+Z52+Z53+Z54+Z55+Z56+Z57+Z58+Z59+Z60, "NA")</f>
        <v>0</v>
      </c>
      <c r="AA61" s="15" t="str">
        <f>IFERROR(Z61/Z444, "NA")</f>
        <v>NA</v>
      </c>
      <c r="AB61" s="2"/>
      <c r="AC61" s="14">
        <f t="shared" si="15"/>
        <v>0</v>
      </c>
      <c r="AD61" s="15" t="str">
        <f>IFERROR(AC61/AC444, "NA")</f>
        <v>NA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0</v>
      </c>
      <c r="C62" s="15" t="str">
        <f>IFERROR(B62/B444, "NA")</f>
        <v>NA</v>
      </c>
      <c r="D62" s="2"/>
      <c r="E62" s="14">
        <f>IFERROR(E42+E43+E44+E46+E47+E48+E49+E50+E51+E52+E53+E54+E55+E56+E57+E58+E59+E60, "NA")</f>
        <v>0</v>
      </c>
      <c r="F62" s="15" t="str">
        <f>IFERROR(E62/E444, "NA")</f>
        <v>NA</v>
      </c>
      <c r="G62" s="2"/>
      <c r="H62" s="14">
        <f t="shared" si="12"/>
        <v>0</v>
      </c>
      <c r="I62" s="15" t="str">
        <f>IFERROR(H62/H444, "NA")</f>
        <v>NA</v>
      </c>
      <c r="J62" s="2"/>
      <c r="K62" s="14">
        <f>IFERROR(K42+K43+K44+K46+K47+K48+K49+K50+K51+K52+K53+K54+K55+K56+K57+K58+K59+K60, "NA")</f>
        <v>0</v>
      </c>
      <c r="L62" s="15" t="str">
        <f>IFERROR(K62/K444, "NA")</f>
        <v>NA</v>
      </c>
      <c r="M62" s="2"/>
      <c r="N62" s="14">
        <f t="shared" si="13"/>
        <v>0</v>
      </c>
      <c r="O62" s="15" t="str">
        <f>IFERROR(N62/N444, "NA")</f>
        <v>NA</v>
      </c>
      <c r="P62" s="2"/>
      <c r="Q62" s="14">
        <f>IFERROR(Q42+Q43+Q44+Q46+Q47+Q48+Q49+Q50+Q51+Q52+Q53+Q54+Q55+Q56+Q57+Q58+Q59+Q60, "NA")</f>
        <v>0</v>
      </c>
      <c r="R62" s="15" t="str">
        <f>IFERROR(Q62/Q444, "NA")</f>
        <v>NA</v>
      </c>
      <c r="S62" s="2"/>
      <c r="T62" s="14">
        <f>IFERROR(T42+T43+T44+T46+T47+T48+T49+T50+T51+T52+T53+T54+T55+T56+T57+T58+T59+T60, "NA")</f>
        <v>0</v>
      </c>
      <c r="U62" s="15" t="str">
        <f>IFERROR(T62/T444, "NA")</f>
        <v>NA</v>
      </c>
      <c r="V62" s="2"/>
      <c r="W62" s="14">
        <f t="shared" si="14"/>
        <v>0</v>
      </c>
      <c r="X62" s="15" t="str">
        <f>IFERROR(W62/W444, "NA")</f>
        <v>NA</v>
      </c>
      <c r="Y62" s="2"/>
      <c r="Z62" s="14">
        <f>IFERROR(Z42+Z43+Z44+Z46+Z47+Z48+Z49+Z50+Z51+Z52+Z53+Z54+Z55+Z56+Z57+Z58+Z59+Z60, "NA")</f>
        <v>0</v>
      </c>
      <c r="AA62" s="15" t="str">
        <f>IFERROR(Z62/Z444, "NA")</f>
        <v>NA</v>
      </c>
      <c r="AB62" s="2"/>
      <c r="AC62" s="14">
        <f t="shared" si="15"/>
        <v>0</v>
      </c>
      <c r="AD62" s="15" t="str">
        <f>IFERROR(AC62/AC444, "NA")</f>
        <v>NA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 t="str">
        <f>IFERROR(B64/B444, "NA")</f>
        <v>NA</v>
      </c>
      <c r="D64" s="9"/>
      <c r="E64" s="7">
        <v>0</v>
      </c>
      <c r="F64" s="8" t="str">
        <f>IFERROR(E64/E444, "NA")</f>
        <v>NA</v>
      </c>
      <c r="G64" s="9"/>
      <c r="H64" s="10">
        <f t="shared" ref="H64:H73" si="16">IFERROR(B64-E64, "NA")</f>
        <v>0</v>
      </c>
      <c r="I64" s="8" t="str">
        <f>IFERROR(H64/H444, "NA")</f>
        <v>NA</v>
      </c>
      <c r="J64" s="9"/>
      <c r="K64" s="7">
        <v>0</v>
      </c>
      <c r="L64" s="8" t="str">
        <f>IFERROR(K64/K444, "NA")</f>
        <v>NA</v>
      </c>
      <c r="M64" s="9"/>
      <c r="N64" s="10">
        <f t="shared" ref="N64:N73" si="17">IFERROR(B64-K64, "NA")</f>
        <v>0</v>
      </c>
      <c r="O64" s="8" t="str">
        <f>IFERROR(N64/N444, "NA")</f>
        <v>NA</v>
      </c>
      <c r="P64" s="9"/>
      <c r="Q64" s="7">
        <v>0</v>
      </c>
      <c r="R64" s="8" t="str">
        <f>IFERROR(Q64/Q444, "NA")</f>
        <v>NA</v>
      </c>
      <c r="S64" s="9"/>
      <c r="T64" s="7">
        <v>0</v>
      </c>
      <c r="U64" s="8" t="str">
        <f>IFERROR(T64/T444, "NA")</f>
        <v>NA</v>
      </c>
      <c r="V64" s="9"/>
      <c r="W64" s="10">
        <f t="shared" ref="W64:W73" si="18">IFERROR(Q64-T64, "NA")</f>
        <v>0</v>
      </c>
      <c r="X64" s="8" t="str">
        <f>IFERROR(W64/W444, "NA")</f>
        <v>NA</v>
      </c>
      <c r="Y64" s="9"/>
      <c r="Z64" s="7">
        <v>0</v>
      </c>
      <c r="AA64" s="8" t="str">
        <f>IFERROR(Z64/Z444, "NA")</f>
        <v>NA</v>
      </c>
      <c r="AB64" s="9"/>
      <c r="AC64" s="10">
        <f t="shared" ref="AC64:AC73" si="19">IFERROR(Q64-Z64, "NA")</f>
        <v>0</v>
      </c>
      <c r="AD64" s="8" t="str">
        <f>IFERROR(AC64/AC444, "NA")</f>
        <v>NA</v>
      </c>
    </row>
    <row r="65" spans="1:30" ht="16.5" hidden="1" customHeight="1" x14ac:dyDescent="0.45">
      <c r="A65" s="12" t="s">
        <v>62</v>
      </c>
      <c r="B65" s="7">
        <v>0</v>
      </c>
      <c r="C65" s="8" t="str">
        <f>IFERROR(B65/B444, "NA")</f>
        <v>NA</v>
      </c>
      <c r="D65" s="9"/>
      <c r="E65" s="7">
        <v>0</v>
      </c>
      <c r="F65" s="8" t="str">
        <f>IFERROR(E65/E444, "NA")</f>
        <v>NA</v>
      </c>
      <c r="G65" s="9"/>
      <c r="H65" s="10">
        <f t="shared" si="16"/>
        <v>0</v>
      </c>
      <c r="I65" s="8" t="str">
        <f>IFERROR(H65/H444, "NA")</f>
        <v>NA</v>
      </c>
      <c r="J65" s="9"/>
      <c r="K65" s="7">
        <v>0</v>
      </c>
      <c r="L65" s="8" t="str">
        <f>IFERROR(K65/K444, "NA")</f>
        <v>NA</v>
      </c>
      <c r="M65" s="9"/>
      <c r="N65" s="10">
        <f t="shared" si="17"/>
        <v>0</v>
      </c>
      <c r="O65" s="8" t="str">
        <f>IFERROR(N65/N444, "NA")</f>
        <v>NA</v>
      </c>
      <c r="P65" s="9"/>
      <c r="Q65" s="7">
        <v>0</v>
      </c>
      <c r="R65" s="8" t="str">
        <f>IFERROR(Q65/Q444, "NA")</f>
        <v>NA</v>
      </c>
      <c r="S65" s="9"/>
      <c r="T65" s="7">
        <v>0</v>
      </c>
      <c r="U65" s="8" t="str">
        <f>IFERROR(T65/T444, "NA")</f>
        <v>NA</v>
      </c>
      <c r="V65" s="9"/>
      <c r="W65" s="10">
        <f t="shared" si="18"/>
        <v>0</v>
      </c>
      <c r="X65" s="8" t="str">
        <f>IFERROR(W65/W444, "NA")</f>
        <v>NA</v>
      </c>
      <c r="Y65" s="9"/>
      <c r="Z65" s="7">
        <v>0</v>
      </c>
      <c r="AA65" s="8" t="str">
        <f>IFERROR(Z65/Z444, "NA")</f>
        <v>NA</v>
      </c>
      <c r="AB65" s="9"/>
      <c r="AC65" s="10">
        <f t="shared" si="19"/>
        <v>0</v>
      </c>
      <c r="AD65" s="8" t="str">
        <f>IFERROR(AC65/AC444, "NA")</f>
        <v>NA</v>
      </c>
    </row>
    <row r="66" spans="1:30" ht="16.5" hidden="1" customHeight="1" x14ac:dyDescent="0.45">
      <c r="A66" s="12" t="s">
        <v>63</v>
      </c>
      <c r="B66" s="7">
        <v>0</v>
      </c>
      <c r="C66" s="8" t="str">
        <f>IFERROR(B66/B444, "NA")</f>
        <v>NA</v>
      </c>
      <c r="D66" s="9"/>
      <c r="E66" s="7">
        <v>0</v>
      </c>
      <c r="F66" s="8" t="str">
        <f>IFERROR(E66/E444, "NA")</f>
        <v>NA</v>
      </c>
      <c r="G66" s="9"/>
      <c r="H66" s="10">
        <f t="shared" si="16"/>
        <v>0</v>
      </c>
      <c r="I66" s="8" t="str">
        <f>IFERROR(H66/H444, "NA")</f>
        <v>NA</v>
      </c>
      <c r="J66" s="9"/>
      <c r="K66" s="7">
        <v>0</v>
      </c>
      <c r="L66" s="8" t="str">
        <f>IFERROR(K66/K444, "NA")</f>
        <v>NA</v>
      </c>
      <c r="M66" s="9"/>
      <c r="N66" s="10">
        <f t="shared" si="17"/>
        <v>0</v>
      </c>
      <c r="O66" s="8" t="str">
        <f>IFERROR(N66/N444, "NA")</f>
        <v>NA</v>
      </c>
      <c r="P66" s="9"/>
      <c r="Q66" s="7">
        <v>0</v>
      </c>
      <c r="R66" s="8" t="str">
        <f>IFERROR(Q66/Q444, "NA")</f>
        <v>NA</v>
      </c>
      <c r="S66" s="9"/>
      <c r="T66" s="7">
        <v>0</v>
      </c>
      <c r="U66" s="8" t="str">
        <f>IFERROR(T66/T444, "NA")</f>
        <v>NA</v>
      </c>
      <c r="V66" s="9"/>
      <c r="W66" s="10">
        <f t="shared" si="18"/>
        <v>0</v>
      </c>
      <c r="X66" s="8" t="str">
        <f>IFERROR(W66/W444, "NA")</f>
        <v>NA</v>
      </c>
      <c r="Y66" s="9"/>
      <c r="Z66" s="7">
        <v>0</v>
      </c>
      <c r="AA66" s="8" t="str">
        <f>IFERROR(Z66/Z444, "NA")</f>
        <v>NA</v>
      </c>
      <c r="AB66" s="9"/>
      <c r="AC66" s="10">
        <f t="shared" si="19"/>
        <v>0</v>
      </c>
      <c r="AD66" s="8" t="str">
        <f>IFERROR(AC66/AC444, "NA")</f>
        <v>NA</v>
      </c>
    </row>
    <row r="67" spans="1:30" ht="16.5" hidden="1" customHeight="1" x14ac:dyDescent="0.45">
      <c r="A67" s="12" t="s">
        <v>64</v>
      </c>
      <c r="B67" s="7">
        <v>0</v>
      </c>
      <c r="C67" s="8" t="str">
        <f>IFERROR(B67/B444, "NA")</f>
        <v>NA</v>
      </c>
      <c r="D67" s="9"/>
      <c r="E67" s="7">
        <v>0</v>
      </c>
      <c r="F67" s="8" t="str">
        <f>IFERROR(E67/E444, "NA")</f>
        <v>NA</v>
      </c>
      <c r="G67" s="9"/>
      <c r="H67" s="10">
        <f t="shared" si="16"/>
        <v>0</v>
      </c>
      <c r="I67" s="8" t="str">
        <f>IFERROR(H67/H444, "NA")</f>
        <v>NA</v>
      </c>
      <c r="J67" s="9"/>
      <c r="K67" s="7">
        <v>0</v>
      </c>
      <c r="L67" s="8" t="str">
        <f>IFERROR(K67/K444, "NA")</f>
        <v>NA</v>
      </c>
      <c r="M67" s="9"/>
      <c r="N67" s="10">
        <f t="shared" si="17"/>
        <v>0</v>
      </c>
      <c r="O67" s="8" t="str">
        <f>IFERROR(N67/N444, "NA")</f>
        <v>NA</v>
      </c>
      <c r="P67" s="9"/>
      <c r="Q67" s="7">
        <v>0</v>
      </c>
      <c r="R67" s="8" t="str">
        <f>IFERROR(Q67/Q444, "NA")</f>
        <v>NA</v>
      </c>
      <c r="S67" s="9"/>
      <c r="T67" s="7">
        <v>0</v>
      </c>
      <c r="U67" s="8" t="str">
        <f>IFERROR(T67/T444, "NA")</f>
        <v>NA</v>
      </c>
      <c r="V67" s="9"/>
      <c r="W67" s="10">
        <f t="shared" si="18"/>
        <v>0</v>
      </c>
      <c r="X67" s="8" t="str">
        <f>IFERROR(W67/W444, "NA")</f>
        <v>NA</v>
      </c>
      <c r="Y67" s="9"/>
      <c r="Z67" s="7">
        <v>0</v>
      </c>
      <c r="AA67" s="8" t="str">
        <f>IFERROR(Z67/Z444, "NA")</f>
        <v>NA</v>
      </c>
      <c r="AB67" s="9"/>
      <c r="AC67" s="10">
        <f t="shared" si="19"/>
        <v>0</v>
      </c>
      <c r="AD67" s="8" t="str">
        <f>IFERROR(AC67/AC444, "NA")</f>
        <v>NA</v>
      </c>
    </row>
    <row r="68" spans="1:30" ht="16.5" hidden="1" customHeight="1" x14ac:dyDescent="0.45">
      <c r="A68" s="12" t="s">
        <v>65</v>
      </c>
      <c r="B68" s="7">
        <v>0</v>
      </c>
      <c r="C68" s="8" t="str">
        <f>IFERROR(B68/B444, "NA")</f>
        <v>NA</v>
      </c>
      <c r="D68" s="9"/>
      <c r="E68" s="7">
        <v>0</v>
      </c>
      <c r="F68" s="8" t="str">
        <f>IFERROR(E68/E444, "NA")</f>
        <v>NA</v>
      </c>
      <c r="G68" s="9"/>
      <c r="H68" s="10">
        <f t="shared" si="16"/>
        <v>0</v>
      </c>
      <c r="I68" s="8" t="str">
        <f>IFERROR(H68/H444, "NA")</f>
        <v>NA</v>
      </c>
      <c r="J68" s="9"/>
      <c r="K68" s="7">
        <v>0</v>
      </c>
      <c r="L68" s="8" t="str">
        <f>IFERROR(K68/K444, "NA")</f>
        <v>NA</v>
      </c>
      <c r="M68" s="9"/>
      <c r="N68" s="10">
        <f t="shared" si="17"/>
        <v>0</v>
      </c>
      <c r="O68" s="8" t="str">
        <f>IFERROR(N68/N444, "NA")</f>
        <v>NA</v>
      </c>
      <c r="P68" s="9"/>
      <c r="Q68" s="7">
        <v>0</v>
      </c>
      <c r="R68" s="8" t="str">
        <f>IFERROR(Q68/Q444, "NA")</f>
        <v>NA</v>
      </c>
      <c r="S68" s="9"/>
      <c r="T68" s="7">
        <v>0</v>
      </c>
      <c r="U68" s="8" t="str">
        <f>IFERROR(T68/T444, "NA")</f>
        <v>NA</v>
      </c>
      <c r="V68" s="9"/>
      <c r="W68" s="10">
        <f t="shared" si="18"/>
        <v>0</v>
      </c>
      <c r="X68" s="8" t="str">
        <f>IFERROR(W68/W444, "NA")</f>
        <v>NA</v>
      </c>
      <c r="Y68" s="9"/>
      <c r="Z68" s="7">
        <v>0</v>
      </c>
      <c r="AA68" s="8" t="str">
        <f>IFERROR(Z68/Z444, "NA")</f>
        <v>NA</v>
      </c>
      <c r="AB68" s="9"/>
      <c r="AC68" s="10">
        <f t="shared" si="19"/>
        <v>0</v>
      </c>
      <c r="AD68" s="8" t="str">
        <f>IFERROR(AC68/AC444, "NA")</f>
        <v>NA</v>
      </c>
    </row>
    <row r="69" spans="1:30" ht="16.5" hidden="1" customHeight="1" x14ac:dyDescent="0.45">
      <c r="A69" s="12" t="s">
        <v>66</v>
      </c>
      <c r="B69" s="7">
        <v>0</v>
      </c>
      <c r="C69" s="8" t="str">
        <f>IFERROR(B69/B444, "NA")</f>
        <v>NA</v>
      </c>
      <c r="D69" s="9"/>
      <c r="E69" s="7">
        <v>0</v>
      </c>
      <c r="F69" s="8" t="str">
        <f>IFERROR(E69/E444, "NA")</f>
        <v>NA</v>
      </c>
      <c r="G69" s="9"/>
      <c r="H69" s="10">
        <f t="shared" si="16"/>
        <v>0</v>
      </c>
      <c r="I69" s="8" t="str">
        <f>IFERROR(H69/H444, "NA")</f>
        <v>NA</v>
      </c>
      <c r="J69" s="9"/>
      <c r="K69" s="7">
        <v>0</v>
      </c>
      <c r="L69" s="8" t="str">
        <f>IFERROR(K69/K444, "NA")</f>
        <v>NA</v>
      </c>
      <c r="M69" s="9"/>
      <c r="N69" s="10">
        <f t="shared" si="17"/>
        <v>0</v>
      </c>
      <c r="O69" s="8" t="str">
        <f>IFERROR(N69/N444, "NA")</f>
        <v>NA</v>
      </c>
      <c r="P69" s="9"/>
      <c r="Q69" s="7">
        <v>0</v>
      </c>
      <c r="R69" s="8" t="str">
        <f>IFERROR(Q69/Q444, "NA")</f>
        <v>NA</v>
      </c>
      <c r="S69" s="9"/>
      <c r="T69" s="7">
        <v>0</v>
      </c>
      <c r="U69" s="8" t="str">
        <f>IFERROR(T69/T444, "NA")</f>
        <v>NA</v>
      </c>
      <c r="V69" s="9"/>
      <c r="W69" s="10">
        <f t="shared" si="18"/>
        <v>0</v>
      </c>
      <c r="X69" s="8" t="str">
        <f>IFERROR(W69/W444, "NA")</f>
        <v>NA</v>
      </c>
      <c r="Y69" s="9"/>
      <c r="Z69" s="7">
        <v>0</v>
      </c>
      <c r="AA69" s="8" t="str">
        <f>IFERROR(Z69/Z444, "NA")</f>
        <v>NA</v>
      </c>
      <c r="AB69" s="9"/>
      <c r="AC69" s="10">
        <f t="shared" si="19"/>
        <v>0</v>
      </c>
      <c r="AD69" s="8" t="str">
        <f>IFERROR(AC69/AC444, "NA")</f>
        <v>NA</v>
      </c>
    </row>
    <row r="70" spans="1:30" ht="16.5" hidden="1" customHeight="1" x14ac:dyDescent="0.45">
      <c r="A70" s="12" t="s">
        <v>67</v>
      </c>
      <c r="B70" s="7">
        <v>0</v>
      </c>
      <c r="C70" s="8" t="str">
        <f>IFERROR(B70/B444, "NA")</f>
        <v>NA</v>
      </c>
      <c r="D70" s="9"/>
      <c r="E70" s="7">
        <v>0</v>
      </c>
      <c r="F70" s="8" t="str">
        <f>IFERROR(E70/E444, "NA")</f>
        <v>NA</v>
      </c>
      <c r="G70" s="9"/>
      <c r="H70" s="10">
        <f t="shared" si="16"/>
        <v>0</v>
      </c>
      <c r="I70" s="8" t="str">
        <f>IFERROR(H70/H444, "NA")</f>
        <v>NA</v>
      </c>
      <c r="J70" s="9"/>
      <c r="K70" s="7">
        <v>0</v>
      </c>
      <c r="L70" s="8" t="str">
        <f>IFERROR(K70/K444, "NA")</f>
        <v>NA</v>
      </c>
      <c r="M70" s="9"/>
      <c r="N70" s="10">
        <f t="shared" si="17"/>
        <v>0</v>
      </c>
      <c r="O70" s="8" t="str">
        <f>IFERROR(N70/N444, "NA")</f>
        <v>NA</v>
      </c>
      <c r="P70" s="9"/>
      <c r="Q70" s="7">
        <v>0</v>
      </c>
      <c r="R70" s="8" t="str">
        <f>IFERROR(Q70/Q444, "NA")</f>
        <v>NA</v>
      </c>
      <c r="S70" s="9"/>
      <c r="T70" s="7">
        <v>0</v>
      </c>
      <c r="U70" s="8" t="str">
        <f>IFERROR(T70/T444, "NA")</f>
        <v>NA</v>
      </c>
      <c r="V70" s="9"/>
      <c r="W70" s="10">
        <f t="shared" si="18"/>
        <v>0</v>
      </c>
      <c r="X70" s="8" t="str">
        <f>IFERROR(W70/W444, "NA")</f>
        <v>NA</v>
      </c>
      <c r="Y70" s="9"/>
      <c r="Z70" s="7">
        <v>0</v>
      </c>
      <c r="AA70" s="8" t="str">
        <f>IFERROR(Z70/Z444, "NA")</f>
        <v>NA</v>
      </c>
      <c r="AB70" s="9"/>
      <c r="AC70" s="10">
        <f t="shared" si="19"/>
        <v>0</v>
      </c>
      <c r="AD70" s="8" t="str">
        <f>IFERROR(AC70/AC444, "NA")</f>
        <v>NA</v>
      </c>
    </row>
    <row r="71" spans="1:30" ht="16.5" hidden="1" customHeight="1" x14ac:dyDescent="0.45">
      <c r="A71" s="12" t="s">
        <v>68</v>
      </c>
      <c r="B71" s="7">
        <v>0</v>
      </c>
      <c r="C71" s="8" t="str">
        <f>IFERROR(B71/B444, "NA")</f>
        <v>NA</v>
      </c>
      <c r="D71" s="9"/>
      <c r="E71" s="7">
        <v>0</v>
      </c>
      <c r="F71" s="8" t="str">
        <f>IFERROR(E71/E444, "NA")</f>
        <v>NA</v>
      </c>
      <c r="G71" s="9"/>
      <c r="H71" s="10">
        <f t="shared" si="16"/>
        <v>0</v>
      </c>
      <c r="I71" s="8" t="str">
        <f>IFERROR(H71/H444, "NA")</f>
        <v>NA</v>
      </c>
      <c r="J71" s="9"/>
      <c r="K71" s="7">
        <v>0</v>
      </c>
      <c r="L71" s="8" t="str">
        <f>IFERROR(K71/K444, "NA")</f>
        <v>NA</v>
      </c>
      <c r="M71" s="9"/>
      <c r="N71" s="10">
        <f t="shared" si="17"/>
        <v>0</v>
      </c>
      <c r="O71" s="8" t="str">
        <f>IFERROR(N71/N444, "NA")</f>
        <v>NA</v>
      </c>
      <c r="P71" s="9"/>
      <c r="Q71" s="7">
        <v>0</v>
      </c>
      <c r="R71" s="8" t="str">
        <f>IFERROR(Q71/Q444, "NA")</f>
        <v>NA</v>
      </c>
      <c r="S71" s="9"/>
      <c r="T71" s="7">
        <v>0</v>
      </c>
      <c r="U71" s="8" t="str">
        <f>IFERROR(T71/T444, "NA")</f>
        <v>NA</v>
      </c>
      <c r="V71" s="9"/>
      <c r="W71" s="10">
        <f t="shared" si="18"/>
        <v>0</v>
      </c>
      <c r="X71" s="8" t="str">
        <f>IFERROR(W71/W444, "NA")</f>
        <v>NA</v>
      </c>
      <c r="Y71" s="9"/>
      <c r="Z71" s="7">
        <v>0</v>
      </c>
      <c r="AA71" s="8" t="str">
        <f>IFERROR(Z71/Z444, "NA")</f>
        <v>NA</v>
      </c>
      <c r="AB71" s="9"/>
      <c r="AC71" s="10">
        <f t="shared" si="19"/>
        <v>0</v>
      </c>
      <c r="AD71" s="8" t="str">
        <f>IFERROR(AC71/AC444, "NA")</f>
        <v>NA</v>
      </c>
    </row>
    <row r="72" spans="1:30" ht="16.5" hidden="1" customHeight="1" x14ac:dyDescent="0.45">
      <c r="A72" s="12" t="s">
        <v>69</v>
      </c>
      <c r="B72" s="7">
        <v>0</v>
      </c>
      <c r="C72" s="8" t="str">
        <f>IFERROR(B72/B444, "NA")</f>
        <v>NA</v>
      </c>
      <c r="D72" s="9"/>
      <c r="E72" s="7">
        <v>0</v>
      </c>
      <c r="F72" s="8" t="str">
        <f>IFERROR(E72/E444, "NA")</f>
        <v>NA</v>
      </c>
      <c r="G72" s="9"/>
      <c r="H72" s="10">
        <f t="shared" si="16"/>
        <v>0</v>
      </c>
      <c r="I72" s="8" t="str">
        <f>IFERROR(H72/H444, "NA")</f>
        <v>NA</v>
      </c>
      <c r="J72" s="9"/>
      <c r="K72" s="7">
        <v>0</v>
      </c>
      <c r="L72" s="8" t="str">
        <f>IFERROR(K72/K444, "NA")</f>
        <v>NA</v>
      </c>
      <c r="M72" s="9"/>
      <c r="N72" s="10">
        <f t="shared" si="17"/>
        <v>0</v>
      </c>
      <c r="O72" s="8" t="str">
        <f>IFERROR(N72/N444, "NA")</f>
        <v>NA</v>
      </c>
      <c r="P72" s="9"/>
      <c r="Q72" s="7">
        <v>0</v>
      </c>
      <c r="R72" s="8" t="str">
        <f>IFERROR(Q72/Q444, "NA")</f>
        <v>NA</v>
      </c>
      <c r="S72" s="9"/>
      <c r="T72" s="7">
        <v>0</v>
      </c>
      <c r="U72" s="8" t="str">
        <f>IFERROR(T72/T444, "NA")</f>
        <v>NA</v>
      </c>
      <c r="V72" s="9"/>
      <c r="W72" s="10">
        <f t="shared" si="18"/>
        <v>0</v>
      </c>
      <c r="X72" s="8" t="str">
        <f>IFERROR(W72/W444, "NA")</f>
        <v>NA</v>
      </c>
      <c r="Y72" s="9"/>
      <c r="Z72" s="7">
        <v>0</v>
      </c>
      <c r="AA72" s="8" t="str">
        <f>IFERROR(Z72/Z444, "NA")</f>
        <v>NA</v>
      </c>
      <c r="AB72" s="9"/>
      <c r="AC72" s="10">
        <f t="shared" si="19"/>
        <v>0</v>
      </c>
      <c r="AD72" s="8" t="str">
        <f>IFERROR(AC72/AC444, "NA")</f>
        <v>NA</v>
      </c>
    </row>
    <row r="73" spans="1:30" ht="16.5" customHeight="1" x14ac:dyDescent="0.45">
      <c r="A73" s="13" t="s">
        <v>70</v>
      </c>
      <c r="B73" s="14">
        <f>IFERROR(B64+B65+B66+B67+B68+B69+B70+B71+B72, "NA")</f>
        <v>0</v>
      </c>
      <c r="C73" s="15" t="str">
        <f>IFERROR(B73/B444, "NA")</f>
        <v>NA</v>
      </c>
      <c r="D73" s="2"/>
      <c r="E73" s="14">
        <f>IFERROR(E64+E65+E66+E67+E68+E69+E70+E71+E72, "NA")</f>
        <v>0</v>
      </c>
      <c r="F73" s="15" t="str">
        <f>IFERROR(E73/E444, "NA")</f>
        <v>NA</v>
      </c>
      <c r="G73" s="2"/>
      <c r="H73" s="14">
        <f t="shared" si="16"/>
        <v>0</v>
      </c>
      <c r="I73" s="15" t="str">
        <f>IFERROR(H73/H444, "NA")</f>
        <v>NA</v>
      </c>
      <c r="J73" s="2"/>
      <c r="K73" s="14">
        <f>IFERROR(K64+K65+K66+K67+K68+K69+K70+K71+K72, "NA")</f>
        <v>0</v>
      </c>
      <c r="L73" s="15" t="str">
        <f>IFERROR(K73/K444, "NA")</f>
        <v>NA</v>
      </c>
      <c r="M73" s="2"/>
      <c r="N73" s="14">
        <f t="shared" si="17"/>
        <v>0</v>
      </c>
      <c r="O73" s="15" t="str">
        <f>IFERROR(N73/N444, "NA")</f>
        <v>NA</v>
      </c>
      <c r="P73" s="2"/>
      <c r="Q73" s="14">
        <f>IFERROR(Q64+Q65+Q66+Q67+Q68+Q69+Q70+Q71+Q72, "NA")</f>
        <v>0</v>
      </c>
      <c r="R73" s="15" t="str">
        <f>IFERROR(Q73/Q444, "NA")</f>
        <v>NA</v>
      </c>
      <c r="S73" s="2"/>
      <c r="T73" s="14">
        <f>IFERROR(T64+T65+T66+T67+T68+T69+T70+T71+T72, "NA")</f>
        <v>0</v>
      </c>
      <c r="U73" s="15" t="str">
        <f>IFERROR(T73/T444, "NA")</f>
        <v>NA</v>
      </c>
      <c r="V73" s="2"/>
      <c r="W73" s="14">
        <f t="shared" si="18"/>
        <v>0</v>
      </c>
      <c r="X73" s="15" t="str">
        <f>IFERROR(W73/W444, "NA")</f>
        <v>NA</v>
      </c>
      <c r="Y73" s="2"/>
      <c r="Z73" s="14">
        <f>IFERROR(Z64+Z65+Z66+Z67+Z68+Z69+Z70+Z71+Z72, "NA")</f>
        <v>0</v>
      </c>
      <c r="AA73" s="15" t="str">
        <f>IFERROR(Z73/Z444, "NA")</f>
        <v>NA</v>
      </c>
      <c r="AB73" s="2"/>
      <c r="AC73" s="14">
        <f t="shared" si="19"/>
        <v>0</v>
      </c>
      <c r="AD73" s="15" t="str">
        <f>IFERROR(AC73/AC444, "NA")</f>
        <v>NA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hidden="1" customHeight="1" x14ac:dyDescent="0.45">
      <c r="A75" s="12" t="s">
        <v>71</v>
      </c>
      <c r="B75" s="7">
        <v>0</v>
      </c>
      <c r="C75" s="8" t="str">
        <f>IFERROR(B75/B444, "NA")</f>
        <v>NA</v>
      </c>
      <c r="D75" s="9"/>
      <c r="E75" s="7">
        <v>0</v>
      </c>
      <c r="F75" s="8" t="str">
        <f>IFERROR(E75/E444, "NA")</f>
        <v>NA</v>
      </c>
      <c r="G75" s="9"/>
      <c r="H75" s="10">
        <f t="shared" ref="H75:H92" si="20">IFERROR(B75-E75, "NA")</f>
        <v>0</v>
      </c>
      <c r="I75" s="8" t="str">
        <f>IFERROR(H75/H444, "NA")</f>
        <v>NA</v>
      </c>
      <c r="J75" s="9"/>
      <c r="K75" s="7">
        <v>0</v>
      </c>
      <c r="L75" s="8" t="str">
        <f>IFERROR(K75/K444, "NA")</f>
        <v>NA</v>
      </c>
      <c r="M75" s="9"/>
      <c r="N75" s="10">
        <f t="shared" ref="N75:N92" si="21">IFERROR(B75-K75, "NA")</f>
        <v>0</v>
      </c>
      <c r="O75" s="8" t="str">
        <f>IFERROR(N75/N444, "NA")</f>
        <v>NA</v>
      </c>
      <c r="P75" s="9"/>
      <c r="Q75" s="7">
        <v>0</v>
      </c>
      <c r="R75" s="8" t="str">
        <f>IFERROR(Q75/Q444, "NA")</f>
        <v>NA</v>
      </c>
      <c r="S75" s="9"/>
      <c r="T75" s="7">
        <v>0</v>
      </c>
      <c r="U75" s="8" t="str">
        <f>IFERROR(T75/T444, "NA")</f>
        <v>NA</v>
      </c>
      <c r="V75" s="9"/>
      <c r="W75" s="10">
        <f t="shared" ref="W75:W92" si="22">IFERROR(Q75-T75, "NA")</f>
        <v>0</v>
      </c>
      <c r="X75" s="8" t="str">
        <f>IFERROR(W75/W444, "NA")</f>
        <v>NA</v>
      </c>
      <c r="Y75" s="9"/>
      <c r="Z75" s="7">
        <v>0</v>
      </c>
      <c r="AA75" s="8" t="str">
        <f>IFERROR(Z75/Z444, "NA")</f>
        <v>NA</v>
      </c>
      <c r="AB75" s="9"/>
      <c r="AC75" s="10">
        <f t="shared" ref="AC75:AC92" si="23">IFERROR(Q75-Z75, "NA")</f>
        <v>0</v>
      </c>
      <c r="AD75" s="8" t="str">
        <f>IFERROR(AC75/AC444, "NA")</f>
        <v>NA</v>
      </c>
    </row>
    <row r="76" spans="1:30" ht="16.5" hidden="1" customHeight="1" x14ac:dyDescent="0.45">
      <c r="A76" s="12" t="s">
        <v>72</v>
      </c>
      <c r="B76" s="7">
        <v>0</v>
      </c>
      <c r="C76" s="8" t="str">
        <f>IFERROR(B76/B444, "NA")</f>
        <v>NA</v>
      </c>
      <c r="D76" s="9"/>
      <c r="E76" s="7">
        <v>0</v>
      </c>
      <c r="F76" s="8" t="str">
        <f>IFERROR(E76/E444, "NA")</f>
        <v>NA</v>
      </c>
      <c r="G76" s="9"/>
      <c r="H76" s="10">
        <f t="shared" si="20"/>
        <v>0</v>
      </c>
      <c r="I76" s="8" t="str">
        <f>IFERROR(H76/H444, "NA")</f>
        <v>NA</v>
      </c>
      <c r="J76" s="9"/>
      <c r="K76" s="7">
        <v>0</v>
      </c>
      <c r="L76" s="8" t="str">
        <f>IFERROR(K76/K444, "NA")</f>
        <v>NA</v>
      </c>
      <c r="M76" s="9"/>
      <c r="N76" s="10">
        <f t="shared" si="21"/>
        <v>0</v>
      </c>
      <c r="O76" s="8" t="str">
        <f>IFERROR(N76/N444, "NA")</f>
        <v>NA</v>
      </c>
      <c r="P76" s="9"/>
      <c r="Q76" s="7">
        <v>0</v>
      </c>
      <c r="R76" s="8" t="str">
        <f>IFERROR(Q76/Q444, "NA")</f>
        <v>NA</v>
      </c>
      <c r="S76" s="9"/>
      <c r="T76" s="7">
        <v>0</v>
      </c>
      <c r="U76" s="8" t="str">
        <f>IFERROR(T76/T444, "NA")</f>
        <v>NA</v>
      </c>
      <c r="V76" s="9"/>
      <c r="W76" s="10">
        <f t="shared" si="22"/>
        <v>0</v>
      </c>
      <c r="X76" s="8" t="str">
        <f>IFERROR(W76/W444, "NA")</f>
        <v>NA</v>
      </c>
      <c r="Y76" s="9"/>
      <c r="Z76" s="7">
        <v>0</v>
      </c>
      <c r="AA76" s="8" t="str">
        <f>IFERROR(Z76/Z444, "NA")</f>
        <v>NA</v>
      </c>
      <c r="AB76" s="9"/>
      <c r="AC76" s="10">
        <f t="shared" si="23"/>
        <v>0</v>
      </c>
      <c r="AD76" s="8" t="str">
        <f>IFERROR(AC76/AC444, "NA")</f>
        <v>NA</v>
      </c>
    </row>
    <row r="77" spans="1:30" ht="16.5" hidden="1" customHeight="1" x14ac:dyDescent="0.45">
      <c r="A77" s="12" t="s">
        <v>73</v>
      </c>
      <c r="B77" s="7">
        <v>0</v>
      </c>
      <c r="C77" s="8" t="str">
        <f>IFERROR(B77/B444, "NA")</f>
        <v>NA</v>
      </c>
      <c r="D77" s="9"/>
      <c r="E77" s="7">
        <v>0</v>
      </c>
      <c r="F77" s="8" t="str">
        <f>IFERROR(E77/E444, "NA")</f>
        <v>NA</v>
      </c>
      <c r="G77" s="9"/>
      <c r="H77" s="10">
        <f t="shared" si="20"/>
        <v>0</v>
      </c>
      <c r="I77" s="8" t="str">
        <f>IFERROR(H77/H444, "NA")</f>
        <v>NA</v>
      </c>
      <c r="J77" s="9"/>
      <c r="K77" s="7">
        <v>0</v>
      </c>
      <c r="L77" s="8" t="str">
        <f>IFERROR(K77/K444, "NA")</f>
        <v>NA</v>
      </c>
      <c r="M77" s="9"/>
      <c r="N77" s="10">
        <f t="shared" si="21"/>
        <v>0</v>
      </c>
      <c r="O77" s="8" t="str">
        <f>IFERROR(N77/N444, "NA")</f>
        <v>NA</v>
      </c>
      <c r="P77" s="9"/>
      <c r="Q77" s="7">
        <v>0</v>
      </c>
      <c r="R77" s="8" t="str">
        <f>IFERROR(Q77/Q444, "NA")</f>
        <v>NA</v>
      </c>
      <c r="S77" s="9"/>
      <c r="T77" s="7">
        <v>0</v>
      </c>
      <c r="U77" s="8" t="str">
        <f>IFERROR(T77/T444, "NA")</f>
        <v>NA</v>
      </c>
      <c r="V77" s="9"/>
      <c r="W77" s="10">
        <f t="shared" si="22"/>
        <v>0</v>
      </c>
      <c r="X77" s="8" t="str">
        <f>IFERROR(W77/W444, "NA")</f>
        <v>NA</v>
      </c>
      <c r="Y77" s="9"/>
      <c r="Z77" s="7">
        <v>0</v>
      </c>
      <c r="AA77" s="8" t="str">
        <f>IFERROR(Z77/Z444, "NA")</f>
        <v>NA</v>
      </c>
      <c r="AB77" s="9"/>
      <c r="AC77" s="10">
        <f t="shared" si="23"/>
        <v>0</v>
      </c>
      <c r="AD77" s="8" t="str">
        <f>IFERROR(AC77/AC444, "NA")</f>
        <v>NA</v>
      </c>
    </row>
    <row r="78" spans="1:30" ht="16.5" hidden="1" customHeight="1" x14ac:dyDescent="0.45">
      <c r="A78" s="12" t="s">
        <v>74</v>
      </c>
      <c r="B78" s="7">
        <v>0</v>
      </c>
      <c r="C78" s="8" t="str">
        <f>IFERROR(B78/B444, "NA")</f>
        <v>NA</v>
      </c>
      <c r="D78" s="9"/>
      <c r="E78" s="7">
        <v>0</v>
      </c>
      <c r="F78" s="8" t="str">
        <f>IFERROR(E78/E444, "NA")</f>
        <v>NA</v>
      </c>
      <c r="G78" s="9"/>
      <c r="H78" s="10">
        <f t="shared" si="20"/>
        <v>0</v>
      </c>
      <c r="I78" s="8" t="str">
        <f>IFERROR(H78/H444, "NA")</f>
        <v>NA</v>
      </c>
      <c r="J78" s="9"/>
      <c r="K78" s="7">
        <v>0</v>
      </c>
      <c r="L78" s="8" t="str">
        <f>IFERROR(K78/K444, "NA")</f>
        <v>NA</v>
      </c>
      <c r="M78" s="9"/>
      <c r="N78" s="10">
        <f t="shared" si="21"/>
        <v>0</v>
      </c>
      <c r="O78" s="8" t="str">
        <f>IFERROR(N78/N444, "NA")</f>
        <v>NA</v>
      </c>
      <c r="P78" s="9"/>
      <c r="Q78" s="7">
        <v>0</v>
      </c>
      <c r="R78" s="8" t="str">
        <f>IFERROR(Q78/Q444, "NA")</f>
        <v>NA</v>
      </c>
      <c r="S78" s="9"/>
      <c r="T78" s="7">
        <v>0</v>
      </c>
      <c r="U78" s="8" t="str">
        <f>IFERROR(T78/T444, "NA")</f>
        <v>NA</v>
      </c>
      <c r="V78" s="9"/>
      <c r="W78" s="10">
        <f t="shared" si="22"/>
        <v>0</v>
      </c>
      <c r="X78" s="8" t="str">
        <f>IFERROR(W78/W444, "NA")</f>
        <v>NA</v>
      </c>
      <c r="Y78" s="9"/>
      <c r="Z78" s="7">
        <v>0</v>
      </c>
      <c r="AA78" s="8" t="str">
        <f>IFERROR(Z78/Z444, "NA")</f>
        <v>NA</v>
      </c>
      <c r="AB78" s="9"/>
      <c r="AC78" s="10">
        <f t="shared" si="23"/>
        <v>0</v>
      </c>
      <c r="AD78" s="8" t="str">
        <f>IFERROR(AC78/AC444, "NA")</f>
        <v>NA</v>
      </c>
    </row>
    <row r="79" spans="1:30" ht="16.5" hidden="1" customHeight="1" x14ac:dyDescent="0.45">
      <c r="A79" s="12" t="s">
        <v>75</v>
      </c>
      <c r="B79" s="7">
        <v>0</v>
      </c>
      <c r="C79" s="8" t="str">
        <f>IFERROR(B79/B444, "NA")</f>
        <v>NA</v>
      </c>
      <c r="D79" s="9"/>
      <c r="E79" s="7">
        <v>0</v>
      </c>
      <c r="F79" s="8" t="str">
        <f>IFERROR(E79/E444, "NA")</f>
        <v>NA</v>
      </c>
      <c r="G79" s="9"/>
      <c r="H79" s="10">
        <f t="shared" si="20"/>
        <v>0</v>
      </c>
      <c r="I79" s="8" t="str">
        <f>IFERROR(H79/H444, "NA")</f>
        <v>NA</v>
      </c>
      <c r="J79" s="9"/>
      <c r="K79" s="7">
        <v>0</v>
      </c>
      <c r="L79" s="8" t="str">
        <f>IFERROR(K79/K444, "NA")</f>
        <v>NA</v>
      </c>
      <c r="M79" s="9"/>
      <c r="N79" s="10">
        <f t="shared" si="21"/>
        <v>0</v>
      </c>
      <c r="O79" s="8" t="str">
        <f>IFERROR(N79/N444, "NA")</f>
        <v>NA</v>
      </c>
      <c r="P79" s="9"/>
      <c r="Q79" s="7">
        <v>0</v>
      </c>
      <c r="R79" s="8" t="str">
        <f>IFERROR(Q79/Q444, "NA")</f>
        <v>NA</v>
      </c>
      <c r="S79" s="9"/>
      <c r="T79" s="7">
        <v>0</v>
      </c>
      <c r="U79" s="8" t="str">
        <f>IFERROR(T79/T444, "NA")</f>
        <v>NA</v>
      </c>
      <c r="V79" s="9"/>
      <c r="W79" s="10">
        <f t="shared" si="22"/>
        <v>0</v>
      </c>
      <c r="X79" s="8" t="str">
        <f>IFERROR(W79/W444, "NA")</f>
        <v>NA</v>
      </c>
      <c r="Y79" s="9"/>
      <c r="Z79" s="7">
        <v>0</v>
      </c>
      <c r="AA79" s="8" t="str">
        <f>IFERROR(Z79/Z444, "NA")</f>
        <v>NA</v>
      </c>
      <c r="AB79" s="9"/>
      <c r="AC79" s="10">
        <f t="shared" si="23"/>
        <v>0</v>
      </c>
      <c r="AD79" s="8" t="str">
        <f>IFERROR(AC79/AC444, "NA")</f>
        <v>NA</v>
      </c>
    </row>
    <row r="80" spans="1:30" ht="16.5" hidden="1" customHeight="1" x14ac:dyDescent="0.45">
      <c r="A80" s="12" t="s">
        <v>76</v>
      </c>
      <c r="B80" s="7">
        <v>0</v>
      </c>
      <c r="C80" s="8" t="str">
        <f>IFERROR(B80/B444, "NA")</f>
        <v>NA</v>
      </c>
      <c r="D80" s="9"/>
      <c r="E80" s="7">
        <v>0</v>
      </c>
      <c r="F80" s="8" t="str">
        <f>IFERROR(E80/E444, "NA")</f>
        <v>NA</v>
      </c>
      <c r="G80" s="9"/>
      <c r="H80" s="10">
        <f t="shared" si="20"/>
        <v>0</v>
      </c>
      <c r="I80" s="8" t="str">
        <f>IFERROR(H80/H444, "NA")</f>
        <v>NA</v>
      </c>
      <c r="J80" s="9"/>
      <c r="K80" s="7">
        <v>0</v>
      </c>
      <c r="L80" s="8" t="str">
        <f>IFERROR(K80/K444, "NA")</f>
        <v>NA</v>
      </c>
      <c r="M80" s="9"/>
      <c r="N80" s="10">
        <f t="shared" si="21"/>
        <v>0</v>
      </c>
      <c r="O80" s="8" t="str">
        <f>IFERROR(N80/N444, "NA")</f>
        <v>NA</v>
      </c>
      <c r="P80" s="9"/>
      <c r="Q80" s="7">
        <v>0</v>
      </c>
      <c r="R80" s="8" t="str">
        <f>IFERROR(Q80/Q444, "NA")</f>
        <v>NA</v>
      </c>
      <c r="S80" s="9"/>
      <c r="T80" s="7">
        <v>0</v>
      </c>
      <c r="U80" s="8" t="str">
        <f>IFERROR(T80/T444, "NA")</f>
        <v>NA</v>
      </c>
      <c r="V80" s="9"/>
      <c r="W80" s="10">
        <f t="shared" si="22"/>
        <v>0</v>
      </c>
      <c r="X80" s="8" t="str">
        <f>IFERROR(W80/W444, "NA")</f>
        <v>NA</v>
      </c>
      <c r="Y80" s="9"/>
      <c r="Z80" s="7">
        <v>0</v>
      </c>
      <c r="AA80" s="8" t="str">
        <f>IFERROR(Z80/Z444, "NA")</f>
        <v>NA</v>
      </c>
      <c r="AB80" s="9"/>
      <c r="AC80" s="10">
        <f t="shared" si="23"/>
        <v>0</v>
      </c>
      <c r="AD80" s="8" t="str">
        <f>IFERROR(AC80/AC444, "NA")</f>
        <v>NA</v>
      </c>
    </row>
    <row r="81" spans="1:30" ht="16.5" hidden="1" customHeight="1" x14ac:dyDescent="0.45">
      <c r="A81" s="12" t="s">
        <v>77</v>
      </c>
      <c r="B81" s="7">
        <v>0</v>
      </c>
      <c r="C81" s="8" t="str">
        <f>IFERROR(B81/B444, "NA")</f>
        <v>NA</v>
      </c>
      <c r="D81" s="9"/>
      <c r="E81" s="7">
        <v>0</v>
      </c>
      <c r="F81" s="8" t="str">
        <f>IFERROR(E81/E444, "NA")</f>
        <v>NA</v>
      </c>
      <c r="G81" s="9"/>
      <c r="H81" s="10">
        <f t="shared" si="20"/>
        <v>0</v>
      </c>
      <c r="I81" s="8" t="str">
        <f>IFERROR(H81/H444, "NA")</f>
        <v>NA</v>
      </c>
      <c r="J81" s="9"/>
      <c r="K81" s="7">
        <v>0</v>
      </c>
      <c r="L81" s="8" t="str">
        <f>IFERROR(K81/K444, "NA")</f>
        <v>NA</v>
      </c>
      <c r="M81" s="9"/>
      <c r="N81" s="10">
        <f t="shared" si="21"/>
        <v>0</v>
      </c>
      <c r="O81" s="8" t="str">
        <f>IFERROR(N81/N444, "NA")</f>
        <v>NA</v>
      </c>
      <c r="P81" s="9"/>
      <c r="Q81" s="7">
        <v>0</v>
      </c>
      <c r="R81" s="8" t="str">
        <f>IFERROR(Q81/Q444, "NA")</f>
        <v>NA</v>
      </c>
      <c r="S81" s="9"/>
      <c r="T81" s="7">
        <v>0</v>
      </c>
      <c r="U81" s="8" t="str">
        <f>IFERROR(T81/T444, "NA")</f>
        <v>NA</v>
      </c>
      <c r="V81" s="9"/>
      <c r="W81" s="10">
        <f t="shared" si="22"/>
        <v>0</v>
      </c>
      <c r="X81" s="8" t="str">
        <f>IFERROR(W81/W444, "NA")</f>
        <v>NA</v>
      </c>
      <c r="Y81" s="9"/>
      <c r="Z81" s="7">
        <v>0</v>
      </c>
      <c r="AA81" s="8" t="str">
        <f>IFERROR(Z81/Z444, "NA")</f>
        <v>NA</v>
      </c>
      <c r="AB81" s="9"/>
      <c r="AC81" s="10">
        <f t="shared" si="23"/>
        <v>0</v>
      </c>
      <c r="AD81" s="8" t="str">
        <f>IFERROR(AC81/AC444, "NA")</f>
        <v>NA</v>
      </c>
    </row>
    <row r="82" spans="1:30" ht="16.5" hidden="1" customHeight="1" x14ac:dyDescent="0.45">
      <c r="A82" s="12" t="s">
        <v>78</v>
      </c>
      <c r="B82" s="7">
        <v>0</v>
      </c>
      <c r="C82" s="8" t="str">
        <f>IFERROR(B82/B444, "NA")</f>
        <v>NA</v>
      </c>
      <c r="D82" s="9"/>
      <c r="E82" s="7">
        <v>0</v>
      </c>
      <c r="F82" s="8" t="str">
        <f>IFERROR(E82/E444, "NA")</f>
        <v>NA</v>
      </c>
      <c r="G82" s="9"/>
      <c r="H82" s="10">
        <f t="shared" si="20"/>
        <v>0</v>
      </c>
      <c r="I82" s="8" t="str">
        <f>IFERROR(H82/H444, "NA")</f>
        <v>NA</v>
      </c>
      <c r="J82" s="9"/>
      <c r="K82" s="7">
        <v>0</v>
      </c>
      <c r="L82" s="8" t="str">
        <f>IFERROR(K82/K444, "NA")</f>
        <v>NA</v>
      </c>
      <c r="M82" s="9"/>
      <c r="N82" s="10">
        <f t="shared" si="21"/>
        <v>0</v>
      </c>
      <c r="O82" s="8" t="str">
        <f>IFERROR(N82/N444, "NA")</f>
        <v>NA</v>
      </c>
      <c r="P82" s="9"/>
      <c r="Q82" s="7">
        <v>0</v>
      </c>
      <c r="R82" s="8" t="str">
        <f>IFERROR(Q82/Q444, "NA")</f>
        <v>NA</v>
      </c>
      <c r="S82" s="9"/>
      <c r="T82" s="7">
        <v>0</v>
      </c>
      <c r="U82" s="8" t="str">
        <f>IFERROR(T82/T444, "NA")</f>
        <v>NA</v>
      </c>
      <c r="V82" s="9"/>
      <c r="W82" s="10">
        <f t="shared" si="22"/>
        <v>0</v>
      </c>
      <c r="X82" s="8" t="str">
        <f>IFERROR(W82/W444, "NA")</f>
        <v>NA</v>
      </c>
      <c r="Y82" s="9"/>
      <c r="Z82" s="7">
        <v>0</v>
      </c>
      <c r="AA82" s="8" t="str">
        <f>IFERROR(Z82/Z444, "NA")</f>
        <v>NA</v>
      </c>
      <c r="AB82" s="9"/>
      <c r="AC82" s="10">
        <f t="shared" si="23"/>
        <v>0</v>
      </c>
      <c r="AD82" s="8" t="str">
        <f>IFERROR(AC82/AC444, "NA")</f>
        <v>NA</v>
      </c>
    </row>
    <row r="83" spans="1:30" ht="16.5" hidden="1" customHeight="1" x14ac:dyDescent="0.45">
      <c r="A83" s="12" t="s">
        <v>79</v>
      </c>
      <c r="B83" s="7">
        <v>0</v>
      </c>
      <c r="C83" s="8" t="str">
        <f>IFERROR(B83/B444, "NA")</f>
        <v>NA</v>
      </c>
      <c r="D83" s="9"/>
      <c r="E83" s="7">
        <v>0</v>
      </c>
      <c r="F83" s="8" t="str">
        <f>IFERROR(E83/E444, "NA")</f>
        <v>NA</v>
      </c>
      <c r="G83" s="9"/>
      <c r="H83" s="10">
        <f t="shared" si="20"/>
        <v>0</v>
      </c>
      <c r="I83" s="8" t="str">
        <f>IFERROR(H83/H444, "NA")</f>
        <v>NA</v>
      </c>
      <c r="J83" s="9"/>
      <c r="K83" s="7">
        <v>0</v>
      </c>
      <c r="L83" s="8" t="str">
        <f>IFERROR(K83/K444, "NA")</f>
        <v>NA</v>
      </c>
      <c r="M83" s="9"/>
      <c r="N83" s="10">
        <f t="shared" si="21"/>
        <v>0</v>
      </c>
      <c r="O83" s="8" t="str">
        <f>IFERROR(N83/N444, "NA")</f>
        <v>NA</v>
      </c>
      <c r="P83" s="9"/>
      <c r="Q83" s="7">
        <v>0</v>
      </c>
      <c r="R83" s="8" t="str">
        <f>IFERROR(Q83/Q444, "NA")</f>
        <v>NA</v>
      </c>
      <c r="S83" s="9"/>
      <c r="T83" s="7">
        <v>0</v>
      </c>
      <c r="U83" s="8" t="str">
        <f>IFERROR(T83/T444, "NA")</f>
        <v>NA</v>
      </c>
      <c r="V83" s="9"/>
      <c r="W83" s="10">
        <f t="shared" si="22"/>
        <v>0</v>
      </c>
      <c r="X83" s="8" t="str">
        <f>IFERROR(W83/W444, "NA")</f>
        <v>NA</v>
      </c>
      <c r="Y83" s="9"/>
      <c r="Z83" s="7">
        <v>0</v>
      </c>
      <c r="AA83" s="8" t="str">
        <f>IFERROR(Z83/Z444, "NA")</f>
        <v>NA</v>
      </c>
      <c r="AB83" s="9"/>
      <c r="AC83" s="10">
        <f t="shared" si="23"/>
        <v>0</v>
      </c>
      <c r="AD83" s="8" t="str">
        <f>IFERROR(AC83/AC444, "NA")</f>
        <v>NA</v>
      </c>
    </row>
    <row r="84" spans="1:30" ht="16.5" hidden="1" customHeight="1" x14ac:dyDescent="0.45">
      <c r="A84" s="12" t="s">
        <v>80</v>
      </c>
      <c r="B84" s="7">
        <v>0</v>
      </c>
      <c r="C84" s="8" t="str">
        <f>IFERROR(B84/B444, "NA")</f>
        <v>NA</v>
      </c>
      <c r="D84" s="9"/>
      <c r="E84" s="7">
        <v>0</v>
      </c>
      <c r="F84" s="8" t="str">
        <f>IFERROR(E84/E444, "NA")</f>
        <v>NA</v>
      </c>
      <c r="G84" s="9"/>
      <c r="H84" s="10">
        <f t="shared" si="20"/>
        <v>0</v>
      </c>
      <c r="I84" s="8" t="str">
        <f>IFERROR(H84/H444, "NA")</f>
        <v>NA</v>
      </c>
      <c r="J84" s="9"/>
      <c r="K84" s="7">
        <v>0</v>
      </c>
      <c r="L84" s="8" t="str">
        <f>IFERROR(K84/K444, "NA")</f>
        <v>NA</v>
      </c>
      <c r="M84" s="9"/>
      <c r="N84" s="10">
        <f t="shared" si="21"/>
        <v>0</v>
      </c>
      <c r="O84" s="8" t="str">
        <f>IFERROR(N84/N444, "NA")</f>
        <v>NA</v>
      </c>
      <c r="P84" s="9"/>
      <c r="Q84" s="7">
        <v>0</v>
      </c>
      <c r="R84" s="8" t="str">
        <f>IFERROR(Q84/Q444, "NA")</f>
        <v>NA</v>
      </c>
      <c r="S84" s="9"/>
      <c r="T84" s="7">
        <v>0</v>
      </c>
      <c r="U84" s="8" t="str">
        <f>IFERROR(T84/T444, "NA")</f>
        <v>NA</v>
      </c>
      <c r="V84" s="9"/>
      <c r="W84" s="10">
        <f t="shared" si="22"/>
        <v>0</v>
      </c>
      <c r="X84" s="8" t="str">
        <f>IFERROR(W84/W444, "NA")</f>
        <v>NA</v>
      </c>
      <c r="Y84" s="9"/>
      <c r="Z84" s="7">
        <v>0</v>
      </c>
      <c r="AA84" s="8" t="str">
        <f>IFERROR(Z84/Z444, "NA")</f>
        <v>NA</v>
      </c>
      <c r="AB84" s="9"/>
      <c r="AC84" s="10">
        <f t="shared" si="23"/>
        <v>0</v>
      </c>
      <c r="AD84" s="8" t="str">
        <f>IFERROR(AC84/AC444, "NA")</f>
        <v>NA</v>
      </c>
    </row>
    <row r="85" spans="1:30" ht="16.5" hidden="1" customHeight="1" x14ac:dyDescent="0.45">
      <c r="A85" s="12" t="s">
        <v>81</v>
      </c>
      <c r="B85" s="7">
        <v>0</v>
      </c>
      <c r="C85" s="8" t="str">
        <f>IFERROR(B85/B444, "NA")</f>
        <v>NA</v>
      </c>
      <c r="D85" s="9"/>
      <c r="E85" s="7">
        <v>0</v>
      </c>
      <c r="F85" s="8" t="str">
        <f>IFERROR(E85/E444, "NA")</f>
        <v>NA</v>
      </c>
      <c r="G85" s="9"/>
      <c r="H85" s="10">
        <f t="shared" si="20"/>
        <v>0</v>
      </c>
      <c r="I85" s="8" t="str">
        <f>IFERROR(H85/H444, "NA")</f>
        <v>NA</v>
      </c>
      <c r="J85" s="9"/>
      <c r="K85" s="7">
        <v>0</v>
      </c>
      <c r="L85" s="8" t="str">
        <f>IFERROR(K85/K444, "NA")</f>
        <v>NA</v>
      </c>
      <c r="M85" s="9"/>
      <c r="N85" s="10">
        <f t="shared" si="21"/>
        <v>0</v>
      </c>
      <c r="O85" s="8" t="str">
        <f>IFERROR(N85/N444, "NA")</f>
        <v>NA</v>
      </c>
      <c r="P85" s="9"/>
      <c r="Q85" s="7">
        <v>0</v>
      </c>
      <c r="R85" s="8" t="str">
        <f>IFERROR(Q85/Q444, "NA")</f>
        <v>NA</v>
      </c>
      <c r="S85" s="9"/>
      <c r="T85" s="7">
        <v>0</v>
      </c>
      <c r="U85" s="8" t="str">
        <f>IFERROR(T85/T444, "NA")</f>
        <v>NA</v>
      </c>
      <c r="V85" s="9"/>
      <c r="W85" s="10">
        <f t="shared" si="22"/>
        <v>0</v>
      </c>
      <c r="X85" s="8" t="str">
        <f>IFERROR(W85/W444, "NA")</f>
        <v>NA</v>
      </c>
      <c r="Y85" s="9"/>
      <c r="Z85" s="7">
        <v>0</v>
      </c>
      <c r="AA85" s="8" t="str">
        <f>IFERROR(Z85/Z444, "NA")</f>
        <v>NA</v>
      </c>
      <c r="AB85" s="9"/>
      <c r="AC85" s="10">
        <f t="shared" si="23"/>
        <v>0</v>
      </c>
      <c r="AD85" s="8" t="str">
        <f>IFERROR(AC85/AC444, "NA")</f>
        <v>NA</v>
      </c>
    </row>
    <row r="86" spans="1:30" ht="16.5" hidden="1" customHeight="1" x14ac:dyDescent="0.45">
      <c r="A86" s="12" t="s">
        <v>82</v>
      </c>
      <c r="B86" s="7">
        <v>0</v>
      </c>
      <c r="C86" s="8" t="str">
        <f>IFERROR(B86/B444, "NA")</f>
        <v>NA</v>
      </c>
      <c r="D86" s="9"/>
      <c r="E86" s="7">
        <v>0</v>
      </c>
      <c r="F86" s="8" t="str">
        <f>IFERROR(E86/E444, "NA")</f>
        <v>NA</v>
      </c>
      <c r="G86" s="9"/>
      <c r="H86" s="10">
        <f t="shared" si="20"/>
        <v>0</v>
      </c>
      <c r="I86" s="8" t="str">
        <f>IFERROR(H86/H444, "NA")</f>
        <v>NA</v>
      </c>
      <c r="J86" s="9"/>
      <c r="K86" s="7">
        <v>0</v>
      </c>
      <c r="L86" s="8" t="str">
        <f>IFERROR(K86/K444, "NA")</f>
        <v>NA</v>
      </c>
      <c r="M86" s="9"/>
      <c r="N86" s="10">
        <f t="shared" si="21"/>
        <v>0</v>
      </c>
      <c r="O86" s="8" t="str">
        <f>IFERROR(N86/N444, "NA")</f>
        <v>NA</v>
      </c>
      <c r="P86" s="9"/>
      <c r="Q86" s="7">
        <v>0</v>
      </c>
      <c r="R86" s="8" t="str">
        <f>IFERROR(Q86/Q444, "NA")</f>
        <v>NA</v>
      </c>
      <c r="S86" s="9"/>
      <c r="T86" s="7">
        <v>0</v>
      </c>
      <c r="U86" s="8" t="str">
        <f>IFERROR(T86/T444, "NA")</f>
        <v>NA</v>
      </c>
      <c r="V86" s="9"/>
      <c r="W86" s="10">
        <f t="shared" si="22"/>
        <v>0</v>
      </c>
      <c r="X86" s="8" t="str">
        <f>IFERROR(W86/W444, "NA")</f>
        <v>NA</v>
      </c>
      <c r="Y86" s="9"/>
      <c r="Z86" s="7">
        <v>0</v>
      </c>
      <c r="AA86" s="8" t="str">
        <f>IFERROR(Z86/Z444, "NA")</f>
        <v>NA</v>
      </c>
      <c r="AB86" s="9"/>
      <c r="AC86" s="10">
        <f t="shared" si="23"/>
        <v>0</v>
      </c>
      <c r="AD86" s="8" t="str">
        <f>IFERROR(AC86/AC444, "NA")</f>
        <v>NA</v>
      </c>
    </row>
    <row r="87" spans="1:30" ht="16.5" hidden="1" customHeight="1" x14ac:dyDescent="0.45">
      <c r="A87" s="12" t="s">
        <v>83</v>
      </c>
      <c r="B87" s="7">
        <v>0</v>
      </c>
      <c r="C87" s="8" t="str">
        <f>IFERROR(B87/B444, "NA")</f>
        <v>NA</v>
      </c>
      <c r="D87" s="9"/>
      <c r="E87" s="7">
        <v>0</v>
      </c>
      <c r="F87" s="8" t="str">
        <f>IFERROR(E87/E444, "NA")</f>
        <v>NA</v>
      </c>
      <c r="G87" s="9"/>
      <c r="H87" s="10">
        <f t="shared" si="20"/>
        <v>0</v>
      </c>
      <c r="I87" s="8" t="str">
        <f>IFERROR(H87/H444, "NA")</f>
        <v>NA</v>
      </c>
      <c r="J87" s="9"/>
      <c r="K87" s="7">
        <v>0</v>
      </c>
      <c r="L87" s="8" t="str">
        <f>IFERROR(K87/K444, "NA")</f>
        <v>NA</v>
      </c>
      <c r="M87" s="9"/>
      <c r="N87" s="10">
        <f t="shared" si="21"/>
        <v>0</v>
      </c>
      <c r="O87" s="8" t="str">
        <f>IFERROR(N87/N444, "NA")</f>
        <v>NA</v>
      </c>
      <c r="P87" s="9"/>
      <c r="Q87" s="7">
        <v>0</v>
      </c>
      <c r="R87" s="8" t="str">
        <f>IFERROR(Q87/Q444, "NA")</f>
        <v>NA</v>
      </c>
      <c r="S87" s="9"/>
      <c r="T87" s="7">
        <v>0</v>
      </c>
      <c r="U87" s="8" t="str">
        <f>IFERROR(T87/T444, "NA")</f>
        <v>NA</v>
      </c>
      <c r="V87" s="9"/>
      <c r="W87" s="10">
        <f t="shared" si="22"/>
        <v>0</v>
      </c>
      <c r="X87" s="8" t="str">
        <f>IFERROR(W87/W444, "NA")</f>
        <v>NA</v>
      </c>
      <c r="Y87" s="9"/>
      <c r="Z87" s="7">
        <v>0</v>
      </c>
      <c r="AA87" s="8" t="str">
        <f>IFERROR(Z87/Z444, "NA")</f>
        <v>NA</v>
      </c>
      <c r="AB87" s="9"/>
      <c r="AC87" s="10">
        <f t="shared" si="23"/>
        <v>0</v>
      </c>
      <c r="AD87" s="8" t="str">
        <f>IFERROR(AC87/AC444, "NA")</f>
        <v>NA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0</v>
      </c>
      <c r="C88" s="15" t="str">
        <f>IFERROR(B88/B444, "NA")</f>
        <v>NA</v>
      </c>
      <c r="D88" s="2"/>
      <c r="E88" s="14">
        <f>IFERROR(E75+E76+E77+E78+E79+E80+E81+E82+E83+E84+E85+E86+E87, "NA")</f>
        <v>0</v>
      </c>
      <c r="F88" s="15" t="str">
        <f>IFERROR(E88/E444, "NA")</f>
        <v>NA</v>
      </c>
      <c r="G88" s="2"/>
      <c r="H88" s="14">
        <f t="shared" si="20"/>
        <v>0</v>
      </c>
      <c r="I88" s="15" t="str">
        <f>IFERROR(H88/H444, "NA")</f>
        <v>NA</v>
      </c>
      <c r="J88" s="2"/>
      <c r="K88" s="14">
        <f>IFERROR(K75+K76+K77+K78+K79+K80+K81+K82+K83+K84+K85+K86+K87, "NA")</f>
        <v>0</v>
      </c>
      <c r="L88" s="15" t="str">
        <f>IFERROR(K88/K444, "NA")</f>
        <v>NA</v>
      </c>
      <c r="M88" s="2"/>
      <c r="N88" s="14">
        <f t="shared" si="21"/>
        <v>0</v>
      </c>
      <c r="O88" s="15" t="str">
        <f>IFERROR(N88/N444, "NA")</f>
        <v>NA</v>
      </c>
      <c r="P88" s="2"/>
      <c r="Q88" s="14">
        <f>IFERROR(Q75+Q76+Q77+Q78+Q79+Q80+Q81+Q82+Q83+Q84+Q85+Q86+Q87, "NA")</f>
        <v>0</v>
      </c>
      <c r="R88" s="15" t="str">
        <f>IFERROR(Q88/Q444, "NA")</f>
        <v>NA</v>
      </c>
      <c r="S88" s="2"/>
      <c r="T88" s="14">
        <f>IFERROR(T75+T76+T77+T78+T79+T80+T81+T82+T83+T84+T85+T86+T87, "NA")</f>
        <v>0</v>
      </c>
      <c r="U88" s="15" t="str">
        <f>IFERROR(T88/T444, "NA")</f>
        <v>NA</v>
      </c>
      <c r="V88" s="2"/>
      <c r="W88" s="14">
        <f t="shared" si="22"/>
        <v>0</v>
      </c>
      <c r="X88" s="15" t="str">
        <f>IFERROR(W88/W444, "NA")</f>
        <v>NA</v>
      </c>
      <c r="Y88" s="2"/>
      <c r="Z88" s="14">
        <f>IFERROR(Z75+Z76+Z77+Z78+Z79+Z80+Z81+Z82+Z83+Z84+Z85+Z86+Z87, "NA")</f>
        <v>0</v>
      </c>
      <c r="AA88" s="15" t="str">
        <f>IFERROR(Z88/Z444, "NA")</f>
        <v>NA</v>
      </c>
      <c r="AB88" s="2"/>
      <c r="AC88" s="14">
        <f t="shared" si="23"/>
        <v>0</v>
      </c>
      <c r="AD88" s="15" t="str">
        <f>IFERROR(AC88/AC444, "NA")</f>
        <v>NA</v>
      </c>
    </row>
    <row r="89" spans="1:30" ht="16.5" hidden="1" customHeight="1" x14ac:dyDescent="0.45">
      <c r="A89" s="6" t="s">
        <v>85</v>
      </c>
      <c r="B89" s="7">
        <v>0</v>
      </c>
      <c r="C89" s="8" t="str">
        <f>IFERROR(B89/B444, "NA")</f>
        <v>NA</v>
      </c>
      <c r="D89" s="9"/>
      <c r="E89" s="7">
        <v>0</v>
      </c>
      <c r="F89" s="8" t="str">
        <f>IFERROR(E89/E444, "NA")</f>
        <v>NA</v>
      </c>
      <c r="G89" s="9"/>
      <c r="H89" s="10">
        <f t="shared" si="20"/>
        <v>0</v>
      </c>
      <c r="I89" s="8" t="str">
        <f>IFERROR(H89/H444, "NA")</f>
        <v>NA</v>
      </c>
      <c r="J89" s="9"/>
      <c r="K89" s="7">
        <v>0</v>
      </c>
      <c r="L89" s="8" t="str">
        <f>IFERROR(K89/K444, "NA")</f>
        <v>NA</v>
      </c>
      <c r="M89" s="9"/>
      <c r="N89" s="10">
        <f t="shared" si="21"/>
        <v>0</v>
      </c>
      <c r="O89" s="8" t="str">
        <f>IFERROR(N89/N444, "NA")</f>
        <v>NA</v>
      </c>
      <c r="P89" s="9"/>
      <c r="Q89" s="7">
        <v>0</v>
      </c>
      <c r="R89" s="8" t="str">
        <f>IFERROR(Q89/Q444, "NA")</f>
        <v>NA</v>
      </c>
      <c r="S89" s="9"/>
      <c r="T89" s="7">
        <v>0</v>
      </c>
      <c r="U89" s="8" t="str">
        <f>IFERROR(T89/T444, "NA")</f>
        <v>NA</v>
      </c>
      <c r="V89" s="9"/>
      <c r="W89" s="10">
        <f t="shared" si="22"/>
        <v>0</v>
      </c>
      <c r="X89" s="8" t="str">
        <f>IFERROR(W89/W444, "NA")</f>
        <v>NA</v>
      </c>
      <c r="Y89" s="9"/>
      <c r="Z89" s="7">
        <v>0</v>
      </c>
      <c r="AA89" s="8" t="str">
        <f>IFERROR(Z89/Z444, "NA")</f>
        <v>NA</v>
      </c>
      <c r="AB89" s="9"/>
      <c r="AC89" s="10">
        <f t="shared" si="23"/>
        <v>0</v>
      </c>
      <c r="AD89" s="8" t="str">
        <f>IFERROR(AC89/AC444, "NA")</f>
        <v>NA</v>
      </c>
    </row>
    <row r="90" spans="1:30" ht="16.5" hidden="1" customHeight="1" x14ac:dyDescent="0.45">
      <c r="A90" s="6" t="s">
        <v>86</v>
      </c>
      <c r="B90" s="7">
        <v>0</v>
      </c>
      <c r="C90" s="8" t="str">
        <f>IFERROR(B90/B444, "NA")</f>
        <v>NA</v>
      </c>
      <c r="D90" s="9"/>
      <c r="E90" s="7">
        <v>0</v>
      </c>
      <c r="F90" s="8" t="str">
        <f>IFERROR(E90/E444, "NA")</f>
        <v>NA</v>
      </c>
      <c r="G90" s="9"/>
      <c r="H90" s="10">
        <f t="shared" si="20"/>
        <v>0</v>
      </c>
      <c r="I90" s="8" t="str">
        <f>IFERROR(H90/H444, "NA")</f>
        <v>NA</v>
      </c>
      <c r="J90" s="9"/>
      <c r="K90" s="7">
        <v>0</v>
      </c>
      <c r="L90" s="8" t="str">
        <f>IFERROR(K90/K444, "NA")</f>
        <v>NA</v>
      </c>
      <c r="M90" s="9"/>
      <c r="N90" s="10">
        <f t="shared" si="21"/>
        <v>0</v>
      </c>
      <c r="O90" s="8" t="str">
        <f>IFERROR(N90/N444, "NA")</f>
        <v>NA</v>
      </c>
      <c r="P90" s="9"/>
      <c r="Q90" s="7">
        <v>0</v>
      </c>
      <c r="R90" s="8" t="str">
        <f>IFERROR(Q90/Q444, "NA")</f>
        <v>NA</v>
      </c>
      <c r="S90" s="9"/>
      <c r="T90" s="7">
        <v>0</v>
      </c>
      <c r="U90" s="8" t="str">
        <f>IFERROR(T90/T444, "NA")</f>
        <v>NA</v>
      </c>
      <c r="V90" s="9"/>
      <c r="W90" s="10">
        <f t="shared" si="22"/>
        <v>0</v>
      </c>
      <c r="X90" s="8" t="str">
        <f>IFERROR(W90/W444, "NA")</f>
        <v>NA</v>
      </c>
      <c r="Y90" s="9"/>
      <c r="Z90" s="7">
        <v>0</v>
      </c>
      <c r="AA90" s="8" t="str">
        <f>IFERROR(Z90/Z444, "NA")</f>
        <v>NA</v>
      </c>
      <c r="AB90" s="9"/>
      <c r="AC90" s="10">
        <f t="shared" si="23"/>
        <v>0</v>
      </c>
      <c r="AD90" s="8" t="str">
        <f>IFERROR(AC90/AC444, "NA")</f>
        <v>NA</v>
      </c>
    </row>
    <row r="91" spans="1:30" ht="16.5" hidden="1" customHeight="1" x14ac:dyDescent="0.45">
      <c r="A91" s="6" t="s">
        <v>87</v>
      </c>
      <c r="B91" s="7">
        <v>0</v>
      </c>
      <c r="C91" s="8" t="str">
        <f>IFERROR(B91/B444, "NA")</f>
        <v>NA</v>
      </c>
      <c r="D91" s="9"/>
      <c r="E91" s="7">
        <v>0</v>
      </c>
      <c r="F91" s="8" t="str">
        <f>IFERROR(E91/E444, "NA")</f>
        <v>NA</v>
      </c>
      <c r="G91" s="9"/>
      <c r="H91" s="10">
        <f t="shared" si="20"/>
        <v>0</v>
      </c>
      <c r="I91" s="8" t="str">
        <f>IFERROR(H91/H444, "NA")</f>
        <v>NA</v>
      </c>
      <c r="J91" s="9"/>
      <c r="K91" s="7">
        <v>0</v>
      </c>
      <c r="L91" s="8" t="str">
        <f>IFERROR(K91/K444, "NA")</f>
        <v>NA</v>
      </c>
      <c r="M91" s="9"/>
      <c r="N91" s="10">
        <f t="shared" si="21"/>
        <v>0</v>
      </c>
      <c r="O91" s="8" t="str">
        <f>IFERROR(N91/N444, "NA")</f>
        <v>NA</v>
      </c>
      <c r="P91" s="9"/>
      <c r="Q91" s="7">
        <v>0</v>
      </c>
      <c r="R91" s="8" t="str">
        <f>IFERROR(Q91/Q444, "NA")</f>
        <v>NA</v>
      </c>
      <c r="S91" s="9"/>
      <c r="T91" s="7">
        <v>0</v>
      </c>
      <c r="U91" s="8" t="str">
        <f>IFERROR(T91/T444, "NA")</f>
        <v>NA</v>
      </c>
      <c r="V91" s="9"/>
      <c r="W91" s="10">
        <f t="shared" si="22"/>
        <v>0</v>
      </c>
      <c r="X91" s="8" t="str">
        <f>IFERROR(W91/W444, "NA")</f>
        <v>NA</v>
      </c>
      <c r="Y91" s="9"/>
      <c r="Z91" s="7">
        <v>0</v>
      </c>
      <c r="AA91" s="8" t="str">
        <f>IFERROR(Z91/Z444, "NA")</f>
        <v>NA</v>
      </c>
      <c r="AB91" s="9"/>
      <c r="AC91" s="10">
        <f t="shared" si="23"/>
        <v>0</v>
      </c>
      <c r="AD91" s="8" t="str">
        <f>IFERROR(AC91/AC444, "NA")</f>
        <v>NA</v>
      </c>
    </row>
    <row r="92" spans="1:30" ht="16.5" hidden="1" customHeight="1" x14ac:dyDescent="0.45">
      <c r="A92" s="6" t="s">
        <v>88</v>
      </c>
      <c r="B92" s="7">
        <v>0</v>
      </c>
      <c r="C92" s="8" t="str">
        <f>IFERROR(B92/B444, "NA")</f>
        <v>NA</v>
      </c>
      <c r="D92" s="9"/>
      <c r="E92" s="7">
        <v>0</v>
      </c>
      <c r="F92" s="8" t="str">
        <f>IFERROR(E92/E444, "NA")</f>
        <v>NA</v>
      </c>
      <c r="G92" s="9"/>
      <c r="H92" s="10">
        <f t="shared" si="20"/>
        <v>0</v>
      </c>
      <c r="I92" s="8" t="str">
        <f>IFERROR(H92/H444, "NA")</f>
        <v>NA</v>
      </c>
      <c r="J92" s="9"/>
      <c r="K92" s="7">
        <v>0</v>
      </c>
      <c r="L92" s="8" t="str">
        <f>IFERROR(K92/K444, "NA")</f>
        <v>NA</v>
      </c>
      <c r="M92" s="9"/>
      <c r="N92" s="10">
        <f t="shared" si="21"/>
        <v>0</v>
      </c>
      <c r="O92" s="8" t="str">
        <f>IFERROR(N92/N444, "NA")</f>
        <v>NA</v>
      </c>
      <c r="P92" s="9"/>
      <c r="Q92" s="7">
        <v>0</v>
      </c>
      <c r="R92" s="8" t="str">
        <f>IFERROR(Q92/Q444, "NA")</f>
        <v>NA</v>
      </c>
      <c r="S92" s="9"/>
      <c r="T92" s="7">
        <v>0</v>
      </c>
      <c r="U92" s="8" t="str">
        <f>IFERROR(T92/T444, "NA")</f>
        <v>NA</v>
      </c>
      <c r="V92" s="9"/>
      <c r="W92" s="10">
        <f t="shared" si="22"/>
        <v>0</v>
      </c>
      <c r="X92" s="8" t="str">
        <f>IFERROR(W92/W444, "NA")</f>
        <v>NA</v>
      </c>
      <c r="Y92" s="9"/>
      <c r="Z92" s="7">
        <v>0</v>
      </c>
      <c r="AA92" s="8" t="str">
        <f>IFERROR(Z92/Z444, "NA")</f>
        <v>NA</v>
      </c>
      <c r="AB92" s="9"/>
      <c r="AC92" s="10">
        <f t="shared" si="23"/>
        <v>0</v>
      </c>
      <c r="AD92" s="8" t="str">
        <f>IFERROR(AC92/AC444, "NA")</f>
        <v>NA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hidden="1" customHeight="1" x14ac:dyDescent="0.45">
      <c r="A94" s="12" t="s">
        <v>89</v>
      </c>
      <c r="B94" s="7">
        <v>0</v>
      </c>
      <c r="C94" s="8" t="str">
        <f>IFERROR(B94/B444, "NA")</f>
        <v>NA</v>
      </c>
      <c r="D94" s="9"/>
      <c r="E94" s="7">
        <v>0</v>
      </c>
      <c r="F94" s="8" t="str">
        <f>IFERROR(E94/E444, "NA")</f>
        <v>NA</v>
      </c>
      <c r="G94" s="9"/>
      <c r="H94" s="10">
        <f t="shared" ref="H94:H124" si="24">IFERROR(B94-E94, "NA")</f>
        <v>0</v>
      </c>
      <c r="I94" s="8" t="str">
        <f>IFERROR(H94/H444, "NA")</f>
        <v>NA</v>
      </c>
      <c r="J94" s="9"/>
      <c r="K94" s="7">
        <v>0</v>
      </c>
      <c r="L94" s="8" t="str">
        <f>IFERROR(K94/K444, "NA")</f>
        <v>NA</v>
      </c>
      <c r="M94" s="9"/>
      <c r="N94" s="10">
        <f t="shared" ref="N94:N124" si="25">IFERROR(B94-K94, "NA")</f>
        <v>0</v>
      </c>
      <c r="O94" s="8" t="str">
        <f>IFERROR(N94/N444, "NA")</f>
        <v>NA</v>
      </c>
      <c r="P94" s="9"/>
      <c r="Q94" s="7">
        <v>0</v>
      </c>
      <c r="R94" s="8" t="str">
        <f>IFERROR(Q94/Q444, "NA")</f>
        <v>NA</v>
      </c>
      <c r="S94" s="9"/>
      <c r="T94" s="7">
        <v>0</v>
      </c>
      <c r="U94" s="8" t="str">
        <f>IFERROR(T94/T444, "NA")</f>
        <v>NA</v>
      </c>
      <c r="V94" s="9"/>
      <c r="W94" s="10">
        <f t="shared" ref="W94:W124" si="26">IFERROR(Q94-T94, "NA")</f>
        <v>0</v>
      </c>
      <c r="X94" s="8" t="str">
        <f>IFERROR(W94/W444, "NA")</f>
        <v>NA</v>
      </c>
      <c r="Y94" s="9"/>
      <c r="Z94" s="7">
        <v>0</v>
      </c>
      <c r="AA94" s="8" t="str">
        <f>IFERROR(Z94/Z444, "NA")</f>
        <v>NA</v>
      </c>
      <c r="AB94" s="9"/>
      <c r="AC94" s="10">
        <f t="shared" ref="AC94:AC124" si="27">IFERROR(Q94-Z94, "NA")</f>
        <v>0</v>
      </c>
      <c r="AD94" s="8" t="str">
        <f>IFERROR(AC94/AC444, "NA")</f>
        <v>NA</v>
      </c>
    </row>
    <row r="95" spans="1:30" ht="16.5" hidden="1" customHeight="1" x14ac:dyDescent="0.45">
      <c r="A95" s="12" t="s">
        <v>90</v>
      </c>
      <c r="B95" s="7">
        <v>0</v>
      </c>
      <c r="C95" s="8" t="str">
        <f>IFERROR(B95/B444, "NA")</f>
        <v>NA</v>
      </c>
      <c r="D95" s="9"/>
      <c r="E95" s="7">
        <v>0</v>
      </c>
      <c r="F95" s="8" t="str">
        <f>IFERROR(E95/E444, "NA")</f>
        <v>NA</v>
      </c>
      <c r="G95" s="9"/>
      <c r="H95" s="10">
        <f t="shared" si="24"/>
        <v>0</v>
      </c>
      <c r="I95" s="8" t="str">
        <f>IFERROR(H95/H444, "NA")</f>
        <v>NA</v>
      </c>
      <c r="J95" s="9"/>
      <c r="K95" s="7">
        <v>0</v>
      </c>
      <c r="L95" s="8" t="str">
        <f>IFERROR(K95/K444, "NA")</f>
        <v>NA</v>
      </c>
      <c r="M95" s="9"/>
      <c r="N95" s="10">
        <f t="shared" si="25"/>
        <v>0</v>
      </c>
      <c r="O95" s="8" t="str">
        <f>IFERROR(N95/N444, "NA")</f>
        <v>NA</v>
      </c>
      <c r="P95" s="9"/>
      <c r="Q95" s="7">
        <v>0</v>
      </c>
      <c r="R95" s="8" t="str">
        <f>IFERROR(Q95/Q444, "NA")</f>
        <v>NA</v>
      </c>
      <c r="S95" s="9"/>
      <c r="T95" s="7">
        <v>0</v>
      </c>
      <c r="U95" s="8" t="str">
        <f>IFERROR(T95/T444, "NA")</f>
        <v>NA</v>
      </c>
      <c r="V95" s="9"/>
      <c r="W95" s="10">
        <f t="shared" si="26"/>
        <v>0</v>
      </c>
      <c r="X95" s="8" t="str">
        <f>IFERROR(W95/W444, "NA")</f>
        <v>NA</v>
      </c>
      <c r="Y95" s="9"/>
      <c r="Z95" s="7">
        <v>0</v>
      </c>
      <c r="AA95" s="8" t="str">
        <f>IFERROR(Z95/Z444, "NA")</f>
        <v>NA</v>
      </c>
      <c r="AB95" s="9"/>
      <c r="AC95" s="10">
        <f t="shared" si="27"/>
        <v>0</v>
      </c>
      <c r="AD95" s="8" t="str">
        <f>IFERROR(AC95/AC444, "NA")</f>
        <v>NA</v>
      </c>
    </row>
    <row r="96" spans="1:30" ht="16.5" hidden="1" customHeight="1" x14ac:dyDescent="0.45">
      <c r="A96" s="12" t="s">
        <v>91</v>
      </c>
      <c r="B96" s="7">
        <v>0</v>
      </c>
      <c r="C96" s="8" t="str">
        <f>IFERROR(B96/B444, "NA")</f>
        <v>NA</v>
      </c>
      <c r="D96" s="9"/>
      <c r="E96" s="7">
        <v>0</v>
      </c>
      <c r="F96" s="8" t="str">
        <f>IFERROR(E96/E444, "NA")</f>
        <v>NA</v>
      </c>
      <c r="G96" s="9"/>
      <c r="H96" s="10">
        <f t="shared" si="24"/>
        <v>0</v>
      </c>
      <c r="I96" s="8" t="str">
        <f>IFERROR(H96/H444, "NA")</f>
        <v>NA</v>
      </c>
      <c r="J96" s="9"/>
      <c r="K96" s="7">
        <v>0</v>
      </c>
      <c r="L96" s="8" t="str">
        <f>IFERROR(K96/K444, "NA")</f>
        <v>NA</v>
      </c>
      <c r="M96" s="9"/>
      <c r="N96" s="10">
        <f t="shared" si="25"/>
        <v>0</v>
      </c>
      <c r="O96" s="8" t="str">
        <f>IFERROR(N96/N444, "NA")</f>
        <v>NA</v>
      </c>
      <c r="P96" s="9"/>
      <c r="Q96" s="7">
        <v>0</v>
      </c>
      <c r="R96" s="8" t="str">
        <f>IFERROR(Q96/Q444, "NA")</f>
        <v>NA</v>
      </c>
      <c r="S96" s="9"/>
      <c r="T96" s="7">
        <v>0</v>
      </c>
      <c r="U96" s="8" t="str">
        <f>IFERROR(T96/T444, "NA")</f>
        <v>NA</v>
      </c>
      <c r="V96" s="9"/>
      <c r="W96" s="10">
        <f t="shared" si="26"/>
        <v>0</v>
      </c>
      <c r="X96" s="8" t="str">
        <f>IFERROR(W96/W444, "NA")</f>
        <v>NA</v>
      </c>
      <c r="Y96" s="9"/>
      <c r="Z96" s="7">
        <v>0</v>
      </c>
      <c r="AA96" s="8" t="str">
        <f>IFERROR(Z96/Z444, "NA")</f>
        <v>NA</v>
      </c>
      <c r="AB96" s="9"/>
      <c r="AC96" s="10">
        <f t="shared" si="27"/>
        <v>0</v>
      </c>
      <c r="AD96" s="8" t="str">
        <f>IFERROR(AC96/AC444, "NA")</f>
        <v>NA</v>
      </c>
    </row>
    <row r="97" spans="1:30" ht="16.5" hidden="1" customHeight="1" x14ac:dyDescent="0.45">
      <c r="A97" s="12" t="s">
        <v>92</v>
      </c>
      <c r="B97" s="7">
        <v>0</v>
      </c>
      <c r="C97" s="8" t="str">
        <f>IFERROR(B97/B444, "NA")</f>
        <v>NA</v>
      </c>
      <c r="D97" s="9"/>
      <c r="E97" s="7">
        <v>0</v>
      </c>
      <c r="F97" s="8" t="str">
        <f>IFERROR(E97/E444, "NA")</f>
        <v>NA</v>
      </c>
      <c r="G97" s="9"/>
      <c r="H97" s="10">
        <f t="shared" si="24"/>
        <v>0</v>
      </c>
      <c r="I97" s="8" t="str">
        <f>IFERROR(H97/H444, "NA")</f>
        <v>NA</v>
      </c>
      <c r="J97" s="9"/>
      <c r="K97" s="7">
        <v>0</v>
      </c>
      <c r="L97" s="8" t="str">
        <f>IFERROR(K97/K444, "NA")</f>
        <v>NA</v>
      </c>
      <c r="M97" s="9"/>
      <c r="N97" s="10">
        <f t="shared" si="25"/>
        <v>0</v>
      </c>
      <c r="O97" s="8" t="str">
        <f>IFERROR(N97/N444, "NA")</f>
        <v>NA</v>
      </c>
      <c r="P97" s="9"/>
      <c r="Q97" s="7">
        <v>0</v>
      </c>
      <c r="R97" s="8" t="str">
        <f>IFERROR(Q97/Q444, "NA")</f>
        <v>NA</v>
      </c>
      <c r="S97" s="9"/>
      <c r="T97" s="7">
        <v>0</v>
      </c>
      <c r="U97" s="8" t="str">
        <f>IFERROR(T97/T444, "NA")</f>
        <v>NA</v>
      </c>
      <c r="V97" s="9"/>
      <c r="W97" s="10">
        <f t="shared" si="26"/>
        <v>0</v>
      </c>
      <c r="X97" s="8" t="str">
        <f>IFERROR(W97/W444, "NA")</f>
        <v>NA</v>
      </c>
      <c r="Y97" s="9"/>
      <c r="Z97" s="7">
        <v>0</v>
      </c>
      <c r="AA97" s="8" t="str">
        <f>IFERROR(Z97/Z444, "NA")</f>
        <v>NA</v>
      </c>
      <c r="AB97" s="9"/>
      <c r="AC97" s="10">
        <f t="shared" si="27"/>
        <v>0</v>
      </c>
      <c r="AD97" s="8" t="str">
        <f>IFERROR(AC97/AC444, "NA")</f>
        <v>NA</v>
      </c>
    </row>
    <row r="98" spans="1:30" ht="16.5" hidden="1" customHeight="1" x14ac:dyDescent="0.45">
      <c r="A98" s="12" t="s">
        <v>93</v>
      </c>
      <c r="B98" s="7">
        <v>0</v>
      </c>
      <c r="C98" s="8" t="str">
        <f>IFERROR(B98/B444, "NA")</f>
        <v>NA</v>
      </c>
      <c r="D98" s="9"/>
      <c r="E98" s="7">
        <v>0</v>
      </c>
      <c r="F98" s="8" t="str">
        <f>IFERROR(E98/E444, "NA")</f>
        <v>NA</v>
      </c>
      <c r="G98" s="9"/>
      <c r="H98" s="10">
        <f t="shared" si="24"/>
        <v>0</v>
      </c>
      <c r="I98" s="8" t="str">
        <f>IFERROR(H98/H444, "NA")</f>
        <v>NA</v>
      </c>
      <c r="J98" s="9"/>
      <c r="K98" s="7">
        <v>0</v>
      </c>
      <c r="L98" s="8" t="str">
        <f>IFERROR(K98/K444, "NA")</f>
        <v>NA</v>
      </c>
      <c r="M98" s="9"/>
      <c r="N98" s="10">
        <f t="shared" si="25"/>
        <v>0</v>
      </c>
      <c r="O98" s="8" t="str">
        <f>IFERROR(N98/N444, "NA")</f>
        <v>NA</v>
      </c>
      <c r="P98" s="9"/>
      <c r="Q98" s="7">
        <v>0</v>
      </c>
      <c r="R98" s="8" t="str">
        <f>IFERROR(Q98/Q444, "NA")</f>
        <v>NA</v>
      </c>
      <c r="S98" s="9"/>
      <c r="T98" s="7">
        <v>0</v>
      </c>
      <c r="U98" s="8" t="str">
        <f>IFERROR(T98/T444, "NA")</f>
        <v>NA</v>
      </c>
      <c r="V98" s="9"/>
      <c r="W98" s="10">
        <f t="shared" si="26"/>
        <v>0</v>
      </c>
      <c r="X98" s="8" t="str">
        <f>IFERROR(W98/W444, "NA")</f>
        <v>NA</v>
      </c>
      <c r="Y98" s="9"/>
      <c r="Z98" s="7">
        <v>0</v>
      </c>
      <c r="AA98" s="8" t="str">
        <f>IFERROR(Z98/Z444, "NA")</f>
        <v>NA</v>
      </c>
      <c r="AB98" s="9"/>
      <c r="AC98" s="10">
        <f t="shared" si="27"/>
        <v>0</v>
      </c>
      <c r="AD98" s="8" t="str">
        <f>IFERROR(AC98/AC444, "NA")</f>
        <v>NA</v>
      </c>
    </row>
    <row r="99" spans="1:30" ht="16.5" hidden="1" customHeight="1" x14ac:dyDescent="0.45">
      <c r="A99" s="12" t="s">
        <v>94</v>
      </c>
      <c r="B99" s="7">
        <v>0</v>
      </c>
      <c r="C99" s="8" t="str">
        <f>IFERROR(B99/B444, "NA")</f>
        <v>NA</v>
      </c>
      <c r="D99" s="9"/>
      <c r="E99" s="7">
        <v>0</v>
      </c>
      <c r="F99" s="8" t="str">
        <f>IFERROR(E99/E444, "NA")</f>
        <v>NA</v>
      </c>
      <c r="G99" s="9"/>
      <c r="H99" s="10">
        <f t="shared" si="24"/>
        <v>0</v>
      </c>
      <c r="I99" s="8" t="str">
        <f>IFERROR(H99/H444, "NA")</f>
        <v>NA</v>
      </c>
      <c r="J99" s="9"/>
      <c r="K99" s="7">
        <v>0</v>
      </c>
      <c r="L99" s="8" t="str">
        <f>IFERROR(K99/K444, "NA")</f>
        <v>NA</v>
      </c>
      <c r="M99" s="9"/>
      <c r="N99" s="10">
        <f t="shared" si="25"/>
        <v>0</v>
      </c>
      <c r="O99" s="8" t="str">
        <f>IFERROR(N99/N444, "NA")</f>
        <v>NA</v>
      </c>
      <c r="P99" s="9"/>
      <c r="Q99" s="7">
        <v>0</v>
      </c>
      <c r="R99" s="8" t="str">
        <f>IFERROR(Q99/Q444, "NA")</f>
        <v>NA</v>
      </c>
      <c r="S99" s="9"/>
      <c r="T99" s="7">
        <v>0</v>
      </c>
      <c r="U99" s="8" t="str">
        <f>IFERROR(T99/T444, "NA")</f>
        <v>NA</v>
      </c>
      <c r="V99" s="9"/>
      <c r="W99" s="10">
        <f t="shared" si="26"/>
        <v>0</v>
      </c>
      <c r="X99" s="8" t="str">
        <f>IFERROR(W99/W444, "NA")</f>
        <v>NA</v>
      </c>
      <c r="Y99" s="9"/>
      <c r="Z99" s="7">
        <v>0</v>
      </c>
      <c r="AA99" s="8" t="str">
        <f>IFERROR(Z99/Z444, "NA")</f>
        <v>NA</v>
      </c>
      <c r="AB99" s="9"/>
      <c r="AC99" s="10">
        <f t="shared" si="27"/>
        <v>0</v>
      </c>
      <c r="AD99" s="8" t="str">
        <f>IFERROR(AC99/AC444, "NA")</f>
        <v>NA</v>
      </c>
    </row>
    <row r="100" spans="1:30" ht="16.5" hidden="1" customHeight="1" x14ac:dyDescent="0.45">
      <c r="A100" s="12" t="s">
        <v>95</v>
      </c>
      <c r="B100" s="7">
        <v>0</v>
      </c>
      <c r="C100" s="8" t="str">
        <f>IFERROR(B100/B444, "NA")</f>
        <v>NA</v>
      </c>
      <c r="D100" s="9"/>
      <c r="E100" s="7">
        <v>0</v>
      </c>
      <c r="F100" s="8" t="str">
        <f>IFERROR(E100/E444, "NA")</f>
        <v>NA</v>
      </c>
      <c r="G100" s="9"/>
      <c r="H100" s="10">
        <f t="shared" si="24"/>
        <v>0</v>
      </c>
      <c r="I100" s="8" t="str">
        <f>IFERROR(H100/H444, "NA")</f>
        <v>NA</v>
      </c>
      <c r="J100" s="9"/>
      <c r="K100" s="7">
        <v>0</v>
      </c>
      <c r="L100" s="8" t="str">
        <f>IFERROR(K100/K444, "NA")</f>
        <v>NA</v>
      </c>
      <c r="M100" s="9"/>
      <c r="N100" s="10">
        <f t="shared" si="25"/>
        <v>0</v>
      </c>
      <c r="O100" s="8" t="str">
        <f>IFERROR(N100/N444, "NA")</f>
        <v>NA</v>
      </c>
      <c r="P100" s="9"/>
      <c r="Q100" s="7">
        <v>0</v>
      </c>
      <c r="R100" s="8" t="str">
        <f>IFERROR(Q100/Q444, "NA")</f>
        <v>NA</v>
      </c>
      <c r="S100" s="9"/>
      <c r="T100" s="7">
        <v>0</v>
      </c>
      <c r="U100" s="8" t="str">
        <f>IFERROR(T100/T444, "NA")</f>
        <v>NA</v>
      </c>
      <c r="V100" s="9"/>
      <c r="W100" s="10">
        <f t="shared" si="26"/>
        <v>0</v>
      </c>
      <c r="X100" s="8" t="str">
        <f>IFERROR(W100/W444, "NA")</f>
        <v>NA</v>
      </c>
      <c r="Y100" s="9"/>
      <c r="Z100" s="7">
        <v>0</v>
      </c>
      <c r="AA100" s="8" t="str">
        <f>IFERROR(Z100/Z444, "NA")</f>
        <v>NA</v>
      </c>
      <c r="AB100" s="9"/>
      <c r="AC100" s="10">
        <f t="shared" si="27"/>
        <v>0</v>
      </c>
      <c r="AD100" s="8" t="str">
        <f>IFERROR(AC100/AC444, "NA")</f>
        <v>NA</v>
      </c>
    </row>
    <row r="101" spans="1:30" ht="16.5" hidden="1" customHeight="1" x14ac:dyDescent="0.45">
      <c r="A101" s="12" t="s">
        <v>96</v>
      </c>
      <c r="B101" s="7">
        <v>0</v>
      </c>
      <c r="C101" s="8" t="str">
        <f>IFERROR(B101/B444, "NA")</f>
        <v>NA</v>
      </c>
      <c r="D101" s="9"/>
      <c r="E101" s="7">
        <v>0</v>
      </c>
      <c r="F101" s="8" t="str">
        <f>IFERROR(E101/E444, "NA")</f>
        <v>NA</v>
      </c>
      <c r="G101" s="9"/>
      <c r="H101" s="10">
        <f t="shared" si="24"/>
        <v>0</v>
      </c>
      <c r="I101" s="8" t="str">
        <f>IFERROR(H101/H444, "NA")</f>
        <v>NA</v>
      </c>
      <c r="J101" s="9"/>
      <c r="K101" s="7">
        <v>0</v>
      </c>
      <c r="L101" s="8" t="str">
        <f>IFERROR(K101/K444, "NA")</f>
        <v>NA</v>
      </c>
      <c r="M101" s="9"/>
      <c r="N101" s="10">
        <f t="shared" si="25"/>
        <v>0</v>
      </c>
      <c r="O101" s="8" t="str">
        <f>IFERROR(N101/N444, "NA")</f>
        <v>NA</v>
      </c>
      <c r="P101" s="9"/>
      <c r="Q101" s="7">
        <v>0</v>
      </c>
      <c r="R101" s="8" t="str">
        <f>IFERROR(Q101/Q444, "NA")</f>
        <v>NA</v>
      </c>
      <c r="S101" s="9"/>
      <c r="T101" s="7">
        <v>0</v>
      </c>
      <c r="U101" s="8" t="str">
        <f>IFERROR(T101/T444, "NA")</f>
        <v>NA</v>
      </c>
      <c r="V101" s="9"/>
      <c r="W101" s="10">
        <f t="shared" si="26"/>
        <v>0</v>
      </c>
      <c r="X101" s="8" t="str">
        <f>IFERROR(W101/W444, "NA")</f>
        <v>NA</v>
      </c>
      <c r="Y101" s="9"/>
      <c r="Z101" s="7">
        <v>0</v>
      </c>
      <c r="AA101" s="8" t="str">
        <f>IFERROR(Z101/Z444, "NA")</f>
        <v>NA</v>
      </c>
      <c r="AB101" s="9"/>
      <c r="AC101" s="10">
        <f t="shared" si="27"/>
        <v>0</v>
      </c>
      <c r="AD101" s="8" t="str">
        <f>IFERROR(AC101/AC444, "NA")</f>
        <v>NA</v>
      </c>
    </row>
    <row r="102" spans="1:30" ht="16.5" hidden="1" customHeight="1" x14ac:dyDescent="0.45">
      <c r="A102" s="12" t="s">
        <v>97</v>
      </c>
      <c r="B102" s="7">
        <v>0</v>
      </c>
      <c r="C102" s="8" t="str">
        <f>IFERROR(B102/B444, "NA")</f>
        <v>NA</v>
      </c>
      <c r="D102" s="9"/>
      <c r="E102" s="7">
        <v>0</v>
      </c>
      <c r="F102" s="8" t="str">
        <f>IFERROR(E102/E444, "NA")</f>
        <v>NA</v>
      </c>
      <c r="G102" s="9"/>
      <c r="H102" s="10">
        <f t="shared" si="24"/>
        <v>0</v>
      </c>
      <c r="I102" s="8" t="str">
        <f>IFERROR(H102/H444, "NA")</f>
        <v>NA</v>
      </c>
      <c r="J102" s="9"/>
      <c r="K102" s="7">
        <v>0</v>
      </c>
      <c r="L102" s="8" t="str">
        <f>IFERROR(K102/K444, "NA")</f>
        <v>NA</v>
      </c>
      <c r="M102" s="9"/>
      <c r="N102" s="10">
        <f t="shared" si="25"/>
        <v>0</v>
      </c>
      <c r="O102" s="8" t="str">
        <f>IFERROR(N102/N444, "NA")</f>
        <v>NA</v>
      </c>
      <c r="P102" s="9"/>
      <c r="Q102" s="7">
        <v>0</v>
      </c>
      <c r="R102" s="8" t="str">
        <f>IFERROR(Q102/Q444, "NA")</f>
        <v>NA</v>
      </c>
      <c r="S102" s="9"/>
      <c r="T102" s="7">
        <v>0</v>
      </c>
      <c r="U102" s="8" t="str">
        <f>IFERROR(T102/T444, "NA")</f>
        <v>NA</v>
      </c>
      <c r="V102" s="9"/>
      <c r="W102" s="10">
        <f t="shared" si="26"/>
        <v>0</v>
      </c>
      <c r="X102" s="8" t="str">
        <f>IFERROR(W102/W444, "NA")</f>
        <v>NA</v>
      </c>
      <c r="Y102" s="9"/>
      <c r="Z102" s="7">
        <v>0</v>
      </c>
      <c r="AA102" s="8" t="str">
        <f>IFERROR(Z102/Z444, "NA")</f>
        <v>NA</v>
      </c>
      <c r="AB102" s="9"/>
      <c r="AC102" s="10">
        <f t="shared" si="27"/>
        <v>0</v>
      </c>
      <c r="AD102" s="8" t="str">
        <f>IFERROR(AC102/AC444, "NA")</f>
        <v>NA</v>
      </c>
    </row>
    <row r="103" spans="1:30" ht="16.5" hidden="1" customHeight="1" x14ac:dyDescent="0.45">
      <c r="A103" s="12" t="s">
        <v>98</v>
      </c>
      <c r="B103" s="7">
        <v>0</v>
      </c>
      <c r="C103" s="8" t="str">
        <f>IFERROR(B103/B444, "NA")</f>
        <v>NA</v>
      </c>
      <c r="D103" s="9"/>
      <c r="E103" s="7">
        <v>0</v>
      </c>
      <c r="F103" s="8" t="str">
        <f>IFERROR(E103/E444, "NA")</f>
        <v>NA</v>
      </c>
      <c r="G103" s="9"/>
      <c r="H103" s="10">
        <f t="shared" si="24"/>
        <v>0</v>
      </c>
      <c r="I103" s="8" t="str">
        <f>IFERROR(H103/H444, "NA")</f>
        <v>NA</v>
      </c>
      <c r="J103" s="9"/>
      <c r="K103" s="7">
        <v>0</v>
      </c>
      <c r="L103" s="8" t="str">
        <f>IFERROR(K103/K444, "NA")</f>
        <v>NA</v>
      </c>
      <c r="M103" s="9"/>
      <c r="N103" s="10">
        <f t="shared" si="25"/>
        <v>0</v>
      </c>
      <c r="O103" s="8" t="str">
        <f>IFERROR(N103/N444, "NA")</f>
        <v>NA</v>
      </c>
      <c r="P103" s="9"/>
      <c r="Q103" s="7">
        <v>0</v>
      </c>
      <c r="R103" s="8" t="str">
        <f>IFERROR(Q103/Q444, "NA")</f>
        <v>NA</v>
      </c>
      <c r="S103" s="9"/>
      <c r="T103" s="7">
        <v>0</v>
      </c>
      <c r="U103" s="8" t="str">
        <f>IFERROR(T103/T444, "NA")</f>
        <v>NA</v>
      </c>
      <c r="V103" s="9"/>
      <c r="W103" s="10">
        <f t="shared" si="26"/>
        <v>0</v>
      </c>
      <c r="X103" s="8" t="str">
        <f>IFERROR(W103/W444, "NA")</f>
        <v>NA</v>
      </c>
      <c r="Y103" s="9"/>
      <c r="Z103" s="7">
        <v>0</v>
      </c>
      <c r="AA103" s="8" t="str">
        <f>IFERROR(Z103/Z444, "NA")</f>
        <v>NA</v>
      </c>
      <c r="AB103" s="9"/>
      <c r="AC103" s="10">
        <f t="shared" si="27"/>
        <v>0</v>
      </c>
      <c r="AD103" s="8" t="str">
        <f>IFERROR(AC103/AC444, "NA")</f>
        <v>NA</v>
      </c>
    </row>
    <row r="104" spans="1:30" ht="16.5" hidden="1" customHeight="1" x14ac:dyDescent="0.45">
      <c r="A104" s="12" t="s">
        <v>99</v>
      </c>
      <c r="B104" s="7">
        <v>0</v>
      </c>
      <c r="C104" s="8" t="str">
        <f>IFERROR(B104/B444, "NA")</f>
        <v>NA</v>
      </c>
      <c r="D104" s="9"/>
      <c r="E104" s="7">
        <v>0</v>
      </c>
      <c r="F104" s="8" t="str">
        <f>IFERROR(E104/E444, "NA")</f>
        <v>NA</v>
      </c>
      <c r="G104" s="9"/>
      <c r="H104" s="10">
        <f t="shared" si="24"/>
        <v>0</v>
      </c>
      <c r="I104" s="8" t="str">
        <f>IFERROR(H104/H444, "NA")</f>
        <v>NA</v>
      </c>
      <c r="J104" s="9"/>
      <c r="K104" s="7">
        <v>0</v>
      </c>
      <c r="L104" s="8" t="str">
        <f>IFERROR(K104/K444, "NA")</f>
        <v>NA</v>
      </c>
      <c r="M104" s="9"/>
      <c r="N104" s="10">
        <f t="shared" si="25"/>
        <v>0</v>
      </c>
      <c r="O104" s="8" t="str">
        <f>IFERROR(N104/N444, "NA")</f>
        <v>NA</v>
      </c>
      <c r="P104" s="9"/>
      <c r="Q104" s="7">
        <v>0</v>
      </c>
      <c r="R104" s="8" t="str">
        <f>IFERROR(Q104/Q444, "NA")</f>
        <v>NA</v>
      </c>
      <c r="S104" s="9"/>
      <c r="T104" s="7">
        <v>0</v>
      </c>
      <c r="U104" s="8" t="str">
        <f>IFERROR(T104/T444, "NA")</f>
        <v>NA</v>
      </c>
      <c r="V104" s="9"/>
      <c r="W104" s="10">
        <f t="shared" si="26"/>
        <v>0</v>
      </c>
      <c r="X104" s="8" t="str">
        <f>IFERROR(W104/W444, "NA")</f>
        <v>NA</v>
      </c>
      <c r="Y104" s="9"/>
      <c r="Z104" s="7">
        <v>0</v>
      </c>
      <c r="AA104" s="8" t="str">
        <f>IFERROR(Z104/Z444, "NA")</f>
        <v>NA</v>
      </c>
      <c r="AB104" s="9"/>
      <c r="AC104" s="10">
        <f t="shared" si="27"/>
        <v>0</v>
      </c>
      <c r="AD104" s="8" t="str">
        <f>IFERROR(AC104/AC444, "NA")</f>
        <v>NA</v>
      </c>
    </row>
    <row r="105" spans="1:30" ht="16.5" hidden="1" customHeight="1" x14ac:dyDescent="0.45">
      <c r="A105" s="12" t="s">
        <v>100</v>
      </c>
      <c r="B105" s="7">
        <v>0</v>
      </c>
      <c r="C105" s="8" t="str">
        <f>IFERROR(B105/B444, "NA")</f>
        <v>NA</v>
      </c>
      <c r="D105" s="9"/>
      <c r="E105" s="7">
        <v>0</v>
      </c>
      <c r="F105" s="8" t="str">
        <f>IFERROR(E105/E444, "NA")</f>
        <v>NA</v>
      </c>
      <c r="G105" s="9"/>
      <c r="H105" s="10">
        <f t="shared" si="24"/>
        <v>0</v>
      </c>
      <c r="I105" s="8" t="str">
        <f>IFERROR(H105/H444, "NA")</f>
        <v>NA</v>
      </c>
      <c r="J105" s="9"/>
      <c r="K105" s="7">
        <v>0</v>
      </c>
      <c r="L105" s="8" t="str">
        <f>IFERROR(K105/K444, "NA")</f>
        <v>NA</v>
      </c>
      <c r="M105" s="9"/>
      <c r="N105" s="10">
        <f t="shared" si="25"/>
        <v>0</v>
      </c>
      <c r="O105" s="8" t="str">
        <f>IFERROR(N105/N444, "NA")</f>
        <v>NA</v>
      </c>
      <c r="P105" s="9"/>
      <c r="Q105" s="7">
        <v>0</v>
      </c>
      <c r="R105" s="8" t="str">
        <f>IFERROR(Q105/Q444, "NA")</f>
        <v>NA</v>
      </c>
      <c r="S105" s="9"/>
      <c r="T105" s="7">
        <v>0</v>
      </c>
      <c r="U105" s="8" t="str">
        <f>IFERROR(T105/T444, "NA")</f>
        <v>NA</v>
      </c>
      <c r="V105" s="9"/>
      <c r="W105" s="10">
        <f t="shared" si="26"/>
        <v>0</v>
      </c>
      <c r="X105" s="8" t="str">
        <f>IFERROR(W105/W444, "NA")</f>
        <v>NA</v>
      </c>
      <c r="Y105" s="9"/>
      <c r="Z105" s="7">
        <v>0</v>
      </c>
      <c r="AA105" s="8" t="str">
        <f>IFERROR(Z105/Z444, "NA")</f>
        <v>NA</v>
      </c>
      <c r="AB105" s="9"/>
      <c r="AC105" s="10">
        <f t="shared" si="27"/>
        <v>0</v>
      </c>
      <c r="AD105" s="8" t="str">
        <f>IFERROR(AC105/AC444, "NA")</f>
        <v>NA</v>
      </c>
    </row>
    <row r="106" spans="1:30" ht="16.5" hidden="1" customHeight="1" x14ac:dyDescent="0.45">
      <c r="A106" s="12" t="s">
        <v>101</v>
      </c>
      <c r="B106" s="7">
        <v>0</v>
      </c>
      <c r="C106" s="8" t="str">
        <f>IFERROR(B106/B444, "NA")</f>
        <v>NA</v>
      </c>
      <c r="D106" s="9"/>
      <c r="E106" s="7">
        <v>0</v>
      </c>
      <c r="F106" s="8" t="str">
        <f>IFERROR(E106/E444, "NA")</f>
        <v>NA</v>
      </c>
      <c r="G106" s="9"/>
      <c r="H106" s="10">
        <f t="shared" si="24"/>
        <v>0</v>
      </c>
      <c r="I106" s="8" t="str">
        <f>IFERROR(H106/H444, "NA")</f>
        <v>NA</v>
      </c>
      <c r="J106" s="9"/>
      <c r="K106" s="7">
        <v>0</v>
      </c>
      <c r="L106" s="8" t="str">
        <f>IFERROR(K106/K444, "NA")</f>
        <v>NA</v>
      </c>
      <c r="M106" s="9"/>
      <c r="N106" s="10">
        <f t="shared" si="25"/>
        <v>0</v>
      </c>
      <c r="O106" s="8" t="str">
        <f>IFERROR(N106/N444, "NA")</f>
        <v>NA</v>
      </c>
      <c r="P106" s="9"/>
      <c r="Q106" s="7">
        <v>0</v>
      </c>
      <c r="R106" s="8" t="str">
        <f>IFERROR(Q106/Q444, "NA")</f>
        <v>NA</v>
      </c>
      <c r="S106" s="9"/>
      <c r="T106" s="7">
        <v>0</v>
      </c>
      <c r="U106" s="8" t="str">
        <f>IFERROR(T106/T444, "NA")</f>
        <v>NA</v>
      </c>
      <c r="V106" s="9"/>
      <c r="W106" s="10">
        <f t="shared" si="26"/>
        <v>0</v>
      </c>
      <c r="X106" s="8" t="str">
        <f>IFERROR(W106/W444, "NA")</f>
        <v>NA</v>
      </c>
      <c r="Y106" s="9"/>
      <c r="Z106" s="7">
        <v>0</v>
      </c>
      <c r="AA106" s="8" t="str">
        <f>IFERROR(Z106/Z444, "NA")</f>
        <v>NA</v>
      </c>
      <c r="AB106" s="9"/>
      <c r="AC106" s="10">
        <f t="shared" si="27"/>
        <v>0</v>
      </c>
      <c r="AD106" s="8" t="str">
        <f>IFERROR(AC106/AC444, "NA")</f>
        <v>NA</v>
      </c>
    </row>
    <row r="107" spans="1:30" ht="16.5" hidden="1" customHeight="1" x14ac:dyDescent="0.45">
      <c r="A107" s="12" t="s">
        <v>102</v>
      </c>
      <c r="B107" s="7">
        <v>0</v>
      </c>
      <c r="C107" s="8" t="str">
        <f>IFERROR(B107/B444, "NA")</f>
        <v>NA</v>
      </c>
      <c r="D107" s="9"/>
      <c r="E107" s="7">
        <v>0</v>
      </c>
      <c r="F107" s="8" t="str">
        <f>IFERROR(E107/E444, "NA")</f>
        <v>NA</v>
      </c>
      <c r="G107" s="9"/>
      <c r="H107" s="10">
        <f t="shared" si="24"/>
        <v>0</v>
      </c>
      <c r="I107" s="8" t="str">
        <f>IFERROR(H107/H444, "NA")</f>
        <v>NA</v>
      </c>
      <c r="J107" s="9"/>
      <c r="K107" s="7">
        <v>0</v>
      </c>
      <c r="L107" s="8" t="str">
        <f>IFERROR(K107/K444, "NA")</f>
        <v>NA</v>
      </c>
      <c r="M107" s="9"/>
      <c r="N107" s="10">
        <f t="shared" si="25"/>
        <v>0</v>
      </c>
      <c r="O107" s="8" t="str">
        <f>IFERROR(N107/N444, "NA")</f>
        <v>NA</v>
      </c>
      <c r="P107" s="9"/>
      <c r="Q107" s="7">
        <v>0</v>
      </c>
      <c r="R107" s="8" t="str">
        <f>IFERROR(Q107/Q444, "NA")</f>
        <v>NA</v>
      </c>
      <c r="S107" s="9"/>
      <c r="T107" s="7">
        <v>0</v>
      </c>
      <c r="U107" s="8" t="str">
        <f>IFERROR(T107/T444, "NA")</f>
        <v>NA</v>
      </c>
      <c r="V107" s="9"/>
      <c r="W107" s="10">
        <f t="shared" si="26"/>
        <v>0</v>
      </c>
      <c r="X107" s="8" t="str">
        <f>IFERROR(W107/W444, "NA")</f>
        <v>NA</v>
      </c>
      <c r="Y107" s="9"/>
      <c r="Z107" s="7">
        <v>0</v>
      </c>
      <c r="AA107" s="8" t="str">
        <f>IFERROR(Z107/Z444, "NA")</f>
        <v>NA</v>
      </c>
      <c r="AB107" s="9"/>
      <c r="AC107" s="10">
        <f t="shared" si="27"/>
        <v>0</v>
      </c>
      <c r="AD107" s="8" t="str">
        <f>IFERROR(AC107/AC444, "NA")</f>
        <v>NA</v>
      </c>
    </row>
    <row r="108" spans="1:30" ht="16.5" hidden="1" customHeight="1" x14ac:dyDescent="0.45">
      <c r="A108" s="12" t="s">
        <v>103</v>
      </c>
      <c r="B108" s="7">
        <v>0</v>
      </c>
      <c r="C108" s="8" t="str">
        <f>IFERROR(B108/B444, "NA")</f>
        <v>NA</v>
      </c>
      <c r="D108" s="9"/>
      <c r="E108" s="7">
        <v>0</v>
      </c>
      <c r="F108" s="8" t="str">
        <f>IFERROR(E108/E444, "NA")</f>
        <v>NA</v>
      </c>
      <c r="G108" s="9"/>
      <c r="H108" s="10">
        <f t="shared" si="24"/>
        <v>0</v>
      </c>
      <c r="I108" s="8" t="str">
        <f>IFERROR(H108/H444, "NA")</f>
        <v>NA</v>
      </c>
      <c r="J108" s="9"/>
      <c r="K108" s="7">
        <v>0</v>
      </c>
      <c r="L108" s="8" t="str">
        <f>IFERROR(K108/K444, "NA")</f>
        <v>NA</v>
      </c>
      <c r="M108" s="9"/>
      <c r="N108" s="10">
        <f t="shared" si="25"/>
        <v>0</v>
      </c>
      <c r="O108" s="8" t="str">
        <f>IFERROR(N108/N444, "NA")</f>
        <v>NA</v>
      </c>
      <c r="P108" s="9"/>
      <c r="Q108" s="7">
        <v>0</v>
      </c>
      <c r="R108" s="8" t="str">
        <f>IFERROR(Q108/Q444, "NA")</f>
        <v>NA</v>
      </c>
      <c r="S108" s="9"/>
      <c r="T108" s="7">
        <v>0</v>
      </c>
      <c r="U108" s="8" t="str">
        <f>IFERROR(T108/T444, "NA")</f>
        <v>NA</v>
      </c>
      <c r="V108" s="9"/>
      <c r="W108" s="10">
        <f t="shared" si="26"/>
        <v>0</v>
      </c>
      <c r="X108" s="8" t="str">
        <f>IFERROR(W108/W444, "NA")</f>
        <v>NA</v>
      </c>
      <c r="Y108" s="9"/>
      <c r="Z108" s="7">
        <v>0</v>
      </c>
      <c r="AA108" s="8" t="str">
        <f>IFERROR(Z108/Z444, "NA")</f>
        <v>NA</v>
      </c>
      <c r="AB108" s="9"/>
      <c r="AC108" s="10">
        <f t="shared" si="27"/>
        <v>0</v>
      </c>
      <c r="AD108" s="8" t="str">
        <f>IFERROR(AC108/AC444, "NA")</f>
        <v>NA</v>
      </c>
    </row>
    <row r="109" spans="1:30" ht="16.5" hidden="1" customHeight="1" x14ac:dyDescent="0.45">
      <c r="A109" s="12" t="s">
        <v>104</v>
      </c>
      <c r="B109" s="7">
        <v>0</v>
      </c>
      <c r="C109" s="8" t="str">
        <f>IFERROR(B109/B444, "NA")</f>
        <v>NA</v>
      </c>
      <c r="D109" s="9"/>
      <c r="E109" s="7">
        <v>0</v>
      </c>
      <c r="F109" s="8" t="str">
        <f>IFERROR(E109/E444, "NA")</f>
        <v>NA</v>
      </c>
      <c r="G109" s="9"/>
      <c r="H109" s="10">
        <f t="shared" si="24"/>
        <v>0</v>
      </c>
      <c r="I109" s="8" t="str">
        <f>IFERROR(H109/H444, "NA")</f>
        <v>NA</v>
      </c>
      <c r="J109" s="9"/>
      <c r="K109" s="7">
        <v>0</v>
      </c>
      <c r="L109" s="8" t="str">
        <f>IFERROR(K109/K444, "NA")</f>
        <v>NA</v>
      </c>
      <c r="M109" s="9"/>
      <c r="N109" s="10">
        <f t="shared" si="25"/>
        <v>0</v>
      </c>
      <c r="O109" s="8" t="str">
        <f>IFERROR(N109/N444, "NA")</f>
        <v>NA</v>
      </c>
      <c r="P109" s="9"/>
      <c r="Q109" s="7">
        <v>0</v>
      </c>
      <c r="R109" s="8" t="str">
        <f>IFERROR(Q109/Q444, "NA")</f>
        <v>NA</v>
      </c>
      <c r="S109" s="9"/>
      <c r="T109" s="7">
        <v>0</v>
      </c>
      <c r="U109" s="8" t="str">
        <f>IFERROR(T109/T444, "NA")</f>
        <v>NA</v>
      </c>
      <c r="V109" s="9"/>
      <c r="W109" s="10">
        <f t="shared" si="26"/>
        <v>0</v>
      </c>
      <c r="X109" s="8" t="str">
        <f>IFERROR(W109/W444, "NA")</f>
        <v>NA</v>
      </c>
      <c r="Y109" s="9"/>
      <c r="Z109" s="7">
        <v>0</v>
      </c>
      <c r="AA109" s="8" t="str">
        <f>IFERROR(Z109/Z444, "NA")</f>
        <v>NA</v>
      </c>
      <c r="AB109" s="9"/>
      <c r="AC109" s="10">
        <f t="shared" si="27"/>
        <v>0</v>
      </c>
      <c r="AD109" s="8" t="str">
        <f>IFERROR(AC109/AC444, "NA")</f>
        <v>NA</v>
      </c>
    </row>
    <row r="110" spans="1:30" ht="16.5" hidden="1" customHeight="1" x14ac:dyDescent="0.45">
      <c r="A110" s="12" t="s">
        <v>105</v>
      </c>
      <c r="B110" s="7">
        <v>0</v>
      </c>
      <c r="C110" s="8" t="str">
        <f>IFERROR(B110/B444, "NA")</f>
        <v>NA</v>
      </c>
      <c r="D110" s="9"/>
      <c r="E110" s="7">
        <v>0</v>
      </c>
      <c r="F110" s="8" t="str">
        <f>IFERROR(E110/E444, "NA")</f>
        <v>NA</v>
      </c>
      <c r="G110" s="9"/>
      <c r="H110" s="10">
        <f t="shared" si="24"/>
        <v>0</v>
      </c>
      <c r="I110" s="8" t="str">
        <f>IFERROR(H110/H444, "NA")</f>
        <v>NA</v>
      </c>
      <c r="J110" s="9"/>
      <c r="K110" s="7">
        <v>0</v>
      </c>
      <c r="L110" s="8" t="str">
        <f>IFERROR(K110/K444, "NA")</f>
        <v>NA</v>
      </c>
      <c r="M110" s="9"/>
      <c r="N110" s="10">
        <f t="shared" si="25"/>
        <v>0</v>
      </c>
      <c r="O110" s="8" t="str">
        <f>IFERROR(N110/N444, "NA")</f>
        <v>NA</v>
      </c>
      <c r="P110" s="9"/>
      <c r="Q110" s="7">
        <v>0</v>
      </c>
      <c r="R110" s="8" t="str">
        <f>IFERROR(Q110/Q444, "NA")</f>
        <v>NA</v>
      </c>
      <c r="S110" s="9"/>
      <c r="T110" s="7">
        <v>0</v>
      </c>
      <c r="U110" s="8" t="str">
        <f>IFERROR(T110/T444, "NA")</f>
        <v>NA</v>
      </c>
      <c r="V110" s="9"/>
      <c r="W110" s="10">
        <f t="shared" si="26"/>
        <v>0</v>
      </c>
      <c r="X110" s="8" t="str">
        <f>IFERROR(W110/W444, "NA")</f>
        <v>NA</v>
      </c>
      <c r="Y110" s="9"/>
      <c r="Z110" s="7">
        <v>0</v>
      </c>
      <c r="AA110" s="8" t="str">
        <f>IFERROR(Z110/Z444, "NA")</f>
        <v>NA</v>
      </c>
      <c r="AB110" s="9"/>
      <c r="AC110" s="10">
        <f t="shared" si="27"/>
        <v>0</v>
      </c>
      <c r="AD110" s="8" t="str">
        <f>IFERROR(AC110/AC444, "NA")</f>
        <v>NA</v>
      </c>
    </row>
    <row r="111" spans="1:30" ht="16.5" hidden="1" customHeight="1" x14ac:dyDescent="0.45">
      <c r="A111" s="12" t="s">
        <v>106</v>
      </c>
      <c r="B111" s="7">
        <v>0</v>
      </c>
      <c r="C111" s="8" t="str">
        <f>IFERROR(B111/B444, "NA")</f>
        <v>NA</v>
      </c>
      <c r="D111" s="9"/>
      <c r="E111" s="7">
        <v>0</v>
      </c>
      <c r="F111" s="8" t="str">
        <f>IFERROR(E111/E444, "NA")</f>
        <v>NA</v>
      </c>
      <c r="G111" s="9"/>
      <c r="H111" s="10">
        <f t="shared" si="24"/>
        <v>0</v>
      </c>
      <c r="I111" s="8" t="str">
        <f>IFERROR(H111/H444, "NA")</f>
        <v>NA</v>
      </c>
      <c r="J111" s="9"/>
      <c r="K111" s="7">
        <v>0</v>
      </c>
      <c r="L111" s="8" t="str">
        <f>IFERROR(K111/K444, "NA")</f>
        <v>NA</v>
      </c>
      <c r="M111" s="9"/>
      <c r="N111" s="10">
        <f t="shared" si="25"/>
        <v>0</v>
      </c>
      <c r="O111" s="8" t="str">
        <f>IFERROR(N111/N444, "NA")</f>
        <v>NA</v>
      </c>
      <c r="P111" s="9"/>
      <c r="Q111" s="7">
        <v>0</v>
      </c>
      <c r="R111" s="8" t="str">
        <f>IFERROR(Q111/Q444, "NA")</f>
        <v>NA</v>
      </c>
      <c r="S111" s="9"/>
      <c r="T111" s="7">
        <v>0</v>
      </c>
      <c r="U111" s="8" t="str">
        <f>IFERROR(T111/T444, "NA")</f>
        <v>NA</v>
      </c>
      <c r="V111" s="9"/>
      <c r="W111" s="10">
        <f t="shared" si="26"/>
        <v>0</v>
      </c>
      <c r="X111" s="8" t="str">
        <f>IFERROR(W111/W444, "NA")</f>
        <v>NA</v>
      </c>
      <c r="Y111" s="9"/>
      <c r="Z111" s="7">
        <v>0</v>
      </c>
      <c r="AA111" s="8" t="str">
        <f>IFERROR(Z111/Z444, "NA")</f>
        <v>NA</v>
      </c>
      <c r="AB111" s="9"/>
      <c r="AC111" s="10">
        <f t="shared" si="27"/>
        <v>0</v>
      </c>
      <c r="AD111" s="8" t="str">
        <f>IFERROR(AC111/AC444, "NA")</f>
        <v>NA</v>
      </c>
    </row>
    <row r="112" spans="1:30" ht="16.5" hidden="1" customHeight="1" x14ac:dyDescent="0.45">
      <c r="A112" s="12" t="s">
        <v>107</v>
      </c>
      <c r="B112" s="7">
        <v>0</v>
      </c>
      <c r="C112" s="8" t="str">
        <f>IFERROR(B112/B444, "NA")</f>
        <v>NA</v>
      </c>
      <c r="D112" s="9"/>
      <c r="E112" s="7">
        <v>0</v>
      </c>
      <c r="F112" s="8" t="str">
        <f>IFERROR(E112/E444, "NA")</f>
        <v>NA</v>
      </c>
      <c r="G112" s="9"/>
      <c r="H112" s="10">
        <f t="shared" si="24"/>
        <v>0</v>
      </c>
      <c r="I112" s="8" t="str">
        <f>IFERROR(H112/H444, "NA")</f>
        <v>NA</v>
      </c>
      <c r="J112" s="9"/>
      <c r="K112" s="7">
        <v>0</v>
      </c>
      <c r="L112" s="8" t="str">
        <f>IFERROR(K112/K444, "NA")</f>
        <v>NA</v>
      </c>
      <c r="M112" s="9"/>
      <c r="N112" s="10">
        <f t="shared" si="25"/>
        <v>0</v>
      </c>
      <c r="O112" s="8" t="str">
        <f>IFERROR(N112/N444, "NA")</f>
        <v>NA</v>
      </c>
      <c r="P112" s="9"/>
      <c r="Q112" s="7">
        <v>0</v>
      </c>
      <c r="R112" s="8" t="str">
        <f>IFERROR(Q112/Q444, "NA")</f>
        <v>NA</v>
      </c>
      <c r="S112" s="9"/>
      <c r="T112" s="7">
        <v>0</v>
      </c>
      <c r="U112" s="8" t="str">
        <f>IFERROR(T112/T444, "NA")</f>
        <v>NA</v>
      </c>
      <c r="V112" s="9"/>
      <c r="W112" s="10">
        <f t="shared" si="26"/>
        <v>0</v>
      </c>
      <c r="X112" s="8" t="str">
        <f>IFERROR(W112/W444, "NA")</f>
        <v>NA</v>
      </c>
      <c r="Y112" s="9"/>
      <c r="Z112" s="7">
        <v>0</v>
      </c>
      <c r="AA112" s="8" t="str">
        <f>IFERROR(Z112/Z444, "NA")</f>
        <v>NA</v>
      </c>
      <c r="AB112" s="9"/>
      <c r="AC112" s="10">
        <f t="shared" si="27"/>
        <v>0</v>
      </c>
      <c r="AD112" s="8" t="str">
        <f>IFERROR(AC112/AC444, "NA")</f>
        <v>NA</v>
      </c>
    </row>
    <row r="113" spans="1:30" ht="16.5" hidden="1" customHeight="1" x14ac:dyDescent="0.45">
      <c r="A113" s="12" t="s">
        <v>108</v>
      </c>
      <c r="B113" s="7">
        <v>0</v>
      </c>
      <c r="C113" s="8" t="str">
        <f>IFERROR(B113/B444, "NA")</f>
        <v>NA</v>
      </c>
      <c r="D113" s="9"/>
      <c r="E113" s="7">
        <v>0</v>
      </c>
      <c r="F113" s="8" t="str">
        <f>IFERROR(E113/E444, "NA")</f>
        <v>NA</v>
      </c>
      <c r="G113" s="9"/>
      <c r="H113" s="10">
        <f t="shared" si="24"/>
        <v>0</v>
      </c>
      <c r="I113" s="8" t="str">
        <f>IFERROR(H113/H444, "NA")</f>
        <v>NA</v>
      </c>
      <c r="J113" s="9"/>
      <c r="K113" s="7">
        <v>0</v>
      </c>
      <c r="L113" s="8" t="str">
        <f>IFERROR(K113/K444, "NA")</f>
        <v>NA</v>
      </c>
      <c r="M113" s="9"/>
      <c r="N113" s="10">
        <f t="shared" si="25"/>
        <v>0</v>
      </c>
      <c r="O113" s="8" t="str">
        <f>IFERROR(N113/N444, "NA")</f>
        <v>NA</v>
      </c>
      <c r="P113" s="9"/>
      <c r="Q113" s="7">
        <v>0</v>
      </c>
      <c r="R113" s="8" t="str">
        <f>IFERROR(Q113/Q444, "NA")</f>
        <v>NA</v>
      </c>
      <c r="S113" s="9"/>
      <c r="T113" s="7">
        <v>0</v>
      </c>
      <c r="U113" s="8" t="str">
        <f>IFERROR(T113/T444, "NA")</f>
        <v>NA</v>
      </c>
      <c r="V113" s="9"/>
      <c r="W113" s="10">
        <f t="shared" si="26"/>
        <v>0</v>
      </c>
      <c r="X113" s="8" t="str">
        <f>IFERROR(W113/W444, "NA")</f>
        <v>NA</v>
      </c>
      <c r="Y113" s="9"/>
      <c r="Z113" s="7">
        <v>0</v>
      </c>
      <c r="AA113" s="8" t="str">
        <f>IFERROR(Z113/Z444, "NA")</f>
        <v>NA</v>
      </c>
      <c r="AB113" s="9"/>
      <c r="AC113" s="10">
        <f t="shared" si="27"/>
        <v>0</v>
      </c>
      <c r="AD113" s="8" t="str">
        <f>IFERROR(AC113/AC444, "NA")</f>
        <v>NA</v>
      </c>
    </row>
    <row r="114" spans="1:30" ht="16.5" hidden="1" customHeight="1" x14ac:dyDescent="0.45">
      <c r="A114" s="12" t="s">
        <v>109</v>
      </c>
      <c r="B114" s="7">
        <v>0</v>
      </c>
      <c r="C114" s="8" t="str">
        <f>IFERROR(B114/B444, "NA")</f>
        <v>NA</v>
      </c>
      <c r="D114" s="9"/>
      <c r="E114" s="7">
        <v>0</v>
      </c>
      <c r="F114" s="8" t="str">
        <f>IFERROR(E114/E444, "NA")</f>
        <v>NA</v>
      </c>
      <c r="G114" s="9"/>
      <c r="H114" s="10">
        <f t="shared" si="24"/>
        <v>0</v>
      </c>
      <c r="I114" s="8" t="str">
        <f>IFERROR(H114/H444, "NA")</f>
        <v>NA</v>
      </c>
      <c r="J114" s="9"/>
      <c r="K114" s="7">
        <v>0</v>
      </c>
      <c r="L114" s="8" t="str">
        <f>IFERROR(K114/K444, "NA")</f>
        <v>NA</v>
      </c>
      <c r="M114" s="9"/>
      <c r="N114" s="10">
        <f t="shared" si="25"/>
        <v>0</v>
      </c>
      <c r="O114" s="8" t="str">
        <f>IFERROR(N114/N444, "NA")</f>
        <v>NA</v>
      </c>
      <c r="P114" s="9"/>
      <c r="Q114" s="7">
        <v>0</v>
      </c>
      <c r="R114" s="8" t="str">
        <f>IFERROR(Q114/Q444, "NA")</f>
        <v>NA</v>
      </c>
      <c r="S114" s="9"/>
      <c r="T114" s="7">
        <v>0</v>
      </c>
      <c r="U114" s="8" t="str">
        <f>IFERROR(T114/T444, "NA")</f>
        <v>NA</v>
      </c>
      <c r="V114" s="9"/>
      <c r="W114" s="10">
        <f t="shared" si="26"/>
        <v>0</v>
      </c>
      <c r="X114" s="8" t="str">
        <f>IFERROR(W114/W444, "NA")</f>
        <v>NA</v>
      </c>
      <c r="Y114" s="9"/>
      <c r="Z114" s="7">
        <v>0</v>
      </c>
      <c r="AA114" s="8" t="str">
        <f>IFERROR(Z114/Z444, "NA")</f>
        <v>NA</v>
      </c>
      <c r="AB114" s="9"/>
      <c r="AC114" s="10">
        <f t="shared" si="27"/>
        <v>0</v>
      </c>
      <c r="AD114" s="8" t="str">
        <f>IFERROR(AC114/AC444, "NA")</f>
        <v>NA</v>
      </c>
    </row>
    <row r="115" spans="1:30" ht="16.5" hidden="1" customHeight="1" x14ac:dyDescent="0.45">
      <c r="A115" s="12" t="s">
        <v>110</v>
      </c>
      <c r="B115" s="7">
        <v>0</v>
      </c>
      <c r="C115" s="8" t="str">
        <f>IFERROR(B115/B444, "NA")</f>
        <v>NA</v>
      </c>
      <c r="D115" s="9"/>
      <c r="E115" s="7">
        <v>0</v>
      </c>
      <c r="F115" s="8" t="str">
        <f>IFERROR(E115/E444, "NA")</f>
        <v>NA</v>
      </c>
      <c r="G115" s="9"/>
      <c r="H115" s="10">
        <f t="shared" si="24"/>
        <v>0</v>
      </c>
      <c r="I115" s="8" t="str">
        <f>IFERROR(H115/H444, "NA")</f>
        <v>NA</v>
      </c>
      <c r="J115" s="9"/>
      <c r="K115" s="7">
        <v>0</v>
      </c>
      <c r="L115" s="8" t="str">
        <f>IFERROR(K115/K444, "NA")</f>
        <v>NA</v>
      </c>
      <c r="M115" s="9"/>
      <c r="N115" s="10">
        <f t="shared" si="25"/>
        <v>0</v>
      </c>
      <c r="O115" s="8" t="str">
        <f>IFERROR(N115/N444, "NA")</f>
        <v>NA</v>
      </c>
      <c r="P115" s="9"/>
      <c r="Q115" s="7">
        <v>0</v>
      </c>
      <c r="R115" s="8" t="str">
        <f>IFERROR(Q115/Q444, "NA")</f>
        <v>NA</v>
      </c>
      <c r="S115" s="9"/>
      <c r="T115" s="7">
        <v>0</v>
      </c>
      <c r="U115" s="8" t="str">
        <f>IFERROR(T115/T444, "NA")</f>
        <v>NA</v>
      </c>
      <c r="V115" s="9"/>
      <c r="W115" s="10">
        <f t="shared" si="26"/>
        <v>0</v>
      </c>
      <c r="X115" s="8" t="str">
        <f>IFERROR(W115/W444, "NA")</f>
        <v>NA</v>
      </c>
      <c r="Y115" s="9"/>
      <c r="Z115" s="7">
        <v>0</v>
      </c>
      <c r="AA115" s="8" t="str">
        <f>IFERROR(Z115/Z444, "NA")</f>
        <v>NA</v>
      </c>
      <c r="AB115" s="9"/>
      <c r="AC115" s="10">
        <f t="shared" si="27"/>
        <v>0</v>
      </c>
      <c r="AD115" s="8" t="str">
        <f>IFERROR(AC115/AC444, "NA")</f>
        <v>NA</v>
      </c>
    </row>
    <row r="116" spans="1:30" ht="16.5" hidden="1" customHeight="1" x14ac:dyDescent="0.45">
      <c r="A116" s="12" t="s">
        <v>111</v>
      </c>
      <c r="B116" s="7">
        <v>0</v>
      </c>
      <c r="C116" s="8" t="str">
        <f>IFERROR(B116/B444, "NA")</f>
        <v>NA</v>
      </c>
      <c r="D116" s="9"/>
      <c r="E116" s="7">
        <v>0</v>
      </c>
      <c r="F116" s="8" t="str">
        <f>IFERROR(E116/E444, "NA")</f>
        <v>NA</v>
      </c>
      <c r="G116" s="9"/>
      <c r="H116" s="10">
        <f t="shared" si="24"/>
        <v>0</v>
      </c>
      <c r="I116" s="8" t="str">
        <f>IFERROR(H116/H444, "NA")</f>
        <v>NA</v>
      </c>
      <c r="J116" s="9"/>
      <c r="K116" s="7">
        <v>0</v>
      </c>
      <c r="L116" s="8" t="str">
        <f>IFERROR(K116/K444, "NA")</f>
        <v>NA</v>
      </c>
      <c r="M116" s="9"/>
      <c r="N116" s="10">
        <f t="shared" si="25"/>
        <v>0</v>
      </c>
      <c r="O116" s="8" t="str">
        <f>IFERROR(N116/N444, "NA")</f>
        <v>NA</v>
      </c>
      <c r="P116" s="9"/>
      <c r="Q116" s="7">
        <v>0</v>
      </c>
      <c r="R116" s="8" t="str">
        <f>IFERROR(Q116/Q444, "NA")</f>
        <v>NA</v>
      </c>
      <c r="S116" s="9"/>
      <c r="T116" s="7">
        <v>0</v>
      </c>
      <c r="U116" s="8" t="str">
        <f>IFERROR(T116/T444, "NA")</f>
        <v>NA</v>
      </c>
      <c r="V116" s="9"/>
      <c r="W116" s="10">
        <f t="shared" si="26"/>
        <v>0</v>
      </c>
      <c r="X116" s="8" t="str">
        <f>IFERROR(W116/W444, "NA")</f>
        <v>NA</v>
      </c>
      <c r="Y116" s="9"/>
      <c r="Z116" s="7">
        <v>0</v>
      </c>
      <c r="AA116" s="8" t="str">
        <f>IFERROR(Z116/Z444, "NA")</f>
        <v>NA</v>
      </c>
      <c r="AB116" s="9"/>
      <c r="AC116" s="10">
        <f t="shared" si="27"/>
        <v>0</v>
      </c>
      <c r="AD116" s="8" t="str">
        <f>IFERROR(AC116/AC444, "NA")</f>
        <v>NA</v>
      </c>
    </row>
    <row r="117" spans="1:30" ht="16.5" hidden="1" customHeight="1" x14ac:dyDescent="0.45">
      <c r="A117" s="12" t="s">
        <v>112</v>
      </c>
      <c r="B117" s="7">
        <v>0</v>
      </c>
      <c r="C117" s="8" t="str">
        <f>IFERROR(B117/B444, "NA")</f>
        <v>NA</v>
      </c>
      <c r="D117" s="9"/>
      <c r="E117" s="7">
        <v>0</v>
      </c>
      <c r="F117" s="8" t="str">
        <f>IFERROR(E117/E444, "NA")</f>
        <v>NA</v>
      </c>
      <c r="G117" s="9"/>
      <c r="H117" s="10">
        <f t="shared" si="24"/>
        <v>0</v>
      </c>
      <c r="I117" s="8" t="str">
        <f>IFERROR(H117/H444, "NA")</f>
        <v>NA</v>
      </c>
      <c r="J117" s="9"/>
      <c r="K117" s="7">
        <v>0</v>
      </c>
      <c r="L117" s="8" t="str">
        <f>IFERROR(K117/K444, "NA")</f>
        <v>NA</v>
      </c>
      <c r="M117" s="9"/>
      <c r="N117" s="10">
        <f t="shared" si="25"/>
        <v>0</v>
      </c>
      <c r="O117" s="8" t="str">
        <f>IFERROR(N117/N444, "NA")</f>
        <v>NA</v>
      </c>
      <c r="P117" s="9"/>
      <c r="Q117" s="7">
        <v>0</v>
      </c>
      <c r="R117" s="8" t="str">
        <f>IFERROR(Q117/Q444, "NA")</f>
        <v>NA</v>
      </c>
      <c r="S117" s="9"/>
      <c r="T117" s="7">
        <v>0</v>
      </c>
      <c r="U117" s="8" t="str">
        <f>IFERROR(T117/T444, "NA")</f>
        <v>NA</v>
      </c>
      <c r="V117" s="9"/>
      <c r="W117" s="10">
        <f t="shared" si="26"/>
        <v>0</v>
      </c>
      <c r="X117" s="8" t="str">
        <f>IFERROR(W117/W444, "NA")</f>
        <v>NA</v>
      </c>
      <c r="Y117" s="9"/>
      <c r="Z117" s="7">
        <v>0</v>
      </c>
      <c r="AA117" s="8" t="str">
        <f>IFERROR(Z117/Z444, "NA")</f>
        <v>NA</v>
      </c>
      <c r="AB117" s="9"/>
      <c r="AC117" s="10">
        <f t="shared" si="27"/>
        <v>0</v>
      </c>
      <c r="AD117" s="8" t="str">
        <f>IFERROR(AC117/AC444, "NA")</f>
        <v>NA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0</v>
      </c>
      <c r="C118" s="15" t="str">
        <f>IFERROR(B118/B444, "NA")</f>
        <v>NA</v>
      </c>
      <c r="D118" s="2"/>
      <c r="E118" s="14">
        <f>IFERROR(E94+E95+E96+E97+E98+E99+E100+E101+E102+E103+E104+E105+E106+E107+E108+E109+E110+E111+E112+E113+E114+E115+E116+E117, "NA")</f>
        <v>0</v>
      </c>
      <c r="F118" s="15" t="str">
        <f>IFERROR(E118/E444, "NA")</f>
        <v>NA</v>
      </c>
      <c r="G118" s="2"/>
      <c r="H118" s="14">
        <f t="shared" si="24"/>
        <v>0</v>
      </c>
      <c r="I118" s="15" t="str">
        <f>IFERROR(H118/H444, "NA")</f>
        <v>NA</v>
      </c>
      <c r="J118" s="2"/>
      <c r="K118" s="14">
        <f>IFERROR(K94+K95+K96+K97+K98+K99+K100+K101+K102+K103+K104+K105+K106+K107+K108+K109+K110+K111+K112+K113+K114+K115+K116+K117, "NA")</f>
        <v>0</v>
      </c>
      <c r="L118" s="15" t="str">
        <f>IFERROR(K118/K444, "NA")</f>
        <v>NA</v>
      </c>
      <c r="M118" s="2"/>
      <c r="N118" s="14">
        <f t="shared" si="25"/>
        <v>0</v>
      </c>
      <c r="O118" s="15" t="str">
        <f>IFERROR(N118/N444, "NA")</f>
        <v>NA</v>
      </c>
      <c r="P118" s="2"/>
      <c r="Q118" s="14">
        <f>IFERROR(Q94+Q95+Q96+Q97+Q98+Q99+Q100+Q101+Q102+Q103+Q104+Q105+Q106+Q107+Q108+Q109+Q110+Q111+Q112+Q113+Q114+Q115+Q116+Q117, "NA")</f>
        <v>0</v>
      </c>
      <c r="R118" s="15" t="str">
        <f>IFERROR(Q118/Q444, "NA")</f>
        <v>NA</v>
      </c>
      <c r="S118" s="2"/>
      <c r="T118" s="14">
        <f>IFERROR(T94+T95+T96+T97+T98+T99+T100+T101+T102+T103+T104+T105+T106+T107+T108+T109+T110+T111+T112+T113+T114+T115+T116+T117, "NA")</f>
        <v>0</v>
      </c>
      <c r="U118" s="15" t="str">
        <f>IFERROR(T118/T444, "NA")</f>
        <v>NA</v>
      </c>
      <c r="V118" s="2"/>
      <c r="W118" s="14">
        <f t="shared" si="26"/>
        <v>0</v>
      </c>
      <c r="X118" s="15" t="str">
        <f>IFERROR(W118/W444, "NA")</f>
        <v>NA</v>
      </c>
      <c r="Y118" s="2"/>
      <c r="Z118" s="14">
        <f>IFERROR(Z94+Z95+Z96+Z97+Z98+Z99+Z100+Z101+Z102+Z103+Z104+Z105+Z106+Z107+Z108+Z109+Z110+Z111+Z112+Z113+Z114+Z115+Z116+Z117, "NA")</f>
        <v>0</v>
      </c>
      <c r="AA118" s="15" t="str">
        <f>IFERROR(Z118/Z444, "NA")</f>
        <v>NA</v>
      </c>
      <c r="AB118" s="2"/>
      <c r="AC118" s="14">
        <f t="shared" si="27"/>
        <v>0</v>
      </c>
      <c r="AD118" s="15" t="str">
        <f>IFERROR(AC118/AC444, "NA")</f>
        <v>NA</v>
      </c>
    </row>
    <row r="119" spans="1:30" ht="16.5" hidden="1" customHeight="1" x14ac:dyDescent="0.45">
      <c r="A119" s="6" t="s">
        <v>114</v>
      </c>
      <c r="B119" s="7">
        <v>0</v>
      </c>
      <c r="C119" s="8" t="str">
        <f>IFERROR(B119/B444, "NA")</f>
        <v>NA</v>
      </c>
      <c r="D119" s="9"/>
      <c r="E119" s="7">
        <v>0</v>
      </c>
      <c r="F119" s="8" t="str">
        <f>IFERROR(E119/E444, "NA")</f>
        <v>NA</v>
      </c>
      <c r="G119" s="9"/>
      <c r="H119" s="10">
        <f t="shared" si="24"/>
        <v>0</v>
      </c>
      <c r="I119" s="8" t="str">
        <f>IFERROR(H119/H444, "NA")</f>
        <v>NA</v>
      </c>
      <c r="J119" s="9"/>
      <c r="K119" s="7">
        <v>0</v>
      </c>
      <c r="L119" s="8" t="str">
        <f>IFERROR(K119/K444, "NA")</f>
        <v>NA</v>
      </c>
      <c r="M119" s="9"/>
      <c r="N119" s="10">
        <f t="shared" si="25"/>
        <v>0</v>
      </c>
      <c r="O119" s="8" t="str">
        <f>IFERROR(N119/N444, "NA")</f>
        <v>NA</v>
      </c>
      <c r="P119" s="9"/>
      <c r="Q119" s="7">
        <v>0</v>
      </c>
      <c r="R119" s="8" t="str">
        <f>IFERROR(Q119/Q444, "NA")</f>
        <v>NA</v>
      </c>
      <c r="S119" s="9"/>
      <c r="T119" s="7">
        <v>0</v>
      </c>
      <c r="U119" s="8" t="str">
        <f>IFERROR(T119/T444, "NA")</f>
        <v>NA</v>
      </c>
      <c r="V119" s="9"/>
      <c r="W119" s="10">
        <f t="shared" si="26"/>
        <v>0</v>
      </c>
      <c r="X119" s="8" t="str">
        <f>IFERROR(W119/W444, "NA")</f>
        <v>NA</v>
      </c>
      <c r="Y119" s="9"/>
      <c r="Z119" s="7">
        <v>0</v>
      </c>
      <c r="AA119" s="8" t="str">
        <f>IFERROR(Z119/Z444, "NA")</f>
        <v>NA</v>
      </c>
      <c r="AB119" s="9"/>
      <c r="AC119" s="10">
        <f t="shared" si="27"/>
        <v>0</v>
      </c>
      <c r="AD119" s="8" t="str">
        <f>IFERROR(AC119/AC444, "NA")</f>
        <v>NA</v>
      </c>
    </row>
    <row r="120" spans="1:30" ht="16.5" hidden="1" customHeight="1" x14ac:dyDescent="0.45">
      <c r="A120" s="6" t="s">
        <v>115</v>
      </c>
      <c r="B120" s="7">
        <v>0</v>
      </c>
      <c r="C120" s="8" t="str">
        <f>IFERROR(B120/B444, "NA")</f>
        <v>NA</v>
      </c>
      <c r="D120" s="9"/>
      <c r="E120" s="7">
        <v>0</v>
      </c>
      <c r="F120" s="8" t="str">
        <f>IFERROR(E120/E444, "NA")</f>
        <v>NA</v>
      </c>
      <c r="G120" s="9"/>
      <c r="H120" s="10">
        <f t="shared" si="24"/>
        <v>0</v>
      </c>
      <c r="I120" s="8" t="str">
        <f>IFERROR(H120/H444, "NA")</f>
        <v>NA</v>
      </c>
      <c r="J120" s="9"/>
      <c r="K120" s="7">
        <v>0</v>
      </c>
      <c r="L120" s="8" t="str">
        <f>IFERROR(K120/K444, "NA")</f>
        <v>NA</v>
      </c>
      <c r="M120" s="9"/>
      <c r="N120" s="10">
        <f t="shared" si="25"/>
        <v>0</v>
      </c>
      <c r="O120" s="8" t="str">
        <f>IFERROR(N120/N444, "NA")</f>
        <v>NA</v>
      </c>
      <c r="P120" s="9"/>
      <c r="Q120" s="7">
        <v>0</v>
      </c>
      <c r="R120" s="8" t="str">
        <f>IFERROR(Q120/Q444, "NA")</f>
        <v>NA</v>
      </c>
      <c r="S120" s="9"/>
      <c r="T120" s="7">
        <v>0</v>
      </c>
      <c r="U120" s="8" t="str">
        <f>IFERROR(T120/T444, "NA")</f>
        <v>NA</v>
      </c>
      <c r="V120" s="9"/>
      <c r="W120" s="10">
        <f t="shared" si="26"/>
        <v>0</v>
      </c>
      <c r="X120" s="8" t="str">
        <f>IFERROR(W120/W444, "NA")</f>
        <v>NA</v>
      </c>
      <c r="Y120" s="9"/>
      <c r="Z120" s="7">
        <v>0</v>
      </c>
      <c r="AA120" s="8" t="str">
        <f>IFERROR(Z120/Z444, "NA")</f>
        <v>NA</v>
      </c>
      <c r="AB120" s="9"/>
      <c r="AC120" s="10">
        <f t="shared" si="27"/>
        <v>0</v>
      </c>
      <c r="AD120" s="8" t="str">
        <f>IFERROR(AC120/AC444, "NA")</f>
        <v>NA</v>
      </c>
    </row>
    <row r="121" spans="1:30" ht="16.5" hidden="1" customHeight="1" x14ac:dyDescent="0.45">
      <c r="A121" s="6" t="s">
        <v>116</v>
      </c>
      <c r="B121" s="7">
        <v>0</v>
      </c>
      <c r="C121" s="8" t="str">
        <f>IFERROR(B121/B444, "NA")</f>
        <v>NA</v>
      </c>
      <c r="D121" s="9"/>
      <c r="E121" s="7">
        <v>0</v>
      </c>
      <c r="F121" s="8" t="str">
        <f>IFERROR(E121/E444, "NA")</f>
        <v>NA</v>
      </c>
      <c r="G121" s="9"/>
      <c r="H121" s="10">
        <f t="shared" si="24"/>
        <v>0</v>
      </c>
      <c r="I121" s="8" t="str">
        <f>IFERROR(H121/H444, "NA")</f>
        <v>NA</v>
      </c>
      <c r="J121" s="9"/>
      <c r="K121" s="7">
        <v>0</v>
      </c>
      <c r="L121" s="8" t="str">
        <f>IFERROR(K121/K444, "NA")</f>
        <v>NA</v>
      </c>
      <c r="M121" s="9"/>
      <c r="N121" s="10">
        <f t="shared" si="25"/>
        <v>0</v>
      </c>
      <c r="O121" s="8" t="str">
        <f>IFERROR(N121/N444, "NA")</f>
        <v>NA</v>
      </c>
      <c r="P121" s="9"/>
      <c r="Q121" s="7">
        <v>0</v>
      </c>
      <c r="R121" s="8" t="str">
        <f>IFERROR(Q121/Q444, "NA")</f>
        <v>NA</v>
      </c>
      <c r="S121" s="9"/>
      <c r="T121" s="7">
        <v>0</v>
      </c>
      <c r="U121" s="8" t="str">
        <f>IFERROR(T121/T444, "NA")</f>
        <v>NA</v>
      </c>
      <c r="V121" s="9"/>
      <c r="W121" s="10">
        <f t="shared" si="26"/>
        <v>0</v>
      </c>
      <c r="X121" s="8" t="str">
        <f>IFERROR(W121/W444, "NA")</f>
        <v>NA</v>
      </c>
      <c r="Y121" s="9"/>
      <c r="Z121" s="7">
        <v>0</v>
      </c>
      <c r="AA121" s="8" t="str">
        <f>IFERROR(Z121/Z444, "NA")</f>
        <v>NA</v>
      </c>
      <c r="AB121" s="9"/>
      <c r="AC121" s="10">
        <f t="shared" si="27"/>
        <v>0</v>
      </c>
      <c r="AD121" s="8" t="str">
        <f>IFERROR(AC121/AC444, "NA")</f>
        <v>NA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0</v>
      </c>
      <c r="C122" s="15" t="str">
        <f>IFERROR(B122/B444, "NA")</f>
        <v>NA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0</v>
      </c>
      <c r="F122" s="15" t="str">
        <f>IFERROR(E122/E444, "NA")</f>
        <v>NA</v>
      </c>
      <c r="G122" s="2"/>
      <c r="H122" s="14">
        <f t="shared" si="24"/>
        <v>0</v>
      </c>
      <c r="I122" s="15" t="str">
        <f>IFERROR(H122/H444, "NA")</f>
        <v>NA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0</v>
      </c>
      <c r="L122" s="15" t="str">
        <f>IFERROR(K122/K444, "NA")</f>
        <v>NA</v>
      </c>
      <c r="M122" s="2"/>
      <c r="N122" s="14">
        <f t="shared" si="25"/>
        <v>0</v>
      </c>
      <c r="O122" s="15" t="str">
        <f>IFERROR(N122/N444, "NA")</f>
        <v>NA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0</v>
      </c>
      <c r="R122" s="15" t="str">
        <f>IFERROR(Q122/Q444, "NA")</f>
        <v>NA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0</v>
      </c>
      <c r="U122" s="15" t="str">
        <f>IFERROR(T122/T444, "NA")</f>
        <v>NA</v>
      </c>
      <c r="V122" s="2"/>
      <c r="W122" s="14">
        <f t="shared" si="26"/>
        <v>0</v>
      </c>
      <c r="X122" s="15" t="str">
        <f>IFERROR(W122/W444, "NA")</f>
        <v>NA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0</v>
      </c>
      <c r="AA122" s="15" t="str">
        <f>IFERROR(Z122/Z444, "NA")</f>
        <v>NA</v>
      </c>
      <c r="AB122" s="2"/>
      <c r="AC122" s="14">
        <f t="shared" si="27"/>
        <v>0</v>
      </c>
      <c r="AD122" s="15" t="str">
        <f>IFERROR(AC122/AC444, "NA")</f>
        <v>NA</v>
      </c>
    </row>
    <row r="123" spans="1:30" ht="16.5" hidden="1" customHeight="1" x14ac:dyDescent="0.45">
      <c r="A123" s="20" t="s">
        <v>118</v>
      </c>
      <c r="B123" s="7">
        <v>0</v>
      </c>
      <c r="C123" s="8" t="str">
        <f>IFERROR(B123/B444, "NA")</f>
        <v>NA</v>
      </c>
      <c r="D123" s="9"/>
      <c r="E123" s="7">
        <v>0</v>
      </c>
      <c r="F123" s="8" t="str">
        <f>IFERROR(E123/E444, "NA")</f>
        <v>NA</v>
      </c>
      <c r="G123" s="9"/>
      <c r="H123" s="10">
        <f t="shared" si="24"/>
        <v>0</v>
      </c>
      <c r="I123" s="8" t="str">
        <f>IFERROR(H123/H444, "NA")</f>
        <v>NA</v>
      </c>
      <c r="J123" s="9"/>
      <c r="K123" s="7">
        <v>0</v>
      </c>
      <c r="L123" s="8" t="str">
        <f>IFERROR(K123/K444, "NA")</f>
        <v>NA</v>
      </c>
      <c r="M123" s="9"/>
      <c r="N123" s="10">
        <f t="shared" si="25"/>
        <v>0</v>
      </c>
      <c r="O123" s="8" t="str">
        <f>IFERROR(N123/N444, "NA")</f>
        <v>NA</v>
      </c>
      <c r="P123" s="9"/>
      <c r="Q123" s="7">
        <v>0</v>
      </c>
      <c r="R123" s="8" t="str">
        <f>IFERROR(Q123/Q444, "NA")</f>
        <v>NA</v>
      </c>
      <c r="S123" s="9"/>
      <c r="T123" s="7">
        <v>0</v>
      </c>
      <c r="U123" s="8" t="str">
        <f>IFERROR(T123/T444, "NA")</f>
        <v>NA</v>
      </c>
      <c r="V123" s="9"/>
      <c r="W123" s="10">
        <f t="shared" si="26"/>
        <v>0</v>
      </c>
      <c r="X123" s="8" t="str">
        <f>IFERROR(W123/W444, "NA")</f>
        <v>NA</v>
      </c>
      <c r="Y123" s="9"/>
      <c r="Z123" s="7">
        <v>0</v>
      </c>
      <c r="AA123" s="8" t="str">
        <f>IFERROR(Z123/Z444, "NA")</f>
        <v>NA</v>
      </c>
      <c r="AB123" s="9"/>
      <c r="AC123" s="10">
        <f t="shared" si="27"/>
        <v>0</v>
      </c>
      <c r="AD123" s="8" t="str">
        <f>IFERROR(AC123/AC444, "NA")</f>
        <v>NA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0</v>
      </c>
      <c r="C124" s="15" t="str">
        <f>IFERROR(B124/B444, "NA")</f>
        <v>NA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0</v>
      </c>
      <c r="F124" s="15" t="str">
        <f>IFERROR(E124/E444, "NA")</f>
        <v>NA</v>
      </c>
      <c r="G124" s="2"/>
      <c r="H124" s="14">
        <f t="shared" si="24"/>
        <v>0</v>
      </c>
      <c r="I124" s="15" t="str">
        <f>IFERROR(H124/H444, "NA")</f>
        <v>NA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0</v>
      </c>
      <c r="L124" s="15" t="str">
        <f>IFERROR(K124/K444, "NA")</f>
        <v>NA</v>
      </c>
      <c r="M124" s="2"/>
      <c r="N124" s="14">
        <f t="shared" si="25"/>
        <v>0</v>
      </c>
      <c r="O124" s="15" t="str">
        <f>IFERROR(N124/N444, "NA")</f>
        <v>NA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0</v>
      </c>
      <c r="R124" s="15" t="str">
        <f>IFERROR(Q124/Q444, "NA")</f>
        <v>NA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0</v>
      </c>
      <c r="U124" s="15" t="str">
        <f>IFERROR(T124/T444, "NA")</f>
        <v>NA</v>
      </c>
      <c r="V124" s="2"/>
      <c r="W124" s="14">
        <f t="shared" si="26"/>
        <v>0</v>
      </c>
      <c r="X124" s="15" t="str">
        <f>IFERROR(W124/W444, "NA")</f>
        <v>NA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0</v>
      </c>
      <c r="AA124" s="15" t="str">
        <f>IFERROR(Z124/Z444, "NA")</f>
        <v>NA</v>
      </c>
      <c r="AB124" s="2"/>
      <c r="AC124" s="14">
        <f t="shared" si="27"/>
        <v>0</v>
      </c>
      <c r="AD124" s="15" t="str">
        <f>IFERROR(AC124/AC444, "NA")</f>
        <v>NA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 t="str">
        <f>IFERROR(B127/B444, "NA")</f>
        <v>NA</v>
      </c>
      <c r="D127" s="9"/>
      <c r="E127" s="7">
        <v>0</v>
      </c>
      <c r="F127" s="8" t="str">
        <f>IFERROR(E127/E444, "NA")</f>
        <v>NA</v>
      </c>
      <c r="G127" s="9"/>
      <c r="H127" s="10">
        <f>IFERROR(-(B127-E127), "NA")</f>
        <v>0</v>
      </c>
      <c r="I127" s="8" t="str">
        <f>IFERROR(H127/H444, "NA")</f>
        <v>NA</v>
      </c>
      <c r="J127" s="9"/>
      <c r="K127" s="7">
        <v>0</v>
      </c>
      <c r="L127" s="8" t="str">
        <f>IFERROR(K127/K444, "NA")</f>
        <v>NA</v>
      </c>
      <c r="M127" s="9"/>
      <c r="N127" s="10">
        <f>IFERROR(-(B127-K127), "NA")</f>
        <v>0</v>
      </c>
      <c r="O127" s="8" t="str">
        <f>IFERROR(N127/N444, "NA")</f>
        <v>NA</v>
      </c>
      <c r="P127" s="9"/>
      <c r="Q127" s="7">
        <v>0</v>
      </c>
      <c r="R127" s="8" t="str">
        <f>IFERROR(Q127/Q444, "NA")</f>
        <v>NA</v>
      </c>
      <c r="S127" s="9"/>
      <c r="T127" s="7">
        <v>0</v>
      </c>
      <c r="U127" s="8" t="str">
        <f>IFERROR(T127/T444, "NA")</f>
        <v>NA</v>
      </c>
      <c r="V127" s="9"/>
      <c r="W127" s="10">
        <f>IFERROR(-(Q127-T127), "NA")</f>
        <v>0</v>
      </c>
      <c r="X127" s="8" t="str">
        <f>IFERROR(W127/W444, "NA")</f>
        <v>NA</v>
      </c>
      <c r="Y127" s="9"/>
      <c r="Z127" s="7">
        <v>0</v>
      </c>
      <c r="AA127" s="8" t="str">
        <f>IFERROR(Z127/Z444, "NA")</f>
        <v>NA</v>
      </c>
      <c r="AB127" s="9"/>
      <c r="AC127" s="10">
        <f>IFERROR(-(Q127-Z127), "NA")</f>
        <v>0</v>
      </c>
      <c r="AD127" s="8" t="str">
        <f>IFERROR(AC127/AC444, "NA")</f>
        <v>NA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hidden="1" customHeight="1" x14ac:dyDescent="0.45">
      <c r="A129" s="12" t="s">
        <v>121</v>
      </c>
      <c r="B129" s="7">
        <v>0</v>
      </c>
      <c r="C129" s="8" t="str">
        <f>IFERROR(B129/B444, "NA")</f>
        <v>NA</v>
      </c>
      <c r="D129" s="9"/>
      <c r="E129" s="7">
        <v>0</v>
      </c>
      <c r="F129" s="8" t="str">
        <f>IFERROR(E129/E444, "NA")</f>
        <v>NA</v>
      </c>
      <c r="G129" s="9"/>
      <c r="H129" s="10">
        <f t="shared" ref="H129:H141" si="28">IFERROR(-(B129-E129), "NA")</f>
        <v>0</v>
      </c>
      <c r="I129" s="8" t="str">
        <f>IFERROR(H129/H444, "NA")</f>
        <v>NA</v>
      </c>
      <c r="J129" s="9"/>
      <c r="K129" s="7">
        <v>0</v>
      </c>
      <c r="L129" s="8" t="str">
        <f>IFERROR(K129/K444, "NA")</f>
        <v>NA</v>
      </c>
      <c r="M129" s="9"/>
      <c r="N129" s="10">
        <f t="shared" ref="N129:N141" si="29">IFERROR(-(B129-K129), "NA")</f>
        <v>0</v>
      </c>
      <c r="O129" s="8" t="str">
        <f>IFERROR(N129/N444, "NA")</f>
        <v>NA</v>
      </c>
      <c r="P129" s="9"/>
      <c r="Q129" s="7">
        <v>0</v>
      </c>
      <c r="R129" s="8" t="str">
        <f>IFERROR(Q129/Q444, "NA")</f>
        <v>NA</v>
      </c>
      <c r="S129" s="9"/>
      <c r="T129" s="7">
        <v>0</v>
      </c>
      <c r="U129" s="8" t="str">
        <f>IFERROR(T129/T444, "NA")</f>
        <v>NA</v>
      </c>
      <c r="V129" s="9"/>
      <c r="W129" s="10">
        <f t="shared" ref="W129:W141" si="30">IFERROR(-(Q129-T129), "NA")</f>
        <v>0</v>
      </c>
      <c r="X129" s="8" t="str">
        <f>IFERROR(W129/W444, "NA")</f>
        <v>NA</v>
      </c>
      <c r="Y129" s="9"/>
      <c r="Z129" s="7">
        <v>0</v>
      </c>
      <c r="AA129" s="8" t="str">
        <f>IFERROR(Z129/Z444, "NA")</f>
        <v>NA</v>
      </c>
      <c r="AB129" s="9"/>
      <c r="AC129" s="10">
        <f t="shared" ref="AC129:AC141" si="31">IFERROR(-(Q129-Z129), "NA")</f>
        <v>0</v>
      </c>
      <c r="AD129" s="8" t="str">
        <f>IFERROR(AC129/AC444, "NA")</f>
        <v>NA</v>
      </c>
    </row>
    <row r="130" spans="1:30" ht="16.5" hidden="1" customHeight="1" x14ac:dyDescent="0.45">
      <c r="A130" s="12" t="s">
        <v>122</v>
      </c>
      <c r="B130" s="7">
        <v>0</v>
      </c>
      <c r="C130" s="8" t="str">
        <f>IFERROR(B130/B444, "NA")</f>
        <v>NA</v>
      </c>
      <c r="D130" s="9"/>
      <c r="E130" s="7">
        <v>0</v>
      </c>
      <c r="F130" s="8" t="str">
        <f>IFERROR(E130/E444, "NA")</f>
        <v>NA</v>
      </c>
      <c r="G130" s="9"/>
      <c r="H130" s="10">
        <f t="shared" si="28"/>
        <v>0</v>
      </c>
      <c r="I130" s="8" t="str">
        <f>IFERROR(H130/H444, "NA")</f>
        <v>NA</v>
      </c>
      <c r="J130" s="9"/>
      <c r="K130" s="7">
        <v>0</v>
      </c>
      <c r="L130" s="8" t="str">
        <f>IFERROR(K130/K444, "NA")</f>
        <v>NA</v>
      </c>
      <c r="M130" s="9"/>
      <c r="N130" s="10">
        <f t="shared" si="29"/>
        <v>0</v>
      </c>
      <c r="O130" s="8" t="str">
        <f>IFERROR(N130/N444, "NA")</f>
        <v>NA</v>
      </c>
      <c r="P130" s="9"/>
      <c r="Q130" s="7">
        <v>0</v>
      </c>
      <c r="R130" s="8" t="str">
        <f>IFERROR(Q130/Q444, "NA")</f>
        <v>NA</v>
      </c>
      <c r="S130" s="9"/>
      <c r="T130" s="7">
        <v>0</v>
      </c>
      <c r="U130" s="8" t="str">
        <f>IFERROR(T130/T444, "NA")</f>
        <v>NA</v>
      </c>
      <c r="V130" s="9"/>
      <c r="W130" s="10">
        <f t="shared" si="30"/>
        <v>0</v>
      </c>
      <c r="X130" s="8" t="str">
        <f>IFERROR(W130/W444, "NA")</f>
        <v>NA</v>
      </c>
      <c r="Y130" s="9"/>
      <c r="Z130" s="7">
        <v>0</v>
      </c>
      <c r="AA130" s="8" t="str">
        <f>IFERROR(Z130/Z444, "NA")</f>
        <v>NA</v>
      </c>
      <c r="AB130" s="9"/>
      <c r="AC130" s="10">
        <f t="shared" si="31"/>
        <v>0</v>
      </c>
      <c r="AD130" s="8" t="str">
        <f>IFERROR(AC130/AC444, "NA")</f>
        <v>NA</v>
      </c>
    </row>
    <row r="131" spans="1:30" ht="16.5" hidden="1" customHeight="1" x14ac:dyDescent="0.45">
      <c r="A131" s="12" t="s">
        <v>123</v>
      </c>
      <c r="B131" s="7">
        <v>0</v>
      </c>
      <c r="C131" s="8" t="str">
        <f>IFERROR(B131/B444, "NA")</f>
        <v>NA</v>
      </c>
      <c r="D131" s="9"/>
      <c r="E131" s="7">
        <v>0</v>
      </c>
      <c r="F131" s="8" t="str">
        <f>IFERROR(E131/E444, "NA")</f>
        <v>NA</v>
      </c>
      <c r="G131" s="9"/>
      <c r="H131" s="10">
        <f t="shared" si="28"/>
        <v>0</v>
      </c>
      <c r="I131" s="8" t="str">
        <f>IFERROR(H131/H444, "NA")</f>
        <v>NA</v>
      </c>
      <c r="J131" s="9"/>
      <c r="K131" s="7">
        <v>0</v>
      </c>
      <c r="L131" s="8" t="str">
        <f>IFERROR(K131/K444, "NA")</f>
        <v>NA</v>
      </c>
      <c r="M131" s="9"/>
      <c r="N131" s="10">
        <f t="shared" si="29"/>
        <v>0</v>
      </c>
      <c r="O131" s="8" t="str">
        <f>IFERROR(N131/N444, "NA")</f>
        <v>NA</v>
      </c>
      <c r="P131" s="9"/>
      <c r="Q131" s="7">
        <v>0</v>
      </c>
      <c r="R131" s="8" t="str">
        <f>IFERROR(Q131/Q444, "NA")</f>
        <v>NA</v>
      </c>
      <c r="S131" s="9"/>
      <c r="T131" s="7">
        <v>0</v>
      </c>
      <c r="U131" s="8" t="str">
        <f>IFERROR(T131/T444, "NA")</f>
        <v>NA</v>
      </c>
      <c r="V131" s="9"/>
      <c r="W131" s="10">
        <f t="shared" si="30"/>
        <v>0</v>
      </c>
      <c r="X131" s="8" t="str">
        <f>IFERROR(W131/W444, "NA")</f>
        <v>NA</v>
      </c>
      <c r="Y131" s="9"/>
      <c r="Z131" s="7">
        <v>0</v>
      </c>
      <c r="AA131" s="8" t="str">
        <f>IFERROR(Z131/Z444, "NA")</f>
        <v>NA</v>
      </c>
      <c r="AB131" s="9"/>
      <c r="AC131" s="10">
        <f t="shared" si="31"/>
        <v>0</v>
      </c>
      <c r="AD131" s="8" t="str">
        <f>IFERROR(AC131/AC444, "NA")</f>
        <v>NA</v>
      </c>
    </row>
    <row r="132" spans="1:30" ht="16.5" hidden="1" customHeight="1" x14ac:dyDescent="0.45">
      <c r="A132" s="12" t="s">
        <v>124</v>
      </c>
      <c r="B132" s="7">
        <v>0</v>
      </c>
      <c r="C132" s="8" t="str">
        <f>IFERROR(B132/B444, "NA")</f>
        <v>NA</v>
      </c>
      <c r="D132" s="9"/>
      <c r="E132" s="7">
        <v>0</v>
      </c>
      <c r="F132" s="8" t="str">
        <f>IFERROR(E132/E444, "NA")</f>
        <v>NA</v>
      </c>
      <c r="G132" s="9"/>
      <c r="H132" s="10">
        <f t="shared" si="28"/>
        <v>0</v>
      </c>
      <c r="I132" s="8" t="str">
        <f>IFERROR(H132/H444, "NA")</f>
        <v>NA</v>
      </c>
      <c r="J132" s="9"/>
      <c r="K132" s="7">
        <v>0</v>
      </c>
      <c r="L132" s="8" t="str">
        <f>IFERROR(K132/K444, "NA")</f>
        <v>NA</v>
      </c>
      <c r="M132" s="9"/>
      <c r="N132" s="10">
        <f t="shared" si="29"/>
        <v>0</v>
      </c>
      <c r="O132" s="8" t="str">
        <f>IFERROR(N132/N444, "NA")</f>
        <v>NA</v>
      </c>
      <c r="P132" s="9"/>
      <c r="Q132" s="7">
        <v>0</v>
      </c>
      <c r="R132" s="8" t="str">
        <f>IFERROR(Q132/Q444, "NA")</f>
        <v>NA</v>
      </c>
      <c r="S132" s="9"/>
      <c r="T132" s="7">
        <v>0</v>
      </c>
      <c r="U132" s="8" t="str">
        <f>IFERROR(T132/T444, "NA")</f>
        <v>NA</v>
      </c>
      <c r="V132" s="9"/>
      <c r="W132" s="10">
        <f t="shared" si="30"/>
        <v>0</v>
      </c>
      <c r="X132" s="8" t="str">
        <f>IFERROR(W132/W444, "NA")</f>
        <v>NA</v>
      </c>
      <c r="Y132" s="9"/>
      <c r="Z132" s="7">
        <v>0</v>
      </c>
      <c r="AA132" s="8" t="str">
        <f>IFERROR(Z132/Z444, "NA")</f>
        <v>NA</v>
      </c>
      <c r="AB132" s="9"/>
      <c r="AC132" s="10">
        <f t="shared" si="31"/>
        <v>0</v>
      </c>
      <c r="AD132" s="8" t="str">
        <f>IFERROR(AC132/AC444, "NA")</f>
        <v>NA</v>
      </c>
    </row>
    <row r="133" spans="1:30" ht="16.5" hidden="1" customHeight="1" x14ac:dyDescent="0.45">
      <c r="A133" s="12" t="s">
        <v>125</v>
      </c>
      <c r="B133" s="7">
        <v>0</v>
      </c>
      <c r="C133" s="8" t="str">
        <f>IFERROR(B133/B444, "NA")</f>
        <v>NA</v>
      </c>
      <c r="D133" s="9"/>
      <c r="E133" s="7">
        <v>0</v>
      </c>
      <c r="F133" s="8" t="str">
        <f>IFERROR(E133/E444, "NA")</f>
        <v>NA</v>
      </c>
      <c r="G133" s="9"/>
      <c r="H133" s="10">
        <f t="shared" si="28"/>
        <v>0</v>
      </c>
      <c r="I133" s="8" t="str">
        <f>IFERROR(H133/H444, "NA")</f>
        <v>NA</v>
      </c>
      <c r="J133" s="9"/>
      <c r="K133" s="7">
        <v>0</v>
      </c>
      <c r="L133" s="8" t="str">
        <f>IFERROR(K133/K444, "NA")</f>
        <v>NA</v>
      </c>
      <c r="M133" s="9"/>
      <c r="N133" s="10">
        <f t="shared" si="29"/>
        <v>0</v>
      </c>
      <c r="O133" s="8" t="str">
        <f>IFERROR(N133/N444, "NA")</f>
        <v>NA</v>
      </c>
      <c r="P133" s="9"/>
      <c r="Q133" s="7">
        <v>0</v>
      </c>
      <c r="R133" s="8" t="str">
        <f>IFERROR(Q133/Q444, "NA")</f>
        <v>NA</v>
      </c>
      <c r="S133" s="9"/>
      <c r="T133" s="7">
        <v>0</v>
      </c>
      <c r="U133" s="8" t="str">
        <f>IFERROR(T133/T444, "NA")</f>
        <v>NA</v>
      </c>
      <c r="V133" s="9"/>
      <c r="W133" s="10">
        <f t="shared" si="30"/>
        <v>0</v>
      </c>
      <c r="X133" s="8" t="str">
        <f>IFERROR(W133/W444, "NA")</f>
        <v>NA</v>
      </c>
      <c r="Y133" s="9"/>
      <c r="Z133" s="7">
        <v>0</v>
      </c>
      <c r="AA133" s="8" t="str">
        <f>IFERROR(Z133/Z444, "NA")</f>
        <v>NA</v>
      </c>
      <c r="AB133" s="9"/>
      <c r="AC133" s="10">
        <f t="shared" si="31"/>
        <v>0</v>
      </c>
      <c r="AD133" s="8" t="str">
        <f>IFERROR(AC133/AC444, "NA")</f>
        <v>NA</v>
      </c>
    </row>
    <row r="134" spans="1:30" ht="16.5" hidden="1" customHeight="1" x14ac:dyDescent="0.45">
      <c r="A134" s="12" t="s">
        <v>126</v>
      </c>
      <c r="B134" s="7">
        <v>0</v>
      </c>
      <c r="C134" s="8" t="str">
        <f>IFERROR(B134/B444, "NA")</f>
        <v>NA</v>
      </c>
      <c r="D134" s="9"/>
      <c r="E134" s="7">
        <v>0</v>
      </c>
      <c r="F134" s="8" t="str">
        <f>IFERROR(E134/E444, "NA")</f>
        <v>NA</v>
      </c>
      <c r="G134" s="9"/>
      <c r="H134" s="10">
        <f t="shared" si="28"/>
        <v>0</v>
      </c>
      <c r="I134" s="8" t="str">
        <f>IFERROR(H134/H444, "NA")</f>
        <v>NA</v>
      </c>
      <c r="J134" s="9"/>
      <c r="K134" s="7">
        <v>0</v>
      </c>
      <c r="L134" s="8" t="str">
        <f>IFERROR(K134/K444, "NA")</f>
        <v>NA</v>
      </c>
      <c r="M134" s="9"/>
      <c r="N134" s="10">
        <f t="shared" si="29"/>
        <v>0</v>
      </c>
      <c r="O134" s="8" t="str">
        <f>IFERROR(N134/N444, "NA")</f>
        <v>NA</v>
      </c>
      <c r="P134" s="9"/>
      <c r="Q134" s="7">
        <v>0</v>
      </c>
      <c r="R134" s="8" t="str">
        <f>IFERROR(Q134/Q444, "NA")</f>
        <v>NA</v>
      </c>
      <c r="S134" s="9"/>
      <c r="T134" s="7">
        <v>0</v>
      </c>
      <c r="U134" s="8" t="str">
        <f>IFERROR(T134/T444, "NA")</f>
        <v>NA</v>
      </c>
      <c r="V134" s="9"/>
      <c r="W134" s="10">
        <f t="shared" si="30"/>
        <v>0</v>
      </c>
      <c r="X134" s="8" t="str">
        <f>IFERROR(W134/W444, "NA")</f>
        <v>NA</v>
      </c>
      <c r="Y134" s="9"/>
      <c r="Z134" s="7">
        <v>0</v>
      </c>
      <c r="AA134" s="8" t="str">
        <f>IFERROR(Z134/Z444, "NA")</f>
        <v>NA</v>
      </c>
      <c r="AB134" s="9"/>
      <c r="AC134" s="10">
        <f t="shared" si="31"/>
        <v>0</v>
      </c>
      <c r="AD134" s="8" t="str">
        <f>IFERROR(AC134/AC444, "NA")</f>
        <v>NA</v>
      </c>
    </row>
    <row r="135" spans="1:30" ht="16.5" hidden="1" customHeight="1" x14ac:dyDescent="0.45">
      <c r="A135" s="12" t="s">
        <v>127</v>
      </c>
      <c r="B135" s="7">
        <v>0</v>
      </c>
      <c r="C135" s="8" t="str">
        <f>IFERROR(B135/B444, "NA")</f>
        <v>NA</v>
      </c>
      <c r="D135" s="9"/>
      <c r="E135" s="7">
        <v>0</v>
      </c>
      <c r="F135" s="8" t="str">
        <f>IFERROR(E135/E444, "NA")</f>
        <v>NA</v>
      </c>
      <c r="G135" s="9"/>
      <c r="H135" s="10">
        <f t="shared" si="28"/>
        <v>0</v>
      </c>
      <c r="I135" s="8" t="str">
        <f>IFERROR(H135/H444, "NA")</f>
        <v>NA</v>
      </c>
      <c r="J135" s="9"/>
      <c r="K135" s="7">
        <v>0</v>
      </c>
      <c r="L135" s="8" t="str">
        <f>IFERROR(K135/K444, "NA")</f>
        <v>NA</v>
      </c>
      <c r="M135" s="9"/>
      <c r="N135" s="10">
        <f t="shared" si="29"/>
        <v>0</v>
      </c>
      <c r="O135" s="8" t="str">
        <f>IFERROR(N135/N444, "NA")</f>
        <v>NA</v>
      </c>
      <c r="P135" s="9"/>
      <c r="Q135" s="7">
        <v>0</v>
      </c>
      <c r="R135" s="8" t="str">
        <f>IFERROR(Q135/Q444, "NA")</f>
        <v>NA</v>
      </c>
      <c r="S135" s="9"/>
      <c r="T135" s="7">
        <v>0</v>
      </c>
      <c r="U135" s="8" t="str">
        <f>IFERROR(T135/T444, "NA")</f>
        <v>NA</v>
      </c>
      <c r="V135" s="9"/>
      <c r="W135" s="10">
        <f t="shared" si="30"/>
        <v>0</v>
      </c>
      <c r="X135" s="8" t="str">
        <f>IFERROR(W135/W444, "NA")</f>
        <v>NA</v>
      </c>
      <c r="Y135" s="9"/>
      <c r="Z135" s="7">
        <v>0</v>
      </c>
      <c r="AA135" s="8" t="str">
        <f>IFERROR(Z135/Z444, "NA")</f>
        <v>NA</v>
      </c>
      <c r="AB135" s="9"/>
      <c r="AC135" s="10">
        <f t="shared" si="31"/>
        <v>0</v>
      </c>
      <c r="AD135" s="8" t="str">
        <f>IFERROR(AC135/AC444, "NA")</f>
        <v>NA</v>
      </c>
    </row>
    <row r="136" spans="1:30" ht="16.5" hidden="1" customHeight="1" x14ac:dyDescent="0.45">
      <c r="A136" s="12" t="s">
        <v>128</v>
      </c>
      <c r="B136" s="7">
        <v>0</v>
      </c>
      <c r="C136" s="8" t="str">
        <f>IFERROR(B136/B444, "NA")</f>
        <v>NA</v>
      </c>
      <c r="D136" s="9"/>
      <c r="E136" s="7">
        <v>0</v>
      </c>
      <c r="F136" s="8" t="str">
        <f>IFERROR(E136/E444, "NA")</f>
        <v>NA</v>
      </c>
      <c r="G136" s="9"/>
      <c r="H136" s="10">
        <f t="shared" si="28"/>
        <v>0</v>
      </c>
      <c r="I136" s="8" t="str">
        <f>IFERROR(H136/H444, "NA")</f>
        <v>NA</v>
      </c>
      <c r="J136" s="9"/>
      <c r="K136" s="7">
        <v>0</v>
      </c>
      <c r="L136" s="8" t="str">
        <f>IFERROR(K136/K444, "NA")</f>
        <v>NA</v>
      </c>
      <c r="M136" s="9"/>
      <c r="N136" s="10">
        <f t="shared" si="29"/>
        <v>0</v>
      </c>
      <c r="O136" s="8" t="str">
        <f>IFERROR(N136/N444, "NA")</f>
        <v>NA</v>
      </c>
      <c r="P136" s="9"/>
      <c r="Q136" s="7">
        <v>0</v>
      </c>
      <c r="R136" s="8" t="str">
        <f>IFERROR(Q136/Q444, "NA")</f>
        <v>NA</v>
      </c>
      <c r="S136" s="9"/>
      <c r="T136" s="7">
        <v>0</v>
      </c>
      <c r="U136" s="8" t="str">
        <f>IFERROR(T136/T444, "NA")</f>
        <v>NA</v>
      </c>
      <c r="V136" s="9"/>
      <c r="W136" s="10">
        <f t="shared" si="30"/>
        <v>0</v>
      </c>
      <c r="X136" s="8" t="str">
        <f>IFERROR(W136/W444, "NA")</f>
        <v>NA</v>
      </c>
      <c r="Y136" s="9"/>
      <c r="Z136" s="7">
        <v>0</v>
      </c>
      <c r="AA136" s="8" t="str">
        <f>IFERROR(Z136/Z444, "NA")</f>
        <v>NA</v>
      </c>
      <c r="AB136" s="9"/>
      <c r="AC136" s="10">
        <f t="shared" si="31"/>
        <v>0</v>
      </c>
      <c r="AD136" s="8" t="str">
        <f>IFERROR(AC136/AC444, "NA")</f>
        <v>NA</v>
      </c>
    </row>
    <row r="137" spans="1:30" ht="16.5" hidden="1" customHeight="1" x14ac:dyDescent="0.45">
      <c r="A137" s="12" t="s">
        <v>129</v>
      </c>
      <c r="B137" s="7">
        <v>0</v>
      </c>
      <c r="C137" s="8" t="str">
        <f>IFERROR(B137/B444, "NA")</f>
        <v>NA</v>
      </c>
      <c r="D137" s="9"/>
      <c r="E137" s="7">
        <v>0</v>
      </c>
      <c r="F137" s="8" t="str">
        <f>IFERROR(E137/E444, "NA")</f>
        <v>NA</v>
      </c>
      <c r="G137" s="9"/>
      <c r="H137" s="10">
        <f t="shared" si="28"/>
        <v>0</v>
      </c>
      <c r="I137" s="8" t="str">
        <f>IFERROR(H137/H444, "NA")</f>
        <v>NA</v>
      </c>
      <c r="J137" s="9"/>
      <c r="K137" s="7">
        <v>0</v>
      </c>
      <c r="L137" s="8" t="str">
        <f>IFERROR(K137/K444, "NA")</f>
        <v>NA</v>
      </c>
      <c r="M137" s="9"/>
      <c r="N137" s="10">
        <f t="shared" si="29"/>
        <v>0</v>
      </c>
      <c r="O137" s="8" t="str">
        <f>IFERROR(N137/N444, "NA")</f>
        <v>NA</v>
      </c>
      <c r="P137" s="9"/>
      <c r="Q137" s="7">
        <v>0</v>
      </c>
      <c r="R137" s="8" t="str">
        <f>IFERROR(Q137/Q444, "NA")</f>
        <v>NA</v>
      </c>
      <c r="S137" s="9"/>
      <c r="T137" s="7">
        <v>0</v>
      </c>
      <c r="U137" s="8" t="str">
        <f>IFERROR(T137/T444, "NA")</f>
        <v>NA</v>
      </c>
      <c r="V137" s="9"/>
      <c r="W137" s="10">
        <f t="shared" si="30"/>
        <v>0</v>
      </c>
      <c r="X137" s="8" t="str">
        <f>IFERROR(W137/W444, "NA")</f>
        <v>NA</v>
      </c>
      <c r="Y137" s="9"/>
      <c r="Z137" s="7">
        <v>0</v>
      </c>
      <c r="AA137" s="8" t="str">
        <f>IFERROR(Z137/Z444, "NA")</f>
        <v>NA</v>
      </c>
      <c r="AB137" s="9"/>
      <c r="AC137" s="10">
        <f t="shared" si="31"/>
        <v>0</v>
      </c>
      <c r="AD137" s="8" t="str">
        <f>IFERROR(AC137/AC444, "NA")</f>
        <v>NA</v>
      </c>
    </row>
    <row r="138" spans="1:30" ht="16.5" hidden="1" customHeight="1" x14ac:dyDescent="0.45">
      <c r="A138" s="12" t="s">
        <v>130</v>
      </c>
      <c r="B138" s="7">
        <v>0</v>
      </c>
      <c r="C138" s="8" t="str">
        <f>IFERROR(B138/B444, "NA")</f>
        <v>NA</v>
      </c>
      <c r="D138" s="9"/>
      <c r="E138" s="7">
        <v>0</v>
      </c>
      <c r="F138" s="8" t="str">
        <f>IFERROR(E138/E444, "NA")</f>
        <v>NA</v>
      </c>
      <c r="G138" s="9"/>
      <c r="H138" s="10">
        <f t="shared" si="28"/>
        <v>0</v>
      </c>
      <c r="I138" s="8" t="str">
        <f>IFERROR(H138/H444, "NA")</f>
        <v>NA</v>
      </c>
      <c r="J138" s="9"/>
      <c r="K138" s="7">
        <v>0</v>
      </c>
      <c r="L138" s="8" t="str">
        <f>IFERROR(K138/K444, "NA")</f>
        <v>NA</v>
      </c>
      <c r="M138" s="9"/>
      <c r="N138" s="10">
        <f t="shared" si="29"/>
        <v>0</v>
      </c>
      <c r="O138" s="8" t="str">
        <f>IFERROR(N138/N444, "NA")</f>
        <v>NA</v>
      </c>
      <c r="P138" s="9"/>
      <c r="Q138" s="7">
        <v>0</v>
      </c>
      <c r="R138" s="8" t="str">
        <f>IFERROR(Q138/Q444, "NA")</f>
        <v>NA</v>
      </c>
      <c r="S138" s="9"/>
      <c r="T138" s="7">
        <v>0</v>
      </c>
      <c r="U138" s="8" t="str">
        <f>IFERROR(T138/T444, "NA")</f>
        <v>NA</v>
      </c>
      <c r="V138" s="9"/>
      <c r="W138" s="10">
        <f t="shared" si="30"/>
        <v>0</v>
      </c>
      <c r="X138" s="8" t="str">
        <f>IFERROR(W138/W444, "NA")</f>
        <v>NA</v>
      </c>
      <c r="Y138" s="9"/>
      <c r="Z138" s="7">
        <v>0</v>
      </c>
      <c r="AA138" s="8" t="str">
        <f>IFERROR(Z138/Z444, "NA")</f>
        <v>NA</v>
      </c>
      <c r="AB138" s="9"/>
      <c r="AC138" s="10">
        <f t="shared" si="31"/>
        <v>0</v>
      </c>
      <c r="AD138" s="8" t="str">
        <f>IFERROR(AC138/AC444, "NA")</f>
        <v>NA</v>
      </c>
    </row>
    <row r="139" spans="1:30" ht="16.5" hidden="1" customHeight="1" x14ac:dyDescent="0.45">
      <c r="A139" s="12" t="s">
        <v>131</v>
      </c>
      <c r="B139" s="7">
        <v>0</v>
      </c>
      <c r="C139" s="8" t="str">
        <f>IFERROR(B139/B444, "NA")</f>
        <v>NA</v>
      </c>
      <c r="D139" s="9"/>
      <c r="E139" s="7">
        <v>0</v>
      </c>
      <c r="F139" s="8" t="str">
        <f>IFERROR(E139/E444, "NA")</f>
        <v>NA</v>
      </c>
      <c r="G139" s="9"/>
      <c r="H139" s="10">
        <f t="shared" si="28"/>
        <v>0</v>
      </c>
      <c r="I139" s="8" t="str">
        <f>IFERROR(H139/H444, "NA")</f>
        <v>NA</v>
      </c>
      <c r="J139" s="9"/>
      <c r="K139" s="7">
        <v>0</v>
      </c>
      <c r="L139" s="8" t="str">
        <f>IFERROR(K139/K444, "NA")</f>
        <v>NA</v>
      </c>
      <c r="M139" s="9"/>
      <c r="N139" s="10">
        <f t="shared" si="29"/>
        <v>0</v>
      </c>
      <c r="O139" s="8" t="str">
        <f>IFERROR(N139/N444, "NA")</f>
        <v>NA</v>
      </c>
      <c r="P139" s="9"/>
      <c r="Q139" s="7">
        <v>0</v>
      </c>
      <c r="R139" s="8" t="str">
        <f>IFERROR(Q139/Q444, "NA")</f>
        <v>NA</v>
      </c>
      <c r="S139" s="9"/>
      <c r="T139" s="7">
        <v>0</v>
      </c>
      <c r="U139" s="8" t="str">
        <f>IFERROR(T139/T444, "NA")</f>
        <v>NA</v>
      </c>
      <c r="V139" s="9"/>
      <c r="W139" s="10">
        <f t="shared" si="30"/>
        <v>0</v>
      </c>
      <c r="X139" s="8" t="str">
        <f>IFERROR(W139/W444, "NA")</f>
        <v>NA</v>
      </c>
      <c r="Y139" s="9"/>
      <c r="Z139" s="7">
        <v>0</v>
      </c>
      <c r="AA139" s="8" t="str">
        <f>IFERROR(Z139/Z444, "NA")</f>
        <v>NA</v>
      </c>
      <c r="AB139" s="9"/>
      <c r="AC139" s="10">
        <f t="shared" si="31"/>
        <v>0</v>
      </c>
      <c r="AD139" s="8" t="str">
        <f>IFERROR(AC139/AC444, "NA")</f>
        <v>NA</v>
      </c>
    </row>
    <row r="140" spans="1:30" ht="16.5" hidden="1" customHeight="1" x14ac:dyDescent="0.45">
      <c r="A140" s="12" t="s">
        <v>132</v>
      </c>
      <c r="B140" s="7">
        <v>0</v>
      </c>
      <c r="C140" s="8" t="str">
        <f>IFERROR(B140/B444, "NA")</f>
        <v>NA</v>
      </c>
      <c r="D140" s="9"/>
      <c r="E140" s="7">
        <v>0</v>
      </c>
      <c r="F140" s="8" t="str">
        <f>IFERROR(E140/E444, "NA")</f>
        <v>NA</v>
      </c>
      <c r="G140" s="9"/>
      <c r="H140" s="10">
        <f t="shared" si="28"/>
        <v>0</v>
      </c>
      <c r="I140" s="8" t="str">
        <f>IFERROR(H140/H444, "NA")</f>
        <v>NA</v>
      </c>
      <c r="J140" s="9"/>
      <c r="K140" s="7">
        <v>0</v>
      </c>
      <c r="L140" s="8" t="str">
        <f>IFERROR(K140/K444, "NA")</f>
        <v>NA</v>
      </c>
      <c r="M140" s="9"/>
      <c r="N140" s="10">
        <f t="shared" si="29"/>
        <v>0</v>
      </c>
      <c r="O140" s="8" t="str">
        <f>IFERROR(N140/N444, "NA")</f>
        <v>NA</v>
      </c>
      <c r="P140" s="9"/>
      <c r="Q140" s="7">
        <v>0</v>
      </c>
      <c r="R140" s="8" t="str">
        <f>IFERROR(Q140/Q444, "NA")</f>
        <v>NA</v>
      </c>
      <c r="S140" s="9"/>
      <c r="T140" s="7">
        <v>0</v>
      </c>
      <c r="U140" s="8" t="str">
        <f>IFERROR(T140/T444, "NA")</f>
        <v>NA</v>
      </c>
      <c r="V140" s="9"/>
      <c r="W140" s="10">
        <f t="shared" si="30"/>
        <v>0</v>
      </c>
      <c r="X140" s="8" t="str">
        <f>IFERROR(W140/W444, "NA")</f>
        <v>NA</v>
      </c>
      <c r="Y140" s="9"/>
      <c r="Z140" s="7">
        <v>0</v>
      </c>
      <c r="AA140" s="8" t="str">
        <f>IFERROR(Z140/Z444, "NA")</f>
        <v>NA</v>
      </c>
      <c r="AB140" s="9"/>
      <c r="AC140" s="10">
        <f t="shared" si="31"/>
        <v>0</v>
      </c>
      <c r="AD140" s="8" t="str">
        <f>IFERROR(AC140/AC444, "NA")</f>
        <v>NA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0</v>
      </c>
      <c r="C141" s="15" t="str">
        <f>IFERROR(B141/B444, "NA")</f>
        <v>NA</v>
      </c>
      <c r="D141" s="2"/>
      <c r="E141" s="14">
        <f>IFERROR(E129+E130+E131+E132+E133+E134+E135+E136+E137+E138+E139+E140, "NA")</f>
        <v>0</v>
      </c>
      <c r="F141" s="15" t="str">
        <f>IFERROR(E141/E444, "NA")</f>
        <v>NA</v>
      </c>
      <c r="G141" s="2"/>
      <c r="H141" s="14">
        <f t="shared" si="28"/>
        <v>0</v>
      </c>
      <c r="I141" s="15" t="str">
        <f>IFERROR(H141/H444, "NA")</f>
        <v>NA</v>
      </c>
      <c r="J141" s="2"/>
      <c r="K141" s="14">
        <f>IFERROR(K129+K130+K131+K132+K133+K134+K135+K136+K137+K138+K139+K140, "NA")</f>
        <v>0</v>
      </c>
      <c r="L141" s="15" t="str">
        <f>IFERROR(K141/K444, "NA")</f>
        <v>NA</v>
      </c>
      <c r="M141" s="2"/>
      <c r="N141" s="14">
        <f t="shared" si="29"/>
        <v>0</v>
      </c>
      <c r="O141" s="15" t="str">
        <f>IFERROR(N141/N444, "NA")</f>
        <v>NA</v>
      </c>
      <c r="P141" s="2"/>
      <c r="Q141" s="14">
        <f>IFERROR(Q129+Q130+Q131+Q132+Q133+Q134+Q135+Q136+Q137+Q138+Q139+Q140, "NA")</f>
        <v>0</v>
      </c>
      <c r="R141" s="15" t="str">
        <f>IFERROR(Q141/Q444, "NA")</f>
        <v>NA</v>
      </c>
      <c r="S141" s="2"/>
      <c r="T141" s="14">
        <f>IFERROR(T129+T130+T131+T132+T133+T134+T135+T136+T137+T138+T139+T140, "NA")</f>
        <v>0</v>
      </c>
      <c r="U141" s="15" t="str">
        <f>IFERROR(T141/T444, "NA")</f>
        <v>NA</v>
      </c>
      <c r="V141" s="2"/>
      <c r="W141" s="14">
        <f t="shared" si="30"/>
        <v>0</v>
      </c>
      <c r="X141" s="15" t="str">
        <f>IFERROR(W141/W444, "NA")</f>
        <v>NA</v>
      </c>
      <c r="Y141" s="2"/>
      <c r="Z141" s="14">
        <f>IFERROR(Z129+Z130+Z131+Z132+Z133+Z134+Z135+Z136+Z137+Z138+Z139+Z140, "NA")</f>
        <v>0</v>
      </c>
      <c r="AA141" s="15" t="str">
        <f>IFERROR(Z141/Z444, "NA")</f>
        <v>NA</v>
      </c>
      <c r="AB141" s="2"/>
      <c r="AC141" s="14">
        <f t="shared" si="31"/>
        <v>0</v>
      </c>
      <c r="AD141" s="15" t="str">
        <f>IFERROR(AC141/AC444, "NA")</f>
        <v>NA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 t="str">
        <f>IFERROR(B143/B444, "NA")</f>
        <v>NA</v>
      </c>
      <c r="D143" s="9"/>
      <c r="E143" s="7">
        <v>0</v>
      </c>
      <c r="F143" s="8" t="str">
        <f>IFERROR(E143/E444, "NA")</f>
        <v>NA</v>
      </c>
      <c r="G143" s="9"/>
      <c r="H143" s="10">
        <f t="shared" ref="H143:H149" si="32">IFERROR(-(B143-E143), "NA")</f>
        <v>0</v>
      </c>
      <c r="I143" s="8" t="str">
        <f>IFERROR(H143/H444, "NA")</f>
        <v>NA</v>
      </c>
      <c r="J143" s="9"/>
      <c r="K143" s="7">
        <v>0</v>
      </c>
      <c r="L143" s="8" t="str">
        <f>IFERROR(K143/K444, "NA")</f>
        <v>NA</v>
      </c>
      <c r="M143" s="9"/>
      <c r="N143" s="10">
        <f t="shared" ref="N143:N149" si="33">IFERROR(-(B143-K143), "NA")</f>
        <v>0</v>
      </c>
      <c r="O143" s="8" t="str">
        <f>IFERROR(N143/N444, "NA")</f>
        <v>NA</v>
      </c>
      <c r="P143" s="9"/>
      <c r="Q143" s="7">
        <v>0</v>
      </c>
      <c r="R143" s="8" t="str">
        <f>IFERROR(Q143/Q444, "NA")</f>
        <v>NA</v>
      </c>
      <c r="S143" s="9"/>
      <c r="T143" s="7">
        <v>0</v>
      </c>
      <c r="U143" s="8" t="str">
        <f>IFERROR(T143/T444, "NA")</f>
        <v>NA</v>
      </c>
      <c r="V143" s="9"/>
      <c r="W143" s="10">
        <f t="shared" ref="W143:W149" si="34">IFERROR(-(Q143-T143), "NA")</f>
        <v>0</v>
      </c>
      <c r="X143" s="8" t="str">
        <f>IFERROR(W143/W444, "NA")</f>
        <v>NA</v>
      </c>
      <c r="Y143" s="9"/>
      <c r="Z143" s="7">
        <v>0</v>
      </c>
      <c r="AA143" s="8" t="str">
        <f>IFERROR(Z143/Z444, "NA")</f>
        <v>NA</v>
      </c>
      <c r="AB143" s="9"/>
      <c r="AC143" s="10">
        <f t="shared" ref="AC143:AC149" si="35">IFERROR(-(Q143-Z143), "NA")</f>
        <v>0</v>
      </c>
      <c r="AD143" s="8" t="str">
        <f>IFERROR(AC143/AC444, "NA")</f>
        <v>NA</v>
      </c>
    </row>
    <row r="144" spans="1:30" ht="16.5" hidden="1" customHeight="1" x14ac:dyDescent="0.45">
      <c r="A144" s="12" t="s">
        <v>135</v>
      </c>
      <c r="B144" s="7">
        <v>0</v>
      </c>
      <c r="C144" s="8" t="str">
        <f>IFERROR(B144/B444, "NA")</f>
        <v>NA</v>
      </c>
      <c r="D144" s="9"/>
      <c r="E144" s="7">
        <v>0</v>
      </c>
      <c r="F144" s="8" t="str">
        <f>IFERROR(E144/E444, "NA")</f>
        <v>NA</v>
      </c>
      <c r="G144" s="9"/>
      <c r="H144" s="10">
        <f t="shared" si="32"/>
        <v>0</v>
      </c>
      <c r="I144" s="8" t="str">
        <f>IFERROR(H144/H444, "NA")</f>
        <v>NA</v>
      </c>
      <c r="J144" s="9"/>
      <c r="K144" s="7">
        <v>0</v>
      </c>
      <c r="L144" s="8" t="str">
        <f>IFERROR(K144/K444, "NA")</f>
        <v>NA</v>
      </c>
      <c r="M144" s="9"/>
      <c r="N144" s="10">
        <f t="shared" si="33"/>
        <v>0</v>
      </c>
      <c r="O144" s="8" t="str">
        <f>IFERROR(N144/N444, "NA")</f>
        <v>NA</v>
      </c>
      <c r="P144" s="9"/>
      <c r="Q144" s="7">
        <v>0</v>
      </c>
      <c r="R144" s="8" t="str">
        <f>IFERROR(Q144/Q444, "NA")</f>
        <v>NA</v>
      </c>
      <c r="S144" s="9"/>
      <c r="T144" s="7">
        <v>0</v>
      </c>
      <c r="U144" s="8" t="str">
        <f>IFERROR(T144/T444, "NA")</f>
        <v>NA</v>
      </c>
      <c r="V144" s="9"/>
      <c r="W144" s="10">
        <f t="shared" si="34"/>
        <v>0</v>
      </c>
      <c r="X144" s="8" t="str">
        <f>IFERROR(W144/W444, "NA")</f>
        <v>NA</v>
      </c>
      <c r="Y144" s="9"/>
      <c r="Z144" s="7">
        <v>0</v>
      </c>
      <c r="AA144" s="8" t="str">
        <f>IFERROR(Z144/Z444, "NA")</f>
        <v>NA</v>
      </c>
      <c r="AB144" s="9"/>
      <c r="AC144" s="10">
        <f t="shared" si="35"/>
        <v>0</v>
      </c>
      <c r="AD144" s="8" t="str">
        <f>IFERROR(AC144/AC444, "NA")</f>
        <v>NA</v>
      </c>
    </row>
    <row r="145" spans="1:30" ht="16.5" hidden="1" customHeight="1" x14ac:dyDescent="0.45">
      <c r="A145" s="12" t="s">
        <v>136</v>
      </c>
      <c r="B145" s="7">
        <v>0</v>
      </c>
      <c r="C145" s="8" t="str">
        <f>IFERROR(B145/B444, "NA")</f>
        <v>NA</v>
      </c>
      <c r="D145" s="9"/>
      <c r="E145" s="7">
        <v>0</v>
      </c>
      <c r="F145" s="8" t="str">
        <f>IFERROR(E145/E444, "NA")</f>
        <v>NA</v>
      </c>
      <c r="G145" s="9"/>
      <c r="H145" s="10">
        <f t="shared" si="32"/>
        <v>0</v>
      </c>
      <c r="I145" s="8" t="str">
        <f>IFERROR(H145/H444, "NA")</f>
        <v>NA</v>
      </c>
      <c r="J145" s="9"/>
      <c r="K145" s="7">
        <v>0</v>
      </c>
      <c r="L145" s="8" t="str">
        <f>IFERROR(K145/K444, "NA")</f>
        <v>NA</v>
      </c>
      <c r="M145" s="9"/>
      <c r="N145" s="10">
        <f t="shared" si="33"/>
        <v>0</v>
      </c>
      <c r="O145" s="8" t="str">
        <f>IFERROR(N145/N444, "NA")</f>
        <v>NA</v>
      </c>
      <c r="P145" s="9"/>
      <c r="Q145" s="7">
        <v>0</v>
      </c>
      <c r="R145" s="8" t="str">
        <f>IFERROR(Q145/Q444, "NA")</f>
        <v>NA</v>
      </c>
      <c r="S145" s="9"/>
      <c r="T145" s="7">
        <v>0</v>
      </c>
      <c r="U145" s="8" t="str">
        <f>IFERROR(T145/T444, "NA")</f>
        <v>NA</v>
      </c>
      <c r="V145" s="9"/>
      <c r="W145" s="10">
        <f t="shared" si="34"/>
        <v>0</v>
      </c>
      <c r="X145" s="8" t="str">
        <f>IFERROR(W145/W444, "NA")</f>
        <v>NA</v>
      </c>
      <c r="Y145" s="9"/>
      <c r="Z145" s="7">
        <v>0</v>
      </c>
      <c r="AA145" s="8" t="str">
        <f>IFERROR(Z145/Z444, "NA")</f>
        <v>NA</v>
      </c>
      <c r="AB145" s="9"/>
      <c r="AC145" s="10">
        <f t="shared" si="35"/>
        <v>0</v>
      </c>
      <c r="AD145" s="8" t="str">
        <f>IFERROR(AC145/AC444, "NA")</f>
        <v>NA</v>
      </c>
    </row>
    <row r="146" spans="1:30" ht="16.5" hidden="1" customHeight="1" x14ac:dyDescent="0.45">
      <c r="A146" s="12" t="s">
        <v>137</v>
      </c>
      <c r="B146" s="7">
        <v>0</v>
      </c>
      <c r="C146" s="8" t="str">
        <f>IFERROR(B146/B444, "NA")</f>
        <v>NA</v>
      </c>
      <c r="D146" s="9"/>
      <c r="E146" s="7">
        <v>0</v>
      </c>
      <c r="F146" s="8" t="str">
        <f>IFERROR(E146/E444, "NA")</f>
        <v>NA</v>
      </c>
      <c r="G146" s="9"/>
      <c r="H146" s="10">
        <f t="shared" si="32"/>
        <v>0</v>
      </c>
      <c r="I146" s="8" t="str">
        <f>IFERROR(H146/H444, "NA")</f>
        <v>NA</v>
      </c>
      <c r="J146" s="9"/>
      <c r="K146" s="7">
        <v>0</v>
      </c>
      <c r="L146" s="8" t="str">
        <f>IFERROR(K146/K444, "NA")</f>
        <v>NA</v>
      </c>
      <c r="M146" s="9"/>
      <c r="N146" s="10">
        <f t="shared" si="33"/>
        <v>0</v>
      </c>
      <c r="O146" s="8" t="str">
        <f>IFERROR(N146/N444, "NA")</f>
        <v>NA</v>
      </c>
      <c r="P146" s="9"/>
      <c r="Q146" s="7">
        <v>0</v>
      </c>
      <c r="R146" s="8" t="str">
        <f>IFERROR(Q146/Q444, "NA")</f>
        <v>NA</v>
      </c>
      <c r="S146" s="9"/>
      <c r="T146" s="7">
        <v>0</v>
      </c>
      <c r="U146" s="8" t="str">
        <f>IFERROR(T146/T444, "NA")</f>
        <v>NA</v>
      </c>
      <c r="V146" s="9"/>
      <c r="W146" s="10">
        <f t="shared" si="34"/>
        <v>0</v>
      </c>
      <c r="X146" s="8" t="str">
        <f>IFERROR(W146/W444, "NA")</f>
        <v>NA</v>
      </c>
      <c r="Y146" s="9"/>
      <c r="Z146" s="7">
        <v>0</v>
      </c>
      <c r="AA146" s="8" t="str">
        <f>IFERROR(Z146/Z444, "NA")</f>
        <v>NA</v>
      </c>
      <c r="AB146" s="9"/>
      <c r="AC146" s="10">
        <f t="shared" si="35"/>
        <v>0</v>
      </c>
      <c r="AD146" s="8" t="str">
        <f>IFERROR(AC146/AC444, "NA")</f>
        <v>NA</v>
      </c>
    </row>
    <row r="147" spans="1:30" ht="16.5" hidden="1" customHeight="1" x14ac:dyDescent="0.45">
      <c r="A147" s="12" t="s">
        <v>138</v>
      </c>
      <c r="B147" s="7">
        <v>0</v>
      </c>
      <c r="C147" s="8" t="str">
        <f>IFERROR(B147/B444, "NA")</f>
        <v>NA</v>
      </c>
      <c r="D147" s="9"/>
      <c r="E147" s="7">
        <v>0</v>
      </c>
      <c r="F147" s="8" t="str">
        <f>IFERROR(E147/E444, "NA")</f>
        <v>NA</v>
      </c>
      <c r="G147" s="9"/>
      <c r="H147" s="10">
        <f t="shared" si="32"/>
        <v>0</v>
      </c>
      <c r="I147" s="8" t="str">
        <f>IFERROR(H147/H444, "NA")</f>
        <v>NA</v>
      </c>
      <c r="J147" s="9"/>
      <c r="K147" s="7">
        <v>0</v>
      </c>
      <c r="L147" s="8" t="str">
        <f>IFERROR(K147/K444, "NA")</f>
        <v>NA</v>
      </c>
      <c r="M147" s="9"/>
      <c r="N147" s="10">
        <f t="shared" si="33"/>
        <v>0</v>
      </c>
      <c r="O147" s="8" t="str">
        <f>IFERROR(N147/N444, "NA")</f>
        <v>NA</v>
      </c>
      <c r="P147" s="9"/>
      <c r="Q147" s="7">
        <v>0</v>
      </c>
      <c r="R147" s="8" t="str">
        <f>IFERROR(Q147/Q444, "NA")</f>
        <v>NA</v>
      </c>
      <c r="S147" s="9"/>
      <c r="T147" s="7">
        <v>0</v>
      </c>
      <c r="U147" s="8" t="str">
        <f>IFERROR(T147/T444, "NA")</f>
        <v>NA</v>
      </c>
      <c r="V147" s="9"/>
      <c r="W147" s="10">
        <f t="shared" si="34"/>
        <v>0</v>
      </c>
      <c r="X147" s="8" t="str">
        <f>IFERROR(W147/W444, "NA")</f>
        <v>NA</v>
      </c>
      <c r="Y147" s="9"/>
      <c r="Z147" s="7">
        <v>0</v>
      </c>
      <c r="AA147" s="8" t="str">
        <f>IFERROR(Z147/Z444, "NA")</f>
        <v>NA</v>
      </c>
      <c r="AB147" s="9"/>
      <c r="AC147" s="10">
        <f t="shared" si="35"/>
        <v>0</v>
      </c>
      <c r="AD147" s="8" t="str">
        <f>IFERROR(AC147/AC444, "NA")</f>
        <v>NA</v>
      </c>
    </row>
    <row r="148" spans="1:30" ht="16.5" customHeight="1" x14ac:dyDescent="0.45">
      <c r="A148" s="13" t="s">
        <v>139</v>
      </c>
      <c r="B148" s="14">
        <f>IFERROR(B143+B144+B145+B146+B147, "NA")</f>
        <v>0</v>
      </c>
      <c r="C148" s="15" t="str">
        <f>IFERROR(B148/B444, "NA")</f>
        <v>NA</v>
      </c>
      <c r="D148" s="2"/>
      <c r="E148" s="14">
        <f>IFERROR(E143+E144+E145+E146+E147, "NA")</f>
        <v>0</v>
      </c>
      <c r="F148" s="15" t="str">
        <f>IFERROR(E148/E444, "NA")</f>
        <v>NA</v>
      </c>
      <c r="G148" s="2"/>
      <c r="H148" s="14">
        <f t="shared" si="32"/>
        <v>0</v>
      </c>
      <c r="I148" s="15" t="str">
        <f>IFERROR(H148/H444, "NA")</f>
        <v>NA</v>
      </c>
      <c r="J148" s="2"/>
      <c r="K148" s="14">
        <f>IFERROR(K143+K144+K145+K146+K147, "NA")</f>
        <v>0</v>
      </c>
      <c r="L148" s="15" t="str">
        <f>IFERROR(K148/K444, "NA")</f>
        <v>NA</v>
      </c>
      <c r="M148" s="2"/>
      <c r="N148" s="14">
        <f t="shared" si="33"/>
        <v>0</v>
      </c>
      <c r="O148" s="15" t="str">
        <f>IFERROR(N148/N444, "NA")</f>
        <v>NA</v>
      </c>
      <c r="P148" s="2"/>
      <c r="Q148" s="14">
        <f>IFERROR(Q143+Q144+Q145+Q146+Q147, "NA")</f>
        <v>0</v>
      </c>
      <c r="R148" s="15" t="str">
        <f>IFERROR(Q148/Q444, "NA")</f>
        <v>NA</v>
      </c>
      <c r="S148" s="2"/>
      <c r="T148" s="14">
        <f>IFERROR(T143+T144+T145+T146+T147, "NA")</f>
        <v>0</v>
      </c>
      <c r="U148" s="15" t="str">
        <f>IFERROR(T148/T444, "NA")</f>
        <v>NA</v>
      </c>
      <c r="V148" s="2"/>
      <c r="W148" s="14">
        <f t="shared" si="34"/>
        <v>0</v>
      </c>
      <c r="X148" s="15" t="str">
        <f>IFERROR(W148/W444, "NA")</f>
        <v>NA</v>
      </c>
      <c r="Y148" s="2"/>
      <c r="Z148" s="14">
        <f>IFERROR(Z143+Z144+Z145+Z146+Z147, "NA")</f>
        <v>0</v>
      </c>
      <c r="AA148" s="15" t="str">
        <f>IFERROR(Z148/Z444, "NA")</f>
        <v>NA</v>
      </c>
      <c r="AB148" s="2"/>
      <c r="AC148" s="14">
        <f t="shared" si="35"/>
        <v>0</v>
      </c>
      <c r="AD148" s="15" t="str">
        <f>IFERROR(AC148/AC444, "NA")</f>
        <v>NA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0</v>
      </c>
      <c r="C149" s="15" t="str">
        <f>IFERROR(B149/B444, "NA")</f>
        <v>NA</v>
      </c>
      <c r="D149" s="2"/>
      <c r="E149" s="14">
        <f>IFERROR(E127+E129+E130+E131+E132+E133+E134+E135+E136+E137+E138+E139+E140+E143+E144+E145+E146+E147, "NA")</f>
        <v>0</v>
      </c>
      <c r="F149" s="15" t="str">
        <f>IFERROR(E149/E444, "NA")</f>
        <v>NA</v>
      </c>
      <c r="G149" s="2"/>
      <c r="H149" s="14">
        <f t="shared" si="32"/>
        <v>0</v>
      </c>
      <c r="I149" s="15" t="str">
        <f>IFERROR(H149/H444, "NA")</f>
        <v>NA</v>
      </c>
      <c r="J149" s="2"/>
      <c r="K149" s="14">
        <f>IFERROR(K127+K129+K130+K131+K132+K133+K134+K135+K136+K137+K138+K139+K140+K143+K144+K145+K146+K147, "NA")</f>
        <v>0</v>
      </c>
      <c r="L149" s="15" t="str">
        <f>IFERROR(K149/K444, "NA")</f>
        <v>NA</v>
      </c>
      <c r="M149" s="2"/>
      <c r="N149" s="14">
        <f t="shared" si="33"/>
        <v>0</v>
      </c>
      <c r="O149" s="15" t="str">
        <f>IFERROR(N149/N444, "NA")</f>
        <v>NA</v>
      </c>
      <c r="P149" s="2"/>
      <c r="Q149" s="14">
        <f>IFERROR(Q127+Q129+Q130+Q131+Q132+Q133+Q134+Q135+Q136+Q137+Q138+Q139+Q140+Q143+Q144+Q145+Q146+Q147, "NA")</f>
        <v>0</v>
      </c>
      <c r="R149" s="15" t="str">
        <f>IFERROR(Q149/Q444, "NA")</f>
        <v>NA</v>
      </c>
      <c r="S149" s="2"/>
      <c r="T149" s="14">
        <f>IFERROR(T127+T129+T130+T131+T132+T133+T134+T135+T136+T137+T138+T139+T140+T143+T144+T145+T146+T147, "NA")</f>
        <v>0</v>
      </c>
      <c r="U149" s="15" t="str">
        <f>IFERROR(T149/T444, "NA")</f>
        <v>NA</v>
      </c>
      <c r="V149" s="2"/>
      <c r="W149" s="14">
        <f t="shared" si="34"/>
        <v>0</v>
      </c>
      <c r="X149" s="15" t="str">
        <f>IFERROR(W149/W444, "NA")</f>
        <v>NA</v>
      </c>
      <c r="Y149" s="2"/>
      <c r="Z149" s="14">
        <f>IFERROR(Z127+Z129+Z130+Z131+Z132+Z133+Z134+Z135+Z136+Z137+Z138+Z139+Z140+Z143+Z144+Z145+Z146+Z147, "NA")</f>
        <v>0</v>
      </c>
      <c r="AA149" s="15" t="str">
        <f>IFERROR(Z149/Z444, "NA")</f>
        <v>NA</v>
      </c>
      <c r="AB149" s="2"/>
      <c r="AC149" s="14">
        <f t="shared" si="35"/>
        <v>0</v>
      </c>
      <c r="AD149" s="15" t="str">
        <f>IFERROR(AC149/AC444, "NA")</f>
        <v>NA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 t="str">
        <f>IFERROR(B151/B444, "NA")</f>
        <v>NA</v>
      </c>
      <c r="D151" s="9"/>
      <c r="E151" s="7">
        <v>0</v>
      </c>
      <c r="F151" s="8" t="str">
        <f>IFERROR(E151/E444, "NA")</f>
        <v>NA</v>
      </c>
      <c r="G151" s="9"/>
      <c r="H151" s="10">
        <f>IFERROR(-(B151-E151), "NA")</f>
        <v>0</v>
      </c>
      <c r="I151" s="8" t="str">
        <f>IFERROR(H151/H444, "NA")</f>
        <v>NA</v>
      </c>
      <c r="J151" s="9"/>
      <c r="K151" s="7">
        <v>0</v>
      </c>
      <c r="L151" s="8" t="str">
        <f>IFERROR(K151/K444, "NA")</f>
        <v>NA</v>
      </c>
      <c r="M151" s="9"/>
      <c r="N151" s="10">
        <f>IFERROR(-(B151-K151), "NA")</f>
        <v>0</v>
      </c>
      <c r="O151" s="8" t="str">
        <f>IFERROR(N151/N444, "NA")</f>
        <v>NA</v>
      </c>
      <c r="P151" s="9"/>
      <c r="Q151" s="7">
        <v>0</v>
      </c>
      <c r="R151" s="8" t="str">
        <f>IFERROR(Q151/Q444, "NA")</f>
        <v>NA</v>
      </c>
      <c r="S151" s="9"/>
      <c r="T151" s="7">
        <v>0</v>
      </c>
      <c r="U151" s="8" t="str">
        <f>IFERROR(T151/T444, "NA")</f>
        <v>NA</v>
      </c>
      <c r="V151" s="9"/>
      <c r="W151" s="10">
        <f>IFERROR(-(Q151-T151), "NA")</f>
        <v>0</v>
      </c>
      <c r="X151" s="8" t="str">
        <f>IFERROR(W151/W444, "NA")</f>
        <v>NA</v>
      </c>
      <c r="Y151" s="9"/>
      <c r="Z151" s="7">
        <v>0</v>
      </c>
      <c r="AA151" s="8" t="str">
        <f>IFERROR(Z151/Z444, "NA")</f>
        <v>NA</v>
      </c>
      <c r="AB151" s="9"/>
      <c r="AC151" s="10">
        <f>IFERROR(-(Q151-Z151), "NA")</f>
        <v>0</v>
      </c>
      <c r="AD151" s="8" t="str">
        <f>IFERROR(AC151/AC444, "NA")</f>
        <v>NA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hidden="1" customHeight="1" x14ac:dyDescent="0.45">
      <c r="A153" s="12" t="s">
        <v>142</v>
      </c>
      <c r="B153" s="7">
        <v>0</v>
      </c>
      <c r="C153" s="8" t="str">
        <f>IFERROR(B153/B444, "NA")</f>
        <v>NA</v>
      </c>
      <c r="D153" s="9"/>
      <c r="E153" s="7">
        <v>0</v>
      </c>
      <c r="F153" s="8" t="str">
        <f>IFERROR(E153/E444, "NA")</f>
        <v>NA</v>
      </c>
      <c r="G153" s="9"/>
      <c r="H153" s="10">
        <f t="shared" ref="H153:H158" si="36">IFERROR(-(B153-E153), "NA")</f>
        <v>0</v>
      </c>
      <c r="I153" s="8" t="str">
        <f>IFERROR(H153/H444, "NA")</f>
        <v>NA</v>
      </c>
      <c r="J153" s="9"/>
      <c r="K153" s="7">
        <v>0</v>
      </c>
      <c r="L153" s="8" t="str">
        <f>IFERROR(K153/K444, "NA")</f>
        <v>NA</v>
      </c>
      <c r="M153" s="9"/>
      <c r="N153" s="10">
        <f t="shared" ref="N153:N158" si="37">IFERROR(-(B153-K153), "NA")</f>
        <v>0</v>
      </c>
      <c r="O153" s="8" t="str">
        <f>IFERROR(N153/N444, "NA")</f>
        <v>NA</v>
      </c>
      <c r="P153" s="9"/>
      <c r="Q153" s="7">
        <v>0</v>
      </c>
      <c r="R153" s="8" t="str">
        <f>IFERROR(Q153/Q444, "NA")</f>
        <v>NA</v>
      </c>
      <c r="S153" s="9"/>
      <c r="T153" s="7">
        <v>0</v>
      </c>
      <c r="U153" s="8" t="str">
        <f>IFERROR(T153/T444, "NA")</f>
        <v>NA</v>
      </c>
      <c r="V153" s="9"/>
      <c r="W153" s="10">
        <f t="shared" ref="W153:W158" si="38">IFERROR(-(Q153-T153), "NA")</f>
        <v>0</v>
      </c>
      <c r="X153" s="8" t="str">
        <f>IFERROR(W153/W444, "NA")</f>
        <v>NA</v>
      </c>
      <c r="Y153" s="9"/>
      <c r="Z153" s="7">
        <v>0</v>
      </c>
      <c r="AA153" s="8" t="str">
        <f>IFERROR(Z153/Z444, "NA")</f>
        <v>NA</v>
      </c>
      <c r="AB153" s="9"/>
      <c r="AC153" s="10">
        <f t="shared" ref="AC153:AC158" si="39">IFERROR(-(Q153-Z153), "NA")</f>
        <v>0</v>
      </c>
      <c r="AD153" s="8" t="str">
        <f>IFERROR(AC153/AC444, "NA")</f>
        <v>NA</v>
      </c>
    </row>
    <row r="154" spans="1:30" ht="16.5" hidden="1" customHeight="1" x14ac:dyDescent="0.45">
      <c r="A154" s="12" t="s">
        <v>143</v>
      </c>
      <c r="B154" s="7">
        <v>0</v>
      </c>
      <c r="C154" s="8" t="str">
        <f>IFERROR(B154/B444, "NA")</f>
        <v>NA</v>
      </c>
      <c r="D154" s="9"/>
      <c r="E154" s="7">
        <v>0</v>
      </c>
      <c r="F154" s="8" t="str">
        <f>IFERROR(E154/E444, "NA")</f>
        <v>NA</v>
      </c>
      <c r="G154" s="9"/>
      <c r="H154" s="10">
        <f t="shared" si="36"/>
        <v>0</v>
      </c>
      <c r="I154" s="8" t="str">
        <f>IFERROR(H154/H444, "NA")</f>
        <v>NA</v>
      </c>
      <c r="J154" s="9"/>
      <c r="K154" s="7">
        <v>0</v>
      </c>
      <c r="L154" s="8" t="str">
        <f>IFERROR(K154/K444, "NA")</f>
        <v>NA</v>
      </c>
      <c r="M154" s="9"/>
      <c r="N154" s="10">
        <f t="shared" si="37"/>
        <v>0</v>
      </c>
      <c r="O154" s="8" t="str">
        <f>IFERROR(N154/N444, "NA")</f>
        <v>NA</v>
      </c>
      <c r="P154" s="9"/>
      <c r="Q154" s="7">
        <v>0</v>
      </c>
      <c r="R154" s="8" t="str">
        <f>IFERROR(Q154/Q444, "NA")</f>
        <v>NA</v>
      </c>
      <c r="S154" s="9"/>
      <c r="T154" s="7">
        <v>0</v>
      </c>
      <c r="U154" s="8" t="str">
        <f>IFERROR(T154/T444, "NA")</f>
        <v>NA</v>
      </c>
      <c r="V154" s="9"/>
      <c r="W154" s="10">
        <f t="shared" si="38"/>
        <v>0</v>
      </c>
      <c r="X154" s="8" t="str">
        <f>IFERROR(W154/W444, "NA")</f>
        <v>NA</v>
      </c>
      <c r="Y154" s="9"/>
      <c r="Z154" s="7">
        <v>0</v>
      </c>
      <c r="AA154" s="8" t="str">
        <f>IFERROR(Z154/Z444, "NA")</f>
        <v>NA</v>
      </c>
      <c r="AB154" s="9"/>
      <c r="AC154" s="10">
        <f t="shared" si="39"/>
        <v>0</v>
      </c>
      <c r="AD154" s="8" t="str">
        <f>IFERROR(AC154/AC444, "NA")</f>
        <v>NA</v>
      </c>
    </row>
    <row r="155" spans="1:30" ht="16.5" hidden="1" customHeight="1" x14ac:dyDescent="0.45">
      <c r="A155" s="12" t="s">
        <v>144</v>
      </c>
      <c r="B155" s="7">
        <v>0</v>
      </c>
      <c r="C155" s="8" t="str">
        <f>IFERROR(B155/B444, "NA")</f>
        <v>NA</v>
      </c>
      <c r="D155" s="9"/>
      <c r="E155" s="7">
        <v>0</v>
      </c>
      <c r="F155" s="8" t="str">
        <f>IFERROR(E155/E444, "NA")</f>
        <v>NA</v>
      </c>
      <c r="G155" s="9"/>
      <c r="H155" s="10">
        <f t="shared" si="36"/>
        <v>0</v>
      </c>
      <c r="I155" s="8" t="str">
        <f>IFERROR(H155/H444, "NA")</f>
        <v>NA</v>
      </c>
      <c r="J155" s="9"/>
      <c r="K155" s="7">
        <v>0</v>
      </c>
      <c r="L155" s="8" t="str">
        <f>IFERROR(K155/K444, "NA")</f>
        <v>NA</v>
      </c>
      <c r="M155" s="9"/>
      <c r="N155" s="10">
        <f t="shared" si="37"/>
        <v>0</v>
      </c>
      <c r="O155" s="8" t="str">
        <f>IFERROR(N155/N444, "NA")</f>
        <v>NA</v>
      </c>
      <c r="P155" s="9"/>
      <c r="Q155" s="7">
        <v>0</v>
      </c>
      <c r="R155" s="8" t="str">
        <f>IFERROR(Q155/Q444, "NA")</f>
        <v>NA</v>
      </c>
      <c r="S155" s="9"/>
      <c r="T155" s="7">
        <v>0</v>
      </c>
      <c r="U155" s="8" t="str">
        <f>IFERROR(T155/T444, "NA")</f>
        <v>NA</v>
      </c>
      <c r="V155" s="9"/>
      <c r="W155" s="10">
        <f t="shared" si="38"/>
        <v>0</v>
      </c>
      <c r="X155" s="8" t="str">
        <f>IFERROR(W155/W444, "NA")</f>
        <v>NA</v>
      </c>
      <c r="Y155" s="9"/>
      <c r="Z155" s="7">
        <v>0</v>
      </c>
      <c r="AA155" s="8" t="str">
        <f>IFERROR(Z155/Z444, "NA")</f>
        <v>NA</v>
      </c>
      <c r="AB155" s="9"/>
      <c r="AC155" s="10">
        <f t="shared" si="39"/>
        <v>0</v>
      </c>
      <c r="AD155" s="8" t="str">
        <f>IFERROR(AC155/AC444, "NA")</f>
        <v>NA</v>
      </c>
    </row>
    <row r="156" spans="1:30" ht="16.5" hidden="1" customHeight="1" x14ac:dyDescent="0.45">
      <c r="A156" s="12" t="s">
        <v>145</v>
      </c>
      <c r="B156" s="7">
        <v>0</v>
      </c>
      <c r="C156" s="8" t="str">
        <f>IFERROR(B156/B444, "NA")</f>
        <v>NA</v>
      </c>
      <c r="D156" s="9"/>
      <c r="E156" s="7">
        <v>0</v>
      </c>
      <c r="F156" s="8" t="str">
        <f>IFERROR(E156/E444, "NA")</f>
        <v>NA</v>
      </c>
      <c r="G156" s="9"/>
      <c r="H156" s="10">
        <f t="shared" si="36"/>
        <v>0</v>
      </c>
      <c r="I156" s="8" t="str">
        <f>IFERROR(H156/H444, "NA")</f>
        <v>NA</v>
      </c>
      <c r="J156" s="9"/>
      <c r="K156" s="7">
        <v>0</v>
      </c>
      <c r="L156" s="8" t="str">
        <f>IFERROR(K156/K444, "NA")</f>
        <v>NA</v>
      </c>
      <c r="M156" s="9"/>
      <c r="N156" s="10">
        <f t="shared" si="37"/>
        <v>0</v>
      </c>
      <c r="O156" s="8" t="str">
        <f>IFERROR(N156/N444, "NA")</f>
        <v>NA</v>
      </c>
      <c r="P156" s="9"/>
      <c r="Q156" s="7">
        <v>0</v>
      </c>
      <c r="R156" s="8" t="str">
        <f>IFERROR(Q156/Q444, "NA")</f>
        <v>NA</v>
      </c>
      <c r="S156" s="9"/>
      <c r="T156" s="7">
        <v>0</v>
      </c>
      <c r="U156" s="8" t="str">
        <f>IFERROR(T156/T444, "NA")</f>
        <v>NA</v>
      </c>
      <c r="V156" s="9"/>
      <c r="W156" s="10">
        <f t="shared" si="38"/>
        <v>0</v>
      </c>
      <c r="X156" s="8" t="str">
        <f>IFERROR(W156/W444, "NA")</f>
        <v>NA</v>
      </c>
      <c r="Y156" s="9"/>
      <c r="Z156" s="7">
        <v>0</v>
      </c>
      <c r="AA156" s="8" t="str">
        <f>IFERROR(Z156/Z444, "NA")</f>
        <v>NA</v>
      </c>
      <c r="AB156" s="9"/>
      <c r="AC156" s="10">
        <f t="shared" si="39"/>
        <v>0</v>
      </c>
      <c r="AD156" s="8" t="str">
        <f>IFERROR(AC156/AC444, "NA")</f>
        <v>NA</v>
      </c>
    </row>
    <row r="157" spans="1:30" ht="16.5" hidden="1" customHeight="1" x14ac:dyDescent="0.45">
      <c r="A157" s="12" t="s">
        <v>146</v>
      </c>
      <c r="B157" s="7">
        <v>0</v>
      </c>
      <c r="C157" s="8" t="str">
        <f>IFERROR(B157/B444, "NA")</f>
        <v>NA</v>
      </c>
      <c r="D157" s="9"/>
      <c r="E157" s="7">
        <v>0</v>
      </c>
      <c r="F157" s="8" t="str">
        <f>IFERROR(E157/E444, "NA")</f>
        <v>NA</v>
      </c>
      <c r="G157" s="9"/>
      <c r="H157" s="10">
        <f t="shared" si="36"/>
        <v>0</v>
      </c>
      <c r="I157" s="8" t="str">
        <f>IFERROR(H157/H444, "NA")</f>
        <v>NA</v>
      </c>
      <c r="J157" s="9"/>
      <c r="K157" s="7">
        <v>0</v>
      </c>
      <c r="L157" s="8" t="str">
        <f>IFERROR(K157/K444, "NA")</f>
        <v>NA</v>
      </c>
      <c r="M157" s="9"/>
      <c r="N157" s="10">
        <f t="shared" si="37"/>
        <v>0</v>
      </c>
      <c r="O157" s="8" t="str">
        <f>IFERROR(N157/N444, "NA")</f>
        <v>NA</v>
      </c>
      <c r="P157" s="9"/>
      <c r="Q157" s="7">
        <v>0</v>
      </c>
      <c r="R157" s="8" t="str">
        <f>IFERROR(Q157/Q444, "NA")</f>
        <v>NA</v>
      </c>
      <c r="S157" s="9"/>
      <c r="T157" s="7">
        <v>0</v>
      </c>
      <c r="U157" s="8" t="str">
        <f>IFERROR(T157/T444, "NA")</f>
        <v>NA</v>
      </c>
      <c r="V157" s="9"/>
      <c r="W157" s="10">
        <f t="shared" si="38"/>
        <v>0</v>
      </c>
      <c r="X157" s="8" t="str">
        <f>IFERROR(W157/W444, "NA")</f>
        <v>NA</v>
      </c>
      <c r="Y157" s="9"/>
      <c r="Z157" s="7">
        <v>0</v>
      </c>
      <c r="AA157" s="8" t="str">
        <f>IFERROR(Z157/Z444, "NA")</f>
        <v>NA</v>
      </c>
      <c r="AB157" s="9"/>
      <c r="AC157" s="10">
        <f t="shared" si="39"/>
        <v>0</v>
      </c>
      <c r="AD157" s="8" t="str">
        <f>IFERROR(AC157/AC444, "NA")</f>
        <v>NA</v>
      </c>
    </row>
    <row r="158" spans="1:30" ht="16.5" customHeight="1" x14ac:dyDescent="0.45">
      <c r="A158" s="13" t="s">
        <v>147</v>
      </c>
      <c r="B158" s="14">
        <f>IFERROR(B153+B154+B155+B156+B157, "NA")</f>
        <v>0</v>
      </c>
      <c r="C158" s="15" t="str">
        <f>IFERROR(B158/B444, "NA")</f>
        <v>NA</v>
      </c>
      <c r="D158" s="2"/>
      <c r="E158" s="14">
        <f>IFERROR(E153+E154+E155+E156+E157, "NA")</f>
        <v>0</v>
      </c>
      <c r="F158" s="15" t="str">
        <f>IFERROR(E158/E444, "NA")</f>
        <v>NA</v>
      </c>
      <c r="G158" s="2"/>
      <c r="H158" s="14">
        <f t="shared" si="36"/>
        <v>0</v>
      </c>
      <c r="I158" s="15" t="str">
        <f>IFERROR(H158/H444, "NA")</f>
        <v>NA</v>
      </c>
      <c r="J158" s="2"/>
      <c r="K158" s="14">
        <f>IFERROR(K153+K154+K155+K156+K157, "NA")</f>
        <v>0</v>
      </c>
      <c r="L158" s="15" t="str">
        <f>IFERROR(K158/K444, "NA")</f>
        <v>NA</v>
      </c>
      <c r="M158" s="2"/>
      <c r="N158" s="14">
        <f t="shared" si="37"/>
        <v>0</v>
      </c>
      <c r="O158" s="15" t="str">
        <f>IFERROR(N158/N444, "NA")</f>
        <v>NA</v>
      </c>
      <c r="P158" s="2"/>
      <c r="Q158" s="14">
        <f>IFERROR(Q153+Q154+Q155+Q156+Q157, "NA")</f>
        <v>0</v>
      </c>
      <c r="R158" s="15" t="str">
        <f>IFERROR(Q158/Q444, "NA")</f>
        <v>NA</v>
      </c>
      <c r="S158" s="2"/>
      <c r="T158" s="14">
        <f>IFERROR(T153+T154+T155+T156+T157, "NA")</f>
        <v>0</v>
      </c>
      <c r="U158" s="15" t="str">
        <f>IFERROR(T158/T444, "NA")</f>
        <v>NA</v>
      </c>
      <c r="V158" s="2"/>
      <c r="W158" s="14">
        <f t="shared" si="38"/>
        <v>0</v>
      </c>
      <c r="X158" s="15" t="str">
        <f>IFERROR(W158/W444, "NA")</f>
        <v>NA</v>
      </c>
      <c r="Y158" s="2"/>
      <c r="Z158" s="14">
        <f>IFERROR(Z153+Z154+Z155+Z156+Z157, "NA")</f>
        <v>0</v>
      </c>
      <c r="AA158" s="15" t="str">
        <f>IFERROR(Z158/Z444, "NA")</f>
        <v>NA</v>
      </c>
      <c r="AB158" s="2"/>
      <c r="AC158" s="14">
        <f t="shared" si="39"/>
        <v>0</v>
      </c>
      <c r="AD158" s="15" t="str">
        <f>IFERROR(AC158/AC444, "NA")</f>
        <v>NA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 t="str">
        <f>IFERROR(B160/B444, "NA")</f>
        <v>NA</v>
      </c>
      <c r="D160" s="9"/>
      <c r="E160" s="7">
        <v>0</v>
      </c>
      <c r="F160" s="8" t="str">
        <f>IFERROR(E160/E444, "NA")</f>
        <v>NA</v>
      </c>
      <c r="G160" s="9"/>
      <c r="H160" s="10">
        <f t="shared" ref="H160:H171" si="40">IFERROR(-(B160-E160), "NA")</f>
        <v>0</v>
      </c>
      <c r="I160" s="8" t="str">
        <f>IFERROR(H160/H444, "NA")</f>
        <v>NA</v>
      </c>
      <c r="J160" s="9"/>
      <c r="K160" s="7">
        <v>0</v>
      </c>
      <c r="L160" s="8" t="str">
        <f>IFERROR(K160/K444, "NA")</f>
        <v>NA</v>
      </c>
      <c r="M160" s="9"/>
      <c r="N160" s="10">
        <f t="shared" ref="N160:N171" si="41">IFERROR(-(B160-K160), "NA")</f>
        <v>0</v>
      </c>
      <c r="O160" s="8" t="str">
        <f>IFERROR(N160/N444, "NA")</f>
        <v>NA</v>
      </c>
      <c r="P160" s="9"/>
      <c r="Q160" s="7">
        <v>0</v>
      </c>
      <c r="R160" s="8" t="str">
        <f>IFERROR(Q160/Q444, "NA")</f>
        <v>NA</v>
      </c>
      <c r="S160" s="9"/>
      <c r="T160" s="7">
        <v>0</v>
      </c>
      <c r="U160" s="8" t="str">
        <f>IFERROR(T160/T444, "NA")</f>
        <v>NA</v>
      </c>
      <c r="V160" s="9"/>
      <c r="W160" s="10">
        <f t="shared" ref="W160:W171" si="42">IFERROR(-(Q160-T160), "NA")</f>
        <v>0</v>
      </c>
      <c r="X160" s="8" t="str">
        <f>IFERROR(W160/W444, "NA")</f>
        <v>NA</v>
      </c>
      <c r="Y160" s="9"/>
      <c r="Z160" s="7">
        <v>0</v>
      </c>
      <c r="AA160" s="8" t="str">
        <f>IFERROR(Z160/Z444, "NA")</f>
        <v>NA</v>
      </c>
      <c r="AB160" s="9"/>
      <c r="AC160" s="10">
        <f t="shared" ref="AC160:AC171" si="43">IFERROR(-(Q160-Z160), "NA")</f>
        <v>0</v>
      </c>
      <c r="AD160" s="8" t="str">
        <f>IFERROR(AC160/AC444, "NA")</f>
        <v>NA</v>
      </c>
    </row>
    <row r="161" spans="1:30" ht="16.5" hidden="1" customHeight="1" x14ac:dyDescent="0.45">
      <c r="A161" s="12" t="s">
        <v>149</v>
      </c>
      <c r="B161" s="7">
        <v>0</v>
      </c>
      <c r="C161" s="8" t="str">
        <f>IFERROR(B161/B444, "NA")</f>
        <v>NA</v>
      </c>
      <c r="D161" s="9"/>
      <c r="E161" s="7">
        <v>0</v>
      </c>
      <c r="F161" s="8" t="str">
        <f>IFERROR(E161/E444, "NA")</f>
        <v>NA</v>
      </c>
      <c r="G161" s="9"/>
      <c r="H161" s="10">
        <f t="shared" si="40"/>
        <v>0</v>
      </c>
      <c r="I161" s="8" t="str">
        <f>IFERROR(H161/H444, "NA")</f>
        <v>NA</v>
      </c>
      <c r="J161" s="9"/>
      <c r="K161" s="7">
        <v>0</v>
      </c>
      <c r="L161" s="8" t="str">
        <f>IFERROR(K161/K444, "NA")</f>
        <v>NA</v>
      </c>
      <c r="M161" s="9"/>
      <c r="N161" s="10">
        <f t="shared" si="41"/>
        <v>0</v>
      </c>
      <c r="O161" s="8" t="str">
        <f>IFERROR(N161/N444, "NA")</f>
        <v>NA</v>
      </c>
      <c r="P161" s="9"/>
      <c r="Q161" s="7">
        <v>0</v>
      </c>
      <c r="R161" s="8" t="str">
        <f>IFERROR(Q161/Q444, "NA")</f>
        <v>NA</v>
      </c>
      <c r="S161" s="9"/>
      <c r="T161" s="7">
        <v>0</v>
      </c>
      <c r="U161" s="8" t="str">
        <f>IFERROR(T161/T444, "NA")</f>
        <v>NA</v>
      </c>
      <c r="V161" s="9"/>
      <c r="W161" s="10">
        <f t="shared" si="42"/>
        <v>0</v>
      </c>
      <c r="X161" s="8" t="str">
        <f>IFERROR(W161/W444, "NA")</f>
        <v>NA</v>
      </c>
      <c r="Y161" s="9"/>
      <c r="Z161" s="7">
        <v>0</v>
      </c>
      <c r="AA161" s="8" t="str">
        <f>IFERROR(Z161/Z444, "NA")</f>
        <v>NA</v>
      </c>
      <c r="AB161" s="9"/>
      <c r="AC161" s="10">
        <f t="shared" si="43"/>
        <v>0</v>
      </c>
      <c r="AD161" s="8" t="str">
        <f>IFERROR(AC161/AC444, "NA")</f>
        <v>NA</v>
      </c>
    </row>
    <row r="162" spans="1:30" ht="16.5" hidden="1" customHeight="1" x14ac:dyDescent="0.45">
      <c r="A162" s="12" t="s">
        <v>150</v>
      </c>
      <c r="B162" s="7">
        <v>0</v>
      </c>
      <c r="C162" s="8" t="str">
        <f>IFERROR(B162/B444, "NA")</f>
        <v>NA</v>
      </c>
      <c r="D162" s="9"/>
      <c r="E162" s="7">
        <v>0</v>
      </c>
      <c r="F162" s="8" t="str">
        <f>IFERROR(E162/E444, "NA")</f>
        <v>NA</v>
      </c>
      <c r="G162" s="9"/>
      <c r="H162" s="10">
        <f t="shared" si="40"/>
        <v>0</v>
      </c>
      <c r="I162" s="8" t="str">
        <f>IFERROR(H162/H444, "NA")</f>
        <v>NA</v>
      </c>
      <c r="J162" s="9"/>
      <c r="K162" s="7">
        <v>0</v>
      </c>
      <c r="L162" s="8" t="str">
        <f>IFERROR(K162/K444, "NA")</f>
        <v>NA</v>
      </c>
      <c r="M162" s="9"/>
      <c r="N162" s="10">
        <f t="shared" si="41"/>
        <v>0</v>
      </c>
      <c r="O162" s="8" t="str">
        <f>IFERROR(N162/N444, "NA")</f>
        <v>NA</v>
      </c>
      <c r="P162" s="9"/>
      <c r="Q162" s="7">
        <v>0</v>
      </c>
      <c r="R162" s="8" t="str">
        <f>IFERROR(Q162/Q444, "NA")</f>
        <v>NA</v>
      </c>
      <c r="S162" s="9"/>
      <c r="T162" s="7">
        <v>0</v>
      </c>
      <c r="U162" s="8" t="str">
        <f>IFERROR(T162/T444, "NA")</f>
        <v>NA</v>
      </c>
      <c r="V162" s="9"/>
      <c r="W162" s="10">
        <f t="shared" si="42"/>
        <v>0</v>
      </c>
      <c r="X162" s="8" t="str">
        <f>IFERROR(W162/W444, "NA")</f>
        <v>NA</v>
      </c>
      <c r="Y162" s="9"/>
      <c r="Z162" s="7">
        <v>0</v>
      </c>
      <c r="AA162" s="8" t="str">
        <f>IFERROR(Z162/Z444, "NA")</f>
        <v>NA</v>
      </c>
      <c r="AB162" s="9"/>
      <c r="AC162" s="10">
        <f t="shared" si="43"/>
        <v>0</v>
      </c>
      <c r="AD162" s="8" t="str">
        <f>IFERROR(AC162/AC444, "NA")</f>
        <v>NA</v>
      </c>
    </row>
    <row r="163" spans="1:30" ht="16.5" hidden="1" customHeight="1" x14ac:dyDescent="0.45">
      <c r="A163" s="12" t="s">
        <v>151</v>
      </c>
      <c r="B163" s="7">
        <v>0</v>
      </c>
      <c r="C163" s="8" t="str">
        <f>IFERROR(B163/B444, "NA")</f>
        <v>NA</v>
      </c>
      <c r="D163" s="9"/>
      <c r="E163" s="7">
        <v>0</v>
      </c>
      <c r="F163" s="8" t="str">
        <f>IFERROR(E163/E444, "NA")</f>
        <v>NA</v>
      </c>
      <c r="G163" s="9"/>
      <c r="H163" s="10">
        <f t="shared" si="40"/>
        <v>0</v>
      </c>
      <c r="I163" s="8" t="str">
        <f>IFERROR(H163/H444, "NA")</f>
        <v>NA</v>
      </c>
      <c r="J163" s="9"/>
      <c r="K163" s="7">
        <v>0</v>
      </c>
      <c r="L163" s="8" t="str">
        <f>IFERROR(K163/K444, "NA")</f>
        <v>NA</v>
      </c>
      <c r="M163" s="9"/>
      <c r="N163" s="10">
        <f t="shared" si="41"/>
        <v>0</v>
      </c>
      <c r="O163" s="8" t="str">
        <f>IFERROR(N163/N444, "NA")</f>
        <v>NA</v>
      </c>
      <c r="P163" s="9"/>
      <c r="Q163" s="7">
        <v>0</v>
      </c>
      <c r="R163" s="8" t="str">
        <f>IFERROR(Q163/Q444, "NA")</f>
        <v>NA</v>
      </c>
      <c r="S163" s="9"/>
      <c r="T163" s="7">
        <v>0</v>
      </c>
      <c r="U163" s="8" t="str">
        <f>IFERROR(T163/T444, "NA")</f>
        <v>NA</v>
      </c>
      <c r="V163" s="9"/>
      <c r="W163" s="10">
        <f t="shared" si="42"/>
        <v>0</v>
      </c>
      <c r="X163" s="8" t="str">
        <f>IFERROR(W163/W444, "NA")</f>
        <v>NA</v>
      </c>
      <c r="Y163" s="9"/>
      <c r="Z163" s="7">
        <v>0</v>
      </c>
      <c r="AA163" s="8" t="str">
        <f>IFERROR(Z163/Z444, "NA")</f>
        <v>NA</v>
      </c>
      <c r="AB163" s="9"/>
      <c r="AC163" s="10">
        <f t="shared" si="43"/>
        <v>0</v>
      </c>
      <c r="AD163" s="8" t="str">
        <f>IFERROR(AC163/AC444, "NA")</f>
        <v>NA</v>
      </c>
    </row>
    <row r="164" spans="1:30" ht="16.5" hidden="1" customHeight="1" x14ac:dyDescent="0.45">
      <c r="A164" s="12" t="s">
        <v>152</v>
      </c>
      <c r="B164" s="7">
        <v>0</v>
      </c>
      <c r="C164" s="8" t="str">
        <f>IFERROR(B164/B444, "NA")</f>
        <v>NA</v>
      </c>
      <c r="D164" s="9"/>
      <c r="E164" s="7">
        <v>0</v>
      </c>
      <c r="F164" s="8" t="str">
        <f>IFERROR(E164/E444, "NA")</f>
        <v>NA</v>
      </c>
      <c r="G164" s="9"/>
      <c r="H164" s="10">
        <f t="shared" si="40"/>
        <v>0</v>
      </c>
      <c r="I164" s="8" t="str">
        <f>IFERROR(H164/H444, "NA")</f>
        <v>NA</v>
      </c>
      <c r="J164" s="9"/>
      <c r="K164" s="7">
        <v>0</v>
      </c>
      <c r="L164" s="8" t="str">
        <f>IFERROR(K164/K444, "NA")</f>
        <v>NA</v>
      </c>
      <c r="M164" s="9"/>
      <c r="N164" s="10">
        <f t="shared" si="41"/>
        <v>0</v>
      </c>
      <c r="O164" s="8" t="str">
        <f>IFERROR(N164/N444, "NA")</f>
        <v>NA</v>
      </c>
      <c r="P164" s="9"/>
      <c r="Q164" s="7">
        <v>0</v>
      </c>
      <c r="R164" s="8" t="str">
        <f>IFERROR(Q164/Q444, "NA")</f>
        <v>NA</v>
      </c>
      <c r="S164" s="9"/>
      <c r="T164" s="7">
        <v>0</v>
      </c>
      <c r="U164" s="8" t="str">
        <f>IFERROR(T164/T444, "NA")</f>
        <v>NA</v>
      </c>
      <c r="V164" s="9"/>
      <c r="W164" s="10">
        <f t="shared" si="42"/>
        <v>0</v>
      </c>
      <c r="X164" s="8" t="str">
        <f>IFERROR(W164/W444, "NA")</f>
        <v>NA</v>
      </c>
      <c r="Y164" s="9"/>
      <c r="Z164" s="7">
        <v>0</v>
      </c>
      <c r="AA164" s="8" t="str">
        <f>IFERROR(Z164/Z444, "NA")</f>
        <v>NA</v>
      </c>
      <c r="AB164" s="9"/>
      <c r="AC164" s="10">
        <f t="shared" si="43"/>
        <v>0</v>
      </c>
      <c r="AD164" s="8" t="str">
        <f>IFERROR(AC164/AC444, "NA")</f>
        <v>NA</v>
      </c>
    </row>
    <row r="165" spans="1:30" ht="16.5" hidden="1" customHeight="1" x14ac:dyDescent="0.45">
      <c r="A165" s="12" t="s">
        <v>153</v>
      </c>
      <c r="B165" s="7">
        <v>0</v>
      </c>
      <c r="C165" s="8" t="str">
        <f>IFERROR(B165/B444, "NA")</f>
        <v>NA</v>
      </c>
      <c r="D165" s="9"/>
      <c r="E165" s="7">
        <v>0</v>
      </c>
      <c r="F165" s="8" t="str">
        <f>IFERROR(E165/E444, "NA")</f>
        <v>NA</v>
      </c>
      <c r="G165" s="9"/>
      <c r="H165" s="10">
        <f t="shared" si="40"/>
        <v>0</v>
      </c>
      <c r="I165" s="8" t="str">
        <f>IFERROR(H165/H444, "NA")</f>
        <v>NA</v>
      </c>
      <c r="J165" s="9"/>
      <c r="K165" s="7">
        <v>0</v>
      </c>
      <c r="L165" s="8" t="str">
        <f>IFERROR(K165/K444, "NA")</f>
        <v>NA</v>
      </c>
      <c r="M165" s="9"/>
      <c r="N165" s="10">
        <f t="shared" si="41"/>
        <v>0</v>
      </c>
      <c r="O165" s="8" t="str">
        <f>IFERROR(N165/N444, "NA")</f>
        <v>NA</v>
      </c>
      <c r="P165" s="9"/>
      <c r="Q165" s="7">
        <v>0</v>
      </c>
      <c r="R165" s="8" t="str">
        <f>IFERROR(Q165/Q444, "NA")</f>
        <v>NA</v>
      </c>
      <c r="S165" s="9"/>
      <c r="T165" s="7">
        <v>0</v>
      </c>
      <c r="U165" s="8" t="str">
        <f>IFERROR(T165/T444, "NA")</f>
        <v>NA</v>
      </c>
      <c r="V165" s="9"/>
      <c r="W165" s="10">
        <f t="shared" si="42"/>
        <v>0</v>
      </c>
      <c r="X165" s="8" t="str">
        <f>IFERROR(W165/W444, "NA")</f>
        <v>NA</v>
      </c>
      <c r="Y165" s="9"/>
      <c r="Z165" s="7">
        <v>0</v>
      </c>
      <c r="AA165" s="8" t="str">
        <f>IFERROR(Z165/Z444, "NA")</f>
        <v>NA</v>
      </c>
      <c r="AB165" s="9"/>
      <c r="AC165" s="10">
        <f t="shared" si="43"/>
        <v>0</v>
      </c>
      <c r="AD165" s="8" t="str">
        <f>IFERROR(AC165/AC444, "NA")</f>
        <v>NA</v>
      </c>
    </row>
    <row r="166" spans="1:30" ht="16.5" customHeight="1" x14ac:dyDescent="0.45">
      <c r="A166" s="13" t="s">
        <v>154</v>
      </c>
      <c r="B166" s="14">
        <f>IFERROR(B160+B161+B162+B163+B164+B165, "NA")</f>
        <v>0</v>
      </c>
      <c r="C166" s="15" t="str">
        <f>IFERROR(B166/B444, "NA")</f>
        <v>NA</v>
      </c>
      <c r="D166" s="2"/>
      <c r="E166" s="14">
        <f>IFERROR(E160+E161+E162+E163+E164+E165, "NA")</f>
        <v>0</v>
      </c>
      <c r="F166" s="15" t="str">
        <f>IFERROR(E166/E444, "NA")</f>
        <v>NA</v>
      </c>
      <c r="G166" s="2"/>
      <c r="H166" s="14">
        <f t="shared" si="40"/>
        <v>0</v>
      </c>
      <c r="I166" s="15" t="str">
        <f>IFERROR(H166/H444, "NA")</f>
        <v>NA</v>
      </c>
      <c r="J166" s="2"/>
      <c r="K166" s="14">
        <f>IFERROR(K160+K161+K162+K163+K164+K165, "NA")</f>
        <v>0</v>
      </c>
      <c r="L166" s="15" t="str">
        <f>IFERROR(K166/K444, "NA")</f>
        <v>NA</v>
      </c>
      <c r="M166" s="2"/>
      <c r="N166" s="14">
        <f t="shared" si="41"/>
        <v>0</v>
      </c>
      <c r="O166" s="15" t="str">
        <f>IFERROR(N166/N444, "NA")</f>
        <v>NA</v>
      </c>
      <c r="P166" s="2"/>
      <c r="Q166" s="14">
        <f>IFERROR(Q160+Q161+Q162+Q163+Q164+Q165, "NA")</f>
        <v>0</v>
      </c>
      <c r="R166" s="15" t="str">
        <f>IFERROR(Q166/Q444, "NA")</f>
        <v>NA</v>
      </c>
      <c r="S166" s="2"/>
      <c r="T166" s="14">
        <f>IFERROR(T160+T161+T162+T163+T164+T165, "NA")</f>
        <v>0</v>
      </c>
      <c r="U166" s="15" t="str">
        <f>IFERROR(T166/T444, "NA")</f>
        <v>NA</v>
      </c>
      <c r="V166" s="2"/>
      <c r="W166" s="14">
        <f t="shared" si="42"/>
        <v>0</v>
      </c>
      <c r="X166" s="15" t="str">
        <f>IFERROR(W166/W444, "NA")</f>
        <v>NA</v>
      </c>
      <c r="Y166" s="2"/>
      <c r="Z166" s="14">
        <f>IFERROR(Z160+Z161+Z162+Z163+Z164+Z165, "NA")</f>
        <v>0</v>
      </c>
      <c r="AA166" s="15" t="str">
        <f>IFERROR(Z166/Z444, "NA")</f>
        <v>NA</v>
      </c>
      <c r="AB166" s="2"/>
      <c r="AC166" s="14">
        <f t="shared" si="43"/>
        <v>0</v>
      </c>
      <c r="AD166" s="15" t="str">
        <f>IFERROR(AC166/AC444, "NA")</f>
        <v>NA</v>
      </c>
    </row>
    <row r="167" spans="1:30" ht="16.5" hidden="1" customHeight="1" x14ac:dyDescent="0.45">
      <c r="A167" s="6" t="s">
        <v>155</v>
      </c>
      <c r="B167" s="7">
        <v>0</v>
      </c>
      <c r="C167" s="8" t="str">
        <f>IFERROR(B167/B444, "NA")</f>
        <v>NA</v>
      </c>
      <c r="D167" s="9"/>
      <c r="E167" s="7">
        <v>0</v>
      </c>
      <c r="F167" s="8" t="str">
        <f>IFERROR(E167/E444, "NA")</f>
        <v>NA</v>
      </c>
      <c r="G167" s="9"/>
      <c r="H167" s="10">
        <f t="shared" si="40"/>
        <v>0</v>
      </c>
      <c r="I167" s="8" t="str">
        <f>IFERROR(H167/H444, "NA")</f>
        <v>NA</v>
      </c>
      <c r="J167" s="9"/>
      <c r="K167" s="7">
        <v>0</v>
      </c>
      <c r="L167" s="8" t="str">
        <f>IFERROR(K167/K444, "NA")</f>
        <v>NA</v>
      </c>
      <c r="M167" s="9"/>
      <c r="N167" s="10">
        <f t="shared" si="41"/>
        <v>0</v>
      </c>
      <c r="O167" s="8" t="str">
        <f>IFERROR(N167/N444, "NA")</f>
        <v>NA</v>
      </c>
      <c r="P167" s="9"/>
      <c r="Q167" s="7">
        <v>0</v>
      </c>
      <c r="R167" s="8" t="str">
        <f>IFERROR(Q167/Q444, "NA")</f>
        <v>NA</v>
      </c>
      <c r="S167" s="9"/>
      <c r="T167" s="7">
        <v>0</v>
      </c>
      <c r="U167" s="8" t="str">
        <f>IFERROR(T167/T444, "NA")</f>
        <v>NA</v>
      </c>
      <c r="V167" s="9"/>
      <c r="W167" s="10">
        <f t="shared" si="42"/>
        <v>0</v>
      </c>
      <c r="X167" s="8" t="str">
        <f>IFERROR(W167/W444, "NA")</f>
        <v>NA</v>
      </c>
      <c r="Y167" s="9"/>
      <c r="Z167" s="7">
        <v>0</v>
      </c>
      <c r="AA167" s="8" t="str">
        <f>IFERROR(Z167/Z444, "NA")</f>
        <v>NA</v>
      </c>
      <c r="AB167" s="9"/>
      <c r="AC167" s="10">
        <f t="shared" si="43"/>
        <v>0</v>
      </c>
      <c r="AD167" s="8" t="str">
        <f>IFERROR(AC167/AC444, "NA")</f>
        <v>NA</v>
      </c>
    </row>
    <row r="168" spans="1:30" ht="16.5" hidden="1" customHeight="1" x14ac:dyDescent="0.45">
      <c r="A168" s="6" t="s">
        <v>156</v>
      </c>
      <c r="B168" s="7">
        <v>0</v>
      </c>
      <c r="C168" s="8" t="str">
        <f>IFERROR(B168/B444, "NA")</f>
        <v>NA</v>
      </c>
      <c r="D168" s="9"/>
      <c r="E168" s="7">
        <v>0</v>
      </c>
      <c r="F168" s="8" t="str">
        <f>IFERROR(E168/E444, "NA")</f>
        <v>NA</v>
      </c>
      <c r="G168" s="9"/>
      <c r="H168" s="10">
        <f t="shared" si="40"/>
        <v>0</v>
      </c>
      <c r="I168" s="8" t="str">
        <f>IFERROR(H168/H444, "NA")</f>
        <v>NA</v>
      </c>
      <c r="J168" s="9"/>
      <c r="K168" s="7">
        <v>0</v>
      </c>
      <c r="L168" s="8" t="str">
        <f>IFERROR(K168/K444, "NA")</f>
        <v>NA</v>
      </c>
      <c r="M168" s="9"/>
      <c r="N168" s="10">
        <f t="shared" si="41"/>
        <v>0</v>
      </c>
      <c r="O168" s="8" t="str">
        <f>IFERROR(N168/N444, "NA")</f>
        <v>NA</v>
      </c>
      <c r="P168" s="9"/>
      <c r="Q168" s="7">
        <v>0</v>
      </c>
      <c r="R168" s="8" t="str">
        <f>IFERROR(Q168/Q444, "NA")</f>
        <v>NA</v>
      </c>
      <c r="S168" s="9"/>
      <c r="T168" s="7">
        <v>0</v>
      </c>
      <c r="U168" s="8" t="str">
        <f>IFERROR(T168/T444, "NA")</f>
        <v>NA</v>
      </c>
      <c r="V168" s="9"/>
      <c r="W168" s="10">
        <f t="shared" si="42"/>
        <v>0</v>
      </c>
      <c r="X168" s="8" t="str">
        <f>IFERROR(W168/W444, "NA")</f>
        <v>NA</v>
      </c>
      <c r="Y168" s="9"/>
      <c r="Z168" s="7">
        <v>0</v>
      </c>
      <c r="AA168" s="8" t="str">
        <f>IFERROR(Z168/Z444, "NA")</f>
        <v>NA</v>
      </c>
      <c r="AB168" s="9"/>
      <c r="AC168" s="10">
        <f t="shared" si="43"/>
        <v>0</v>
      </c>
      <c r="AD168" s="8" t="str">
        <f>IFERROR(AC168/AC444, "NA")</f>
        <v>NA</v>
      </c>
    </row>
    <row r="169" spans="1:30" ht="16.5" hidden="1" customHeight="1" x14ac:dyDescent="0.45">
      <c r="A169" s="6" t="s">
        <v>157</v>
      </c>
      <c r="B169" s="7">
        <v>0</v>
      </c>
      <c r="C169" s="8" t="str">
        <f>IFERROR(B169/B444, "NA")</f>
        <v>NA</v>
      </c>
      <c r="D169" s="9"/>
      <c r="E169" s="7">
        <v>0</v>
      </c>
      <c r="F169" s="8" t="str">
        <f>IFERROR(E169/E444, "NA")</f>
        <v>NA</v>
      </c>
      <c r="G169" s="9"/>
      <c r="H169" s="10">
        <f t="shared" si="40"/>
        <v>0</v>
      </c>
      <c r="I169" s="8" t="str">
        <f>IFERROR(H169/H444, "NA")</f>
        <v>NA</v>
      </c>
      <c r="J169" s="9"/>
      <c r="K169" s="7">
        <v>0</v>
      </c>
      <c r="L169" s="8" t="str">
        <f>IFERROR(K169/K444, "NA")</f>
        <v>NA</v>
      </c>
      <c r="M169" s="9"/>
      <c r="N169" s="10">
        <f t="shared" si="41"/>
        <v>0</v>
      </c>
      <c r="O169" s="8" t="str">
        <f>IFERROR(N169/N444, "NA")</f>
        <v>NA</v>
      </c>
      <c r="P169" s="9"/>
      <c r="Q169" s="7">
        <v>0</v>
      </c>
      <c r="R169" s="8" t="str">
        <f>IFERROR(Q169/Q444, "NA")</f>
        <v>NA</v>
      </c>
      <c r="S169" s="9"/>
      <c r="T169" s="7">
        <v>0</v>
      </c>
      <c r="U169" s="8" t="str">
        <f>IFERROR(T169/T444, "NA")</f>
        <v>NA</v>
      </c>
      <c r="V169" s="9"/>
      <c r="W169" s="10">
        <f t="shared" si="42"/>
        <v>0</v>
      </c>
      <c r="X169" s="8" t="str">
        <f>IFERROR(W169/W444, "NA")</f>
        <v>NA</v>
      </c>
      <c r="Y169" s="9"/>
      <c r="Z169" s="7">
        <v>0</v>
      </c>
      <c r="AA169" s="8" t="str">
        <f>IFERROR(Z169/Z444, "NA")</f>
        <v>NA</v>
      </c>
      <c r="AB169" s="9"/>
      <c r="AC169" s="10">
        <f t="shared" si="43"/>
        <v>0</v>
      </c>
      <c r="AD169" s="8" t="str">
        <f>IFERROR(AC169/AC444, "NA")</f>
        <v>NA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0</v>
      </c>
      <c r="C170" s="15" t="str">
        <f>IFERROR(B170/B444, "NA")</f>
        <v>NA</v>
      </c>
      <c r="D170" s="2"/>
      <c r="E170" s="14">
        <f>IFERROR(E151+E153+E154+E155+E156+E157+E160+E161+E162+E163+E164+E165+E167+E168+E169, "NA")</f>
        <v>0</v>
      </c>
      <c r="F170" s="15" t="str">
        <f>IFERROR(E170/E444, "NA")</f>
        <v>NA</v>
      </c>
      <c r="G170" s="2"/>
      <c r="H170" s="14">
        <f t="shared" si="40"/>
        <v>0</v>
      </c>
      <c r="I170" s="15" t="str">
        <f>IFERROR(H170/H444, "NA")</f>
        <v>NA</v>
      </c>
      <c r="J170" s="2"/>
      <c r="K170" s="14">
        <f>IFERROR(K151+K153+K154+K155+K156+K157+K160+K161+K162+K163+K164+K165+K167+K168+K169, "NA")</f>
        <v>0</v>
      </c>
      <c r="L170" s="15" t="str">
        <f>IFERROR(K170/K444, "NA")</f>
        <v>NA</v>
      </c>
      <c r="M170" s="2"/>
      <c r="N170" s="14">
        <f t="shared" si="41"/>
        <v>0</v>
      </c>
      <c r="O170" s="15" t="str">
        <f>IFERROR(N170/N444, "NA")</f>
        <v>NA</v>
      </c>
      <c r="P170" s="2"/>
      <c r="Q170" s="14">
        <f>IFERROR(Q151+Q153+Q154+Q155+Q156+Q157+Q160+Q161+Q162+Q163+Q164+Q165+Q167+Q168+Q169, "NA")</f>
        <v>0</v>
      </c>
      <c r="R170" s="15" t="str">
        <f>IFERROR(Q170/Q444, "NA")</f>
        <v>NA</v>
      </c>
      <c r="S170" s="2"/>
      <c r="T170" s="14">
        <f>IFERROR(T151+T153+T154+T155+T156+T157+T160+T161+T162+T163+T164+T165+T167+T168+T169, "NA")</f>
        <v>0</v>
      </c>
      <c r="U170" s="15" t="str">
        <f>IFERROR(T170/T444, "NA")</f>
        <v>NA</v>
      </c>
      <c r="V170" s="2"/>
      <c r="W170" s="14">
        <f t="shared" si="42"/>
        <v>0</v>
      </c>
      <c r="X170" s="15" t="str">
        <f>IFERROR(W170/W444, "NA")</f>
        <v>NA</v>
      </c>
      <c r="Y170" s="2"/>
      <c r="Z170" s="14">
        <f>IFERROR(Z151+Z153+Z154+Z155+Z156+Z157+Z160+Z161+Z162+Z163+Z164+Z165+Z167+Z168+Z169, "NA")</f>
        <v>0</v>
      </c>
      <c r="AA170" s="15" t="str">
        <f>IFERROR(Z170/Z444, "NA")</f>
        <v>NA</v>
      </c>
      <c r="AB170" s="2"/>
      <c r="AC170" s="14">
        <f t="shared" si="43"/>
        <v>0</v>
      </c>
      <c r="AD170" s="15" t="str">
        <f>IFERROR(AC170/AC444, "NA")</f>
        <v>NA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0</v>
      </c>
      <c r="C171" s="15" t="str">
        <f>IFERROR(B171/B444, "NA")</f>
        <v>NA</v>
      </c>
      <c r="D171" s="2"/>
      <c r="E171" s="14">
        <f>IFERROR(E127+E129+E130+E131+E132+E133+E134+E135+E136+E137+E138+E139+E140+E143+E144+E145+E146+E147+E151+E153+E154+E155+E156+E157+E160+E161+E162+E163+E164+E165+E167+E168+E169, "NA")</f>
        <v>0</v>
      </c>
      <c r="F171" s="15" t="str">
        <f>IFERROR(E171/E444, "NA")</f>
        <v>NA</v>
      </c>
      <c r="G171" s="2"/>
      <c r="H171" s="14">
        <f t="shared" si="40"/>
        <v>0</v>
      </c>
      <c r="I171" s="15" t="str">
        <f>IFERROR(H171/H444, "NA")</f>
        <v>NA</v>
      </c>
      <c r="J171" s="2"/>
      <c r="K171" s="14">
        <f>IFERROR(K127+K129+K130+K131+K132+K133+K134+K135+K136+K137+K138+K139+K140+K143+K144+K145+K146+K147+K151+K153+K154+K155+K156+K157+K160+K161+K162+K163+K164+K165+K167+K168+K169, "NA")</f>
        <v>0</v>
      </c>
      <c r="L171" s="15" t="str">
        <f>IFERROR(K171/K444, "NA")</f>
        <v>NA</v>
      </c>
      <c r="M171" s="2"/>
      <c r="N171" s="14">
        <f t="shared" si="41"/>
        <v>0</v>
      </c>
      <c r="O171" s="15" t="str">
        <f>IFERROR(N171/N444, "NA")</f>
        <v>NA</v>
      </c>
      <c r="P171" s="2"/>
      <c r="Q171" s="14">
        <f>IFERROR(Q127+Q129+Q130+Q131+Q132+Q133+Q134+Q135+Q136+Q137+Q138+Q139+Q140+Q143+Q144+Q145+Q146+Q147+Q151+Q153+Q154+Q155+Q156+Q157+Q160+Q161+Q162+Q163+Q164+Q165+Q167+Q168+Q169, "NA")</f>
        <v>0</v>
      </c>
      <c r="R171" s="15" t="str">
        <f>IFERROR(Q171/Q444, "NA")</f>
        <v>NA</v>
      </c>
      <c r="S171" s="2"/>
      <c r="T171" s="14">
        <f>IFERROR(T127+T129+T130+T131+T132+T133+T134+T135+T136+T137+T138+T139+T140+T143+T144+T145+T146+T147+T151+T153+T154+T155+T156+T157+T160+T161+T162+T163+T164+T165+T167+T168+T169, "NA")</f>
        <v>0</v>
      </c>
      <c r="U171" s="15" t="str">
        <f>IFERROR(T171/T444, "NA")</f>
        <v>NA</v>
      </c>
      <c r="V171" s="2"/>
      <c r="W171" s="14">
        <f t="shared" si="42"/>
        <v>0</v>
      </c>
      <c r="X171" s="15" t="str">
        <f>IFERROR(W171/W444, "NA")</f>
        <v>NA</v>
      </c>
      <c r="Y171" s="2"/>
      <c r="Z171" s="14">
        <f>IFERROR(Z127+Z129+Z130+Z131+Z132+Z133+Z134+Z135+Z136+Z137+Z138+Z139+Z140+Z143+Z144+Z145+Z146+Z147+Z151+Z153+Z154+Z155+Z156+Z157+Z160+Z161+Z162+Z163+Z164+Z165+Z167+Z168+Z169, "NA")</f>
        <v>0</v>
      </c>
      <c r="AA171" s="15" t="str">
        <f>IFERROR(Z171/Z444, "NA")</f>
        <v>NA</v>
      </c>
      <c r="AB171" s="2"/>
      <c r="AC171" s="14">
        <f t="shared" si="43"/>
        <v>0</v>
      </c>
      <c r="AD171" s="15" t="str">
        <f>IFERROR(AC171/AC444, "NA")</f>
        <v>NA</v>
      </c>
    </row>
    <row r="172" spans="1:30" ht="16.5" customHeight="1" x14ac:dyDescent="0.45">
      <c r="A172" s="22" t="s">
        <v>160</v>
      </c>
      <c r="B172" s="23">
        <f>IFERROR(B124-B171, "NA")</f>
        <v>0</v>
      </c>
      <c r="C172" s="24" t="str">
        <f>IFERROR(B172/B444, "NA")</f>
        <v>NA</v>
      </c>
      <c r="D172" s="25"/>
      <c r="E172" s="23">
        <f>IFERROR(E124-E171, "NA")</f>
        <v>0</v>
      </c>
      <c r="F172" s="24" t="str">
        <f>IFERROR(E172/E444, "NA")</f>
        <v>NA</v>
      </c>
      <c r="G172" s="25"/>
      <c r="H172" s="23">
        <f>IFERROR(B172-E172, "NA")</f>
        <v>0</v>
      </c>
      <c r="I172" s="24" t="str">
        <f>IFERROR(H172/H444, "NA")</f>
        <v>NA</v>
      </c>
      <c r="J172" s="25"/>
      <c r="K172" s="23">
        <f>IFERROR(K124-K171, "NA")</f>
        <v>0</v>
      </c>
      <c r="L172" s="24" t="str">
        <f>IFERROR(K172/K444, "NA")</f>
        <v>NA</v>
      </c>
      <c r="M172" s="25"/>
      <c r="N172" s="23">
        <f>IFERROR(B172-K172, "NA")</f>
        <v>0</v>
      </c>
      <c r="O172" s="24" t="str">
        <f>IFERROR(N172/N444, "NA")</f>
        <v>NA</v>
      </c>
      <c r="P172" s="25"/>
      <c r="Q172" s="23">
        <f>IFERROR(Q124-Q171, "NA")</f>
        <v>0</v>
      </c>
      <c r="R172" s="24" t="str">
        <f>IFERROR(Q172/Q444, "NA")</f>
        <v>NA</v>
      </c>
      <c r="S172" s="25"/>
      <c r="T172" s="23">
        <f>IFERROR(T124-T171, "NA")</f>
        <v>0</v>
      </c>
      <c r="U172" s="24" t="str">
        <f>IFERROR(T172/T444, "NA")</f>
        <v>NA</v>
      </c>
      <c r="V172" s="25"/>
      <c r="W172" s="23">
        <f>IFERROR(Q172-T172, "NA")</f>
        <v>0</v>
      </c>
      <c r="X172" s="24" t="str">
        <f>IFERROR(W172/W444, "NA")</f>
        <v>NA</v>
      </c>
      <c r="Y172" s="25"/>
      <c r="Z172" s="23">
        <f>IFERROR(Z124-Z171, "NA")</f>
        <v>0</v>
      </c>
      <c r="AA172" s="24" t="str">
        <f>IFERROR(Z172/Z444, "NA")</f>
        <v>NA</v>
      </c>
      <c r="AB172" s="25"/>
      <c r="AC172" s="23">
        <f>IFERROR(Q172-Z172, "NA")</f>
        <v>0</v>
      </c>
      <c r="AD172" s="24" t="str">
        <f>IFERROR(AC172/AC444, "NA")</f>
        <v>NA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 t="str">
        <f>IFERROR(B175/B444, "NA")</f>
        <v>NA</v>
      </c>
      <c r="D175" s="9"/>
      <c r="E175" s="7">
        <v>0</v>
      </c>
      <c r="F175" s="8" t="str">
        <f>IFERROR(E175/E444, "NA")</f>
        <v>NA</v>
      </c>
      <c r="G175" s="9"/>
      <c r="H175" s="10">
        <f>IFERROR(-(B175-E175), "NA")</f>
        <v>0</v>
      </c>
      <c r="I175" s="8" t="str">
        <f>IFERROR(H175/H444, "NA")</f>
        <v>NA</v>
      </c>
      <c r="J175" s="9"/>
      <c r="K175" s="7">
        <v>0</v>
      </c>
      <c r="L175" s="8" t="str">
        <f>IFERROR(K175/K444, "NA")</f>
        <v>NA</v>
      </c>
      <c r="M175" s="9"/>
      <c r="N175" s="10">
        <f>IFERROR(-(B175-K175), "NA")</f>
        <v>0</v>
      </c>
      <c r="O175" s="8" t="str">
        <f>IFERROR(N175/N444, "NA")</f>
        <v>NA</v>
      </c>
      <c r="P175" s="9"/>
      <c r="Q175" s="7">
        <v>0</v>
      </c>
      <c r="R175" s="8" t="str">
        <f>IFERROR(Q175/Q444, "NA")</f>
        <v>NA</v>
      </c>
      <c r="S175" s="9"/>
      <c r="T175" s="7">
        <v>0</v>
      </c>
      <c r="U175" s="8" t="str">
        <f>IFERROR(T175/T444, "NA")</f>
        <v>NA</v>
      </c>
      <c r="V175" s="9"/>
      <c r="W175" s="10">
        <f>IFERROR(-(Q175-T175), "NA")</f>
        <v>0</v>
      </c>
      <c r="X175" s="8" t="str">
        <f>IFERROR(W175/W444, "NA")</f>
        <v>NA</v>
      </c>
      <c r="Y175" s="9"/>
      <c r="Z175" s="7">
        <v>0</v>
      </c>
      <c r="AA175" s="8" t="str">
        <f>IFERROR(Z175/Z444, "NA")</f>
        <v>NA</v>
      </c>
      <c r="AB175" s="9"/>
      <c r="AC175" s="10">
        <f>IFERROR(-(Q175-Z175), "NA")</f>
        <v>0</v>
      </c>
      <c r="AD175" s="8" t="str">
        <f>IFERROR(AC175/AC444, "NA")</f>
        <v>NA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 t="str">
        <f>IFERROR(B177/B444, "NA")</f>
        <v>NA</v>
      </c>
      <c r="D177" s="9"/>
      <c r="E177" s="7">
        <v>0</v>
      </c>
      <c r="F177" s="8" t="str">
        <f>IFERROR(E177/E444, "NA")</f>
        <v>NA</v>
      </c>
      <c r="G177" s="9"/>
      <c r="H177" s="10">
        <f t="shared" ref="H177:H184" si="44">IFERROR(-(B177-E177), "NA")</f>
        <v>0</v>
      </c>
      <c r="I177" s="8" t="str">
        <f>IFERROR(H177/H444, "NA")</f>
        <v>NA</v>
      </c>
      <c r="J177" s="9"/>
      <c r="K177" s="7">
        <v>0</v>
      </c>
      <c r="L177" s="8" t="str">
        <f>IFERROR(K177/K444, "NA")</f>
        <v>NA</v>
      </c>
      <c r="M177" s="9"/>
      <c r="N177" s="10">
        <f t="shared" ref="N177:N184" si="45">IFERROR(-(B177-K177), "NA")</f>
        <v>0</v>
      </c>
      <c r="O177" s="8" t="str">
        <f>IFERROR(N177/N444, "NA")</f>
        <v>NA</v>
      </c>
      <c r="P177" s="9"/>
      <c r="Q177" s="7">
        <v>0</v>
      </c>
      <c r="R177" s="8" t="str">
        <f>IFERROR(Q177/Q444, "NA")</f>
        <v>NA</v>
      </c>
      <c r="S177" s="9"/>
      <c r="T177" s="7">
        <v>0</v>
      </c>
      <c r="U177" s="8" t="str">
        <f>IFERROR(T177/T444, "NA")</f>
        <v>NA</v>
      </c>
      <c r="V177" s="9"/>
      <c r="W177" s="10">
        <f t="shared" ref="W177:W184" si="46">IFERROR(-(Q177-T177), "NA")</f>
        <v>0</v>
      </c>
      <c r="X177" s="8" t="str">
        <f>IFERROR(W177/W444, "NA")</f>
        <v>NA</v>
      </c>
      <c r="Y177" s="9"/>
      <c r="Z177" s="7">
        <v>0</v>
      </c>
      <c r="AA177" s="8" t="str">
        <f>IFERROR(Z177/Z444, "NA")</f>
        <v>NA</v>
      </c>
      <c r="AB177" s="9"/>
      <c r="AC177" s="10">
        <f t="shared" ref="AC177:AC184" si="47">IFERROR(-(Q177-Z177), "NA")</f>
        <v>0</v>
      </c>
      <c r="AD177" s="8" t="str">
        <f>IFERROR(AC177/AC444, "NA")</f>
        <v>NA</v>
      </c>
    </row>
    <row r="178" spans="1:30" ht="16.5" hidden="1" customHeight="1" x14ac:dyDescent="0.45">
      <c r="A178" s="12" t="s">
        <v>163</v>
      </c>
      <c r="B178" s="7">
        <v>0</v>
      </c>
      <c r="C178" s="8" t="str">
        <f>IFERROR(B178/B444, "NA")</f>
        <v>NA</v>
      </c>
      <c r="D178" s="9"/>
      <c r="E178" s="7">
        <v>0</v>
      </c>
      <c r="F178" s="8" t="str">
        <f>IFERROR(E178/E444, "NA")</f>
        <v>NA</v>
      </c>
      <c r="G178" s="9"/>
      <c r="H178" s="10">
        <f t="shared" si="44"/>
        <v>0</v>
      </c>
      <c r="I178" s="8" t="str">
        <f>IFERROR(H178/H444, "NA")</f>
        <v>NA</v>
      </c>
      <c r="J178" s="9"/>
      <c r="K178" s="7">
        <v>0</v>
      </c>
      <c r="L178" s="8" t="str">
        <f>IFERROR(K178/K444, "NA")</f>
        <v>NA</v>
      </c>
      <c r="M178" s="9"/>
      <c r="N178" s="10">
        <f t="shared" si="45"/>
        <v>0</v>
      </c>
      <c r="O178" s="8" t="str">
        <f>IFERROR(N178/N444, "NA")</f>
        <v>NA</v>
      </c>
      <c r="P178" s="9"/>
      <c r="Q178" s="7">
        <v>0</v>
      </c>
      <c r="R178" s="8" t="str">
        <f>IFERROR(Q178/Q444, "NA")</f>
        <v>NA</v>
      </c>
      <c r="S178" s="9"/>
      <c r="T178" s="7">
        <v>0</v>
      </c>
      <c r="U178" s="8" t="str">
        <f>IFERROR(T178/T444, "NA")</f>
        <v>NA</v>
      </c>
      <c r="V178" s="9"/>
      <c r="W178" s="10">
        <f t="shared" si="46"/>
        <v>0</v>
      </c>
      <c r="X178" s="8" t="str">
        <f>IFERROR(W178/W444, "NA")</f>
        <v>NA</v>
      </c>
      <c r="Y178" s="9"/>
      <c r="Z178" s="7">
        <v>0</v>
      </c>
      <c r="AA178" s="8" t="str">
        <f>IFERROR(Z178/Z444, "NA")</f>
        <v>NA</v>
      </c>
      <c r="AB178" s="9"/>
      <c r="AC178" s="10">
        <f t="shared" si="47"/>
        <v>0</v>
      </c>
      <c r="AD178" s="8" t="str">
        <f>IFERROR(AC178/AC444, "NA")</f>
        <v>NA</v>
      </c>
    </row>
    <row r="179" spans="1:30" ht="16.5" hidden="1" customHeight="1" x14ac:dyDescent="0.45">
      <c r="A179" s="12" t="s">
        <v>164</v>
      </c>
      <c r="B179" s="7">
        <v>0</v>
      </c>
      <c r="C179" s="8" t="str">
        <f>IFERROR(B179/B444, "NA")</f>
        <v>NA</v>
      </c>
      <c r="D179" s="9"/>
      <c r="E179" s="7">
        <v>0</v>
      </c>
      <c r="F179" s="8" t="str">
        <f>IFERROR(E179/E444, "NA")</f>
        <v>NA</v>
      </c>
      <c r="G179" s="9"/>
      <c r="H179" s="10">
        <f t="shared" si="44"/>
        <v>0</v>
      </c>
      <c r="I179" s="8" t="str">
        <f>IFERROR(H179/H444, "NA")</f>
        <v>NA</v>
      </c>
      <c r="J179" s="9"/>
      <c r="K179" s="7">
        <v>0</v>
      </c>
      <c r="L179" s="8" t="str">
        <f>IFERROR(K179/K444, "NA")</f>
        <v>NA</v>
      </c>
      <c r="M179" s="9"/>
      <c r="N179" s="10">
        <f t="shared" si="45"/>
        <v>0</v>
      </c>
      <c r="O179" s="8" t="str">
        <f>IFERROR(N179/N444, "NA")</f>
        <v>NA</v>
      </c>
      <c r="P179" s="9"/>
      <c r="Q179" s="7">
        <v>0</v>
      </c>
      <c r="R179" s="8" t="str">
        <f>IFERROR(Q179/Q444, "NA")</f>
        <v>NA</v>
      </c>
      <c r="S179" s="9"/>
      <c r="T179" s="7">
        <v>0</v>
      </c>
      <c r="U179" s="8" t="str">
        <f>IFERROR(T179/T444, "NA")</f>
        <v>NA</v>
      </c>
      <c r="V179" s="9"/>
      <c r="W179" s="10">
        <f t="shared" si="46"/>
        <v>0</v>
      </c>
      <c r="X179" s="8" t="str">
        <f>IFERROR(W179/W444, "NA")</f>
        <v>NA</v>
      </c>
      <c r="Y179" s="9"/>
      <c r="Z179" s="7">
        <v>0</v>
      </c>
      <c r="AA179" s="8" t="str">
        <f>IFERROR(Z179/Z444, "NA")</f>
        <v>NA</v>
      </c>
      <c r="AB179" s="9"/>
      <c r="AC179" s="10">
        <f t="shared" si="47"/>
        <v>0</v>
      </c>
      <c r="AD179" s="8" t="str">
        <f>IFERROR(AC179/AC444, "NA")</f>
        <v>NA</v>
      </c>
    </row>
    <row r="180" spans="1:30" ht="16.5" hidden="1" customHeight="1" x14ac:dyDescent="0.45">
      <c r="A180" s="12" t="s">
        <v>165</v>
      </c>
      <c r="B180" s="7">
        <v>0</v>
      </c>
      <c r="C180" s="8" t="str">
        <f>IFERROR(B180/B444, "NA")</f>
        <v>NA</v>
      </c>
      <c r="D180" s="9"/>
      <c r="E180" s="7">
        <v>0</v>
      </c>
      <c r="F180" s="8" t="str">
        <f>IFERROR(E180/E444, "NA")</f>
        <v>NA</v>
      </c>
      <c r="G180" s="9"/>
      <c r="H180" s="10">
        <f t="shared" si="44"/>
        <v>0</v>
      </c>
      <c r="I180" s="8" t="str">
        <f>IFERROR(H180/H444, "NA")</f>
        <v>NA</v>
      </c>
      <c r="J180" s="9"/>
      <c r="K180" s="7">
        <v>0</v>
      </c>
      <c r="L180" s="8" t="str">
        <f>IFERROR(K180/K444, "NA")</f>
        <v>NA</v>
      </c>
      <c r="M180" s="9"/>
      <c r="N180" s="10">
        <f t="shared" si="45"/>
        <v>0</v>
      </c>
      <c r="O180" s="8" t="str">
        <f>IFERROR(N180/N444, "NA")</f>
        <v>NA</v>
      </c>
      <c r="P180" s="9"/>
      <c r="Q180" s="7">
        <v>0</v>
      </c>
      <c r="R180" s="8" t="str">
        <f>IFERROR(Q180/Q444, "NA")</f>
        <v>NA</v>
      </c>
      <c r="S180" s="9"/>
      <c r="T180" s="7">
        <v>0</v>
      </c>
      <c r="U180" s="8" t="str">
        <f>IFERROR(T180/T444, "NA")</f>
        <v>NA</v>
      </c>
      <c r="V180" s="9"/>
      <c r="W180" s="10">
        <f t="shared" si="46"/>
        <v>0</v>
      </c>
      <c r="X180" s="8" t="str">
        <f>IFERROR(W180/W444, "NA")</f>
        <v>NA</v>
      </c>
      <c r="Y180" s="9"/>
      <c r="Z180" s="7">
        <v>0</v>
      </c>
      <c r="AA180" s="8" t="str">
        <f>IFERROR(Z180/Z444, "NA")</f>
        <v>NA</v>
      </c>
      <c r="AB180" s="9"/>
      <c r="AC180" s="10">
        <f t="shared" si="47"/>
        <v>0</v>
      </c>
      <c r="AD180" s="8" t="str">
        <f>IFERROR(AC180/AC444, "NA")</f>
        <v>NA</v>
      </c>
    </row>
    <row r="181" spans="1:30" ht="16.5" hidden="1" customHeight="1" x14ac:dyDescent="0.45">
      <c r="A181" s="12" t="s">
        <v>166</v>
      </c>
      <c r="B181" s="7">
        <v>0</v>
      </c>
      <c r="C181" s="8" t="str">
        <f>IFERROR(B181/B444, "NA")</f>
        <v>NA</v>
      </c>
      <c r="D181" s="9"/>
      <c r="E181" s="7">
        <v>0</v>
      </c>
      <c r="F181" s="8" t="str">
        <f>IFERROR(E181/E444, "NA")</f>
        <v>NA</v>
      </c>
      <c r="G181" s="9"/>
      <c r="H181" s="10">
        <f t="shared" si="44"/>
        <v>0</v>
      </c>
      <c r="I181" s="8" t="str">
        <f>IFERROR(H181/H444, "NA")</f>
        <v>NA</v>
      </c>
      <c r="J181" s="9"/>
      <c r="K181" s="7">
        <v>0</v>
      </c>
      <c r="L181" s="8" t="str">
        <f>IFERROR(K181/K444, "NA")</f>
        <v>NA</v>
      </c>
      <c r="M181" s="9"/>
      <c r="N181" s="10">
        <f t="shared" si="45"/>
        <v>0</v>
      </c>
      <c r="O181" s="8" t="str">
        <f>IFERROR(N181/N444, "NA")</f>
        <v>NA</v>
      </c>
      <c r="P181" s="9"/>
      <c r="Q181" s="7">
        <v>0</v>
      </c>
      <c r="R181" s="8" t="str">
        <f>IFERROR(Q181/Q444, "NA")</f>
        <v>NA</v>
      </c>
      <c r="S181" s="9"/>
      <c r="T181" s="7">
        <v>0</v>
      </c>
      <c r="U181" s="8" t="str">
        <f>IFERROR(T181/T444, "NA")</f>
        <v>NA</v>
      </c>
      <c r="V181" s="9"/>
      <c r="W181" s="10">
        <f t="shared" si="46"/>
        <v>0</v>
      </c>
      <c r="X181" s="8" t="str">
        <f>IFERROR(W181/W444, "NA")</f>
        <v>NA</v>
      </c>
      <c r="Y181" s="9"/>
      <c r="Z181" s="7">
        <v>0</v>
      </c>
      <c r="AA181" s="8" t="str">
        <f>IFERROR(Z181/Z444, "NA")</f>
        <v>NA</v>
      </c>
      <c r="AB181" s="9"/>
      <c r="AC181" s="10">
        <f t="shared" si="47"/>
        <v>0</v>
      </c>
      <c r="AD181" s="8" t="str">
        <f>IFERROR(AC181/AC444, "NA")</f>
        <v>NA</v>
      </c>
    </row>
    <row r="182" spans="1:30" ht="16.5" customHeight="1" x14ac:dyDescent="0.45">
      <c r="A182" s="13" t="s">
        <v>167</v>
      </c>
      <c r="B182" s="14">
        <f>IFERROR(B177+B178+B179+B180+B181, "NA")</f>
        <v>0</v>
      </c>
      <c r="C182" s="15" t="str">
        <f>IFERROR(B182/B444, "NA")</f>
        <v>NA</v>
      </c>
      <c r="D182" s="2"/>
      <c r="E182" s="14">
        <f>IFERROR(E177+E178+E179+E180+E181, "NA")</f>
        <v>0</v>
      </c>
      <c r="F182" s="15" t="str">
        <f>IFERROR(E182/E444, "NA")</f>
        <v>NA</v>
      </c>
      <c r="G182" s="2"/>
      <c r="H182" s="14">
        <f t="shared" si="44"/>
        <v>0</v>
      </c>
      <c r="I182" s="15" t="str">
        <f>IFERROR(H182/H444, "NA")</f>
        <v>NA</v>
      </c>
      <c r="J182" s="2"/>
      <c r="K182" s="14">
        <f>IFERROR(K177+K178+K179+K180+K181, "NA")</f>
        <v>0</v>
      </c>
      <c r="L182" s="15" t="str">
        <f>IFERROR(K182/K444, "NA")</f>
        <v>NA</v>
      </c>
      <c r="M182" s="2"/>
      <c r="N182" s="14">
        <f t="shared" si="45"/>
        <v>0</v>
      </c>
      <c r="O182" s="15" t="str">
        <f>IFERROR(N182/N444, "NA")</f>
        <v>NA</v>
      </c>
      <c r="P182" s="2"/>
      <c r="Q182" s="14">
        <f>IFERROR(Q177+Q178+Q179+Q180+Q181, "NA")</f>
        <v>0</v>
      </c>
      <c r="R182" s="15" t="str">
        <f>IFERROR(Q182/Q444, "NA")</f>
        <v>NA</v>
      </c>
      <c r="S182" s="2"/>
      <c r="T182" s="14">
        <f>IFERROR(T177+T178+T179+T180+T181, "NA")</f>
        <v>0</v>
      </c>
      <c r="U182" s="15" t="str">
        <f>IFERROR(T182/T444, "NA")</f>
        <v>NA</v>
      </c>
      <c r="V182" s="2"/>
      <c r="W182" s="14">
        <f t="shared" si="46"/>
        <v>0</v>
      </c>
      <c r="X182" s="15" t="str">
        <f>IFERROR(W182/W444, "NA")</f>
        <v>NA</v>
      </c>
      <c r="Y182" s="2"/>
      <c r="Z182" s="14">
        <f>IFERROR(Z177+Z178+Z179+Z180+Z181, "NA")</f>
        <v>0</v>
      </c>
      <c r="AA182" s="15" t="str">
        <f>IFERROR(Z182/Z444, "NA")</f>
        <v>NA</v>
      </c>
      <c r="AB182" s="2"/>
      <c r="AC182" s="14">
        <f t="shared" si="47"/>
        <v>0</v>
      </c>
      <c r="AD182" s="15" t="str">
        <f>IFERROR(AC182/AC444, "NA")</f>
        <v>NA</v>
      </c>
    </row>
    <row r="183" spans="1:30" ht="16.5" hidden="1" customHeight="1" x14ac:dyDescent="0.45">
      <c r="A183" s="6" t="s">
        <v>168</v>
      </c>
      <c r="B183" s="7">
        <v>0</v>
      </c>
      <c r="C183" s="8" t="str">
        <f>IFERROR(B183/B444, "NA")</f>
        <v>NA</v>
      </c>
      <c r="D183" s="9"/>
      <c r="E183" s="7">
        <v>0</v>
      </c>
      <c r="F183" s="8" t="str">
        <f>IFERROR(E183/E444, "NA")</f>
        <v>NA</v>
      </c>
      <c r="G183" s="9"/>
      <c r="H183" s="10">
        <f t="shared" si="44"/>
        <v>0</v>
      </c>
      <c r="I183" s="8" t="str">
        <f>IFERROR(H183/H444, "NA")</f>
        <v>NA</v>
      </c>
      <c r="J183" s="9"/>
      <c r="K183" s="7">
        <v>0</v>
      </c>
      <c r="L183" s="8" t="str">
        <f>IFERROR(K183/K444, "NA")</f>
        <v>NA</v>
      </c>
      <c r="M183" s="9"/>
      <c r="N183" s="10">
        <f t="shared" si="45"/>
        <v>0</v>
      </c>
      <c r="O183" s="8" t="str">
        <f>IFERROR(N183/N444, "NA")</f>
        <v>NA</v>
      </c>
      <c r="P183" s="9"/>
      <c r="Q183" s="7">
        <v>0</v>
      </c>
      <c r="R183" s="8" t="str">
        <f>IFERROR(Q183/Q444, "NA")</f>
        <v>NA</v>
      </c>
      <c r="S183" s="9"/>
      <c r="T183" s="7">
        <v>0</v>
      </c>
      <c r="U183" s="8" t="str">
        <f>IFERROR(T183/T444, "NA")</f>
        <v>NA</v>
      </c>
      <c r="V183" s="9"/>
      <c r="W183" s="10">
        <f t="shared" si="46"/>
        <v>0</v>
      </c>
      <c r="X183" s="8" t="str">
        <f>IFERROR(W183/W444, "NA")</f>
        <v>NA</v>
      </c>
      <c r="Y183" s="9"/>
      <c r="Z183" s="7">
        <v>0</v>
      </c>
      <c r="AA183" s="8" t="str">
        <f>IFERROR(Z183/Z444, "NA")</f>
        <v>NA</v>
      </c>
      <c r="AB183" s="9"/>
      <c r="AC183" s="10">
        <f t="shared" si="47"/>
        <v>0</v>
      </c>
      <c r="AD183" s="8" t="str">
        <f>IFERROR(AC183/AC444, "NA")</f>
        <v>NA</v>
      </c>
    </row>
    <row r="184" spans="1:30" ht="16.5" hidden="1" customHeight="1" x14ac:dyDescent="0.45">
      <c r="A184" s="6" t="s">
        <v>169</v>
      </c>
      <c r="B184" s="7">
        <v>0</v>
      </c>
      <c r="C184" s="8" t="str">
        <f>IFERROR(B184/B444, "NA")</f>
        <v>NA</v>
      </c>
      <c r="D184" s="9"/>
      <c r="E184" s="7">
        <v>0</v>
      </c>
      <c r="F184" s="8" t="str">
        <f>IFERROR(E184/E444, "NA")</f>
        <v>NA</v>
      </c>
      <c r="G184" s="9"/>
      <c r="H184" s="10">
        <f t="shared" si="44"/>
        <v>0</v>
      </c>
      <c r="I184" s="8" t="str">
        <f>IFERROR(H184/H444, "NA")</f>
        <v>NA</v>
      </c>
      <c r="J184" s="9"/>
      <c r="K184" s="7">
        <v>0</v>
      </c>
      <c r="L184" s="8" t="str">
        <f>IFERROR(K184/K444, "NA")</f>
        <v>NA</v>
      </c>
      <c r="M184" s="9"/>
      <c r="N184" s="10">
        <f t="shared" si="45"/>
        <v>0</v>
      </c>
      <c r="O184" s="8" t="str">
        <f>IFERROR(N184/N444, "NA")</f>
        <v>NA</v>
      </c>
      <c r="P184" s="9"/>
      <c r="Q184" s="7">
        <v>0</v>
      </c>
      <c r="R184" s="8" t="str">
        <f>IFERROR(Q184/Q444, "NA")</f>
        <v>NA</v>
      </c>
      <c r="S184" s="9"/>
      <c r="T184" s="7">
        <v>0</v>
      </c>
      <c r="U184" s="8" t="str">
        <f>IFERROR(T184/T444, "NA")</f>
        <v>NA</v>
      </c>
      <c r="V184" s="9"/>
      <c r="W184" s="10">
        <f t="shared" si="46"/>
        <v>0</v>
      </c>
      <c r="X184" s="8" t="str">
        <f>IFERROR(W184/W444, "NA")</f>
        <v>NA</v>
      </c>
      <c r="Y184" s="9"/>
      <c r="Z184" s="7">
        <v>0</v>
      </c>
      <c r="AA184" s="8" t="str">
        <f>IFERROR(Z184/Z444, "NA")</f>
        <v>NA</v>
      </c>
      <c r="AB184" s="9"/>
      <c r="AC184" s="10">
        <f t="shared" si="47"/>
        <v>0</v>
      </c>
      <c r="AD184" s="8" t="str">
        <f>IFERROR(AC184/AC444, "NA")</f>
        <v>NA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hidden="1" customHeight="1" x14ac:dyDescent="0.45">
      <c r="A186" s="12" t="s">
        <v>170</v>
      </c>
      <c r="B186" s="7">
        <v>0</v>
      </c>
      <c r="C186" s="8" t="str">
        <f>IFERROR(B186/B444, "NA")</f>
        <v>NA</v>
      </c>
      <c r="D186" s="9"/>
      <c r="E186" s="7">
        <v>0</v>
      </c>
      <c r="F186" s="8" t="str">
        <f>IFERROR(E186/E444, "NA")</f>
        <v>NA</v>
      </c>
      <c r="G186" s="9"/>
      <c r="H186" s="10">
        <f t="shared" ref="H186:H197" si="48">IFERROR(-(B186-E186), "NA")</f>
        <v>0</v>
      </c>
      <c r="I186" s="8" t="str">
        <f>IFERROR(H186/H444, "NA")</f>
        <v>NA</v>
      </c>
      <c r="J186" s="9"/>
      <c r="K186" s="7">
        <v>0</v>
      </c>
      <c r="L186" s="8" t="str">
        <f>IFERROR(K186/K444, "NA")</f>
        <v>NA</v>
      </c>
      <c r="M186" s="9"/>
      <c r="N186" s="10">
        <f t="shared" ref="N186:N197" si="49">IFERROR(-(B186-K186), "NA")</f>
        <v>0</v>
      </c>
      <c r="O186" s="8" t="str">
        <f>IFERROR(N186/N444, "NA")</f>
        <v>NA</v>
      </c>
      <c r="P186" s="9"/>
      <c r="Q186" s="7">
        <v>0</v>
      </c>
      <c r="R186" s="8" t="str">
        <f>IFERROR(Q186/Q444, "NA")</f>
        <v>NA</v>
      </c>
      <c r="S186" s="9"/>
      <c r="T186" s="7">
        <v>0</v>
      </c>
      <c r="U186" s="8" t="str">
        <f>IFERROR(T186/T444, "NA")</f>
        <v>NA</v>
      </c>
      <c r="V186" s="9"/>
      <c r="W186" s="10">
        <f t="shared" ref="W186:W197" si="50">IFERROR(-(Q186-T186), "NA")</f>
        <v>0</v>
      </c>
      <c r="X186" s="8" t="str">
        <f>IFERROR(W186/W444, "NA")</f>
        <v>NA</v>
      </c>
      <c r="Y186" s="9"/>
      <c r="Z186" s="7">
        <v>0</v>
      </c>
      <c r="AA186" s="8" t="str">
        <f>IFERROR(Z186/Z444, "NA")</f>
        <v>NA</v>
      </c>
      <c r="AB186" s="9"/>
      <c r="AC186" s="10">
        <f t="shared" ref="AC186:AC197" si="51">IFERROR(-(Q186-Z186), "NA")</f>
        <v>0</v>
      </c>
      <c r="AD186" s="8" t="str">
        <f>IFERROR(AC186/AC444, "NA")</f>
        <v>NA</v>
      </c>
    </row>
    <row r="187" spans="1:30" ht="16.5" hidden="1" customHeight="1" x14ac:dyDescent="0.45">
      <c r="A187" s="12" t="s">
        <v>171</v>
      </c>
      <c r="B187" s="7">
        <v>0</v>
      </c>
      <c r="C187" s="8" t="str">
        <f>IFERROR(B187/B444, "NA")</f>
        <v>NA</v>
      </c>
      <c r="D187" s="9"/>
      <c r="E187" s="7">
        <v>0</v>
      </c>
      <c r="F187" s="8" t="str">
        <f>IFERROR(E187/E444, "NA")</f>
        <v>NA</v>
      </c>
      <c r="G187" s="9"/>
      <c r="H187" s="10">
        <f t="shared" si="48"/>
        <v>0</v>
      </c>
      <c r="I187" s="8" t="str">
        <f>IFERROR(H187/H444, "NA")</f>
        <v>NA</v>
      </c>
      <c r="J187" s="9"/>
      <c r="K187" s="7">
        <v>0</v>
      </c>
      <c r="L187" s="8" t="str">
        <f>IFERROR(K187/K444, "NA")</f>
        <v>NA</v>
      </c>
      <c r="M187" s="9"/>
      <c r="N187" s="10">
        <f t="shared" si="49"/>
        <v>0</v>
      </c>
      <c r="O187" s="8" t="str">
        <f>IFERROR(N187/N444, "NA")</f>
        <v>NA</v>
      </c>
      <c r="P187" s="9"/>
      <c r="Q187" s="7">
        <v>0</v>
      </c>
      <c r="R187" s="8" t="str">
        <f>IFERROR(Q187/Q444, "NA")</f>
        <v>NA</v>
      </c>
      <c r="S187" s="9"/>
      <c r="T187" s="7">
        <v>0</v>
      </c>
      <c r="U187" s="8" t="str">
        <f>IFERROR(T187/T444, "NA")</f>
        <v>NA</v>
      </c>
      <c r="V187" s="9"/>
      <c r="W187" s="10">
        <f t="shared" si="50"/>
        <v>0</v>
      </c>
      <c r="X187" s="8" t="str">
        <f>IFERROR(W187/W444, "NA")</f>
        <v>NA</v>
      </c>
      <c r="Y187" s="9"/>
      <c r="Z187" s="7">
        <v>0</v>
      </c>
      <c r="AA187" s="8" t="str">
        <f>IFERROR(Z187/Z444, "NA")</f>
        <v>NA</v>
      </c>
      <c r="AB187" s="9"/>
      <c r="AC187" s="10">
        <f t="shared" si="51"/>
        <v>0</v>
      </c>
      <c r="AD187" s="8" t="str">
        <f>IFERROR(AC187/AC444, "NA")</f>
        <v>NA</v>
      </c>
    </row>
    <row r="188" spans="1:30" ht="16.5" hidden="1" customHeight="1" x14ac:dyDescent="0.45">
      <c r="A188" s="12" t="s">
        <v>172</v>
      </c>
      <c r="B188" s="7">
        <v>0</v>
      </c>
      <c r="C188" s="8" t="str">
        <f>IFERROR(B188/B444, "NA")</f>
        <v>NA</v>
      </c>
      <c r="D188" s="9"/>
      <c r="E188" s="7">
        <v>0</v>
      </c>
      <c r="F188" s="8" t="str">
        <f>IFERROR(E188/E444, "NA")</f>
        <v>NA</v>
      </c>
      <c r="G188" s="9"/>
      <c r="H188" s="10">
        <f t="shared" si="48"/>
        <v>0</v>
      </c>
      <c r="I188" s="8" t="str">
        <f>IFERROR(H188/H444, "NA")</f>
        <v>NA</v>
      </c>
      <c r="J188" s="9"/>
      <c r="K188" s="7">
        <v>0</v>
      </c>
      <c r="L188" s="8" t="str">
        <f>IFERROR(K188/K444, "NA")</f>
        <v>NA</v>
      </c>
      <c r="M188" s="9"/>
      <c r="N188" s="10">
        <f t="shared" si="49"/>
        <v>0</v>
      </c>
      <c r="O188" s="8" t="str">
        <f>IFERROR(N188/N444, "NA")</f>
        <v>NA</v>
      </c>
      <c r="P188" s="9"/>
      <c r="Q188" s="7">
        <v>0</v>
      </c>
      <c r="R188" s="8" t="str">
        <f>IFERROR(Q188/Q444, "NA")</f>
        <v>NA</v>
      </c>
      <c r="S188" s="9"/>
      <c r="T188" s="7">
        <v>0</v>
      </c>
      <c r="U188" s="8" t="str">
        <f>IFERROR(T188/T444, "NA")</f>
        <v>NA</v>
      </c>
      <c r="V188" s="9"/>
      <c r="W188" s="10">
        <f t="shared" si="50"/>
        <v>0</v>
      </c>
      <c r="X188" s="8" t="str">
        <f>IFERROR(W188/W444, "NA")</f>
        <v>NA</v>
      </c>
      <c r="Y188" s="9"/>
      <c r="Z188" s="7">
        <v>0</v>
      </c>
      <c r="AA188" s="8" t="str">
        <f>IFERROR(Z188/Z444, "NA")</f>
        <v>NA</v>
      </c>
      <c r="AB188" s="9"/>
      <c r="AC188" s="10">
        <f t="shared" si="51"/>
        <v>0</v>
      </c>
      <c r="AD188" s="8" t="str">
        <f>IFERROR(AC188/AC444, "NA")</f>
        <v>NA</v>
      </c>
    </row>
    <row r="189" spans="1:30" ht="16.5" hidden="1" customHeight="1" x14ac:dyDescent="0.45">
      <c r="A189" s="12" t="s">
        <v>173</v>
      </c>
      <c r="B189" s="7">
        <v>0</v>
      </c>
      <c r="C189" s="8" t="str">
        <f>IFERROR(B189/B444, "NA")</f>
        <v>NA</v>
      </c>
      <c r="D189" s="9"/>
      <c r="E189" s="7">
        <v>0</v>
      </c>
      <c r="F189" s="8" t="str">
        <f>IFERROR(E189/E444, "NA")</f>
        <v>NA</v>
      </c>
      <c r="G189" s="9"/>
      <c r="H189" s="10">
        <f t="shared" si="48"/>
        <v>0</v>
      </c>
      <c r="I189" s="8" t="str">
        <f>IFERROR(H189/H444, "NA")</f>
        <v>NA</v>
      </c>
      <c r="J189" s="9"/>
      <c r="K189" s="7">
        <v>0</v>
      </c>
      <c r="L189" s="8" t="str">
        <f>IFERROR(K189/K444, "NA")</f>
        <v>NA</v>
      </c>
      <c r="M189" s="9"/>
      <c r="N189" s="10">
        <f t="shared" si="49"/>
        <v>0</v>
      </c>
      <c r="O189" s="8" t="str">
        <f>IFERROR(N189/N444, "NA")</f>
        <v>NA</v>
      </c>
      <c r="P189" s="9"/>
      <c r="Q189" s="7">
        <v>0</v>
      </c>
      <c r="R189" s="8" t="str">
        <f>IFERROR(Q189/Q444, "NA")</f>
        <v>NA</v>
      </c>
      <c r="S189" s="9"/>
      <c r="T189" s="7">
        <v>0</v>
      </c>
      <c r="U189" s="8" t="str">
        <f>IFERROR(T189/T444, "NA")</f>
        <v>NA</v>
      </c>
      <c r="V189" s="9"/>
      <c r="W189" s="10">
        <f t="shared" si="50"/>
        <v>0</v>
      </c>
      <c r="X189" s="8" t="str">
        <f>IFERROR(W189/W444, "NA")</f>
        <v>NA</v>
      </c>
      <c r="Y189" s="9"/>
      <c r="Z189" s="7">
        <v>0</v>
      </c>
      <c r="AA189" s="8" t="str">
        <f>IFERROR(Z189/Z444, "NA")</f>
        <v>NA</v>
      </c>
      <c r="AB189" s="9"/>
      <c r="AC189" s="10">
        <f t="shared" si="51"/>
        <v>0</v>
      </c>
      <c r="AD189" s="8" t="str">
        <f>IFERROR(AC189/AC444, "NA")</f>
        <v>NA</v>
      </c>
    </row>
    <row r="190" spans="1:30" ht="16.5" hidden="1" customHeight="1" x14ac:dyDescent="0.45">
      <c r="A190" s="12" t="s">
        <v>174</v>
      </c>
      <c r="B190" s="7">
        <v>0</v>
      </c>
      <c r="C190" s="8" t="str">
        <f>IFERROR(B190/B444, "NA")</f>
        <v>NA</v>
      </c>
      <c r="D190" s="9"/>
      <c r="E190" s="7">
        <v>0</v>
      </c>
      <c r="F190" s="8" t="str">
        <f>IFERROR(E190/E444, "NA")</f>
        <v>NA</v>
      </c>
      <c r="G190" s="9"/>
      <c r="H190" s="10">
        <f t="shared" si="48"/>
        <v>0</v>
      </c>
      <c r="I190" s="8" t="str">
        <f>IFERROR(H190/H444, "NA")</f>
        <v>NA</v>
      </c>
      <c r="J190" s="9"/>
      <c r="K190" s="7">
        <v>0</v>
      </c>
      <c r="L190" s="8" t="str">
        <f>IFERROR(K190/K444, "NA")</f>
        <v>NA</v>
      </c>
      <c r="M190" s="9"/>
      <c r="N190" s="10">
        <f t="shared" si="49"/>
        <v>0</v>
      </c>
      <c r="O190" s="8" t="str">
        <f>IFERROR(N190/N444, "NA")</f>
        <v>NA</v>
      </c>
      <c r="P190" s="9"/>
      <c r="Q190" s="7">
        <v>0</v>
      </c>
      <c r="R190" s="8" t="str">
        <f>IFERROR(Q190/Q444, "NA")</f>
        <v>NA</v>
      </c>
      <c r="S190" s="9"/>
      <c r="T190" s="7">
        <v>0</v>
      </c>
      <c r="U190" s="8" t="str">
        <f>IFERROR(T190/T444, "NA")</f>
        <v>NA</v>
      </c>
      <c r="V190" s="9"/>
      <c r="W190" s="10">
        <f t="shared" si="50"/>
        <v>0</v>
      </c>
      <c r="X190" s="8" t="str">
        <f>IFERROR(W190/W444, "NA")</f>
        <v>NA</v>
      </c>
      <c r="Y190" s="9"/>
      <c r="Z190" s="7">
        <v>0</v>
      </c>
      <c r="AA190" s="8" t="str">
        <f>IFERROR(Z190/Z444, "NA")</f>
        <v>NA</v>
      </c>
      <c r="AB190" s="9"/>
      <c r="AC190" s="10">
        <f t="shared" si="51"/>
        <v>0</v>
      </c>
      <c r="AD190" s="8" t="str">
        <f>IFERROR(AC190/AC444, "NA")</f>
        <v>NA</v>
      </c>
    </row>
    <row r="191" spans="1:30" ht="16.5" hidden="1" customHeight="1" x14ac:dyDescent="0.45">
      <c r="A191" s="12" t="s">
        <v>175</v>
      </c>
      <c r="B191" s="7">
        <v>0</v>
      </c>
      <c r="C191" s="8" t="str">
        <f>IFERROR(B191/B444, "NA")</f>
        <v>NA</v>
      </c>
      <c r="D191" s="9"/>
      <c r="E191" s="7">
        <v>0</v>
      </c>
      <c r="F191" s="8" t="str">
        <f>IFERROR(E191/E444, "NA")</f>
        <v>NA</v>
      </c>
      <c r="G191" s="9"/>
      <c r="H191" s="10">
        <f t="shared" si="48"/>
        <v>0</v>
      </c>
      <c r="I191" s="8" t="str">
        <f>IFERROR(H191/H444, "NA")</f>
        <v>NA</v>
      </c>
      <c r="J191" s="9"/>
      <c r="K191" s="7">
        <v>0</v>
      </c>
      <c r="L191" s="8" t="str">
        <f>IFERROR(K191/K444, "NA")</f>
        <v>NA</v>
      </c>
      <c r="M191" s="9"/>
      <c r="N191" s="10">
        <f t="shared" si="49"/>
        <v>0</v>
      </c>
      <c r="O191" s="8" t="str">
        <f>IFERROR(N191/N444, "NA")</f>
        <v>NA</v>
      </c>
      <c r="P191" s="9"/>
      <c r="Q191" s="7">
        <v>0</v>
      </c>
      <c r="R191" s="8" t="str">
        <f>IFERROR(Q191/Q444, "NA")</f>
        <v>NA</v>
      </c>
      <c r="S191" s="9"/>
      <c r="T191" s="7">
        <v>0</v>
      </c>
      <c r="U191" s="8" t="str">
        <f>IFERROR(T191/T444, "NA")</f>
        <v>NA</v>
      </c>
      <c r="V191" s="9"/>
      <c r="W191" s="10">
        <f t="shared" si="50"/>
        <v>0</v>
      </c>
      <c r="X191" s="8" t="str">
        <f>IFERROR(W191/W444, "NA")</f>
        <v>NA</v>
      </c>
      <c r="Y191" s="9"/>
      <c r="Z191" s="7">
        <v>0</v>
      </c>
      <c r="AA191" s="8" t="str">
        <f>IFERROR(Z191/Z444, "NA")</f>
        <v>NA</v>
      </c>
      <c r="AB191" s="9"/>
      <c r="AC191" s="10">
        <f t="shared" si="51"/>
        <v>0</v>
      </c>
      <c r="AD191" s="8" t="str">
        <f>IFERROR(AC191/AC444, "NA")</f>
        <v>NA</v>
      </c>
    </row>
    <row r="192" spans="1:30" ht="16.5" hidden="1" customHeight="1" x14ac:dyDescent="0.45">
      <c r="A192" s="12" t="s">
        <v>176</v>
      </c>
      <c r="B192" s="7">
        <v>0</v>
      </c>
      <c r="C192" s="8" t="str">
        <f>IFERROR(B192/B444, "NA")</f>
        <v>NA</v>
      </c>
      <c r="D192" s="9"/>
      <c r="E192" s="7">
        <v>0</v>
      </c>
      <c r="F192" s="8" t="str">
        <f>IFERROR(E192/E444, "NA")</f>
        <v>NA</v>
      </c>
      <c r="G192" s="9"/>
      <c r="H192" s="10">
        <f t="shared" si="48"/>
        <v>0</v>
      </c>
      <c r="I192" s="8" t="str">
        <f>IFERROR(H192/H444, "NA")</f>
        <v>NA</v>
      </c>
      <c r="J192" s="9"/>
      <c r="K192" s="7">
        <v>0</v>
      </c>
      <c r="L192" s="8" t="str">
        <f>IFERROR(K192/K444, "NA")</f>
        <v>NA</v>
      </c>
      <c r="M192" s="9"/>
      <c r="N192" s="10">
        <f t="shared" si="49"/>
        <v>0</v>
      </c>
      <c r="O192" s="8" t="str">
        <f>IFERROR(N192/N444, "NA")</f>
        <v>NA</v>
      </c>
      <c r="P192" s="9"/>
      <c r="Q192" s="7">
        <v>0</v>
      </c>
      <c r="R192" s="8" t="str">
        <f>IFERROR(Q192/Q444, "NA")</f>
        <v>NA</v>
      </c>
      <c r="S192" s="9"/>
      <c r="T192" s="7">
        <v>0</v>
      </c>
      <c r="U192" s="8" t="str">
        <f>IFERROR(T192/T444, "NA")</f>
        <v>NA</v>
      </c>
      <c r="V192" s="9"/>
      <c r="W192" s="10">
        <f t="shared" si="50"/>
        <v>0</v>
      </c>
      <c r="X192" s="8" t="str">
        <f>IFERROR(W192/W444, "NA")</f>
        <v>NA</v>
      </c>
      <c r="Y192" s="9"/>
      <c r="Z192" s="7">
        <v>0</v>
      </c>
      <c r="AA192" s="8" t="str">
        <f>IFERROR(Z192/Z444, "NA")</f>
        <v>NA</v>
      </c>
      <c r="AB192" s="9"/>
      <c r="AC192" s="10">
        <f t="shared" si="51"/>
        <v>0</v>
      </c>
      <c r="AD192" s="8" t="str">
        <f>IFERROR(AC192/AC444, "NA")</f>
        <v>NA</v>
      </c>
    </row>
    <row r="193" spans="1:30" ht="16.5" customHeight="1" x14ac:dyDescent="0.45">
      <c r="A193" s="13" t="s">
        <v>177</v>
      </c>
      <c r="B193" s="14">
        <f>IFERROR(B186+B187+B188+B189+B190+B191+B192, "NA")</f>
        <v>0</v>
      </c>
      <c r="C193" s="15" t="str">
        <f>IFERROR(B193/B444, "NA")</f>
        <v>NA</v>
      </c>
      <c r="D193" s="2"/>
      <c r="E193" s="14">
        <f>IFERROR(E186+E187+E188+E189+E190+E191+E192, "NA")</f>
        <v>0</v>
      </c>
      <c r="F193" s="15" t="str">
        <f>IFERROR(E193/E444, "NA")</f>
        <v>NA</v>
      </c>
      <c r="G193" s="2"/>
      <c r="H193" s="14">
        <f t="shared" si="48"/>
        <v>0</v>
      </c>
      <c r="I193" s="15" t="str">
        <f>IFERROR(H193/H444, "NA")</f>
        <v>NA</v>
      </c>
      <c r="J193" s="2"/>
      <c r="K193" s="14">
        <f>IFERROR(K186+K187+K188+K189+K190+K191+K192, "NA")</f>
        <v>0</v>
      </c>
      <c r="L193" s="15" t="str">
        <f>IFERROR(K193/K444, "NA")</f>
        <v>NA</v>
      </c>
      <c r="M193" s="2"/>
      <c r="N193" s="14">
        <f t="shared" si="49"/>
        <v>0</v>
      </c>
      <c r="O193" s="15" t="str">
        <f>IFERROR(N193/N444, "NA")</f>
        <v>NA</v>
      </c>
      <c r="P193" s="2"/>
      <c r="Q193" s="14">
        <f>IFERROR(Q186+Q187+Q188+Q189+Q190+Q191+Q192, "NA")</f>
        <v>0</v>
      </c>
      <c r="R193" s="15" t="str">
        <f>IFERROR(Q193/Q444, "NA")</f>
        <v>NA</v>
      </c>
      <c r="S193" s="2"/>
      <c r="T193" s="14">
        <f>IFERROR(T186+T187+T188+T189+T190+T191+T192, "NA")</f>
        <v>0</v>
      </c>
      <c r="U193" s="15" t="str">
        <f>IFERROR(T193/T444, "NA")</f>
        <v>NA</v>
      </c>
      <c r="V193" s="2"/>
      <c r="W193" s="14">
        <f t="shared" si="50"/>
        <v>0</v>
      </c>
      <c r="X193" s="15" t="str">
        <f>IFERROR(W193/W444, "NA")</f>
        <v>NA</v>
      </c>
      <c r="Y193" s="2"/>
      <c r="Z193" s="14">
        <f>IFERROR(Z186+Z187+Z188+Z189+Z190+Z191+Z192, "NA")</f>
        <v>0</v>
      </c>
      <c r="AA193" s="15" t="str">
        <f>IFERROR(Z193/Z444, "NA")</f>
        <v>NA</v>
      </c>
      <c r="AB193" s="2"/>
      <c r="AC193" s="14">
        <f t="shared" si="51"/>
        <v>0</v>
      </c>
      <c r="AD193" s="15" t="str">
        <f>IFERROR(AC193/AC444, "NA")</f>
        <v>NA</v>
      </c>
    </row>
    <row r="194" spans="1:30" ht="16.5" hidden="1" customHeight="1" x14ac:dyDescent="0.45">
      <c r="A194" s="6" t="s">
        <v>178</v>
      </c>
      <c r="B194" s="7">
        <v>0</v>
      </c>
      <c r="C194" s="8" t="str">
        <f>IFERROR(B194/B444, "NA")</f>
        <v>NA</v>
      </c>
      <c r="D194" s="9"/>
      <c r="E194" s="7">
        <v>0</v>
      </c>
      <c r="F194" s="8" t="str">
        <f>IFERROR(E194/E444, "NA")</f>
        <v>NA</v>
      </c>
      <c r="G194" s="9"/>
      <c r="H194" s="10">
        <f t="shared" si="48"/>
        <v>0</v>
      </c>
      <c r="I194" s="8" t="str">
        <f>IFERROR(H194/H444, "NA")</f>
        <v>NA</v>
      </c>
      <c r="J194" s="9"/>
      <c r="K194" s="7">
        <v>0</v>
      </c>
      <c r="L194" s="8" t="str">
        <f>IFERROR(K194/K444, "NA")</f>
        <v>NA</v>
      </c>
      <c r="M194" s="9"/>
      <c r="N194" s="10">
        <f t="shared" si="49"/>
        <v>0</v>
      </c>
      <c r="O194" s="8" t="str">
        <f>IFERROR(N194/N444, "NA")</f>
        <v>NA</v>
      </c>
      <c r="P194" s="9"/>
      <c r="Q194" s="7">
        <v>0</v>
      </c>
      <c r="R194" s="8" t="str">
        <f>IFERROR(Q194/Q444, "NA")</f>
        <v>NA</v>
      </c>
      <c r="S194" s="9"/>
      <c r="T194" s="7">
        <v>0</v>
      </c>
      <c r="U194" s="8" t="str">
        <f>IFERROR(T194/T444, "NA")</f>
        <v>NA</v>
      </c>
      <c r="V194" s="9"/>
      <c r="W194" s="10">
        <f t="shared" si="50"/>
        <v>0</v>
      </c>
      <c r="X194" s="8" t="str">
        <f>IFERROR(W194/W444, "NA")</f>
        <v>NA</v>
      </c>
      <c r="Y194" s="9"/>
      <c r="Z194" s="7">
        <v>0</v>
      </c>
      <c r="AA194" s="8" t="str">
        <f>IFERROR(Z194/Z444, "NA")</f>
        <v>NA</v>
      </c>
      <c r="AB194" s="9"/>
      <c r="AC194" s="10">
        <f t="shared" si="51"/>
        <v>0</v>
      </c>
      <c r="AD194" s="8" t="str">
        <f>IFERROR(AC194/AC444, "NA")</f>
        <v>NA</v>
      </c>
    </row>
    <row r="195" spans="1:30" ht="16.5" hidden="1" customHeight="1" x14ac:dyDescent="0.45">
      <c r="A195" s="6" t="s">
        <v>179</v>
      </c>
      <c r="B195" s="7">
        <v>0</v>
      </c>
      <c r="C195" s="8" t="str">
        <f>IFERROR(B195/B444, "NA")</f>
        <v>NA</v>
      </c>
      <c r="D195" s="9"/>
      <c r="E195" s="7">
        <v>0</v>
      </c>
      <c r="F195" s="8" t="str">
        <f>IFERROR(E195/E444, "NA")</f>
        <v>NA</v>
      </c>
      <c r="G195" s="9"/>
      <c r="H195" s="10">
        <f t="shared" si="48"/>
        <v>0</v>
      </c>
      <c r="I195" s="8" t="str">
        <f>IFERROR(H195/H444, "NA")</f>
        <v>NA</v>
      </c>
      <c r="J195" s="9"/>
      <c r="K195" s="7">
        <v>0</v>
      </c>
      <c r="L195" s="8" t="str">
        <f>IFERROR(K195/K444, "NA")</f>
        <v>NA</v>
      </c>
      <c r="M195" s="9"/>
      <c r="N195" s="10">
        <f t="shared" si="49"/>
        <v>0</v>
      </c>
      <c r="O195" s="8" t="str">
        <f>IFERROR(N195/N444, "NA")</f>
        <v>NA</v>
      </c>
      <c r="P195" s="9"/>
      <c r="Q195" s="7">
        <v>0</v>
      </c>
      <c r="R195" s="8" t="str">
        <f>IFERROR(Q195/Q444, "NA")</f>
        <v>NA</v>
      </c>
      <c r="S195" s="9"/>
      <c r="T195" s="7">
        <v>0</v>
      </c>
      <c r="U195" s="8" t="str">
        <f>IFERROR(T195/T444, "NA")</f>
        <v>NA</v>
      </c>
      <c r="V195" s="9"/>
      <c r="W195" s="10">
        <f t="shared" si="50"/>
        <v>0</v>
      </c>
      <c r="X195" s="8" t="str">
        <f>IFERROR(W195/W444, "NA")</f>
        <v>NA</v>
      </c>
      <c r="Y195" s="9"/>
      <c r="Z195" s="7">
        <v>0</v>
      </c>
      <c r="AA195" s="8" t="str">
        <f>IFERROR(Z195/Z444, "NA")</f>
        <v>NA</v>
      </c>
      <c r="AB195" s="9"/>
      <c r="AC195" s="10">
        <f t="shared" si="51"/>
        <v>0</v>
      </c>
      <c r="AD195" s="8" t="str">
        <f>IFERROR(AC195/AC444, "NA")</f>
        <v>NA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0</v>
      </c>
      <c r="C196" s="15" t="str">
        <f>IFERROR(B196/B444, "NA")</f>
        <v>NA</v>
      </c>
      <c r="D196" s="2"/>
      <c r="E196" s="14">
        <f>IFERROR(E175+E177+E178+E179+E180+E181+E183+E184+E186+E187+E188+E189+E190+E191+E192+E194+E195, "NA")</f>
        <v>0</v>
      </c>
      <c r="F196" s="15" t="str">
        <f>IFERROR(E196/E444, "NA")</f>
        <v>NA</v>
      </c>
      <c r="G196" s="2"/>
      <c r="H196" s="14">
        <f t="shared" si="48"/>
        <v>0</v>
      </c>
      <c r="I196" s="15" t="str">
        <f>IFERROR(H196/H444, "NA")</f>
        <v>NA</v>
      </c>
      <c r="J196" s="2"/>
      <c r="K196" s="14">
        <f>IFERROR(K175+K177+K178+K179+K180+K181+K183+K184+K186+K187+K188+K189+K190+K191+K192+K194+K195, "NA")</f>
        <v>0</v>
      </c>
      <c r="L196" s="15" t="str">
        <f>IFERROR(K196/K444, "NA")</f>
        <v>NA</v>
      </c>
      <c r="M196" s="2"/>
      <c r="N196" s="14">
        <f t="shared" si="49"/>
        <v>0</v>
      </c>
      <c r="O196" s="15" t="str">
        <f>IFERROR(N196/N444, "NA")</f>
        <v>NA</v>
      </c>
      <c r="P196" s="2"/>
      <c r="Q196" s="14">
        <f>IFERROR(Q175+Q177+Q178+Q179+Q180+Q181+Q183+Q184+Q186+Q187+Q188+Q189+Q190+Q191+Q192+Q194+Q195, "NA")</f>
        <v>0</v>
      </c>
      <c r="R196" s="15" t="str">
        <f>IFERROR(Q196/Q444, "NA")</f>
        <v>NA</v>
      </c>
      <c r="S196" s="2"/>
      <c r="T196" s="14">
        <f>IFERROR(T175+T177+T178+T179+T180+T181+T183+T184+T186+T187+T188+T189+T190+T191+T192+T194+T195, "NA")</f>
        <v>0</v>
      </c>
      <c r="U196" s="15" t="str">
        <f>IFERROR(T196/T444, "NA")</f>
        <v>NA</v>
      </c>
      <c r="V196" s="2"/>
      <c r="W196" s="14">
        <f t="shared" si="50"/>
        <v>0</v>
      </c>
      <c r="X196" s="15" t="str">
        <f>IFERROR(W196/W444, "NA")</f>
        <v>NA</v>
      </c>
      <c r="Y196" s="2"/>
      <c r="Z196" s="14">
        <f>IFERROR(Z175+Z177+Z178+Z179+Z180+Z181+Z183+Z184+Z186+Z187+Z188+Z189+Z190+Z191+Z192+Z194+Z195, "NA")</f>
        <v>0</v>
      </c>
      <c r="AA196" s="15" t="str">
        <f>IFERROR(Z196/Z444, "NA")</f>
        <v>NA</v>
      </c>
      <c r="AB196" s="2"/>
      <c r="AC196" s="14">
        <f t="shared" si="51"/>
        <v>0</v>
      </c>
      <c r="AD196" s="15" t="str">
        <f>IFERROR(AC196/AC444, "NA")</f>
        <v>NA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0</v>
      </c>
      <c r="C197" s="15" t="str">
        <f>IFERROR(B197/B444, "NA")</f>
        <v>NA</v>
      </c>
      <c r="D197" s="2"/>
      <c r="E197" s="14">
        <f>IFERROR(E175+E177+E178+E179+E180+E181+E183+E184+E186+E187+E188+E189+E190+E191+E192+E194+E195, "NA")</f>
        <v>0</v>
      </c>
      <c r="F197" s="15" t="str">
        <f>IFERROR(E197/E444, "NA")</f>
        <v>NA</v>
      </c>
      <c r="G197" s="2"/>
      <c r="H197" s="14">
        <f t="shared" si="48"/>
        <v>0</v>
      </c>
      <c r="I197" s="15" t="str">
        <f>IFERROR(H197/H444, "NA")</f>
        <v>NA</v>
      </c>
      <c r="J197" s="2"/>
      <c r="K197" s="14">
        <f>IFERROR(K175+K177+K178+K179+K180+K181+K183+K184+K186+K187+K188+K189+K190+K191+K192+K194+K195, "NA")</f>
        <v>0</v>
      </c>
      <c r="L197" s="15" t="str">
        <f>IFERROR(K197/K444, "NA")</f>
        <v>NA</v>
      </c>
      <c r="M197" s="2"/>
      <c r="N197" s="14">
        <f t="shared" si="49"/>
        <v>0</v>
      </c>
      <c r="O197" s="15" t="str">
        <f>IFERROR(N197/N444, "NA")</f>
        <v>NA</v>
      </c>
      <c r="P197" s="2"/>
      <c r="Q197" s="14">
        <f>IFERROR(Q175+Q177+Q178+Q179+Q180+Q181+Q183+Q184+Q186+Q187+Q188+Q189+Q190+Q191+Q192+Q194+Q195, "NA")</f>
        <v>0</v>
      </c>
      <c r="R197" s="15" t="str">
        <f>IFERROR(Q197/Q444, "NA")</f>
        <v>NA</v>
      </c>
      <c r="S197" s="2"/>
      <c r="T197" s="14">
        <f>IFERROR(T175+T177+T178+T179+T180+T181+T183+T184+T186+T187+T188+T189+T190+T191+T192+T194+T195, "NA")</f>
        <v>0</v>
      </c>
      <c r="U197" s="15" t="str">
        <f>IFERROR(T197/T444, "NA")</f>
        <v>NA</v>
      </c>
      <c r="V197" s="2"/>
      <c r="W197" s="14">
        <f t="shared" si="50"/>
        <v>0</v>
      </c>
      <c r="X197" s="15" t="str">
        <f>IFERROR(W197/W444, "NA")</f>
        <v>NA</v>
      </c>
      <c r="Y197" s="2"/>
      <c r="Z197" s="14">
        <f>IFERROR(Z175+Z177+Z178+Z179+Z180+Z181+Z183+Z184+Z186+Z187+Z188+Z189+Z190+Z191+Z192+Z194+Z195, "NA")</f>
        <v>0</v>
      </c>
      <c r="AA197" s="15" t="str">
        <f>IFERROR(Z197/Z444, "NA")</f>
        <v>NA</v>
      </c>
      <c r="AB197" s="2"/>
      <c r="AC197" s="14">
        <f t="shared" si="51"/>
        <v>0</v>
      </c>
      <c r="AD197" s="15" t="str">
        <f>IFERROR(AC197/AC444, "NA")</f>
        <v>NA</v>
      </c>
    </row>
    <row r="198" spans="1:30" ht="16.5" customHeight="1" x14ac:dyDescent="0.45">
      <c r="A198" s="22" t="s">
        <v>181</v>
      </c>
      <c r="B198" s="23">
        <f>IFERROR(B172-B197, "NA")</f>
        <v>0</v>
      </c>
      <c r="C198" s="24" t="str">
        <f>IFERROR(B198/B444, "NA")</f>
        <v>NA</v>
      </c>
      <c r="D198" s="25"/>
      <c r="E198" s="23">
        <f>IFERROR(E172-E197, "NA")</f>
        <v>0</v>
      </c>
      <c r="F198" s="24" t="str">
        <f>IFERROR(E198/E444, "NA")</f>
        <v>NA</v>
      </c>
      <c r="G198" s="25"/>
      <c r="H198" s="23">
        <f>IFERROR(B198-E198, "NA")</f>
        <v>0</v>
      </c>
      <c r="I198" s="24" t="str">
        <f>IFERROR(H198/H444, "NA")</f>
        <v>NA</v>
      </c>
      <c r="J198" s="25"/>
      <c r="K198" s="23">
        <f>IFERROR(K172-K197, "NA")</f>
        <v>0</v>
      </c>
      <c r="L198" s="24" t="str">
        <f>IFERROR(K198/K444, "NA")</f>
        <v>NA</v>
      </c>
      <c r="M198" s="25"/>
      <c r="N198" s="23">
        <f>IFERROR(B198-K198, "NA")</f>
        <v>0</v>
      </c>
      <c r="O198" s="24" t="str">
        <f>IFERROR(N198/N444, "NA")</f>
        <v>NA</v>
      </c>
      <c r="P198" s="25"/>
      <c r="Q198" s="23">
        <f>IFERROR(Q172-Q197, "NA")</f>
        <v>0</v>
      </c>
      <c r="R198" s="24" t="str">
        <f>IFERROR(Q198/Q444, "NA")</f>
        <v>NA</v>
      </c>
      <c r="S198" s="25"/>
      <c r="T198" s="23">
        <f>IFERROR(T172-T197, "NA")</f>
        <v>0</v>
      </c>
      <c r="U198" s="24" t="str">
        <f>IFERROR(T198/T444, "NA")</f>
        <v>NA</v>
      </c>
      <c r="V198" s="25"/>
      <c r="W198" s="23">
        <f>IFERROR(Q198-T198, "NA")</f>
        <v>0</v>
      </c>
      <c r="X198" s="24" t="str">
        <f>IFERROR(W198/W444, "NA")</f>
        <v>NA</v>
      </c>
      <c r="Y198" s="25"/>
      <c r="Z198" s="23">
        <f>IFERROR(Z172-Z197, "NA")</f>
        <v>0</v>
      </c>
      <c r="AA198" s="24" t="str">
        <f>IFERROR(Z198/Z444, "NA")</f>
        <v>NA</v>
      </c>
      <c r="AB198" s="25"/>
      <c r="AC198" s="23">
        <f>IFERROR(Q198-Z198, "NA")</f>
        <v>0</v>
      </c>
      <c r="AD198" s="24" t="str">
        <f>IFERROR(AC198/AC444, "NA")</f>
        <v>NA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hidden="1" customHeight="1" x14ac:dyDescent="0.45">
      <c r="A201" s="6" t="s">
        <v>183</v>
      </c>
      <c r="B201" s="7">
        <v>0</v>
      </c>
      <c r="C201" s="8" t="str">
        <f>IFERROR(B201/B444, "NA")</f>
        <v>NA</v>
      </c>
      <c r="D201" s="9"/>
      <c r="E201" s="7">
        <v>0</v>
      </c>
      <c r="F201" s="8" t="str">
        <f>IFERROR(E201/E444, "NA")</f>
        <v>NA</v>
      </c>
      <c r="G201" s="9"/>
      <c r="H201" s="10">
        <f t="shared" ref="H201:H209" si="52">IFERROR(-(B201-E201), "NA")</f>
        <v>0</v>
      </c>
      <c r="I201" s="8" t="str">
        <f>IFERROR(H201/H444, "NA")</f>
        <v>NA</v>
      </c>
      <c r="J201" s="9"/>
      <c r="K201" s="7">
        <v>0</v>
      </c>
      <c r="L201" s="8" t="str">
        <f>IFERROR(K201/K444, "NA")</f>
        <v>NA</v>
      </c>
      <c r="M201" s="9"/>
      <c r="N201" s="10">
        <f t="shared" ref="N201:N209" si="53">IFERROR(-(B201-K201), "NA")</f>
        <v>0</v>
      </c>
      <c r="O201" s="8" t="str">
        <f>IFERROR(N201/N444, "NA")</f>
        <v>NA</v>
      </c>
      <c r="P201" s="9"/>
      <c r="Q201" s="7">
        <v>0</v>
      </c>
      <c r="R201" s="8" t="str">
        <f>IFERROR(Q201/Q444, "NA")</f>
        <v>NA</v>
      </c>
      <c r="S201" s="9"/>
      <c r="T201" s="7">
        <v>0</v>
      </c>
      <c r="U201" s="8" t="str">
        <f>IFERROR(T201/T444, "NA")</f>
        <v>NA</v>
      </c>
      <c r="V201" s="9"/>
      <c r="W201" s="10">
        <f t="shared" ref="W201:W209" si="54">IFERROR(-(Q201-T201), "NA")</f>
        <v>0</v>
      </c>
      <c r="X201" s="8" t="str">
        <f>IFERROR(W201/W444, "NA")</f>
        <v>NA</v>
      </c>
      <c r="Y201" s="9"/>
      <c r="Z201" s="7">
        <v>0</v>
      </c>
      <c r="AA201" s="8" t="str">
        <f>IFERROR(Z201/Z444, "NA")</f>
        <v>NA</v>
      </c>
      <c r="AB201" s="9"/>
      <c r="AC201" s="10">
        <f t="shared" ref="AC201:AC209" si="55">IFERROR(-(Q201-Z201), "NA")</f>
        <v>0</v>
      </c>
      <c r="AD201" s="8" t="str">
        <f>IFERROR(AC201/AC444, "NA")</f>
        <v>NA</v>
      </c>
    </row>
    <row r="202" spans="1:30" ht="16.5" hidden="1" customHeight="1" x14ac:dyDescent="0.45">
      <c r="A202" s="6" t="s">
        <v>184</v>
      </c>
      <c r="B202" s="7">
        <v>0</v>
      </c>
      <c r="C202" s="8" t="str">
        <f>IFERROR(B202/B444, "NA")</f>
        <v>NA</v>
      </c>
      <c r="D202" s="9"/>
      <c r="E202" s="7">
        <v>0</v>
      </c>
      <c r="F202" s="8" t="str">
        <f>IFERROR(E202/E444, "NA")</f>
        <v>NA</v>
      </c>
      <c r="G202" s="9"/>
      <c r="H202" s="10">
        <f t="shared" si="52"/>
        <v>0</v>
      </c>
      <c r="I202" s="8" t="str">
        <f>IFERROR(H202/H444, "NA")</f>
        <v>NA</v>
      </c>
      <c r="J202" s="9"/>
      <c r="K202" s="7">
        <v>0</v>
      </c>
      <c r="L202" s="8" t="str">
        <f>IFERROR(K202/K444, "NA")</f>
        <v>NA</v>
      </c>
      <c r="M202" s="9"/>
      <c r="N202" s="10">
        <f t="shared" si="53"/>
        <v>0</v>
      </c>
      <c r="O202" s="8" t="str">
        <f>IFERROR(N202/N444, "NA")</f>
        <v>NA</v>
      </c>
      <c r="P202" s="9"/>
      <c r="Q202" s="7">
        <v>0</v>
      </c>
      <c r="R202" s="8" t="str">
        <f>IFERROR(Q202/Q444, "NA")</f>
        <v>NA</v>
      </c>
      <c r="S202" s="9"/>
      <c r="T202" s="7">
        <v>0</v>
      </c>
      <c r="U202" s="8" t="str">
        <f>IFERROR(T202/T444, "NA")</f>
        <v>NA</v>
      </c>
      <c r="V202" s="9"/>
      <c r="W202" s="10">
        <f t="shared" si="54"/>
        <v>0</v>
      </c>
      <c r="X202" s="8" t="str">
        <f>IFERROR(W202/W444, "NA")</f>
        <v>NA</v>
      </c>
      <c r="Y202" s="9"/>
      <c r="Z202" s="7">
        <v>0</v>
      </c>
      <c r="AA202" s="8" t="str">
        <f>IFERROR(Z202/Z444, "NA")</f>
        <v>NA</v>
      </c>
      <c r="AB202" s="9"/>
      <c r="AC202" s="10">
        <f t="shared" si="55"/>
        <v>0</v>
      </c>
      <c r="AD202" s="8" t="str">
        <f>IFERROR(AC202/AC444, "NA")</f>
        <v>NA</v>
      </c>
    </row>
    <row r="203" spans="1:30" ht="16.5" hidden="1" customHeight="1" x14ac:dyDescent="0.45">
      <c r="A203" s="6" t="s">
        <v>185</v>
      </c>
      <c r="B203" s="7">
        <v>0</v>
      </c>
      <c r="C203" s="8" t="str">
        <f>IFERROR(B203/B444, "NA")</f>
        <v>NA</v>
      </c>
      <c r="D203" s="9"/>
      <c r="E203" s="7">
        <v>0</v>
      </c>
      <c r="F203" s="8" t="str">
        <f>IFERROR(E203/E444, "NA")</f>
        <v>NA</v>
      </c>
      <c r="G203" s="9"/>
      <c r="H203" s="10">
        <f t="shared" si="52"/>
        <v>0</v>
      </c>
      <c r="I203" s="8" t="str">
        <f>IFERROR(H203/H444, "NA")</f>
        <v>NA</v>
      </c>
      <c r="J203" s="9"/>
      <c r="K203" s="7">
        <v>0</v>
      </c>
      <c r="L203" s="8" t="str">
        <f>IFERROR(K203/K444, "NA")</f>
        <v>NA</v>
      </c>
      <c r="M203" s="9"/>
      <c r="N203" s="10">
        <f t="shared" si="53"/>
        <v>0</v>
      </c>
      <c r="O203" s="8" t="str">
        <f>IFERROR(N203/N444, "NA")</f>
        <v>NA</v>
      </c>
      <c r="P203" s="9"/>
      <c r="Q203" s="7">
        <v>0</v>
      </c>
      <c r="R203" s="8" t="str">
        <f>IFERROR(Q203/Q444, "NA")</f>
        <v>NA</v>
      </c>
      <c r="S203" s="9"/>
      <c r="T203" s="7">
        <v>0</v>
      </c>
      <c r="U203" s="8" t="str">
        <f>IFERROR(T203/T444, "NA")</f>
        <v>NA</v>
      </c>
      <c r="V203" s="9"/>
      <c r="W203" s="10">
        <f t="shared" si="54"/>
        <v>0</v>
      </c>
      <c r="X203" s="8" t="str">
        <f>IFERROR(W203/W444, "NA")</f>
        <v>NA</v>
      </c>
      <c r="Y203" s="9"/>
      <c r="Z203" s="7">
        <v>0</v>
      </c>
      <c r="AA203" s="8" t="str">
        <f>IFERROR(Z203/Z444, "NA")</f>
        <v>NA</v>
      </c>
      <c r="AB203" s="9"/>
      <c r="AC203" s="10">
        <f t="shared" si="55"/>
        <v>0</v>
      </c>
      <c r="AD203" s="8" t="str">
        <f>IFERROR(AC203/AC444, "NA")</f>
        <v>NA</v>
      </c>
    </row>
    <row r="204" spans="1:30" ht="16.5" hidden="1" customHeight="1" x14ac:dyDescent="0.45">
      <c r="A204" s="6" t="s">
        <v>186</v>
      </c>
      <c r="B204" s="7">
        <v>0</v>
      </c>
      <c r="C204" s="8" t="str">
        <f>IFERROR(B204/B444, "NA")</f>
        <v>NA</v>
      </c>
      <c r="D204" s="9"/>
      <c r="E204" s="7">
        <v>0</v>
      </c>
      <c r="F204" s="8" t="str">
        <f>IFERROR(E204/E444, "NA")</f>
        <v>NA</v>
      </c>
      <c r="G204" s="9"/>
      <c r="H204" s="10">
        <f t="shared" si="52"/>
        <v>0</v>
      </c>
      <c r="I204" s="8" t="str">
        <f>IFERROR(H204/H444, "NA")</f>
        <v>NA</v>
      </c>
      <c r="J204" s="9"/>
      <c r="K204" s="7">
        <v>0</v>
      </c>
      <c r="L204" s="8" t="str">
        <f>IFERROR(K204/K444, "NA")</f>
        <v>NA</v>
      </c>
      <c r="M204" s="9"/>
      <c r="N204" s="10">
        <f t="shared" si="53"/>
        <v>0</v>
      </c>
      <c r="O204" s="8" t="str">
        <f>IFERROR(N204/N444, "NA")</f>
        <v>NA</v>
      </c>
      <c r="P204" s="9"/>
      <c r="Q204" s="7">
        <v>0</v>
      </c>
      <c r="R204" s="8" t="str">
        <f>IFERROR(Q204/Q444, "NA")</f>
        <v>NA</v>
      </c>
      <c r="S204" s="9"/>
      <c r="T204" s="7">
        <v>0</v>
      </c>
      <c r="U204" s="8" t="str">
        <f>IFERROR(T204/T444, "NA")</f>
        <v>NA</v>
      </c>
      <c r="V204" s="9"/>
      <c r="W204" s="10">
        <f t="shared" si="54"/>
        <v>0</v>
      </c>
      <c r="X204" s="8" t="str">
        <f>IFERROR(W204/W444, "NA")</f>
        <v>NA</v>
      </c>
      <c r="Y204" s="9"/>
      <c r="Z204" s="7">
        <v>0</v>
      </c>
      <c r="AA204" s="8" t="str">
        <f>IFERROR(Z204/Z444, "NA")</f>
        <v>NA</v>
      </c>
      <c r="AB204" s="9"/>
      <c r="AC204" s="10">
        <f t="shared" si="55"/>
        <v>0</v>
      </c>
      <c r="AD204" s="8" t="str">
        <f>IFERROR(AC204/AC444, "NA")</f>
        <v>NA</v>
      </c>
    </row>
    <row r="205" spans="1:30" ht="16.5" hidden="1" customHeight="1" x14ac:dyDescent="0.45">
      <c r="A205" s="6" t="s">
        <v>187</v>
      </c>
      <c r="B205" s="7">
        <v>0</v>
      </c>
      <c r="C205" s="8" t="str">
        <f>IFERROR(B205/B444, "NA")</f>
        <v>NA</v>
      </c>
      <c r="D205" s="9"/>
      <c r="E205" s="7">
        <v>0</v>
      </c>
      <c r="F205" s="8" t="str">
        <f>IFERROR(E205/E444, "NA")</f>
        <v>NA</v>
      </c>
      <c r="G205" s="9"/>
      <c r="H205" s="10">
        <f t="shared" si="52"/>
        <v>0</v>
      </c>
      <c r="I205" s="8" t="str">
        <f>IFERROR(H205/H444, "NA")</f>
        <v>NA</v>
      </c>
      <c r="J205" s="9"/>
      <c r="K205" s="7">
        <v>0</v>
      </c>
      <c r="L205" s="8" t="str">
        <f>IFERROR(K205/K444, "NA")</f>
        <v>NA</v>
      </c>
      <c r="M205" s="9"/>
      <c r="N205" s="10">
        <f t="shared" si="53"/>
        <v>0</v>
      </c>
      <c r="O205" s="8" t="str">
        <f>IFERROR(N205/N444, "NA")</f>
        <v>NA</v>
      </c>
      <c r="P205" s="9"/>
      <c r="Q205" s="7">
        <v>0</v>
      </c>
      <c r="R205" s="8" t="str">
        <f>IFERROR(Q205/Q444, "NA")</f>
        <v>NA</v>
      </c>
      <c r="S205" s="9"/>
      <c r="T205" s="7">
        <v>0</v>
      </c>
      <c r="U205" s="8" t="str">
        <f>IFERROR(T205/T444, "NA")</f>
        <v>NA</v>
      </c>
      <c r="V205" s="9"/>
      <c r="W205" s="10">
        <f t="shared" si="54"/>
        <v>0</v>
      </c>
      <c r="X205" s="8" t="str">
        <f>IFERROR(W205/W444, "NA")</f>
        <v>NA</v>
      </c>
      <c r="Y205" s="9"/>
      <c r="Z205" s="7">
        <v>0</v>
      </c>
      <c r="AA205" s="8" t="str">
        <f>IFERROR(Z205/Z444, "NA")</f>
        <v>NA</v>
      </c>
      <c r="AB205" s="9"/>
      <c r="AC205" s="10">
        <f t="shared" si="55"/>
        <v>0</v>
      </c>
      <c r="AD205" s="8" t="str">
        <f>IFERROR(AC205/AC444, "NA")</f>
        <v>NA</v>
      </c>
    </row>
    <row r="206" spans="1:30" ht="16.5" hidden="1" customHeight="1" x14ac:dyDescent="0.45">
      <c r="A206" s="6" t="s">
        <v>188</v>
      </c>
      <c r="B206" s="7">
        <v>0</v>
      </c>
      <c r="C206" s="8" t="str">
        <f>IFERROR(B206/B444, "NA")</f>
        <v>NA</v>
      </c>
      <c r="D206" s="9"/>
      <c r="E206" s="7">
        <v>0</v>
      </c>
      <c r="F206" s="8" t="str">
        <f>IFERROR(E206/E444, "NA")</f>
        <v>NA</v>
      </c>
      <c r="G206" s="9"/>
      <c r="H206" s="10">
        <f t="shared" si="52"/>
        <v>0</v>
      </c>
      <c r="I206" s="8" t="str">
        <f>IFERROR(H206/H444, "NA")</f>
        <v>NA</v>
      </c>
      <c r="J206" s="9"/>
      <c r="K206" s="7">
        <v>0</v>
      </c>
      <c r="L206" s="8" t="str">
        <f>IFERROR(K206/K444, "NA")</f>
        <v>NA</v>
      </c>
      <c r="M206" s="9"/>
      <c r="N206" s="10">
        <f t="shared" si="53"/>
        <v>0</v>
      </c>
      <c r="O206" s="8" t="str">
        <f>IFERROR(N206/N444, "NA")</f>
        <v>NA</v>
      </c>
      <c r="P206" s="9"/>
      <c r="Q206" s="7">
        <v>0</v>
      </c>
      <c r="R206" s="8" t="str">
        <f>IFERROR(Q206/Q444, "NA")</f>
        <v>NA</v>
      </c>
      <c r="S206" s="9"/>
      <c r="T206" s="7">
        <v>0</v>
      </c>
      <c r="U206" s="8" t="str">
        <f>IFERROR(T206/T444, "NA")</f>
        <v>NA</v>
      </c>
      <c r="V206" s="9"/>
      <c r="W206" s="10">
        <f t="shared" si="54"/>
        <v>0</v>
      </c>
      <c r="X206" s="8" t="str">
        <f>IFERROR(W206/W444, "NA")</f>
        <v>NA</v>
      </c>
      <c r="Y206" s="9"/>
      <c r="Z206" s="7">
        <v>0</v>
      </c>
      <c r="AA206" s="8" t="str">
        <f>IFERROR(Z206/Z444, "NA")</f>
        <v>NA</v>
      </c>
      <c r="AB206" s="9"/>
      <c r="AC206" s="10">
        <f t="shared" si="55"/>
        <v>0</v>
      </c>
      <c r="AD206" s="8" t="str">
        <f>IFERROR(AC206/AC444, "NA")</f>
        <v>NA</v>
      </c>
    </row>
    <row r="207" spans="1:30" ht="16.5" hidden="1" customHeight="1" x14ac:dyDescent="0.45">
      <c r="A207" s="6" t="s">
        <v>189</v>
      </c>
      <c r="B207" s="7">
        <v>0</v>
      </c>
      <c r="C207" s="8" t="str">
        <f>IFERROR(B207/B444, "NA")</f>
        <v>NA</v>
      </c>
      <c r="D207" s="9"/>
      <c r="E207" s="7">
        <v>0</v>
      </c>
      <c r="F207" s="8" t="str">
        <f>IFERROR(E207/E444, "NA")</f>
        <v>NA</v>
      </c>
      <c r="G207" s="9"/>
      <c r="H207" s="10">
        <f t="shared" si="52"/>
        <v>0</v>
      </c>
      <c r="I207" s="8" t="str">
        <f>IFERROR(H207/H444, "NA")</f>
        <v>NA</v>
      </c>
      <c r="J207" s="9"/>
      <c r="K207" s="7">
        <v>0</v>
      </c>
      <c r="L207" s="8" t="str">
        <f>IFERROR(K207/K444, "NA")</f>
        <v>NA</v>
      </c>
      <c r="M207" s="9"/>
      <c r="N207" s="10">
        <f t="shared" si="53"/>
        <v>0</v>
      </c>
      <c r="O207" s="8" t="str">
        <f>IFERROR(N207/N444, "NA")</f>
        <v>NA</v>
      </c>
      <c r="P207" s="9"/>
      <c r="Q207" s="7">
        <v>0</v>
      </c>
      <c r="R207" s="8" t="str">
        <f>IFERROR(Q207/Q444, "NA")</f>
        <v>NA</v>
      </c>
      <c r="S207" s="9"/>
      <c r="T207" s="7">
        <v>0</v>
      </c>
      <c r="U207" s="8" t="str">
        <f>IFERROR(T207/T444, "NA")</f>
        <v>NA</v>
      </c>
      <c r="V207" s="9"/>
      <c r="W207" s="10">
        <f t="shared" si="54"/>
        <v>0</v>
      </c>
      <c r="X207" s="8" t="str">
        <f>IFERROR(W207/W444, "NA")</f>
        <v>NA</v>
      </c>
      <c r="Y207" s="9"/>
      <c r="Z207" s="7">
        <v>0</v>
      </c>
      <c r="AA207" s="8" t="str">
        <f>IFERROR(Z207/Z444, "NA")</f>
        <v>NA</v>
      </c>
      <c r="AB207" s="9"/>
      <c r="AC207" s="10">
        <f t="shared" si="55"/>
        <v>0</v>
      </c>
      <c r="AD207" s="8" t="str">
        <f>IFERROR(AC207/AC444, "NA")</f>
        <v>NA</v>
      </c>
    </row>
    <row r="208" spans="1:30" ht="16.5" hidden="1" customHeight="1" x14ac:dyDescent="0.45">
      <c r="A208" s="6" t="s">
        <v>190</v>
      </c>
      <c r="B208" s="7">
        <v>0</v>
      </c>
      <c r="C208" s="8" t="str">
        <f>IFERROR(B208/B444, "NA")</f>
        <v>NA</v>
      </c>
      <c r="D208" s="9"/>
      <c r="E208" s="7">
        <v>0</v>
      </c>
      <c r="F208" s="8" t="str">
        <f>IFERROR(E208/E444, "NA")</f>
        <v>NA</v>
      </c>
      <c r="G208" s="9"/>
      <c r="H208" s="10">
        <f t="shared" si="52"/>
        <v>0</v>
      </c>
      <c r="I208" s="8" t="str">
        <f>IFERROR(H208/H444, "NA")</f>
        <v>NA</v>
      </c>
      <c r="J208" s="9"/>
      <c r="K208" s="7">
        <v>0</v>
      </c>
      <c r="L208" s="8" t="str">
        <f>IFERROR(K208/K444, "NA")</f>
        <v>NA</v>
      </c>
      <c r="M208" s="9"/>
      <c r="N208" s="10">
        <f t="shared" si="53"/>
        <v>0</v>
      </c>
      <c r="O208" s="8" t="str">
        <f>IFERROR(N208/N444, "NA")</f>
        <v>NA</v>
      </c>
      <c r="P208" s="9"/>
      <c r="Q208" s="7">
        <v>0</v>
      </c>
      <c r="R208" s="8" t="str">
        <f>IFERROR(Q208/Q444, "NA")</f>
        <v>NA</v>
      </c>
      <c r="S208" s="9"/>
      <c r="T208" s="7">
        <v>0</v>
      </c>
      <c r="U208" s="8" t="str">
        <f>IFERROR(T208/T444, "NA")</f>
        <v>NA</v>
      </c>
      <c r="V208" s="9"/>
      <c r="W208" s="10">
        <f t="shared" si="54"/>
        <v>0</v>
      </c>
      <c r="X208" s="8" t="str">
        <f>IFERROR(W208/W444, "NA")</f>
        <v>NA</v>
      </c>
      <c r="Y208" s="9"/>
      <c r="Z208" s="7">
        <v>0</v>
      </c>
      <c r="AA208" s="8" t="str">
        <f>IFERROR(Z208/Z444, "NA")</f>
        <v>NA</v>
      </c>
      <c r="AB208" s="9"/>
      <c r="AC208" s="10">
        <f t="shared" si="55"/>
        <v>0</v>
      </c>
      <c r="AD208" s="8" t="str">
        <f>IFERROR(AC208/AC444, "NA")</f>
        <v>NA</v>
      </c>
    </row>
    <row r="209" spans="1:30" ht="16.5" customHeight="1" x14ac:dyDescent="0.45">
      <c r="A209" s="19" t="s">
        <v>191</v>
      </c>
      <c r="B209" s="14">
        <f>IFERROR(B201+B202+B203+B204+B205+B206+B207+B208, "NA")</f>
        <v>0</v>
      </c>
      <c r="C209" s="15" t="str">
        <f>IFERROR(B209/B444, "NA")</f>
        <v>NA</v>
      </c>
      <c r="D209" s="2"/>
      <c r="E209" s="14">
        <f>IFERROR(E201+E202+E203+E204+E205+E206+E207+E208, "NA")</f>
        <v>0</v>
      </c>
      <c r="F209" s="15" t="str">
        <f>IFERROR(E209/E444, "NA")</f>
        <v>NA</v>
      </c>
      <c r="G209" s="2"/>
      <c r="H209" s="14">
        <f t="shared" si="52"/>
        <v>0</v>
      </c>
      <c r="I209" s="15" t="str">
        <f>IFERROR(H209/H444, "NA")</f>
        <v>NA</v>
      </c>
      <c r="J209" s="2"/>
      <c r="K209" s="14">
        <f>IFERROR(K201+K202+K203+K204+K205+K206+K207+K208, "NA")</f>
        <v>0</v>
      </c>
      <c r="L209" s="15" t="str">
        <f>IFERROR(K209/K444, "NA")</f>
        <v>NA</v>
      </c>
      <c r="M209" s="2"/>
      <c r="N209" s="14">
        <f t="shared" si="53"/>
        <v>0</v>
      </c>
      <c r="O209" s="15" t="str">
        <f>IFERROR(N209/N444, "NA")</f>
        <v>NA</v>
      </c>
      <c r="P209" s="2"/>
      <c r="Q209" s="14">
        <f>IFERROR(Q201+Q202+Q203+Q204+Q205+Q206+Q207+Q208, "NA")</f>
        <v>0</v>
      </c>
      <c r="R209" s="15" t="str">
        <f>IFERROR(Q209/Q444, "NA")</f>
        <v>NA</v>
      </c>
      <c r="S209" s="2"/>
      <c r="T209" s="14">
        <f>IFERROR(T201+T202+T203+T204+T205+T206+T207+T208, "NA")</f>
        <v>0</v>
      </c>
      <c r="U209" s="15" t="str">
        <f>IFERROR(T209/T444, "NA")</f>
        <v>NA</v>
      </c>
      <c r="V209" s="2"/>
      <c r="W209" s="14">
        <f t="shared" si="54"/>
        <v>0</v>
      </c>
      <c r="X209" s="15" t="str">
        <f>IFERROR(W209/W444, "NA")</f>
        <v>NA</v>
      </c>
      <c r="Y209" s="2"/>
      <c r="Z209" s="14">
        <f>IFERROR(Z201+Z202+Z203+Z204+Z205+Z206+Z207+Z208, "NA")</f>
        <v>0</v>
      </c>
      <c r="AA209" s="15" t="str">
        <f>IFERROR(Z209/Z444, "NA")</f>
        <v>NA</v>
      </c>
      <c r="AB209" s="2"/>
      <c r="AC209" s="14">
        <f t="shared" si="55"/>
        <v>0</v>
      </c>
      <c r="AD209" s="15" t="str">
        <f>IFERROR(AC209/AC444, "NA")</f>
        <v>NA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 t="str">
        <f>IFERROR(B211/B444, "NA")</f>
        <v>NA</v>
      </c>
      <c r="D211" s="9"/>
      <c r="E211" s="7">
        <v>0</v>
      </c>
      <c r="F211" s="8" t="str">
        <f>IFERROR(E211/E444, "NA")</f>
        <v>NA</v>
      </c>
      <c r="G211" s="9"/>
      <c r="H211" s="10">
        <f>IFERROR(-(B211-E211), "NA")</f>
        <v>0</v>
      </c>
      <c r="I211" s="8" t="str">
        <f>IFERROR(H211/H444, "NA")</f>
        <v>NA</v>
      </c>
      <c r="J211" s="9"/>
      <c r="K211" s="7">
        <v>0</v>
      </c>
      <c r="L211" s="8" t="str">
        <f>IFERROR(K211/K444, "NA")</f>
        <v>NA</v>
      </c>
      <c r="M211" s="9"/>
      <c r="N211" s="10">
        <f>IFERROR(-(B211-K211), "NA")</f>
        <v>0</v>
      </c>
      <c r="O211" s="8" t="str">
        <f>IFERROR(N211/N444, "NA")</f>
        <v>NA</v>
      </c>
      <c r="P211" s="9"/>
      <c r="Q211" s="7">
        <v>0</v>
      </c>
      <c r="R211" s="8" t="str">
        <f>IFERROR(Q211/Q444, "NA")</f>
        <v>NA</v>
      </c>
      <c r="S211" s="9"/>
      <c r="T211" s="7">
        <v>0</v>
      </c>
      <c r="U211" s="8" t="str">
        <f>IFERROR(T211/T444, "NA")</f>
        <v>NA</v>
      </c>
      <c r="V211" s="9"/>
      <c r="W211" s="10">
        <f>IFERROR(-(Q211-T211), "NA")</f>
        <v>0</v>
      </c>
      <c r="X211" s="8" t="str">
        <f>IFERROR(W211/W444, "NA")</f>
        <v>NA</v>
      </c>
      <c r="Y211" s="9"/>
      <c r="Z211" s="7">
        <v>0</v>
      </c>
      <c r="AA211" s="8" t="str">
        <f>IFERROR(Z211/Z444, "NA")</f>
        <v>NA</v>
      </c>
      <c r="AB211" s="9"/>
      <c r="AC211" s="10">
        <f>IFERROR(-(Q211-Z211), "NA")</f>
        <v>0</v>
      </c>
      <c r="AD211" s="8" t="str">
        <f>IFERROR(AC211/AC444, "NA")</f>
        <v>NA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hidden="1" customHeight="1" x14ac:dyDescent="0.45">
      <c r="A213" s="12" t="s">
        <v>193</v>
      </c>
      <c r="B213" s="7">
        <v>0</v>
      </c>
      <c r="C213" s="8" t="str">
        <f>IFERROR(B213/B444, "NA")</f>
        <v>NA</v>
      </c>
      <c r="D213" s="9"/>
      <c r="E213" s="7">
        <v>0</v>
      </c>
      <c r="F213" s="8" t="str">
        <f>IFERROR(E213/E444, "NA")</f>
        <v>NA</v>
      </c>
      <c r="G213" s="9"/>
      <c r="H213" s="10">
        <f t="shared" ref="H213:H227" si="56">IFERROR(-(B213-E213), "NA")</f>
        <v>0</v>
      </c>
      <c r="I213" s="8" t="str">
        <f>IFERROR(H213/H444, "NA")</f>
        <v>NA</v>
      </c>
      <c r="J213" s="9"/>
      <c r="K213" s="7">
        <v>0</v>
      </c>
      <c r="L213" s="8" t="str">
        <f>IFERROR(K213/K444, "NA")</f>
        <v>NA</v>
      </c>
      <c r="M213" s="9"/>
      <c r="N213" s="10">
        <f t="shared" ref="N213:N227" si="57">IFERROR(-(B213-K213), "NA")</f>
        <v>0</v>
      </c>
      <c r="O213" s="8" t="str">
        <f>IFERROR(N213/N444, "NA")</f>
        <v>NA</v>
      </c>
      <c r="P213" s="9"/>
      <c r="Q213" s="7">
        <v>0</v>
      </c>
      <c r="R213" s="8" t="str">
        <f>IFERROR(Q213/Q444, "NA")</f>
        <v>NA</v>
      </c>
      <c r="S213" s="9"/>
      <c r="T213" s="7">
        <v>0</v>
      </c>
      <c r="U213" s="8" t="str">
        <f>IFERROR(T213/T444, "NA")</f>
        <v>NA</v>
      </c>
      <c r="V213" s="9"/>
      <c r="W213" s="10">
        <f t="shared" ref="W213:W227" si="58">IFERROR(-(Q213-T213), "NA")</f>
        <v>0</v>
      </c>
      <c r="X213" s="8" t="str">
        <f>IFERROR(W213/W444, "NA")</f>
        <v>NA</v>
      </c>
      <c r="Y213" s="9"/>
      <c r="Z213" s="7">
        <v>0</v>
      </c>
      <c r="AA213" s="8" t="str">
        <f>IFERROR(Z213/Z444, "NA")</f>
        <v>NA</v>
      </c>
      <c r="AB213" s="9"/>
      <c r="AC213" s="10">
        <f t="shared" ref="AC213:AC227" si="59">IFERROR(-(Q213-Z213), "NA")</f>
        <v>0</v>
      </c>
      <c r="AD213" s="8" t="str">
        <f>IFERROR(AC213/AC444, "NA")</f>
        <v>NA</v>
      </c>
    </row>
    <row r="214" spans="1:30" ht="16.5" hidden="1" customHeight="1" x14ac:dyDescent="0.45">
      <c r="A214" s="12" t="s">
        <v>194</v>
      </c>
      <c r="B214" s="7">
        <v>0</v>
      </c>
      <c r="C214" s="8" t="str">
        <f>IFERROR(B214/B444, "NA")</f>
        <v>NA</v>
      </c>
      <c r="D214" s="9"/>
      <c r="E214" s="7">
        <v>0</v>
      </c>
      <c r="F214" s="8" t="str">
        <f>IFERROR(E214/E444, "NA")</f>
        <v>NA</v>
      </c>
      <c r="G214" s="9"/>
      <c r="H214" s="10">
        <f t="shared" si="56"/>
        <v>0</v>
      </c>
      <c r="I214" s="8" t="str">
        <f>IFERROR(H214/H444, "NA")</f>
        <v>NA</v>
      </c>
      <c r="J214" s="9"/>
      <c r="K214" s="7">
        <v>0</v>
      </c>
      <c r="L214" s="8" t="str">
        <f>IFERROR(K214/K444, "NA")</f>
        <v>NA</v>
      </c>
      <c r="M214" s="9"/>
      <c r="N214" s="10">
        <f t="shared" si="57"/>
        <v>0</v>
      </c>
      <c r="O214" s="8" t="str">
        <f>IFERROR(N214/N444, "NA")</f>
        <v>NA</v>
      </c>
      <c r="P214" s="9"/>
      <c r="Q214" s="7">
        <v>0</v>
      </c>
      <c r="R214" s="8" t="str">
        <f>IFERROR(Q214/Q444, "NA")</f>
        <v>NA</v>
      </c>
      <c r="S214" s="9"/>
      <c r="T214" s="7">
        <v>0</v>
      </c>
      <c r="U214" s="8" t="str">
        <f>IFERROR(T214/T444, "NA")</f>
        <v>NA</v>
      </c>
      <c r="V214" s="9"/>
      <c r="W214" s="10">
        <f t="shared" si="58"/>
        <v>0</v>
      </c>
      <c r="X214" s="8" t="str">
        <f>IFERROR(W214/W444, "NA")</f>
        <v>NA</v>
      </c>
      <c r="Y214" s="9"/>
      <c r="Z214" s="7">
        <v>0</v>
      </c>
      <c r="AA214" s="8" t="str">
        <f>IFERROR(Z214/Z444, "NA")</f>
        <v>NA</v>
      </c>
      <c r="AB214" s="9"/>
      <c r="AC214" s="10">
        <f t="shared" si="59"/>
        <v>0</v>
      </c>
      <c r="AD214" s="8" t="str">
        <f>IFERROR(AC214/AC444, "NA")</f>
        <v>NA</v>
      </c>
    </row>
    <row r="215" spans="1:30" ht="16.5" hidden="1" customHeight="1" x14ac:dyDescent="0.45">
      <c r="A215" s="12" t="s">
        <v>195</v>
      </c>
      <c r="B215" s="7">
        <v>0</v>
      </c>
      <c r="C215" s="8" t="str">
        <f>IFERROR(B215/B444, "NA")</f>
        <v>NA</v>
      </c>
      <c r="D215" s="9"/>
      <c r="E215" s="7">
        <v>0</v>
      </c>
      <c r="F215" s="8" t="str">
        <f>IFERROR(E215/E444, "NA")</f>
        <v>NA</v>
      </c>
      <c r="G215" s="9"/>
      <c r="H215" s="10">
        <f t="shared" si="56"/>
        <v>0</v>
      </c>
      <c r="I215" s="8" t="str">
        <f>IFERROR(H215/H444, "NA")</f>
        <v>NA</v>
      </c>
      <c r="J215" s="9"/>
      <c r="K215" s="7">
        <v>0</v>
      </c>
      <c r="L215" s="8" t="str">
        <f>IFERROR(K215/K444, "NA")</f>
        <v>NA</v>
      </c>
      <c r="M215" s="9"/>
      <c r="N215" s="10">
        <f t="shared" si="57"/>
        <v>0</v>
      </c>
      <c r="O215" s="8" t="str">
        <f>IFERROR(N215/N444, "NA")</f>
        <v>NA</v>
      </c>
      <c r="P215" s="9"/>
      <c r="Q215" s="7">
        <v>0</v>
      </c>
      <c r="R215" s="8" t="str">
        <f>IFERROR(Q215/Q444, "NA")</f>
        <v>NA</v>
      </c>
      <c r="S215" s="9"/>
      <c r="T215" s="7">
        <v>0</v>
      </c>
      <c r="U215" s="8" t="str">
        <f>IFERROR(T215/T444, "NA")</f>
        <v>NA</v>
      </c>
      <c r="V215" s="9"/>
      <c r="W215" s="10">
        <f t="shared" si="58"/>
        <v>0</v>
      </c>
      <c r="X215" s="8" t="str">
        <f>IFERROR(W215/W444, "NA")</f>
        <v>NA</v>
      </c>
      <c r="Y215" s="9"/>
      <c r="Z215" s="7">
        <v>0</v>
      </c>
      <c r="AA215" s="8" t="str">
        <f>IFERROR(Z215/Z444, "NA")</f>
        <v>NA</v>
      </c>
      <c r="AB215" s="9"/>
      <c r="AC215" s="10">
        <f t="shared" si="59"/>
        <v>0</v>
      </c>
      <c r="AD215" s="8" t="str">
        <f>IFERROR(AC215/AC444, "NA")</f>
        <v>NA</v>
      </c>
    </row>
    <row r="216" spans="1:30" ht="16.5" hidden="1" customHeight="1" x14ac:dyDescent="0.45">
      <c r="A216" s="12" t="s">
        <v>196</v>
      </c>
      <c r="B216" s="7">
        <v>0</v>
      </c>
      <c r="C216" s="8" t="str">
        <f>IFERROR(B216/B444, "NA")</f>
        <v>NA</v>
      </c>
      <c r="D216" s="9"/>
      <c r="E216" s="7">
        <v>0</v>
      </c>
      <c r="F216" s="8" t="str">
        <f>IFERROR(E216/E444, "NA")</f>
        <v>NA</v>
      </c>
      <c r="G216" s="9"/>
      <c r="H216" s="10">
        <f t="shared" si="56"/>
        <v>0</v>
      </c>
      <c r="I216" s="8" t="str">
        <f>IFERROR(H216/H444, "NA")</f>
        <v>NA</v>
      </c>
      <c r="J216" s="9"/>
      <c r="K216" s="7">
        <v>0</v>
      </c>
      <c r="L216" s="8" t="str">
        <f>IFERROR(K216/K444, "NA")</f>
        <v>NA</v>
      </c>
      <c r="M216" s="9"/>
      <c r="N216" s="10">
        <f t="shared" si="57"/>
        <v>0</v>
      </c>
      <c r="O216" s="8" t="str">
        <f>IFERROR(N216/N444, "NA")</f>
        <v>NA</v>
      </c>
      <c r="P216" s="9"/>
      <c r="Q216" s="7">
        <v>0</v>
      </c>
      <c r="R216" s="8" t="str">
        <f>IFERROR(Q216/Q444, "NA")</f>
        <v>NA</v>
      </c>
      <c r="S216" s="9"/>
      <c r="T216" s="7">
        <v>0</v>
      </c>
      <c r="U216" s="8" t="str">
        <f>IFERROR(T216/T444, "NA")</f>
        <v>NA</v>
      </c>
      <c r="V216" s="9"/>
      <c r="W216" s="10">
        <f t="shared" si="58"/>
        <v>0</v>
      </c>
      <c r="X216" s="8" t="str">
        <f>IFERROR(W216/W444, "NA")</f>
        <v>NA</v>
      </c>
      <c r="Y216" s="9"/>
      <c r="Z216" s="7">
        <v>0</v>
      </c>
      <c r="AA216" s="8" t="str">
        <f>IFERROR(Z216/Z444, "NA")</f>
        <v>NA</v>
      </c>
      <c r="AB216" s="9"/>
      <c r="AC216" s="10">
        <f t="shared" si="59"/>
        <v>0</v>
      </c>
      <c r="AD216" s="8" t="str">
        <f>IFERROR(AC216/AC444, "NA")</f>
        <v>NA</v>
      </c>
    </row>
    <row r="217" spans="1:30" ht="16.5" hidden="1" customHeight="1" x14ac:dyDescent="0.45">
      <c r="A217" s="12" t="s">
        <v>197</v>
      </c>
      <c r="B217" s="7">
        <v>0</v>
      </c>
      <c r="C217" s="8" t="str">
        <f>IFERROR(B217/B444, "NA")</f>
        <v>NA</v>
      </c>
      <c r="D217" s="9"/>
      <c r="E217" s="7">
        <v>0</v>
      </c>
      <c r="F217" s="8" t="str">
        <f>IFERROR(E217/E444, "NA")</f>
        <v>NA</v>
      </c>
      <c r="G217" s="9"/>
      <c r="H217" s="10">
        <f t="shared" si="56"/>
        <v>0</v>
      </c>
      <c r="I217" s="8" t="str">
        <f>IFERROR(H217/H444, "NA")</f>
        <v>NA</v>
      </c>
      <c r="J217" s="9"/>
      <c r="K217" s="7">
        <v>0</v>
      </c>
      <c r="L217" s="8" t="str">
        <f>IFERROR(K217/K444, "NA")</f>
        <v>NA</v>
      </c>
      <c r="M217" s="9"/>
      <c r="N217" s="10">
        <f t="shared" si="57"/>
        <v>0</v>
      </c>
      <c r="O217" s="8" t="str">
        <f>IFERROR(N217/N444, "NA")</f>
        <v>NA</v>
      </c>
      <c r="P217" s="9"/>
      <c r="Q217" s="7">
        <v>0</v>
      </c>
      <c r="R217" s="8" t="str">
        <f>IFERROR(Q217/Q444, "NA")</f>
        <v>NA</v>
      </c>
      <c r="S217" s="9"/>
      <c r="T217" s="7">
        <v>0</v>
      </c>
      <c r="U217" s="8" t="str">
        <f>IFERROR(T217/T444, "NA")</f>
        <v>NA</v>
      </c>
      <c r="V217" s="9"/>
      <c r="W217" s="10">
        <f t="shared" si="58"/>
        <v>0</v>
      </c>
      <c r="X217" s="8" t="str">
        <f>IFERROR(W217/W444, "NA")</f>
        <v>NA</v>
      </c>
      <c r="Y217" s="9"/>
      <c r="Z217" s="7">
        <v>0</v>
      </c>
      <c r="AA217" s="8" t="str">
        <f>IFERROR(Z217/Z444, "NA")</f>
        <v>NA</v>
      </c>
      <c r="AB217" s="9"/>
      <c r="AC217" s="10">
        <f t="shared" si="59"/>
        <v>0</v>
      </c>
      <c r="AD217" s="8" t="str">
        <f>IFERROR(AC217/AC444, "NA")</f>
        <v>NA</v>
      </c>
    </row>
    <row r="218" spans="1:30" ht="16.5" customHeight="1" x14ac:dyDescent="0.45">
      <c r="A218" s="13" t="s">
        <v>198</v>
      </c>
      <c r="B218" s="14">
        <f>IFERROR(B213+B214+B215+B216+B217, "NA")</f>
        <v>0</v>
      </c>
      <c r="C218" s="15" t="str">
        <f>IFERROR(B218/B444, "NA")</f>
        <v>NA</v>
      </c>
      <c r="D218" s="2"/>
      <c r="E218" s="14">
        <f>IFERROR(E213+E214+E215+E216+E217, "NA")</f>
        <v>0</v>
      </c>
      <c r="F218" s="15" t="str">
        <f>IFERROR(E218/E444, "NA")</f>
        <v>NA</v>
      </c>
      <c r="G218" s="2"/>
      <c r="H218" s="14">
        <f t="shared" si="56"/>
        <v>0</v>
      </c>
      <c r="I218" s="15" t="str">
        <f>IFERROR(H218/H444, "NA")</f>
        <v>NA</v>
      </c>
      <c r="J218" s="2"/>
      <c r="K218" s="14">
        <f>IFERROR(K213+K214+K215+K216+K217, "NA")</f>
        <v>0</v>
      </c>
      <c r="L218" s="15" t="str">
        <f>IFERROR(K218/K444, "NA")</f>
        <v>NA</v>
      </c>
      <c r="M218" s="2"/>
      <c r="N218" s="14">
        <f t="shared" si="57"/>
        <v>0</v>
      </c>
      <c r="O218" s="15" t="str">
        <f>IFERROR(N218/N444, "NA")</f>
        <v>NA</v>
      </c>
      <c r="P218" s="2"/>
      <c r="Q218" s="14">
        <f>IFERROR(Q213+Q214+Q215+Q216+Q217, "NA")</f>
        <v>0</v>
      </c>
      <c r="R218" s="15" t="str">
        <f>IFERROR(Q218/Q444, "NA")</f>
        <v>NA</v>
      </c>
      <c r="S218" s="2"/>
      <c r="T218" s="14">
        <f>IFERROR(T213+T214+T215+T216+T217, "NA")</f>
        <v>0</v>
      </c>
      <c r="U218" s="15" t="str">
        <f>IFERROR(T218/T444, "NA")</f>
        <v>NA</v>
      </c>
      <c r="V218" s="2"/>
      <c r="W218" s="14">
        <f t="shared" si="58"/>
        <v>0</v>
      </c>
      <c r="X218" s="15" t="str">
        <f>IFERROR(W218/W444, "NA")</f>
        <v>NA</v>
      </c>
      <c r="Y218" s="2"/>
      <c r="Z218" s="14">
        <f>IFERROR(Z213+Z214+Z215+Z216+Z217, "NA")</f>
        <v>0</v>
      </c>
      <c r="AA218" s="15" t="str">
        <f>IFERROR(Z218/Z444, "NA")</f>
        <v>NA</v>
      </c>
      <c r="AB218" s="2"/>
      <c r="AC218" s="14">
        <f t="shared" si="59"/>
        <v>0</v>
      </c>
      <c r="AD218" s="15" t="str">
        <f>IFERROR(AC218/AC444, "NA")</f>
        <v>NA</v>
      </c>
    </row>
    <row r="219" spans="1:30" ht="16.5" hidden="1" customHeight="1" x14ac:dyDescent="0.45">
      <c r="A219" s="6" t="s">
        <v>199</v>
      </c>
      <c r="B219" s="7">
        <v>0</v>
      </c>
      <c r="C219" s="8" t="str">
        <f>IFERROR(B219/B444, "NA")</f>
        <v>NA</v>
      </c>
      <c r="D219" s="9"/>
      <c r="E219" s="7">
        <v>0</v>
      </c>
      <c r="F219" s="8" t="str">
        <f>IFERROR(E219/E444, "NA")</f>
        <v>NA</v>
      </c>
      <c r="G219" s="9"/>
      <c r="H219" s="10">
        <f t="shared" si="56"/>
        <v>0</v>
      </c>
      <c r="I219" s="8" t="str">
        <f>IFERROR(H219/H444, "NA")</f>
        <v>NA</v>
      </c>
      <c r="J219" s="9"/>
      <c r="K219" s="7">
        <v>0</v>
      </c>
      <c r="L219" s="8" t="str">
        <f>IFERROR(K219/K444, "NA")</f>
        <v>NA</v>
      </c>
      <c r="M219" s="9"/>
      <c r="N219" s="10">
        <f t="shared" si="57"/>
        <v>0</v>
      </c>
      <c r="O219" s="8" t="str">
        <f>IFERROR(N219/N444, "NA")</f>
        <v>NA</v>
      </c>
      <c r="P219" s="9"/>
      <c r="Q219" s="7">
        <v>0</v>
      </c>
      <c r="R219" s="8" t="str">
        <f>IFERROR(Q219/Q444, "NA")</f>
        <v>NA</v>
      </c>
      <c r="S219" s="9"/>
      <c r="T219" s="7">
        <v>0</v>
      </c>
      <c r="U219" s="8" t="str">
        <f>IFERROR(T219/T444, "NA")</f>
        <v>NA</v>
      </c>
      <c r="V219" s="9"/>
      <c r="W219" s="10">
        <f t="shared" si="58"/>
        <v>0</v>
      </c>
      <c r="X219" s="8" t="str">
        <f>IFERROR(W219/W444, "NA")</f>
        <v>NA</v>
      </c>
      <c r="Y219" s="9"/>
      <c r="Z219" s="7">
        <v>0</v>
      </c>
      <c r="AA219" s="8" t="str">
        <f>IFERROR(Z219/Z444, "NA")</f>
        <v>NA</v>
      </c>
      <c r="AB219" s="9"/>
      <c r="AC219" s="10">
        <f t="shared" si="59"/>
        <v>0</v>
      </c>
      <c r="AD219" s="8" t="str">
        <f>IFERROR(AC219/AC444, "NA")</f>
        <v>NA</v>
      </c>
    </row>
    <row r="220" spans="1:30" ht="16.5" hidden="1" customHeight="1" x14ac:dyDescent="0.45">
      <c r="A220" s="6" t="s">
        <v>200</v>
      </c>
      <c r="B220" s="7">
        <v>0</v>
      </c>
      <c r="C220" s="8" t="str">
        <f>IFERROR(B220/B444, "NA")</f>
        <v>NA</v>
      </c>
      <c r="D220" s="9"/>
      <c r="E220" s="7">
        <v>0</v>
      </c>
      <c r="F220" s="8" t="str">
        <f>IFERROR(E220/E444, "NA")</f>
        <v>NA</v>
      </c>
      <c r="G220" s="9"/>
      <c r="H220" s="10">
        <f t="shared" si="56"/>
        <v>0</v>
      </c>
      <c r="I220" s="8" t="str">
        <f>IFERROR(H220/H444, "NA")</f>
        <v>NA</v>
      </c>
      <c r="J220" s="9"/>
      <c r="K220" s="7">
        <v>0</v>
      </c>
      <c r="L220" s="8" t="str">
        <f>IFERROR(K220/K444, "NA")</f>
        <v>NA</v>
      </c>
      <c r="M220" s="9"/>
      <c r="N220" s="10">
        <f t="shared" si="57"/>
        <v>0</v>
      </c>
      <c r="O220" s="8" t="str">
        <f>IFERROR(N220/N444, "NA")</f>
        <v>NA</v>
      </c>
      <c r="P220" s="9"/>
      <c r="Q220" s="7">
        <v>0</v>
      </c>
      <c r="R220" s="8" t="str">
        <f>IFERROR(Q220/Q444, "NA")</f>
        <v>NA</v>
      </c>
      <c r="S220" s="9"/>
      <c r="T220" s="7">
        <v>0</v>
      </c>
      <c r="U220" s="8" t="str">
        <f>IFERROR(T220/T444, "NA")</f>
        <v>NA</v>
      </c>
      <c r="V220" s="9"/>
      <c r="W220" s="10">
        <f t="shared" si="58"/>
        <v>0</v>
      </c>
      <c r="X220" s="8" t="str">
        <f>IFERROR(W220/W444, "NA")</f>
        <v>NA</v>
      </c>
      <c r="Y220" s="9"/>
      <c r="Z220" s="7">
        <v>0</v>
      </c>
      <c r="AA220" s="8" t="str">
        <f>IFERROR(Z220/Z444, "NA")</f>
        <v>NA</v>
      </c>
      <c r="AB220" s="9"/>
      <c r="AC220" s="10">
        <f t="shared" si="59"/>
        <v>0</v>
      </c>
      <c r="AD220" s="8" t="str">
        <f>IFERROR(AC220/AC444, "NA")</f>
        <v>NA</v>
      </c>
    </row>
    <row r="221" spans="1:30" ht="16.5" hidden="1" customHeight="1" x14ac:dyDescent="0.45">
      <c r="A221" s="6" t="s">
        <v>201</v>
      </c>
      <c r="B221" s="7">
        <v>0</v>
      </c>
      <c r="C221" s="8" t="str">
        <f>IFERROR(B221/B444, "NA")</f>
        <v>NA</v>
      </c>
      <c r="D221" s="9"/>
      <c r="E221" s="7">
        <v>0</v>
      </c>
      <c r="F221" s="8" t="str">
        <f>IFERROR(E221/E444, "NA")</f>
        <v>NA</v>
      </c>
      <c r="G221" s="9"/>
      <c r="H221" s="10">
        <f t="shared" si="56"/>
        <v>0</v>
      </c>
      <c r="I221" s="8" t="str">
        <f>IFERROR(H221/H444, "NA")</f>
        <v>NA</v>
      </c>
      <c r="J221" s="9"/>
      <c r="K221" s="7">
        <v>0</v>
      </c>
      <c r="L221" s="8" t="str">
        <f>IFERROR(K221/K444, "NA")</f>
        <v>NA</v>
      </c>
      <c r="M221" s="9"/>
      <c r="N221" s="10">
        <f t="shared" si="57"/>
        <v>0</v>
      </c>
      <c r="O221" s="8" t="str">
        <f>IFERROR(N221/N444, "NA")</f>
        <v>NA</v>
      </c>
      <c r="P221" s="9"/>
      <c r="Q221" s="7">
        <v>0</v>
      </c>
      <c r="R221" s="8" t="str">
        <f>IFERROR(Q221/Q444, "NA")</f>
        <v>NA</v>
      </c>
      <c r="S221" s="9"/>
      <c r="T221" s="7">
        <v>0</v>
      </c>
      <c r="U221" s="8" t="str">
        <f>IFERROR(T221/T444, "NA")</f>
        <v>NA</v>
      </c>
      <c r="V221" s="9"/>
      <c r="W221" s="10">
        <f t="shared" si="58"/>
        <v>0</v>
      </c>
      <c r="X221" s="8" t="str">
        <f>IFERROR(W221/W444, "NA")</f>
        <v>NA</v>
      </c>
      <c r="Y221" s="9"/>
      <c r="Z221" s="7">
        <v>0</v>
      </c>
      <c r="AA221" s="8" t="str">
        <f>IFERROR(Z221/Z444, "NA")</f>
        <v>NA</v>
      </c>
      <c r="AB221" s="9"/>
      <c r="AC221" s="10">
        <f t="shared" si="59"/>
        <v>0</v>
      </c>
      <c r="AD221" s="8" t="str">
        <f>IFERROR(AC221/AC444, "NA")</f>
        <v>NA</v>
      </c>
    </row>
    <row r="222" spans="1:30" ht="16.5" hidden="1" customHeight="1" x14ac:dyDescent="0.45">
      <c r="A222" s="6" t="s">
        <v>202</v>
      </c>
      <c r="B222" s="7">
        <v>0</v>
      </c>
      <c r="C222" s="8" t="str">
        <f>IFERROR(B222/B444, "NA")</f>
        <v>NA</v>
      </c>
      <c r="D222" s="9"/>
      <c r="E222" s="7">
        <v>0</v>
      </c>
      <c r="F222" s="8" t="str">
        <f>IFERROR(E222/E444, "NA")</f>
        <v>NA</v>
      </c>
      <c r="G222" s="9"/>
      <c r="H222" s="10">
        <f t="shared" si="56"/>
        <v>0</v>
      </c>
      <c r="I222" s="8" t="str">
        <f>IFERROR(H222/H444, "NA")</f>
        <v>NA</v>
      </c>
      <c r="J222" s="9"/>
      <c r="K222" s="7">
        <v>0</v>
      </c>
      <c r="L222" s="8" t="str">
        <f>IFERROR(K222/K444, "NA")</f>
        <v>NA</v>
      </c>
      <c r="M222" s="9"/>
      <c r="N222" s="10">
        <f t="shared" si="57"/>
        <v>0</v>
      </c>
      <c r="O222" s="8" t="str">
        <f>IFERROR(N222/N444, "NA")</f>
        <v>NA</v>
      </c>
      <c r="P222" s="9"/>
      <c r="Q222" s="7">
        <v>0</v>
      </c>
      <c r="R222" s="8" t="str">
        <f>IFERROR(Q222/Q444, "NA")</f>
        <v>NA</v>
      </c>
      <c r="S222" s="9"/>
      <c r="T222" s="7">
        <v>0</v>
      </c>
      <c r="U222" s="8" t="str">
        <f>IFERROR(T222/T444, "NA")</f>
        <v>NA</v>
      </c>
      <c r="V222" s="9"/>
      <c r="W222" s="10">
        <f t="shared" si="58"/>
        <v>0</v>
      </c>
      <c r="X222" s="8" t="str">
        <f>IFERROR(W222/W444, "NA")</f>
        <v>NA</v>
      </c>
      <c r="Y222" s="9"/>
      <c r="Z222" s="7">
        <v>0</v>
      </c>
      <c r="AA222" s="8" t="str">
        <f>IFERROR(Z222/Z444, "NA")</f>
        <v>NA</v>
      </c>
      <c r="AB222" s="9"/>
      <c r="AC222" s="10">
        <f t="shared" si="59"/>
        <v>0</v>
      </c>
      <c r="AD222" s="8" t="str">
        <f>IFERROR(AC222/AC444, "NA")</f>
        <v>NA</v>
      </c>
    </row>
    <row r="223" spans="1:30" ht="16.5" hidden="1" customHeight="1" x14ac:dyDescent="0.45">
      <c r="A223" s="6" t="s">
        <v>203</v>
      </c>
      <c r="B223" s="7">
        <v>0</v>
      </c>
      <c r="C223" s="8" t="str">
        <f>IFERROR(B223/B444, "NA")</f>
        <v>NA</v>
      </c>
      <c r="D223" s="9"/>
      <c r="E223" s="7">
        <v>0</v>
      </c>
      <c r="F223" s="8" t="str">
        <f>IFERROR(E223/E444, "NA")</f>
        <v>NA</v>
      </c>
      <c r="G223" s="9"/>
      <c r="H223" s="10">
        <f t="shared" si="56"/>
        <v>0</v>
      </c>
      <c r="I223" s="8" t="str">
        <f>IFERROR(H223/H444, "NA")</f>
        <v>NA</v>
      </c>
      <c r="J223" s="9"/>
      <c r="K223" s="7">
        <v>0</v>
      </c>
      <c r="L223" s="8" t="str">
        <f>IFERROR(K223/K444, "NA")</f>
        <v>NA</v>
      </c>
      <c r="M223" s="9"/>
      <c r="N223" s="10">
        <f t="shared" si="57"/>
        <v>0</v>
      </c>
      <c r="O223" s="8" t="str">
        <f>IFERROR(N223/N444, "NA")</f>
        <v>NA</v>
      </c>
      <c r="P223" s="9"/>
      <c r="Q223" s="7">
        <v>0</v>
      </c>
      <c r="R223" s="8" t="str">
        <f>IFERROR(Q223/Q444, "NA")</f>
        <v>NA</v>
      </c>
      <c r="S223" s="9"/>
      <c r="T223" s="7">
        <v>0</v>
      </c>
      <c r="U223" s="8" t="str">
        <f>IFERROR(T223/T444, "NA")</f>
        <v>NA</v>
      </c>
      <c r="V223" s="9"/>
      <c r="W223" s="10">
        <f t="shared" si="58"/>
        <v>0</v>
      </c>
      <c r="X223" s="8" t="str">
        <f>IFERROR(W223/W444, "NA")</f>
        <v>NA</v>
      </c>
      <c r="Y223" s="9"/>
      <c r="Z223" s="7">
        <v>0</v>
      </c>
      <c r="AA223" s="8" t="str">
        <f>IFERROR(Z223/Z444, "NA")</f>
        <v>NA</v>
      </c>
      <c r="AB223" s="9"/>
      <c r="AC223" s="10">
        <f t="shared" si="59"/>
        <v>0</v>
      </c>
      <c r="AD223" s="8" t="str">
        <f>IFERROR(AC223/AC444, "NA")</f>
        <v>NA</v>
      </c>
    </row>
    <row r="224" spans="1:30" ht="16.5" hidden="1" customHeight="1" x14ac:dyDescent="0.45">
      <c r="A224" s="6" t="s">
        <v>204</v>
      </c>
      <c r="B224" s="7">
        <v>0</v>
      </c>
      <c r="C224" s="8" t="str">
        <f>IFERROR(B224/B444, "NA")</f>
        <v>NA</v>
      </c>
      <c r="D224" s="9"/>
      <c r="E224" s="7">
        <v>0</v>
      </c>
      <c r="F224" s="8" t="str">
        <f>IFERROR(E224/E444, "NA")</f>
        <v>NA</v>
      </c>
      <c r="G224" s="9"/>
      <c r="H224" s="10">
        <f t="shared" si="56"/>
        <v>0</v>
      </c>
      <c r="I224" s="8" t="str">
        <f>IFERROR(H224/H444, "NA")</f>
        <v>NA</v>
      </c>
      <c r="J224" s="9"/>
      <c r="K224" s="7">
        <v>0</v>
      </c>
      <c r="L224" s="8" t="str">
        <f>IFERROR(K224/K444, "NA")</f>
        <v>NA</v>
      </c>
      <c r="M224" s="9"/>
      <c r="N224" s="10">
        <f t="shared" si="57"/>
        <v>0</v>
      </c>
      <c r="O224" s="8" t="str">
        <f>IFERROR(N224/N444, "NA")</f>
        <v>NA</v>
      </c>
      <c r="P224" s="9"/>
      <c r="Q224" s="7">
        <v>0</v>
      </c>
      <c r="R224" s="8" t="str">
        <f>IFERROR(Q224/Q444, "NA")</f>
        <v>NA</v>
      </c>
      <c r="S224" s="9"/>
      <c r="T224" s="7">
        <v>0</v>
      </c>
      <c r="U224" s="8" t="str">
        <f>IFERROR(T224/T444, "NA")</f>
        <v>NA</v>
      </c>
      <c r="V224" s="9"/>
      <c r="W224" s="10">
        <f t="shared" si="58"/>
        <v>0</v>
      </c>
      <c r="X224" s="8" t="str">
        <f>IFERROR(W224/W444, "NA")</f>
        <v>NA</v>
      </c>
      <c r="Y224" s="9"/>
      <c r="Z224" s="7">
        <v>0</v>
      </c>
      <c r="AA224" s="8" t="str">
        <f>IFERROR(Z224/Z444, "NA")</f>
        <v>NA</v>
      </c>
      <c r="AB224" s="9"/>
      <c r="AC224" s="10">
        <f t="shared" si="59"/>
        <v>0</v>
      </c>
      <c r="AD224" s="8" t="str">
        <f>IFERROR(AC224/AC444, "NA")</f>
        <v>NA</v>
      </c>
    </row>
    <row r="225" spans="1:30" ht="16.5" hidden="1" customHeight="1" x14ac:dyDescent="0.45">
      <c r="A225" s="6" t="s">
        <v>205</v>
      </c>
      <c r="B225" s="7">
        <v>0</v>
      </c>
      <c r="C225" s="8" t="str">
        <f>IFERROR(B225/B444, "NA")</f>
        <v>NA</v>
      </c>
      <c r="D225" s="9"/>
      <c r="E225" s="7">
        <v>0</v>
      </c>
      <c r="F225" s="8" t="str">
        <f>IFERROR(E225/E444, "NA")</f>
        <v>NA</v>
      </c>
      <c r="G225" s="9"/>
      <c r="H225" s="10">
        <f t="shared" si="56"/>
        <v>0</v>
      </c>
      <c r="I225" s="8" t="str">
        <f>IFERROR(H225/H444, "NA")</f>
        <v>NA</v>
      </c>
      <c r="J225" s="9"/>
      <c r="K225" s="7">
        <v>0</v>
      </c>
      <c r="L225" s="8" t="str">
        <f>IFERROR(K225/K444, "NA")</f>
        <v>NA</v>
      </c>
      <c r="M225" s="9"/>
      <c r="N225" s="10">
        <f t="shared" si="57"/>
        <v>0</v>
      </c>
      <c r="O225" s="8" t="str">
        <f>IFERROR(N225/N444, "NA")</f>
        <v>NA</v>
      </c>
      <c r="P225" s="9"/>
      <c r="Q225" s="7">
        <v>0</v>
      </c>
      <c r="R225" s="8" t="str">
        <f>IFERROR(Q225/Q444, "NA")</f>
        <v>NA</v>
      </c>
      <c r="S225" s="9"/>
      <c r="T225" s="7">
        <v>0</v>
      </c>
      <c r="U225" s="8" t="str">
        <f>IFERROR(T225/T444, "NA")</f>
        <v>NA</v>
      </c>
      <c r="V225" s="9"/>
      <c r="W225" s="10">
        <f t="shared" si="58"/>
        <v>0</v>
      </c>
      <c r="X225" s="8" t="str">
        <f>IFERROR(W225/W444, "NA")</f>
        <v>NA</v>
      </c>
      <c r="Y225" s="9"/>
      <c r="Z225" s="7">
        <v>0</v>
      </c>
      <c r="AA225" s="8" t="str">
        <f>IFERROR(Z225/Z444, "NA")</f>
        <v>NA</v>
      </c>
      <c r="AB225" s="9"/>
      <c r="AC225" s="10">
        <f t="shared" si="59"/>
        <v>0</v>
      </c>
      <c r="AD225" s="8" t="str">
        <f>IFERROR(AC225/AC444, "NA")</f>
        <v>NA</v>
      </c>
    </row>
    <row r="226" spans="1:30" ht="16.5" hidden="1" customHeight="1" x14ac:dyDescent="0.45">
      <c r="A226" s="6" t="s">
        <v>206</v>
      </c>
      <c r="B226" s="7">
        <v>0</v>
      </c>
      <c r="C226" s="8" t="str">
        <f>IFERROR(B226/B444, "NA")</f>
        <v>NA</v>
      </c>
      <c r="D226" s="9"/>
      <c r="E226" s="7">
        <v>0</v>
      </c>
      <c r="F226" s="8" t="str">
        <f>IFERROR(E226/E444, "NA")</f>
        <v>NA</v>
      </c>
      <c r="G226" s="9"/>
      <c r="H226" s="10">
        <f t="shared" si="56"/>
        <v>0</v>
      </c>
      <c r="I226" s="8" t="str">
        <f>IFERROR(H226/H444, "NA")</f>
        <v>NA</v>
      </c>
      <c r="J226" s="9"/>
      <c r="K226" s="7">
        <v>0</v>
      </c>
      <c r="L226" s="8" t="str">
        <f>IFERROR(K226/K444, "NA")</f>
        <v>NA</v>
      </c>
      <c r="M226" s="9"/>
      <c r="N226" s="10">
        <f t="shared" si="57"/>
        <v>0</v>
      </c>
      <c r="O226" s="8" t="str">
        <f>IFERROR(N226/N444, "NA")</f>
        <v>NA</v>
      </c>
      <c r="P226" s="9"/>
      <c r="Q226" s="7">
        <v>0</v>
      </c>
      <c r="R226" s="8" t="str">
        <f>IFERROR(Q226/Q444, "NA")</f>
        <v>NA</v>
      </c>
      <c r="S226" s="9"/>
      <c r="T226" s="7">
        <v>0</v>
      </c>
      <c r="U226" s="8" t="str">
        <f>IFERROR(T226/T444, "NA")</f>
        <v>NA</v>
      </c>
      <c r="V226" s="9"/>
      <c r="W226" s="10">
        <f t="shared" si="58"/>
        <v>0</v>
      </c>
      <c r="X226" s="8" t="str">
        <f>IFERROR(W226/W444, "NA")</f>
        <v>NA</v>
      </c>
      <c r="Y226" s="9"/>
      <c r="Z226" s="7">
        <v>0</v>
      </c>
      <c r="AA226" s="8" t="str">
        <f>IFERROR(Z226/Z444, "NA")</f>
        <v>NA</v>
      </c>
      <c r="AB226" s="9"/>
      <c r="AC226" s="10">
        <f t="shared" si="59"/>
        <v>0</v>
      </c>
      <c r="AD226" s="8" t="str">
        <f>IFERROR(AC226/AC444, "NA")</f>
        <v>NA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0</v>
      </c>
      <c r="C227" s="15" t="str">
        <f>IFERROR(B227/B444, "NA")</f>
        <v>NA</v>
      </c>
      <c r="D227" s="2"/>
      <c r="E227" s="14">
        <f>IFERROR(E211+E213+E214+E215+E216+E217+E219+E220+E221+E222+E223+E224+E225+E226, "NA")</f>
        <v>0</v>
      </c>
      <c r="F227" s="15" t="str">
        <f>IFERROR(E227/E444, "NA")</f>
        <v>NA</v>
      </c>
      <c r="G227" s="2"/>
      <c r="H227" s="14">
        <f t="shared" si="56"/>
        <v>0</v>
      </c>
      <c r="I227" s="15" t="str">
        <f>IFERROR(H227/H444, "NA")</f>
        <v>NA</v>
      </c>
      <c r="J227" s="2"/>
      <c r="K227" s="14">
        <f>IFERROR(K211+K213+K214+K215+K216+K217+K219+K220+K221+K222+K223+K224+K225+K226, "NA")</f>
        <v>0</v>
      </c>
      <c r="L227" s="15" t="str">
        <f>IFERROR(K227/K444, "NA")</f>
        <v>NA</v>
      </c>
      <c r="M227" s="2"/>
      <c r="N227" s="14">
        <f t="shared" si="57"/>
        <v>0</v>
      </c>
      <c r="O227" s="15" t="str">
        <f>IFERROR(N227/N444, "NA")</f>
        <v>NA</v>
      </c>
      <c r="P227" s="2"/>
      <c r="Q227" s="14">
        <f>IFERROR(Q211+Q213+Q214+Q215+Q216+Q217+Q219+Q220+Q221+Q222+Q223+Q224+Q225+Q226, "NA")</f>
        <v>0</v>
      </c>
      <c r="R227" s="15" t="str">
        <f>IFERROR(Q227/Q444, "NA")</f>
        <v>NA</v>
      </c>
      <c r="S227" s="2"/>
      <c r="T227" s="14">
        <f>IFERROR(T211+T213+T214+T215+T216+T217+T219+T220+T221+T222+T223+T224+T225+T226, "NA")</f>
        <v>0</v>
      </c>
      <c r="U227" s="15" t="str">
        <f>IFERROR(T227/T444, "NA")</f>
        <v>NA</v>
      </c>
      <c r="V227" s="2"/>
      <c r="W227" s="14">
        <f t="shared" si="58"/>
        <v>0</v>
      </c>
      <c r="X227" s="15" t="str">
        <f>IFERROR(W227/W444, "NA")</f>
        <v>NA</v>
      </c>
      <c r="Y227" s="2"/>
      <c r="Z227" s="14">
        <f>IFERROR(Z211+Z213+Z214+Z215+Z216+Z217+Z219+Z220+Z221+Z222+Z223+Z224+Z225+Z226, "NA")</f>
        <v>0</v>
      </c>
      <c r="AA227" s="15" t="str">
        <f>IFERROR(Z227/Z444, "NA")</f>
        <v>NA</v>
      </c>
      <c r="AB227" s="2"/>
      <c r="AC227" s="14">
        <f t="shared" si="59"/>
        <v>0</v>
      </c>
      <c r="AD227" s="15" t="str">
        <f>IFERROR(AC227/AC444, "NA")</f>
        <v>NA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hidden="1" customHeight="1" x14ac:dyDescent="0.45">
      <c r="A229" s="6" t="s">
        <v>208</v>
      </c>
      <c r="B229" s="7">
        <v>0</v>
      </c>
      <c r="C229" s="8" t="str">
        <f>IFERROR(B229/B444, "NA")</f>
        <v>NA</v>
      </c>
      <c r="D229" s="9"/>
      <c r="E229" s="7">
        <v>0</v>
      </c>
      <c r="F229" s="8" t="str">
        <f>IFERROR(E229/E444, "NA")</f>
        <v>NA</v>
      </c>
      <c r="G229" s="9"/>
      <c r="H229" s="10">
        <f t="shared" ref="H229:H236" si="60">IFERROR(-(B229-E229), "NA")</f>
        <v>0</v>
      </c>
      <c r="I229" s="8" t="str">
        <f>IFERROR(H229/H444, "NA")</f>
        <v>NA</v>
      </c>
      <c r="J229" s="9"/>
      <c r="K229" s="7">
        <v>0</v>
      </c>
      <c r="L229" s="8" t="str">
        <f>IFERROR(K229/K444, "NA")</f>
        <v>NA</v>
      </c>
      <c r="M229" s="9"/>
      <c r="N229" s="10">
        <f t="shared" ref="N229:N236" si="61">IFERROR(-(B229-K229), "NA")</f>
        <v>0</v>
      </c>
      <c r="O229" s="8" t="str">
        <f>IFERROR(N229/N444, "NA")</f>
        <v>NA</v>
      </c>
      <c r="P229" s="9"/>
      <c r="Q229" s="7">
        <v>0</v>
      </c>
      <c r="R229" s="8" t="str">
        <f>IFERROR(Q229/Q444, "NA")</f>
        <v>NA</v>
      </c>
      <c r="S229" s="9"/>
      <c r="T229" s="7">
        <v>0</v>
      </c>
      <c r="U229" s="8" t="str">
        <f>IFERROR(T229/T444, "NA")</f>
        <v>NA</v>
      </c>
      <c r="V229" s="9"/>
      <c r="W229" s="10">
        <f t="shared" ref="W229:W236" si="62">IFERROR(-(Q229-T229), "NA")</f>
        <v>0</v>
      </c>
      <c r="X229" s="8" t="str">
        <f>IFERROR(W229/W444, "NA")</f>
        <v>NA</v>
      </c>
      <c r="Y229" s="9"/>
      <c r="Z229" s="7">
        <v>0</v>
      </c>
      <c r="AA229" s="8" t="str">
        <f>IFERROR(Z229/Z444, "NA")</f>
        <v>NA</v>
      </c>
      <c r="AB229" s="9"/>
      <c r="AC229" s="10">
        <f t="shared" ref="AC229:AC236" si="63">IFERROR(-(Q229-Z229), "NA")</f>
        <v>0</v>
      </c>
      <c r="AD229" s="8" t="str">
        <f>IFERROR(AC229/AC444, "NA")</f>
        <v>NA</v>
      </c>
    </row>
    <row r="230" spans="1:30" ht="16.5" hidden="1" customHeight="1" x14ac:dyDescent="0.45">
      <c r="A230" s="6" t="s">
        <v>209</v>
      </c>
      <c r="B230" s="7">
        <v>0</v>
      </c>
      <c r="C230" s="8" t="str">
        <f>IFERROR(B230/B444, "NA")</f>
        <v>NA</v>
      </c>
      <c r="D230" s="9"/>
      <c r="E230" s="7">
        <v>0</v>
      </c>
      <c r="F230" s="8" t="str">
        <f>IFERROR(E230/E444, "NA")</f>
        <v>NA</v>
      </c>
      <c r="G230" s="9"/>
      <c r="H230" s="10">
        <f t="shared" si="60"/>
        <v>0</v>
      </c>
      <c r="I230" s="8" t="str">
        <f>IFERROR(H230/H444, "NA")</f>
        <v>NA</v>
      </c>
      <c r="J230" s="9"/>
      <c r="K230" s="7">
        <v>0</v>
      </c>
      <c r="L230" s="8" t="str">
        <f>IFERROR(K230/K444, "NA")</f>
        <v>NA</v>
      </c>
      <c r="M230" s="9"/>
      <c r="N230" s="10">
        <f t="shared" si="61"/>
        <v>0</v>
      </c>
      <c r="O230" s="8" t="str">
        <f>IFERROR(N230/N444, "NA")</f>
        <v>NA</v>
      </c>
      <c r="P230" s="9"/>
      <c r="Q230" s="7">
        <v>0</v>
      </c>
      <c r="R230" s="8" t="str">
        <f>IFERROR(Q230/Q444, "NA")</f>
        <v>NA</v>
      </c>
      <c r="S230" s="9"/>
      <c r="T230" s="7">
        <v>0</v>
      </c>
      <c r="U230" s="8" t="str">
        <f>IFERROR(T230/T444, "NA")</f>
        <v>NA</v>
      </c>
      <c r="V230" s="9"/>
      <c r="W230" s="10">
        <f t="shared" si="62"/>
        <v>0</v>
      </c>
      <c r="X230" s="8" t="str">
        <f>IFERROR(W230/W444, "NA")</f>
        <v>NA</v>
      </c>
      <c r="Y230" s="9"/>
      <c r="Z230" s="7">
        <v>0</v>
      </c>
      <c r="AA230" s="8" t="str">
        <f>IFERROR(Z230/Z444, "NA")</f>
        <v>NA</v>
      </c>
      <c r="AB230" s="9"/>
      <c r="AC230" s="10">
        <f t="shared" si="63"/>
        <v>0</v>
      </c>
      <c r="AD230" s="8" t="str">
        <f>IFERROR(AC230/AC444, "NA")</f>
        <v>NA</v>
      </c>
    </row>
    <row r="231" spans="1:30" ht="16.5" hidden="1" customHeight="1" x14ac:dyDescent="0.45">
      <c r="A231" s="6" t="s">
        <v>210</v>
      </c>
      <c r="B231" s="7">
        <v>0</v>
      </c>
      <c r="C231" s="8" t="str">
        <f>IFERROR(B231/B444, "NA")</f>
        <v>NA</v>
      </c>
      <c r="D231" s="9"/>
      <c r="E231" s="7">
        <v>0</v>
      </c>
      <c r="F231" s="8" t="str">
        <f>IFERROR(E231/E444, "NA")</f>
        <v>NA</v>
      </c>
      <c r="G231" s="9"/>
      <c r="H231" s="10">
        <f t="shared" si="60"/>
        <v>0</v>
      </c>
      <c r="I231" s="8" t="str">
        <f>IFERROR(H231/H444, "NA")</f>
        <v>NA</v>
      </c>
      <c r="J231" s="9"/>
      <c r="K231" s="7">
        <v>0</v>
      </c>
      <c r="L231" s="8" t="str">
        <f>IFERROR(K231/K444, "NA")</f>
        <v>NA</v>
      </c>
      <c r="M231" s="9"/>
      <c r="N231" s="10">
        <f t="shared" si="61"/>
        <v>0</v>
      </c>
      <c r="O231" s="8" t="str">
        <f>IFERROR(N231/N444, "NA")</f>
        <v>NA</v>
      </c>
      <c r="P231" s="9"/>
      <c r="Q231" s="7">
        <v>0</v>
      </c>
      <c r="R231" s="8" t="str">
        <f>IFERROR(Q231/Q444, "NA")</f>
        <v>NA</v>
      </c>
      <c r="S231" s="9"/>
      <c r="T231" s="7">
        <v>0</v>
      </c>
      <c r="U231" s="8" t="str">
        <f>IFERROR(T231/T444, "NA")</f>
        <v>NA</v>
      </c>
      <c r="V231" s="9"/>
      <c r="W231" s="10">
        <f t="shared" si="62"/>
        <v>0</v>
      </c>
      <c r="X231" s="8" t="str">
        <f>IFERROR(W231/W444, "NA")</f>
        <v>NA</v>
      </c>
      <c r="Y231" s="9"/>
      <c r="Z231" s="7">
        <v>0</v>
      </c>
      <c r="AA231" s="8" t="str">
        <f>IFERROR(Z231/Z444, "NA")</f>
        <v>NA</v>
      </c>
      <c r="AB231" s="9"/>
      <c r="AC231" s="10">
        <f t="shared" si="63"/>
        <v>0</v>
      </c>
      <c r="AD231" s="8" t="str">
        <f>IFERROR(AC231/AC444, "NA")</f>
        <v>NA</v>
      </c>
    </row>
    <row r="232" spans="1:30" ht="16.5" hidden="1" customHeight="1" x14ac:dyDescent="0.45">
      <c r="A232" s="6" t="s">
        <v>211</v>
      </c>
      <c r="B232" s="7">
        <v>0</v>
      </c>
      <c r="C232" s="8" t="str">
        <f>IFERROR(B232/B444, "NA")</f>
        <v>NA</v>
      </c>
      <c r="D232" s="9"/>
      <c r="E232" s="7">
        <v>0</v>
      </c>
      <c r="F232" s="8" t="str">
        <f>IFERROR(E232/E444, "NA")</f>
        <v>NA</v>
      </c>
      <c r="G232" s="9"/>
      <c r="H232" s="10">
        <f t="shared" si="60"/>
        <v>0</v>
      </c>
      <c r="I232" s="8" t="str">
        <f>IFERROR(H232/H444, "NA")</f>
        <v>NA</v>
      </c>
      <c r="J232" s="9"/>
      <c r="K232" s="7">
        <v>0</v>
      </c>
      <c r="L232" s="8" t="str">
        <f>IFERROR(K232/K444, "NA")</f>
        <v>NA</v>
      </c>
      <c r="M232" s="9"/>
      <c r="N232" s="10">
        <f t="shared" si="61"/>
        <v>0</v>
      </c>
      <c r="O232" s="8" t="str">
        <f>IFERROR(N232/N444, "NA")</f>
        <v>NA</v>
      </c>
      <c r="P232" s="9"/>
      <c r="Q232" s="7">
        <v>0</v>
      </c>
      <c r="R232" s="8" t="str">
        <f>IFERROR(Q232/Q444, "NA")</f>
        <v>NA</v>
      </c>
      <c r="S232" s="9"/>
      <c r="T232" s="7">
        <v>0</v>
      </c>
      <c r="U232" s="8" t="str">
        <f>IFERROR(T232/T444, "NA")</f>
        <v>NA</v>
      </c>
      <c r="V232" s="9"/>
      <c r="W232" s="10">
        <f t="shared" si="62"/>
        <v>0</v>
      </c>
      <c r="X232" s="8" t="str">
        <f>IFERROR(W232/W444, "NA")</f>
        <v>NA</v>
      </c>
      <c r="Y232" s="9"/>
      <c r="Z232" s="7">
        <v>0</v>
      </c>
      <c r="AA232" s="8" t="str">
        <f>IFERROR(Z232/Z444, "NA")</f>
        <v>NA</v>
      </c>
      <c r="AB232" s="9"/>
      <c r="AC232" s="10">
        <f t="shared" si="63"/>
        <v>0</v>
      </c>
      <c r="AD232" s="8" t="str">
        <f>IFERROR(AC232/AC444, "NA")</f>
        <v>NA</v>
      </c>
    </row>
    <row r="233" spans="1:30" ht="16.5" hidden="1" customHeight="1" x14ac:dyDescent="0.45">
      <c r="A233" s="6" t="s">
        <v>212</v>
      </c>
      <c r="B233" s="7">
        <v>0</v>
      </c>
      <c r="C233" s="8" t="str">
        <f>IFERROR(B233/B444, "NA")</f>
        <v>NA</v>
      </c>
      <c r="D233" s="9"/>
      <c r="E233" s="7">
        <v>0</v>
      </c>
      <c r="F233" s="8" t="str">
        <f>IFERROR(E233/E444, "NA")</f>
        <v>NA</v>
      </c>
      <c r="G233" s="9"/>
      <c r="H233" s="10">
        <f t="shared" si="60"/>
        <v>0</v>
      </c>
      <c r="I233" s="8" t="str">
        <f>IFERROR(H233/H444, "NA")</f>
        <v>NA</v>
      </c>
      <c r="J233" s="9"/>
      <c r="K233" s="7">
        <v>0</v>
      </c>
      <c r="L233" s="8" t="str">
        <f>IFERROR(K233/K444, "NA")</f>
        <v>NA</v>
      </c>
      <c r="M233" s="9"/>
      <c r="N233" s="10">
        <f t="shared" si="61"/>
        <v>0</v>
      </c>
      <c r="O233" s="8" t="str">
        <f>IFERROR(N233/N444, "NA")</f>
        <v>NA</v>
      </c>
      <c r="P233" s="9"/>
      <c r="Q233" s="7">
        <v>0</v>
      </c>
      <c r="R233" s="8" t="str">
        <f>IFERROR(Q233/Q444, "NA")</f>
        <v>NA</v>
      </c>
      <c r="S233" s="9"/>
      <c r="T233" s="7">
        <v>0</v>
      </c>
      <c r="U233" s="8" t="str">
        <f>IFERROR(T233/T444, "NA")</f>
        <v>NA</v>
      </c>
      <c r="V233" s="9"/>
      <c r="W233" s="10">
        <f t="shared" si="62"/>
        <v>0</v>
      </c>
      <c r="X233" s="8" t="str">
        <f>IFERROR(W233/W444, "NA")</f>
        <v>NA</v>
      </c>
      <c r="Y233" s="9"/>
      <c r="Z233" s="7">
        <v>0</v>
      </c>
      <c r="AA233" s="8" t="str">
        <f>IFERROR(Z233/Z444, "NA")</f>
        <v>NA</v>
      </c>
      <c r="AB233" s="9"/>
      <c r="AC233" s="10">
        <f t="shared" si="63"/>
        <v>0</v>
      </c>
      <c r="AD233" s="8" t="str">
        <f>IFERROR(AC233/AC444, "NA")</f>
        <v>NA</v>
      </c>
    </row>
    <row r="234" spans="1:30" ht="16.5" hidden="1" customHeight="1" x14ac:dyDescent="0.45">
      <c r="A234" s="6" t="s">
        <v>213</v>
      </c>
      <c r="B234" s="7">
        <v>0</v>
      </c>
      <c r="C234" s="8" t="str">
        <f>IFERROR(B234/B444, "NA")</f>
        <v>NA</v>
      </c>
      <c r="D234" s="9"/>
      <c r="E234" s="7">
        <v>0</v>
      </c>
      <c r="F234" s="8" t="str">
        <f>IFERROR(E234/E444, "NA")</f>
        <v>NA</v>
      </c>
      <c r="G234" s="9"/>
      <c r="H234" s="10">
        <f t="shared" si="60"/>
        <v>0</v>
      </c>
      <c r="I234" s="8" t="str">
        <f>IFERROR(H234/H444, "NA")</f>
        <v>NA</v>
      </c>
      <c r="J234" s="9"/>
      <c r="K234" s="7">
        <v>0</v>
      </c>
      <c r="L234" s="8" t="str">
        <f>IFERROR(K234/K444, "NA")</f>
        <v>NA</v>
      </c>
      <c r="M234" s="9"/>
      <c r="N234" s="10">
        <f t="shared" si="61"/>
        <v>0</v>
      </c>
      <c r="O234" s="8" t="str">
        <f>IFERROR(N234/N444, "NA")</f>
        <v>NA</v>
      </c>
      <c r="P234" s="9"/>
      <c r="Q234" s="7">
        <v>0</v>
      </c>
      <c r="R234" s="8" t="str">
        <f>IFERROR(Q234/Q444, "NA")</f>
        <v>NA</v>
      </c>
      <c r="S234" s="9"/>
      <c r="T234" s="7">
        <v>0</v>
      </c>
      <c r="U234" s="8" t="str">
        <f>IFERROR(T234/T444, "NA")</f>
        <v>NA</v>
      </c>
      <c r="V234" s="9"/>
      <c r="W234" s="10">
        <f t="shared" si="62"/>
        <v>0</v>
      </c>
      <c r="X234" s="8" t="str">
        <f>IFERROR(W234/W444, "NA")</f>
        <v>NA</v>
      </c>
      <c r="Y234" s="9"/>
      <c r="Z234" s="7">
        <v>0</v>
      </c>
      <c r="AA234" s="8" t="str">
        <f>IFERROR(Z234/Z444, "NA")</f>
        <v>NA</v>
      </c>
      <c r="AB234" s="9"/>
      <c r="AC234" s="10">
        <f t="shared" si="63"/>
        <v>0</v>
      </c>
      <c r="AD234" s="8" t="str">
        <f>IFERROR(AC234/AC444, "NA")</f>
        <v>NA</v>
      </c>
    </row>
    <row r="235" spans="1:30" ht="16.5" hidden="1" customHeight="1" x14ac:dyDescent="0.45">
      <c r="A235" s="6" t="s">
        <v>214</v>
      </c>
      <c r="B235" s="7">
        <v>0</v>
      </c>
      <c r="C235" s="8" t="str">
        <f>IFERROR(B235/B444, "NA")</f>
        <v>NA</v>
      </c>
      <c r="D235" s="9"/>
      <c r="E235" s="7">
        <v>0</v>
      </c>
      <c r="F235" s="8" t="str">
        <f>IFERROR(E235/E444, "NA")</f>
        <v>NA</v>
      </c>
      <c r="G235" s="9"/>
      <c r="H235" s="10">
        <f t="shared" si="60"/>
        <v>0</v>
      </c>
      <c r="I235" s="8" t="str">
        <f>IFERROR(H235/H444, "NA")</f>
        <v>NA</v>
      </c>
      <c r="J235" s="9"/>
      <c r="K235" s="7">
        <v>0</v>
      </c>
      <c r="L235" s="8" t="str">
        <f>IFERROR(K235/K444, "NA")</f>
        <v>NA</v>
      </c>
      <c r="M235" s="9"/>
      <c r="N235" s="10">
        <f t="shared" si="61"/>
        <v>0</v>
      </c>
      <c r="O235" s="8" t="str">
        <f>IFERROR(N235/N444, "NA")</f>
        <v>NA</v>
      </c>
      <c r="P235" s="9"/>
      <c r="Q235" s="7">
        <v>0</v>
      </c>
      <c r="R235" s="8" t="str">
        <f>IFERROR(Q235/Q444, "NA")</f>
        <v>NA</v>
      </c>
      <c r="S235" s="9"/>
      <c r="T235" s="7">
        <v>0</v>
      </c>
      <c r="U235" s="8" t="str">
        <f>IFERROR(T235/T444, "NA")</f>
        <v>NA</v>
      </c>
      <c r="V235" s="9"/>
      <c r="W235" s="10">
        <f t="shared" si="62"/>
        <v>0</v>
      </c>
      <c r="X235" s="8" t="str">
        <f>IFERROR(W235/W444, "NA")</f>
        <v>NA</v>
      </c>
      <c r="Y235" s="9"/>
      <c r="Z235" s="7">
        <v>0</v>
      </c>
      <c r="AA235" s="8" t="str">
        <f>IFERROR(Z235/Z444, "NA")</f>
        <v>NA</v>
      </c>
      <c r="AB235" s="9"/>
      <c r="AC235" s="10">
        <f t="shared" si="63"/>
        <v>0</v>
      </c>
      <c r="AD235" s="8" t="str">
        <f>IFERROR(AC235/AC444, "NA")</f>
        <v>NA</v>
      </c>
    </row>
    <row r="236" spans="1:30" ht="16.5" customHeight="1" x14ac:dyDescent="0.45">
      <c r="A236" s="19" t="s">
        <v>215</v>
      </c>
      <c r="B236" s="14">
        <f>IFERROR(B229+B230+B231+B232+B233+B234+B235, "NA")</f>
        <v>0</v>
      </c>
      <c r="C236" s="15" t="str">
        <f>IFERROR(B236/B444, "NA")</f>
        <v>NA</v>
      </c>
      <c r="D236" s="2"/>
      <c r="E236" s="14">
        <f>IFERROR(E229+E230+E231+E232+E233+E234+E235, "NA")</f>
        <v>0</v>
      </c>
      <c r="F236" s="15" t="str">
        <f>IFERROR(E236/E444, "NA")</f>
        <v>NA</v>
      </c>
      <c r="G236" s="2"/>
      <c r="H236" s="14">
        <f t="shared" si="60"/>
        <v>0</v>
      </c>
      <c r="I236" s="15" t="str">
        <f>IFERROR(H236/H444, "NA")</f>
        <v>NA</v>
      </c>
      <c r="J236" s="2"/>
      <c r="K236" s="14">
        <f>IFERROR(K229+K230+K231+K232+K233+K234+K235, "NA")</f>
        <v>0</v>
      </c>
      <c r="L236" s="15" t="str">
        <f>IFERROR(K236/K444, "NA")</f>
        <v>NA</v>
      </c>
      <c r="M236" s="2"/>
      <c r="N236" s="14">
        <f t="shared" si="61"/>
        <v>0</v>
      </c>
      <c r="O236" s="15" t="str">
        <f>IFERROR(N236/N444, "NA")</f>
        <v>NA</v>
      </c>
      <c r="P236" s="2"/>
      <c r="Q236" s="14">
        <f>IFERROR(Q229+Q230+Q231+Q232+Q233+Q234+Q235, "NA")</f>
        <v>0</v>
      </c>
      <c r="R236" s="15" t="str">
        <f>IFERROR(Q236/Q444, "NA")</f>
        <v>NA</v>
      </c>
      <c r="S236" s="2"/>
      <c r="T236" s="14">
        <f>IFERROR(T229+T230+T231+T232+T233+T234+T235, "NA")</f>
        <v>0</v>
      </c>
      <c r="U236" s="15" t="str">
        <f>IFERROR(T236/T444, "NA")</f>
        <v>NA</v>
      </c>
      <c r="V236" s="2"/>
      <c r="W236" s="14">
        <f t="shared" si="62"/>
        <v>0</v>
      </c>
      <c r="X236" s="15" t="str">
        <f>IFERROR(W236/W444, "NA")</f>
        <v>NA</v>
      </c>
      <c r="Y236" s="2"/>
      <c r="Z236" s="14">
        <f>IFERROR(Z229+Z230+Z231+Z232+Z233+Z234+Z235, "NA")</f>
        <v>0</v>
      </c>
      <c r="AA236" s="15" t="str">
        <f>IFERROR(Z236/Z444, "NA")</f>
        <v>NA</v>
      </c>
      <c r="AB236" s="2"/>
      <c r="AC236" s="14">
        <f t="shared" si="63"/>
        <v>0</v>
      </c>
      <c r="AD236" s="15" t="str">
        <f>IFERROR(AC236/AC444, "NA")</f>
        <v>NA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 t="str">
        <f>IFERROR(B238/B444, "NA")</f>
        <v>NA</v>
      </c>
      <c r="D238" s="9"/>
      <c r="E238" s="7">
        <v>0</v>
      </c>
      <c r="F238" s="8" t="str">
        <f>IFERROR(E238/E444, "NA")</f>
        <v>NA</v>
      </c>
      <c r="G238" s="9"/>
      <c r="H238" s="10">
        <f>IFERROR(-(B238-E238), "NA")</f>
        <v>0</v>
      </c>
      <c r="I238" s="8" t="str">
        <f>IFERROR(H238/H444, "NA")</f>
        <v>NA</v>
      </c>
      <c r="J238" s="9"/>
      <c r="K238" s="7">
        <v>0</v>
      </c>
      <c r="L238" s="8" t="str">
        <f>IFERROR(K238/K444, "NA")</f>
        <v>NA</v>
      </c>
      <c r="M238" s="9"/>
      <c r="N238" s="10">
        <f>IFERROR(-(B238-K238), "NA")</f>
        <v>0</v>
      </c>
      <c r="O238" s="8" t="str">
        <f>IFERROR(N238/N444, "NA")</f>
        <v>NA</v>
      </c>
      <c r="P238" s="9"/>
      <c r="Q238" s="7">
        <v>0</v>
      </c>
      <c r="R238" s="8" t="str">
        <f>IFERROR(Q238/Q444, "NA")</f>
        <v>NA</v>
      </c>
      <c r="S238" s="9"/>
      <c r="T238" s="7">
        <v>0</v>
      </c>
      <c r="U238" s="8" t="str">
        <f>IFERROR(T238/T444, "NA")</f>
        <v>NA</v>
      </c>
      <c r="V238" s="9"/>
      <c r="W238" s="10">
        <f>IFERROR(-(Q238-T238), "NA")</f>
        <v>0</v>
      </c>
      <c r="X238" s="8" t="str">
        <f>IFERROR(W238/W444, "NA")</f>
        <v>NA</v>
      </c>
      <c r="Y238" s="9"/>
      <c r="Z238" s="7">
        <v>0</v>
      </c>
      <c r="AA238" s="8" t="str">
        <f>IFERROR(Z238/Z444, "NA")</f>
        <v>NA</v>
      </c>
      <c r="AB238" s="9"/>
      <c r="AC238" s="10">
        <f>IFERROR(-(Q238-Z238), "NA")</f>
        <v>0</v>
      </c>
      <c r="AD238" s="8" t="str">
        <f>IFERROR(AC238/AC444, "NA")</f>
        <v>NA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hidden="1" customHeight="1" x14ac:dyDescent="0.45">
      <c r="A240" s="12" t="s">
        <v>217</v>
      </c>
      <c r="B240" s="7">
        <v>0</v>
      </c>
      <c r="C240" s="8" t="str">
        <f>IFERROR(B240/B444, "NA")</f>
        <v>NA</v>
      </c>
      <c r="D240" s="9"/>
      <c r="E240" s="7">
        <v>0</v>
      </c>
      <c r="F240" s="8" t="str">
        <f>IFERROR(E240/E444, "NA")</f>
        <v>NA</v>
      </c>
      <c r="G240" s="9"/>
      <c r="H240" s="10">
        <f t="shared" ref="H240:H263" si="64">IFERROR(-(B240-E240), "NA")</f>
        <v>0</v>
      </c>
      <c r="I240" s="8" t="str">
        <f>IFERROR(H240/H444, "NA")</f>
        <v>NA</v>
      </c>
      <c r="J240" s="9"/>
      <c r="K240" s="7">
        <v>0</v>
      </c>
      <c r="L240" s="8" t="str">
        <f>IFERROR(K240/K444, "NA")</f>
        <v>NA</v>
      </c>
      <c r="M240" s="9"/>
      <c r="N240" s="10">
        <f t="shared" ref="N240:N263" si="65">IFERROR(-(B240-K240), "NA")</f>
        <v>0</v>
      </c>
      <c r="O240" s="8" t="str">
        <f>IFERROR(N240/N444, "NA")</f>
        <v>NA</v>
      </c>
      <c r="P240" s="9"/>
      <c r="Q240" s="7">
        <v>0</v>
      </c>
      <c r="R240" s="8" t="str">
        <f>IFERROR(Q240/Q444, "NA")</f>
        <v>NA</v>
      </c>
      <c r="S240" s="9"/>
      <c r="T240" s="7">
        <v>0</v>
      </c>
      <c r="U240" s="8" t="str">
        <f>IFERROR(T240/T444, "NA")</f>
        <v>NA</v>
      </c>
      <c r="V240" s="9"/>
      <c r="W240" s="10">
        <f t="shared" ref="W240:W263" si="66">IFERROR(-(Q240-T240), "NA")</f>
        <v>0</v>
      </c>
      <c r="X240" s="8" t="str">
        <f>IFERROR(W240/W444, "NA")</f>
        <v>NA</v>
      </c>
      <c r="Y240" s="9"/>
      <c r="Z240" s="7">
        <v>0</v>
      </c>
      <c r="AA240" s="8" t="str">
        <f>IFERROR(Z240/Z444, "NA")</f>
        <v>NA</v>
      </c>
      <c r="AB240" s="9"/>
      <c r="AC240" s="10">
        <f t="shared" ref="AC240:AC263" si="67">IFERROR(-(Q240-Z240), "NA")</f>
        <v>0</v>
      </c>
      <c r="AD240" s="8" t="str">
        <f>IFERROR(AC240/AC444, "NA")</f>
        <v>NA</v>
      </c>
    </row>
    <row r="241" spans="1:30" ht="16.5" hidden="1" customHeight="1" x14ac:dyDescent="0.45">
      <c r="A241" s="12" t="s">
        <v>218</v>
      </c>
      <c r="B241" s="7">
        <v>0</v>
      </c>
      <c r="C241" s="8" t="str">
        <f>IFERROR(B241/B444, "NA")</f>
        <v>NA</v>
      </c>
      <c r="D241" s="9"/>
      <c r="E241" s="7">
        <v>0</v>
      </c>
      <c r="F241" s="8" t="str">
        <f>IFERROR(E241/E444, "NA")</f>
        <v>NA</v>
      </c>
      <c r="G241" s="9"/>
      <c r="H241" s="10">
        <f t="shared" si="64"/>
        <v>0</v>
      </c>
      <c r="I241" s="8" t="str">
        <f>IFERROR(H241/H444, "NA")</f>
        <v>NA</v>
      </c>
      <c r="J241" s="9"/>
      <c r="K241" s="7">
        <v>0</v>
      </c>
      <c r="L241" s="8" t="str">
        <f>IFERROR(K241/K444, "NA")</f>
        <v>NA</v>
      </c>
      <c r="M241" s="9"/>
      <c r="N241" s="10">
        <f t="shared" si="65"/>
        <v>0</v>
      </c>
      <c r="O241" s="8" t="str">
        <f>IFERROR(N241/N444, "NA")</f>
        <v>NA</v>
      </c>
      <c r="P241" s="9"/>
      <c r="Q241" s="7">
        <v>0</v>
      </c>
      <c r="R241" s="8" t="str">
        <f>IFERROR(Q241/Q444, "NA")</f>
        <v>NA</v>
      </c>
      <c r="S241" s="9"/>
      <c r="T241" s="7">
        <v>0</v>
      </c>
      <c r="U241" s="8" t="str">
        <f>IFERROR(T241/T444, "NA")</f>
        <v>NA</v>
      </c>
      <c r="V241" s="9"/>
      <c r="W241" s="10">
        <f t="shared" si="66"/>
        <v>0</v>
      </c>
      <c r="X241" s="8" t="str">
        <f>IFERROR(W241/W444, "NA")</f>
        <v>NA</v>
      </c>
      <c r="Y241" s="9"/>
      <c r="Z241" s="7">
        <v>0</v>
      </c>
      <c r="AA241" s="8" t="str">
        <f>IFERROR(Z241/Z444, "NA")</f>
        <v>NA</v>
      </c>
      <c r="AB241" s="9"/>
      <c r="AC241" s="10">
        <f t="shared" si="67"/>
        <v>0</v>
      </c>
      <c r="AD241" s="8" t="str">
        <f>IFERROR(AC241/AC444, "NA")</f>
        <v>NA</v>
      </c>
    </row>
    <row r="242" spans="1:30" ht="16.5" hidden="1" customHeight="1" x14ac:dyDescent="0.45">
      <c r="A242" s="12" t="s">
        <v>219</v>
      </c>
      <c r="B242" s="7">
        <v>0</v>
      </c>
      <c r="C242" s="8" t="str">
        <f>IFERROR(B242/B444, "NA")</f>
        <v>NA</v>
      </c>
      <c r="D242" s="9"/>
      <c r="E242" s="7">
        <v>0</v>
      </c>
      <c r="F242" s="8" t="str">
        <f>IFERROR(E242/E444, "NA")</f>
        <v>NA</v>
      </c>
      <c r="G242" s="9"/>
      <c r="H242" s="10">
        <f t="shared" si="64"/>
        <v>0</v>
      </c>
      <c r="I242" s="8" t="str">
        <f>IFERROR(H242/H444, "NA")</f>
        <v>NA</v>
      </c>
      <c r="J242" s="9"/>
      <c r="K242" s="7">
        <v>0</v>
      </c>
      <c r="L242" s="8" t="str">
        <f>IFERROR(K242/K444, "NA")</f>
        <v>NA</v>
      </c>
      <c r="M242" s="9"/>
      <c r="N242" s="10">
        <f t="shared" si="65"/>
        <v>0</v>
      </c>
      <c r="O242" s="8" t="str">
        <f>IFERROR(N242/N444, "NA")</f>
        <v>NA</v>
      </c>
      <c r="P242" s="9"/>
      <c r="Q242" s="7">
        <v>0</v>
      </c>
      <c r="R242" s="8" t="str">
        <f>IFERROR(Q242/Q444, "NA")</f>
        <v>NA</v>
      </c>
      <c r="S242" s="9"/>
      <c r="T242" s="7">
        <v>0</v>
      </c>
      <c r="U242" s="8" t="str">
        <f>IFERROR(T242/T444, "NA")</f>
        <v>NA</v>
      </c>
      <c r="V242" s="9"/>
      <c r="W242" s="10">
        <f t="shared" si="66"/>
        <v>0</v>
      </c>
      <c r="X242" s="8" t="str">
        <f>IFERROR(W242/W444, "NA")</f>
        <v>NA</v>
      </c>
      <c r="Y242" s="9"/>
      <c r="Z242" s="7">
        <v>0</v>
      </c>
      <c r="AA242" s="8" t="str">
        <f>IFERROR(Z242/Z444, "NA")</f>
        <v>NA</v>
      </c>
      <c r="AB242" s="9"/>
      <c r="AC242" s="10">
        <f t="shared" si="67"/>
        <v>0</v>
      </c>
      <c r="AD242" s="8" t="str">
        <f>IFERROR(AC242/AC444, "NA")</f>
        <v>NA</v>
      </c>
    </row>
    <row r="243" spans="1:30" ht="16.5" hidden="1" customHeight="1" x14ac:dyDescent="0.45">
      <c r="A243" s="12" t="s">
        <v>220</v>
      </c>
      <c r="B243" s="7">
        <v>0</v>
      </c>
      <c r="C243" s="8" t="str">
        <f>IFERROR(B243/B444, "NA")</f>
        <v>NA</v>
      </c>
      <c r="D243" s="9"/>
      <c r="E243" s="7">
        <v>0</v>
      </c>
      <c r="F243" s="8" t="str">
        <f>IFERROR(E243/E444, "NA")</f>
        <v>NA</v>
      </c>
      <c r="G243" s="9"/>
      <c r="H243" s="10">
        <f t="shared" si="64"/>
        <v>0</v>
      </c>
      <c r="I243" s="8" t="str">
        <f>IFERROR(H243/H444, "NA")</f>
        <v>NA</v>
      </c>
      <c r="J243" s="9"/>
      <c r="K243" s="7">
        <v>0</v>
      </c>
      <c r="L243" s="8" t="str">
        <f>IFERROR(K243/K444, "NA")</f>
        <v>NA</v>
      </c>
      <c r="M243" s="9"/>
      <c r="N243" s="10">
        <f t="shared" si="65"/>
        <v>0</v>
      </c>
      <c r="O243" s="8" t="str">
        <f>IFERROR(N243/N444, "NA")</f>
        <v>NA</v>
      </c>
      <c r="P243" s="9"/>
      <c r="Q243" s="7">
        <v>0</v>
      </c>
      <c r="R243" s="8" t="str">
        <f>IFERROR(Q243/Q444, "NA")</f>
        <v>NA</v>
      </c>
      <c r="S243" s="9"/>
      <c r="T243" s="7">
        <v>0</v>
      </c>
      <c r="U243" s="8" t="str">
        <f>IFERROR(T243/T444, "NA")</f>
        <v>NA</v>
      </c>
      <c r="V243" s="9"/>
      <c r="W243" s="10">
        <f t="shared" si="66"/>
        <v>0</v>
      </c>
      <c r="X243" s="8" t="str">
        <f>IFERROR(W243/W444, "NA")</f>
        <v>NA</v>
      </c>
      <c r="Y243" s="9"/>
      <c r="Z243" s="7">
        <v>0</v>
      </c>
      <c r="AA243" s="8" t="str">
        <f>IFERROR(Z243/Z444, "NA")</f>
        <v>NA</v>
      </c>
      <c r="AB243" s="9"/>
      <c r="AC243" s="10">
        <f t="shared" si="67"/>
        <v>0</v>
      </c>
      <c r="AD243" s="8" t="str">
        <f>IFERROR(AC243/AC444, "NA")</f>
        <v>NA</v>
      </c>
    </row>
    <row r="244" spans="1:30" ht="16.5" hidden="1" customHeight="1" x14ac:dyDescent="0.45">
      <c r="A244" s="12" t="s">
        <v>221</v>
      </c>
      <c r="B244" s="7">
        <v>0</v>
      </c>
      <c r="C244" s="8" t="str">
        <f>IFERROR(B244/B444, "NA")</f>
        <v>NA</v>
      </c>
      <c r="D244" s="9"/>
      <c r="E244" s="7">
        <v>0</v>
      </c>
      <c r="F244" s="8" t="str">
        <f>IFERROR(E244/E444, "NA")</f>
        <v>NA</v>
      </c>
      <c r="G244" s="9"/>
      <c r="H244" s="10">
        <f t="shared" si="64"/>
        <v>0</v>
      </c>
      <c r="I244" s="8" t="str">
        <f>IFERROR(H244/H444, "NA")</f>
        <v>NA</v>
      </c>
      <c r="J244" s="9"/>
      <c r="K244" s="7">
        <v>0</v>
      </c>
      <c r="L244" s="8" t="str">
        <f>IFERROR(K244/K444, "NA")</f>
        <v>NA</v>
      </c>
      <c r="M244" s="9"/>
      <c r="N244" s="10">
        <f t="shared" si="65"/>
        <v>0</v>
      </c>
      <c r="O244" s="8" t="str">
        <f>IFERROR(N244/N444, "NA")</f>
        <v>NA</v>
      </c>
      <c r="P244" s="9"/>
      <c r="Q244" s="7">
        <v>0</v>
      </c>
      <c r="R244" s="8" t="str">
        <f>IFERROR(Q244/Q444, "NA")</f>
        <v>NA</v>
      </c>
      <c r="S244" s="9"/>
      <c r="T244" s="7">
        <v>0</v>
      </c>
      <c r="U244" s="8" t="str">
        <f>IFERROR(T244/T444, "NA")</f>
        <v>NA</v>
      </c>
      <c r="V244" s="9"/>
      <c r="W244" s="10">
        <f t="shared" si="66"/>
        <v>0</v>
      </c>
      <c r="X244" s="8" t="str">
        <f>IFERROR(W244/W444, "NA")</f>
        <v>NA</v>
      </c>
      <c r="Y244" s="9"/>
      <c r="Z244" s="7">
        <v>0</v>
      </c>
      <c r="AA244" s="8" t="str">
        <f>IFERROR(Z244/Z444, "NA")</f>
        <v>NA</v>
      </c>
      <c r="AB244" s="9"/>
      <c r="AC244" s="10">
        <f t="shared" si="67"/>
        <v>0</v>
      </c>
      <c r="AD244" s="8" t="str">
        <f>IFERROR(AC244/AC444, "NA")</f>
        <v>NA</v>
      </c>
    </row>
    <row r="245" spans="1:30" ht="16.5" hidden="1" customHeight="1" x14ac:dyDescent="0.45">
      <c r="A245" s="12" t="s">
        <v>222</v>
      </c>
      <c r="B245" s="7">
        <v>0</v>
      </c>
      <c r="C245" s="8" t="str">
        <f>IFERROR(B245/B444, "NA")</f>
        <v>NA</v>
      </c>
      <c r="D245" s="9"/>
      <c r="E245" s="7">
        <v>0</v>
      </c>
      <c r="F245" s="8" t="str">
        <f>IFERROR(E245/E444, "NA")</f>
        <v>NA</v>
      </c>
      <c r="G245" s="9"/>
      <c r="H245" s="10">
        <f t="shared" si="64"/>
        <v>0</v>
      </c>
      <c r="I245" s="8" t="str">
        <f>IFERROR(H245/H444, "NA")</f>
        <v>NA</v>
      </c>
      <c r="J245" s="9"/>
      <c r="K245" s="7">
        <v>0</v>
      </c>
      <c r="L245" s="8" t="str">
        <f>IFERROR(K245/K444, "NA")</f>
        <v>NA</v>
      </c>
      <c r="M245" s="9"/>
      <c r="N245" s="10">
        <f t="shared" si="65"/>
        <v>0</v>
      </c>
      <c r="O245" s="8" t="str">
        <f>IFERROR(N245/N444, "NA")</f>
        <v>NA</v>
      </c>
      <c r="P245" s="9"/>
      <c r="Q245" s="7">
        <v>0</v>
      </c>
      <c r="R245" s="8" t="str">
        <f>IFERROR(Q245/Q444, "NA")</f>
        <v>NA</v>
      </c>
      <c r="S245" s="9"/>
      <c r="T245" s="7">
        <v>0</v>
      </c>
      <c r="U245" s="8" t="str">
        <f>IFERROR(T245/T444, "NA")</f>
        <v>NA</v>
      </c>
      <c r="V245" s="9"/>
      <c r="W245" s="10">
        <f t="shared" si="66"/>
        <v>0</v>
      </c>
      <c r="X245" s="8" t="str">
        <f>IFERROR(W245/W444, "NA")</f>
        <v>NA</v>
      </c>
      <c r="Y245" s="9"/>
      <c r="Z245" s="7">
        <v>0</v>
      </c>
      <c r="AA245" s="8" t="str">
        <f>IFERROR(Z245/Z444, "NA")</f>
        <v>NA</v>
      </c>
      <c r="AB245" s="9"/>
      <c r="AC245" s="10">
        <f t="shared" si="67"/>
        <v>0</v>
      </c>
      <c r="AD245" s="8" t="str">
        <f>IFERROR(AC245/AC444, "NA")</f>
        <v>NA</v>
      </c>
    </row>
    <row r="246" spans="1:30" ht="16.5" hidden="1" customHeight="1" x14ac:dyDescent="0.45">
      <c r="A246" s="12" t="s">
        <v>223</v>
      </c>
      <c r="B246" s="7">
        <v>0</v>
      </c>
      <c r="C246" s="8" t="str">
        <f>IFERROR(B246/B444, "NA")</f>
        <v>NA</v>
      </c>
      <c r="D246" s="9"/>
      <c r="E246" s="7">
        <v>0</v>
      </c>
      <c r="F246" s="8" t="str">
        <f>IFERROR(E246/E444, "NA")</f>
        <v>NA</v>
      </c>
      <c r="G246" s="9"/>
      <c r="H246" s="10">
        <f t="shared" si="64"/>
        <v>0</v>
      </c>
      <c r="I246" s="8" t="str">
        <f>IFERROR(H246/H444, "NA")</f>
        <v>NA</v>
      </c>
      <c r="J246" s="9"/>
      <c r="K246" s="7">
        <v>0</v>
      </c>
      <c r="L246" s="8" t="str">
        <f>IFERROR(K246/K444, "NA")</f>
        <v>NA</v>
      </c>
      <c r="M246" s="9"/>
      <c r="N246" s="10">
        <f t="shared" si="65"/>
        <v>0</v>
      </c>
      <c r="O246" s="8" t="str">
        <f>IFERROR(N246/N444, "NA")</f>
        <v>NA</v>
      </c>
      <c r="P246" s="9"/>
      <c r="Q246" s="7">
        <v>0</v>
      </c>
      <c r="R246" s="8" t="str">
        <f>IFERROR(Q246/Q444, "NA")</f>
        <v>NA</v>
      </c>
      <c r="S246" s="9"/>
      <c r="T246" s="7">
        <v>0</v>
      </c>
      <c r="U246" s="8" t="str">
        <f>IFERROR(T246/T444, "NA")</f>
        <v>NA</v>
      </c>
      <c r="V246" s="9"/>
      <c r="W246" s="10">
        <f t="shared" si="66"/>
        <v>0</v>
      </c>
      <c r="X246" s="8" t="str">
        <f>IFERROR(W246/W444, "NA")</f>
        <v>NA</v>
      </c>
      <c r="Y246" s="9"/>
      <c r="Z246" s="7">
        <v>0</v>
      </c>
      <c r="AA246" s="8" t="str">
        <f>IFERROR(Z246/Z444, "NA")</f>
        <v>NA</v>
      </c>
      <c r="AB246" s="9"/>
      <c r="AC246" s="10">
        <f t="shared" si="67"/>
        <v>0</v>
      </c>
      <c r="AD246" s="8" t="str">
        <f>IFERROR(AC246/AC444, "NA")</f>
        <v>NA</v>
      </c>
    </row>
    <row r="247" spans="1:30" ht="16.5" hidden="1" customHeight="1" x14ac:dyDescent="0.45">
      <c r="A247" s="12" t="s">
        <v>224</v>
      </c>
      <c r="B247" s="7">
        <v>0</v>
      </c>
      <c r="C247" s="8" t="str">
        <f>IFERROR(B247/B444, "NA")</f>
        <v>NA</v>
      </c>
      <c r="D247" s="9"/>
      <c r="E247" s="7">
        <v>0</v>
      </c>
      <c r="F247" s="8" t="str">
        <f>IFERROR(E247/E444, "NA")</f>
        <v>NA</v>
      </c>
      <c r="G247" s="9"/>
      <c r="H247" s="10">
        <f t="shared" si="64"/>
        <v>0</v>
      </c>
      <c r="I247" s="8" t="str">
        <f>IFERROR(H247/H444, "NA")</f>
        <v>NA</v>
      </c>
      <c r="J247" s="9"/>
      <c r="K247" s="7">
        <v>0</v>
      </c>
      <c r="L247" s="8" t="str">
        <f>IFERROR(K247/K444, "NA")</f>
        <v>NA</v>
      </c>
      <c r="M247" s="9"/>
      <c r="N247" s="10">
        <f t="shared" si="65"/>
        <v>0</v>
      </c>
      <c r="O247" s="8" t="str">
        <f>IFERROR(N247/N444, "NA")</f>
        <v>NA</v>
      </c>
      <c r="P247" s="9"/>
      <c r="Q247" s="7">
        <v>0</v>
      </c>
      <c r="R247" s="8" t="str">
        <f>IFERROR(Q247/Q444, "NA")</f>
        <v>NA</v>
      </c>
      <c r="S247" s="9"/>
      <c r="T247" s="7">
        <v>0</v>
      </c>
      <c r="U247" s="8" t="str">
        <f>IFERROR(T247/T444, "NA")</f>
        <v>NA</v>
      </c>
      <c r="V247" s="9"/>
      <c r="W247" s="10">
        <f t="shared" si="66"/>
        <v>0</v>
      </c>
      <c r="X247" s="8" t="str">
        <f>IFERROR(W247/W444, "NA")</f>
        <v>NA</v>
      </c>
      <c r="Y247" s="9"/>
      <c r="Z247" s="7">
        <v>0</v>
      </c>
      <c r="AA247" s="8" t="str">
        <f>IFERROR(Z247/Z444, "NA")</f>
        <v>NA</v>
      </c>
      <c r="AB247" s="9"/>
      <c r="AC247" s="10">
        <f t="shared" si="67"/>
        <v>0</v>
      </c>
      <c r="AD247" s="8" t="str">
        <f>IFERROR(AC247/AC444, "NA")</f>
        <v>NA</v>
      </c>
    </row>
    <row r="248" spans="1:30" ht="16.5" hidden="1" customHeight="1" x14ac:dyDescent="0.45">
      <c r="A248" s="12" t="s">
        <v>225</v>
      </c>
      <c r="B248" s="7">
        <v>0</v>
      </c>
      <c r="C248" s="8" t="str">
        <f>IFERROR(B248/B444, "NA")</f>
        <v>NA</v>
      </c>
      <c r="D248" s="9"/>
      <c r="E248" s="7">
        <v>0</v>
      </c>
      <c r="F248" s="8" t="str">
        <f>IFERROR(E248/E444, "NA")</f>
        <v>NA</v>
      </c>
      <c r="G248" s="9"/>
      <c r="H248" s="10">
        <f t="shared" si="64"/>
        <v>0</v>
      </c>
      <c r="I248" s="8" t="str">
        <f>IFERROR(H248/H444, "NA")</f>
        <v>NA</v>
      </c>
      <c r="J248" s="9"/>
      <c r="K248" s="7">
        <v>0</v>
      </c>
      <c r="L248" s="8" t="str">
        <f>IFERROR(K248/K444, "NA")</f>
        <v>NA</v>
      </c>
      <c r="M248" s="9"/>
      <c r="N248" s="10">
        <f t="shared" si="65"/>
        <v>0</v>
      </c>
      <c r="O248" s="8" t="str">
        <f>IFERROR(N248/N444, "NA")</f>
        <v>NA</v>
      </c>
      <c r="P248" s="9"/>
      <c r="Q248" s="7">
        <v>0</v>
      </c>
      <c r="R248" s="8" t="str">
        <f>IFERROR(Q248/Q444, "NA")</f>
        <v>NA</v>
      </c>
      <c r="S248" s="9"/>
      <c r="T248" s="7">
        <v>0</v>
      </c>
      <c r="U248" s="8" t="str">
        <f>IFERROR(T248/T444, "NA")</f>
        <v>NA</v>
      </c>
      <c r="V248" s="9"/>
      <c r="W248" s="10">
        <f t="shared" si="66"/>
        <v>0</v>
      </c>
      <c r="X248" s="8" t="str">
        <f>IFERROR(W248/W444, "NA")</f>
        <v>NA</v>
      </c>
      <c r="Y248" s="9"/>
      <c r="Z248" s="7">
        <v>0</v>
      </c>
      <c r="AA248" s="8" t="str">
        <f>IFERROR(Z248/Z444, "NA")</f>
        <v>NA</v>
      </c>
      <c r="AB248" s="9"/>
      <c r="AC248" s="10">
        <f t="shared" si="67"/>
        <v>0</v>
      </c>
      <c r="AD248" s="8" t="str">
        <f>IFERROR(AC248/AC444, "NA")</f>
        <v>NA</v>
      </c>
    </row>
    <row r="249" spans="1:30" ht="16.5" hidden="1" customHeight="1" x14ac:dyDescent="0.45">
      <c r="A249" s="12" t="s">
        <v>226</v>
      </c>
      <c r="B249" s="7">
        <v>0</v>
      </c>
      <c r="C249" s="8" t="str">
        <f>IFERROR(B249/B444, "NA")</f>
        <v>NA</v>
      </c>
      <c r="D249" s="9"/>
      <c r="E249" s="7">
        <v>0</v>
      </c>
      <c r="F249" s="8" t="str">
        <f>IFERROR(E249/E444, "NA")</f>
        <v>NA</v>
      </c>
      <c r="G249" s="9"/>
      <c r="H249" s="10">
        <f t="shared" si="64"/>
        <v>0</v>
      </c>
      <c r="I249" s="8" t="str">
        <f>IFERROR(H249/H444, "NA")</f>
        <v>NA</v>
      </c>
      <c r="J249" s="9"/>
      <c r="K249" s="7">
        <v>0</v>
      </c>
      <c r="L249" s="8" t="str">
        <f>IFERROR(K249/K444, "NA")</f>
        <v>NA</v>
      </c>
      <c r="M249" s="9"/>
      <c r="N249" s="10">
        <f t="shared" si="65"/>
        <v>0</v>
      </c>
      <c r="O249" s="8" t="str">
        <f>IFERROR(N249/N444, "NA")</f>
        <v>NA</v>
      </c>
      <c r="P249" s="9"/>
      <c r="Q249" s="7">
        <v>0</v>
      </c>
      <c r="R249" s="8" t="str">
        <f>IFERROR(Q249/Q444, "NA")</f>
        <v>NA</v>
      </c>
      <c r="S249" s="9"/>
      <c r="T249" s="7">
        <v>0</v>
      </c>
      <c r="U249" s="8" t="str">
        <f>IFERROR(T249/T444, "NA")</f>
        <v>NA</v>
      </c>
      <c r="V249" s="9"/>
      <c r="W249" s="10">
        <f t="shared" si="66"/>
        <v>0</v>
      </c>
      <c r="X249" s="8" t="str">
        <f>IFERROR(W249/W444, "NA")</f>
        <v>NA</v>
      </c>
      <c r="Y249" s="9"/>
      <c r="Z249" s="7">
        <v>0</v>
      </c>
      <c r="AA249" s="8" t="str">
        <f>IFERROR(Z249/Z444, "NA")</f>
        <v>NA</v>
      </c>
      <c r="AB249" s="9"/>
      <c r="AC249" s="10">
        <f t="shared" si="67"/>
        <v>0</v>
      </c>
      <c r="AD249" s="8" t="str">
        <f>IFERROR(AC249/AC444, "NA")</f>
        <v>NA</v>
      </c>
    </row>
    <row r="250" spans="1:30" ht="16.5" hidden="1" customHeight="1" x14ac:dyDescent="0.45">
      <c r="A250" s="12" t="s">
        <v>227</v>
      </c>
      <c r="B250" s="7">
        <v>0</v>
      </c>
      <c r="C250" s="8" t="str">
        <f>IFERROR(B250/B444, "NA")</f>
        <v>NA</v>
      </c>
      <c r="D250" s="9"/>
      <c r="E250" s="7">
        <v>0</v>
      </c>
      <c r="F250" s="8" t="str">
        <f>IFERROR(E250/E444, "NA")</f>
        <v>NA</v>
      </c>
      <c r="G250" s="9"/>
      <c r="H250" s="10">
        <f t="shared" si="64"/>
        <v>0</v>
      </c>
      <c r="I250" s="8" t="str">
        <f>IFERROR(H250/H444, "NA")</f>
        <v>NA</v>
      </c>
      <c r="J250" s="9"/>
      <c r="K250" s="7">
        <v>0</v>
      </c>
      <c r="L250" s="8" t="str">
        <f>IFERROR(K250/K444, "NA")</f>
        <v>NA</v>
      </c>
      <c r="M250" s="9"/>
      <c r="N250" s="10">
        <f t="shared" si="65"/>
        <v>0</v>
      </c>
      <c r="O250" s="8" t="str">
        <f>IFERROR(N250/N444, "NA")</f>
        <v>NA</v>
      </c>
      <c r="P250" s="9"/>
      <c r="Q250" s="7">
        <v>0</v>
      </c>
      <c r="R250" s="8" t="str">
        <f>IFERROR(Q250/Q444, "NA")</f>
        <v>NA</v>
      </c>
      <c r="S250" s="9"/>
      <c r="T250" s="7">
        <v>0</v>
      </c>
      <c r="U250" s="8" t="str">
        <f>IFERROR(T250/T444, "NA")</f>
        <v>NA</v>
      </c>
      <c r="V250" s="9"/>
      <c r="W250" s="10">
        <f t="shared" si="66"/>
        <v>0</v>
      </c>
      <c r="X250" s="8" t="str">
        <f>IFERROR(W250/W444, "NA")</f>
        <v>NA</v>
      </c>
      <c r="Y250" s="9"/>
      <c r="Z250" s="7">
        <v>0</v>
      </c>
      <c r="AA250" s="8" t="str">
        <f>IFERROR(Z250/Z444, "NA")</f>
        <v>NA</v>
      </c>
      <c r="AB250" s="9"/>
      <c r="AC250" s="10">
        <f t="shared" si="67"/>
        <v>0</v>
      </c>
      <c r="AD250" s="8" t="str">
        <f>IFERROR(AC250/AC444, "NA")</f>
        <v>NA</v>
      </c>
    </row>
    <row r="251" spans="1:30" ht="16.5" hidden="1" customHeight="1" x14ac:dyDescent="0.45">
      <c r="A251" s="12" t="s">
        <v>228</v>
      </c>
      <c r="B251" s="7">
        <v>0</v>
      </c>
      <c r="C251" s="8" t="str">
        <f>IFERROR(B251/B444, "NA")</f>
        <v>NA</v>
      </c>
      <c r="D251" s="9"/>
      <c r="E251" s="7">
        <v>0</v>
      </c>
      <c r="F251" s="8" t="str">
        <f>IFERROR(E251/E444, "NA")</f>
        <v>NA</v>
      </c>
      <c r="G251" s="9"/>
      <c r="H251" s="10">
        <f t="shared" si="64"/>
        <v>0</v>
      </c>
      <c r="I251" s="8" t="str">
        <f>IFERROR(H251/H444, "NA")</f>
        <v>NA</v>
      </c>
      <c r="J251" s="9"/>
      <c r="K251" s="7">
        <v>0</v>
      </c>
      <c r="L251" s="8" t="str">
        <f>IFERROR(K251/K444, "NA")</f>
        <v>NA</v>
      </c>
      <c r="M251" s="9"/>
      <c r="N251" s="10">
        <f t="shared" si="65"/>
        <v>0</v>
      </c>
      <c r="O251" s="8" t="str">
        <f>IFERROR(N251/N444, "NA")</f>
        <v>NA</v>
      </c>
      <c r="P251" s="9"/>
      <c r="Q251" s="7">
        <v>0</v>
      </c>
      <c r="R251" s="8" t="str">
        <f>IFERROR(Q251/Q444, "NA")</f>
        <v>NA</v>
      </c>
      <c r="S251" s="9"/>
      <c r="T251" s="7">
        <v>0</v>
      </c>
      <c r="U251" s="8" t="str">
        <f>IFERROR(T251/T444, "NA")</f>
        <v>NA</v>
      </c>
      <c r="V251" s="9"/>
      <c r="W251" s="10">
        <f t="shared" si="66"/>
        <v>0</v>
      </c>
      <c r="X251" s="8" t="str">
        <f>IFERROR(W251/W444, "NA")</f>
        <v>NA</v>
      </c>
      <c r="Y251" s="9"/>
      <c r="Z251" s="7">
        <v>0</v>
      </c>
      <c r="AA251" s="8" t="str">
        <f>IFERROR(Z251/Z444, "NA")</f>
        <v>NA</v>
      </c>
      <c r="AB251" s="9"/>
      <c r="AC251" s="10">
        <f t="shared" si="67"/>
        <v>0</v>
      </c>
      <c r="AD251" s="8" t="str">
        <f>IFERROR(AC251/AC444, "NA")</f>
        <v>NA</v>
      </c>
    </row>
    <row r="252" spans="1:30" ht="16.5" hidden="1" customHeight="1" x14ac:dyDescent="0.45">
      <c r="A252" s="12" t="s">
        <v>229</v>
      </c>
      <c r="B252" s="7">
        <v>0</v>
      </c>
      <c r="C252" s="8" t="str">
        <f>IFERROR(B252/B444, "NA")</f>
        <v>NA</v>
      </c>
      <c r="D252" s="9"/>
      <c r="E252" s="7">
        <v>0</v>
      </c>
      <c r="F252" s="8" t="str">
        <f>IFERROR(E252/E444, "NA")</f>
        <v>NA</v>
      </c>
      <c r="G252" s="9"/>
      <c r="H252" s="10">
        <f t="shared" si="64"/>
        <v>0</v>
      </c>
      <c r="I252" s="8" t="str">
        <f>IFERROR(H252/H444, "NA")</f>
        <v>NA</v>
      </c>
      <c r="J252" s="9"/>
      <c r="K252" s="7">
        <v>0</v>
      </c>
      <c r="L252" s="8" t="str">
        <f>IFERROR(K252/K444, "NA")</f>
        <v>NA</v>
      </c>
      <c r="M252" s="9"/>
      <c r="N252" s="10">
        <f t="shared" si="65"/>
        <v>0</v>
      </c>
      <c r="O252" s="8" t="str">
        <f>IFERROR(N252/N444, "NA")</f>
        <v>NA</v>
      </c>
      <c r="P252" s="9"/>
      <c r="Q252" s="7">
        <v>0</v>
      </c>
      <c r="R252" s="8" t="str">
        <f>IFERROR(Q252/Q444, "NA")</f>
        <v>NA</v>
      </c>
      <c r="S252" s="9"/>
      <c r="T252" s="7">
        <v>0</v>
      </c>
      <c r="U252" s="8" t="str">
        <f>IFERROR(T252/T444, "NA")</f>
        <v>NA</v>
      </c>
      <c r="V252" s="9"/>
      <c r="W252" s="10">
        <f t="shared" si="66"/>
        <v>0</v>
      </c>
      <c r="X252" s="8" t="str">
        <f>IFERROR(W252/W444, "NA")</f>
        <v>NA</v>
      </c>
      <c r="Y252" s="9"/>
      <c r="Z252" s="7">
        <v>0</v>
      </c>
      <c r="AA252" s="8" t="str">
        <f>IFERROR(Z252/Z444, "NA")</f>
        <v>NA</v>
      </c>
      <c r="AB252" s="9"/>
      <c r="AC252" s="10">
        <f t="shared" si="67"/>
        <v>0</v>
      </c>
      <c r="AD252" s="8" t="str">
        <f>IFERROR(AC252/AC444, "NA")</f>
        <v>NA</v>
      </c>
    </row>
    <row r="253" spans="1:30" ht="16.5" hidden="1" customHeight="1" x14ac:dyDescent="0.45">
      <c r="A253" s="12" t="s">
        <v>230</v>
      </c>
      <c r="B253" s="7">
        <v>0</v>
      </c>
      <c r="C253" s="8" t="str">
        <f>IFERROR(B253/B444, "NA")</f>
        <v>NA</v>
      </c>
      <c r="D253" s="9"/>
      <c r="E253" s="7">
        <v>0</v>
      </c>
      <c r="F253" s="8" t="str">
        <f>IFERROR(E253/E444, "NA")</f>
        <v>NA</v>
      </c>
      <c r="G253" s="9"/>
      <c r="H253" s="10">
        <f t="shared" si="64"/>
        <v>0</v>
      </c>
      <c r="I253" s="8" t="str">
        <f>IFERROR(H253/H444, "NA")</f>
        <v>NA</v>
      </c>
      <c r="J253" s="9"/>
      <c r="K253" s="7">
        <v>0</v>
      </c>
      <c r="L253" s="8" t="str">
        <f>IFERROR(K253/K444, "NA")</f>
        <v>NA</v>
      </c>
      <c r="M253" s="9"/>
      <c r="N253" s="10">
        <f t="shared" si="65"/>
        <v>0</v>
      </c>
      <c r="O253" s="8" t="str">
        <f>IFERROR(N253/N444, "NA")</f>
        <v>NA</v>
      </c>
      <c r="P253" s="9"/>
      <c r="Q253" s="7">
        <v>0</v>
      </c>
      <c r="R253" s="8" t="str">
        <f>IFERROR(Q253/Q444, "NA")</f>
        <v>NA</v>
      </c>
      <c r="S253" s="9"/>
      <c r="T253" s="7">
        <v>0</v>
      </c>
      <c r="U253" s="8" t="str">
        <f>IFERROR(T253/T444, "NA")</f>
        <v>NA</v>
      </c>
      <c r="V253" s="9"/>
      <c r="W253" s="10">
        <f t="shared" si="66"/>
        <v>0</v>
      </c>
      <c r="X253" s="8" t="str">
        <f>IFERROR(W253/W444, "NA")</f>
        <v>NA</v>
      </c>
      <c r="Y253" s="9"/>
      <c r="Z253" s="7">
        <v>0</v>
      </c>
      <c r="AA253" s="8" t="str">
        <f>IFERROR(Z253/Z444, "NA")</f>
        <v>NA</v>
      </c>
      <c r="AB253" s="9"/>
      <c r="AC253" s="10">
        <f t="shared" si="67"/>
        <v>0</v>
      </c>
      <c r="AD253" s="8" t="str">
        <f>IFERROR(AC253/AC444, "NA")</f>
        <v>NA</v>
      </c>
    </row>
    <row r="254" spans="1:30" ht="16.5" hidden="1" customHeight="1" x14ac:dyDescent="0.45">
      <c r="A254" s="12" t="s">
        <v>231</v>
      </c>
      <c r="B254" s="7">
        <v>0</v>
      </c>
      <c r="C254" s="8" t="str">
        <f>IFERROR(B254/B444, "NA")</f>
        <v>NA</v>
      </c>
      <c r="D254" s="9"/>
      <c r="E254" s="7">
        <v>0</v>
      </c>
      <c r="F254" s="8" t="str">
        <f>IFERROR(E254/E444, "NA")</f>
        <v>NA</v>
      </c>
      <c r="G254" s="9"/>
      <c r="H254" s="10">
        <f t="shared" si="64"/>
        <v>0</v>
      </c>
      <c r="I254" s="8" t="str">
        <f>IFERROR(H254/H444, "NA")</f>
        <v>NA</v>
      </c>
      <c r="J254" s="9"/>
      <c r="K254" s="7">
        <v>0</v>
      </c>
      <c r="L254" s="8" t="str">
        <f>IFERROR(K254/K444, "NA")</f>
        <v>NA</v>
      </c>
      <c r="M254" s="9"/>
      <c r="N254" s="10">
        <f t="shared" si="65"/>
        <v>0</v>
      </c>
      <c r="O254" s="8" t="str">
        <f>IFERROR(N254/N444, "NA")</f>
        <v>NA</v>
      </c>
      <c r="P254" s="9"/>
      <c r="Q254" s="7">
        <v>0</v>
      </c>
      <c r="R254" s="8" t="str">
        <f>IFERROR(Q254/Q444, "NA")</f>
        <v>NA</v>
      </c>
      <c r="S254" s="9"/>
      <c r="T254" s="7">
        <v>0</v>
      </c>
      <c r="U254" s="8" t="str">
        <f>IFERROR(T254/T444, "NA")</f>
        <v>NA</v>
      </c>
      <c r="V254" s="9"/>
      <c r="W254" s="10">
        <f t="shared" si="66"/>
        <v>0</v>
      </c>
      <c r="X254" s="8" t="str">
        <f>IFERROR(W254/W444, "NA")</f>
        <v>NA</v>
      </c>
      <c r="Y254" s="9"/>
      <c r="Z254" s="7">
        <v>0</v>
      </c>
      <c r="AA254" s="8" t="str">
        <f>IFERROR(Z254/Z444, "NA")</f>
        <v>NA</v>
      </c>
      <c r="AB254" s="9"/>
      <c r="AC254" s="10">
        <f t="shared" si="67"/>
        <v>0</v>
      </c>
      <c r="AD254" s="8" t="str">
        <f>IFERROR(AC254/AC444, "NA")</f>
        <v>NA</v>
      </c>
    </row>
    <row r="255" spans="1:30" ht="16.5" hidden="1" customHeight="1" x14ac:dyDescent="0.45">
      <c r="A255" s="12" t="s">
        <v>232</v>
      </c>
      <c r="B255" s="7">
        <v>0</v>
      </c>
      <c r="C255" s="8" t="str">
        <f>IFERROR(B255/B444, "NA")</f>
        <v>NA</v>
      </c>
      <c r="D255" s="9"/>
      <c r="E255" s="7">
        <v>0</v>
      </c>
      <c r="F255" s="8" t="str">
        <f>IFERROR(E255/E444, "NA")</f>
        <v>NA</v>
      </c>
      <c r="G255" s="9"/>
      <c r="H255" s="10">
        <f t="shared" si="64"/>
        <v>0</v>
      </c>
      <c r="I255" s="8" t="str">
        <f>IFERROR(H255/H444, "NA")</f>
        <v>NA</v>
      </c>
      <c r="J255" s="9"/>
      <c r="K255" s="7">
        <v>0</v>
      </c>
      <c r="L255" s="8" t="str">
        <f>IFERROR(K255/K444, "NA")</f>
        <v>NA</v>
      </c>
      <c r="M255" s="9"/>
      <c r="N255" s="10">
        <f t="shared" si="65"/>
        <v>0</v>
      </c>
      <c r="O255" s="8" t="str">
        <f>IFERROR(N255/N444, "NA")</f>
        <v>NA</v>
      </c>
      <c r="P255" s="9"/>
      <c r="Q255" s="7">
        <v>0</v>
      </c>
      <c r="R255" s="8" t="str">
        <f>IFERROR(Q255/Q444, "NA")</f>
        <v>NA</v>
      </c>
      <c r="S255" s="9"/>
      <c r="T255" s="7">
        <v>0</v>
      </c>
      <c r="U255" s="8" t="str">
        <f>IFERROR(T255/T444, "NA")</f>
        <v>NA</v>
      </c>
      <c r="V255" s="9"/>
      <c r="W255" s="10">
        <f t="shared" si="66"/>
        <v>0</v>
      </c>
      <c r="X255" s="8" t="str">
        <f>IFERROR(W255/W444, "NA")</f>
        <v>NA</v>
      </c>
      <c r="Y255" s="9"/>
      <c r="Z255" s="7">
        <v>0</v>
      </c>
      <c r="AA255" s="8" t="str">
        <f>IFERROR(Z255/Z444, "NA")</f>
        <v>NA</v>
      </c>
      <c r="AB255" s="9"/>
      <c r="AC255" s="10">
        <f t="shared" si="67"/>
        <v>0</v>
      </c>
      <c r="AD255" s="8" t="str">
        <f>IFERROR(AC255/AC444, "NA")</f>
        <v>NA</v>
      </c>
    </row>
    <row r="256" spans="1:30" ht="16.5" hidden="1" customHeight="1" x14ac:dyDescent="0.45">
      <c r="A256" s="12" t="s">
        <v>233</v>
      </c>
      <c r="B256" s="7">
        <v>0</v>
      </c>
      <c r="C256" s="8" t="str">
        <f>IFERROR(B256/B444, "NA")</f>
        <v>NA</v>
      </c>
      <c r="D256" s="9"/>
      <c r="E256" s="7">
        <v>0</v>
      </c>
      <c r="F256" s="8" t="str">
        <f>IFERROR(E256/E444, "NA")</f>
        <v>NA</v>
      </c>
      <c r="G256" s="9"/>
      <c r="H256" s="10">
        <f t="shared" si="64"/>
        <v>0</v>
      </c>
      <c r="I256" s="8" t="str">
        <f>IFERROR(H256/H444, "NA")</f>
        <v>NA</v>
      </c>
      <c r="J256" s="9"/>
      <c r="K256" s="7">
        <v>0</v>
      </c>
      <c r="L256" s="8" t="str">
        <f>IFERROR(K256/K444, "NA")</f>
        <v>NA</v>
      </c>
      <c r="M256" s="9"/>
      <c r="N256" s="10">
        <f t="shared" si="65"/>
        <v>0</v>
      </c>
      <c r="O256" s="8" t="str">
        <f>IFERROR(N256/N444, "NA")</f>
        <v>NA</v>
      </c>
      <c r="P256" s="9"/>
      <c r="Q256" s="7">
        <v>0</v>
      </c>
      <c r="R256" s="8" t="str">
        <f>IFERROR(Q256/Q444, "NA")</f>
        <v>NA</v>
      </c>
      <c r="S256" s="9"/>
      <c r="T256" s="7">
        <v>0</v>
      </c>
      <c r="U256" s="8" t="str">
        <f>IFERROR(T256/T444, "NA")</f>
        <v>NA</v>
      </c>
      <c r="V256" s="9"/>
      <c r="W256" s="10">
        <f t="shared" si="66"/>
        <v>0</v>
      </c>
      <c r="X256" s="8" t="str">
        <f>IFERROR(W256/W444, "NA")</f>
        <v>NA</v>
      </c>
      <c r="Y256" s="9"/>
      <c r="Z256" s="7">
        <v>0</v>
      </c>
      <c r="AA256" s="8" t="str">
        <f>IFERROR(Z256/Z444, "NA")</f>
        <v>NA</v>
      </c>
      <c r="AB256" s="9"/>
      <c r="AC256" s="10">
        <f t="shared" si="67"/>
        <v>0</v>
      </c>
      <c r="AD256" s="8" t="str">
        <f>IFERROR(AC256/AC444, "NA")</f>
        <v>NA</v>
      </c>
    </row>
    <row r="257" spans="1:30" ht="16.5" hidden="1" customHeight="1" x14ac:dyDescent="0.45">
      <c r="A257" s="12" t="s">
        <v>234</v>
      </c>
      <c r="B257" s="7">
        <v>0</v>
      </c>
      <c r="C257" s="8" t="str">
        <f>IFERROR(B257/B444, "NA")</f>
        <v>NA</v>
      </c>
      <c r="D257" s="9"/>
      <c r="E257" s="7">
        <v>0</v>
      </c>
      <c r="F257" s="8" t="str">
        <f>IFERROR(E257/E444, "NA")</f>
        <v>NA</v>
      </c>
      <c r="G257" s="9"/>
      <c r="H257" s="10">
        <f t="shared" si="64"/>
        <v>0</v>
      </c>
      <c r="I257" s="8" t="str">
        <f>IFERROR(H257/H444, "NA")</f>
        <v>NA</v>
      </c>
      <c r="J257" s="9"/>
      <c r="K257" s="7">
        <v>0</v>
      </c>
      <c r="L257" s="8" t="str">
        <f>IFERROR(K257/K444, "NA")</f>
        <v>NA</v>
      </c>
      <c r="M257" s="9"/>
      <c r="N257" s="10">
        <f t="shared" si="65"/>
        <v>0</v>
      </c>
      <c r="O257" s="8" t="str">
        <f>IFERROR(N257/N444, "NA")</f>
        <v>NA</v>
      </c>
      <c r="P257" s="9"/>
      <c r="Q257" s="7">
        <v>0</v>
      </c>
      <c r="R257" s="8" t="str">
        <f>IFERROR(Q257/Q444, "NA")</f>
        <v>NA</v>
      </c>
      <c r="S257" s="9"/>
      <c r="T257" s="7">
        <v>0</v>
      </c>
      <c r="U257" s="8" t="str">
        <f>IFERROR(T257/T444, "NA")</f>
        <v>NA</v>
      </c>
      <c r="V257" s="9"/>
      <c r="W257" s="10">
        <f t="shared" si="66"/>
        <v>0</v>
      </c>
      <c r="X257" s="8" t="str">
        <f>IFERROR(W257/W444, "NA")</f>
        <v>NA</v>
      </c>
      <c r="Y257" s="9"/>
      <c r="Z257" s="7">
        <v>0</v>
      </c>
      <c r="AA257" s="8" t="str">
        <f>IFERROR(Z257/Z444, "NA")</f>
        <v>NA</v>
      </c>
      <c r="AB257" s="9"/>
      <c r="AC257" s="10">
        <f t="shared" si="67"/>
        <v>0</v>
      </c>
      <c r="AD257" s="8" t="str">
        <f>IFERROR(AC257/AC444, "NA")</f>
        <v>NA</v>
      </c>
    </row>
    <row r="258" spans="1:30" ht="16.5" hidden="1" customHeight="1" x14ac:dyDescent="0.45">
      <c r="A258" s="12" t="s">
        <v>235</v>
      </c>
      <c r="B258" s="7">
        <v>0</v>
      </c>
      <c r="C258" s="8" t="str">
        <f>IFERROR(B258/B444, "NA")</f>
        <v>NA</v>
      </c>
      <c r="D258" s="9"/>
      <c r="E258" s="7">
        <v>0</v>
      </c>
      <c r="F258" s="8" t="str">
        <f>IFERROR(E258/E444, "NA")</f>
        <v>NA</v>
      </c>
      <c r="G258" s="9"/>
      <c r="H258" s="10">
        <f t="shared" si="64"/>
        <v>0</v>
      </c>
      <c r="I258" s="8" t="str">
        <f>IFERROR(H258/H444, "NA")</f>
        <v>NA</v>
      </c>
      <c r="J258" s="9"/>
      <c r="K258" s="7">
        <v>0</v>
      </c>
      <c r="L258" s="8" t="str">
        <f>IFERROR(K258/K444, "NA")</f>
        <v>NA</v>
      </c>
      <c r="M258" s="9"/>
      <c r="N258" s="10">
        <f t="shared" si="65"/>
        <v>0</v>
      </c>
      <c r="O258" s="8" t="str">
        <f>IFERROR(N258/N444, "NA")</f>
        <v>NA</v>
      </c>
      <c r="P258" s="9"/>
      <c r="Q258" s="7">
        <v>0</v>
      </c>
      <c r="R258" s="8" t="str">
        <f>IFERROR(Q258/Q444, "NA")</f>
        <v>NA</v>
      </c>
      <c r="S258" s="9"/>
      <c r="T258" s="7">
        <v>0</v>
      </c>
      <c r="U258" s="8" t="str">
        <f>IFERROR(T258/T444, "NA")</f>
        <v>NA</v>
      </c>
      <c r="V258" s="9"/>
      <c r="W258" s="10">
        <f t="shared" si="66"/>
        <v>0</v>
      </c>
      <c r="X258" s="8" t="str">
        <f>IFERROR(W258/W444, "NA")</f>
        <v>NA</v>
      </c>
      <c r="Y258" s="9"/>
      <c r="Z258" s="7">
        <v>0</v>
      </c>
      <c r="AA258" s="8" t="str">
        <f>IFERROR(Z258/Z444, "NA")</f>
        <v>NA</v>
      </c>
      <c r="AB258" s="9"/>
      <c r="AC258" s="10">
        <f t="shared" si="67"/>
        <v>0</v>
      </c>
      <c r="AD258" s="8" t="str">
        <f>IFERROR(AC258/AC444, "NA")</f>
        <v>NA</v>
      </c>
    </row>
    <row r="259" spans="1:30" ht="16.5" hidden="1" customHeight="1" x14ac:dyDescent="0.45">
      <c r="A259" s="12" t="s">
        <v>236</v>
      </c>
      <c r="B259" s="7">
        <v>0</v>
      </c>
      <c r="C259" s="8" t="str">
        <f>IFERROR(B259/B444, "NA")</f>
        <v>NA</v>
      </c>
      <c r="D259" s="9"/>
      <c r="E259" s="7">
        <v>0</v>
      </c>
      <c r="F259" s="8" t="str">
        <f>IFERROR(E259/E444, "NA")</f>
        <v>NA</v>
      </c>
      <c r="G259" s="9"/>
      <c r="H259" s="10">
        <f t="shared" si="64"/>
        <v>0</v>
      </c>
      <c r="I259" s="8" t="str">
        <f>IFERROR(H259/H444, "NA")</f>
        <v>NA</v>
      </c>
      <c r="J259" s="9"/>
      <c r="K259" s="7">
        <v>0</v>
      </c>
      <c r="L259" s="8" t="str">
        <f>IFERROR(K259/K444, "NA")</f>
        <v>NA</v>
      </c>
      <c r="M259" s="9"/>
      <c r="N259" s="10">
        <f t="shared" si="65"/>
        <v>0</v>
      </c>
      <c r="O259" s="8" t="str">
        <f>IFERROR(N259/N444, "NA")</f>
        <v>NA</v>
      </c>
      <c r="P259" s="9"/>
      <c r="Q259" s="7">
        <v>0</v>
      </c>
      <c r="R259" s="8" t="str">
        <f>IFERROR(Q259/Q444, "NA")</f>
        <v>NA</v>
      </c>
      <c r="S259" s="9"/>
      <c r="T259" s="7">
        <v>0</v>
      </c>
      <c r="U259" s="8" t="str">
        <f>IFERROR(T259/T444, "NA")</f>
        <v>NA</v>
      </c>
      <c r="V259" s="9"/>
      <c r="W259" s="10">
        <f t="shared" si="66"/>
        <v>0</v>
      </c>
      <c r="X259" s="8" t="str">
        <f>IFERROR(W259/W444, "NA")</f>
        <v>NA</v>
      </c>
      <c r="Y259" s="9"/>
      <c r="Z259" s="7">
        <v>0</v>
      </c>
      <c r="AA259" s="8" t="str">
        <f>IFERROR(Z259/Z444, "NA")</f>
        <v>NA</v>
      </c>
      <c r="AB259" s="9"/>
      <c r="AC259" s="10">
        <f t="shared" si="67"/>
        <v>0</v>
      </c>
      <c r="AD259" s="8" t="str">
        <f>IFERROR(AC259/AC444, "NA")</f>
        <v>NA</v>
      </c>
    </row>
    <row r="260" spans="1:30" ht="16.5" hidden="1" customHeight="1" x14ac:dyDescent="0.45">
      <c r="A260" s="12" t="s">
        <v>237</v>
      </c>
      <c r="B260" s="7">
        <v>0</v>
      </c>
      <c r="C260" s="8" t="str">
        <f>IFERROR(B260/B444, "NA")</f>
        <v>NA</v>
      </c>
      <c r="D260" s="9"/>
      <c r="E260" s="7">
        <v>0</v>
      </c>
      <c r="F260" s="8" t="str">
        <f>IFERROR(E260/E444, "NA")</f>
        <v>NA</v>
      </c>
      <c r="G260" s="9"/>
      <c r="H260" s="10">
        <f t="shared" si="64"/>
        <v>0</v>
      </c>
      <c r="I260" s="8" t="str">
        <f>IFERROR(H260/H444, "NA")</f>
        <v>NA</v>
      </c>
      <c r="J260" s="9"/>
      <c r="K260" s="7">
        <v>0</v>
      </c>
      <c r="L260" s="8" t="str">
        <f>IFERROR(K260/K444, "NA")</f>
        <v>NA</v>
      </c>
      <c r="M260" s="9"/>
      <c r="N260" s="10">
        <f t="shared" si="65"/>
        <v>0</v>
      </c>
      <c r="O260" s="8" t="str">
        <f>IFERROR(N260/N444, "NA")</f>
        <v>NA</v>
      </c>
      <c r="P260" s="9"/>
      <c r="Q260" s="7">
        <v>0</v>
      </c>
      <c r="R260" s="8" t="str">
        <f>IFERROR(Q260/Q444, "NA")</f>
        <v>NA</v>
      </c>
      <c r="S260" s="9"/>
      <c r="T260" s="7">
        <v>0</v>
      </c>
      <c r="U260" s="8" t="str">
        <f>IFERROR(T260/T444, "NA")</f>
        <v>NA</v>
      </c>
      <c r="V260" s="9"/>
      <c r="W260" s="10">
        <f t="shared" si="66"/>
        <v>0</v>
      </c>
      <c r="X260" s="8" t="str">
        <f>IFERROR(W260/W444, "NA")</f>
        <v>NA</v>
      </c>
      <c r="Y260" s="9"/>
      <c r="Z260" s="7">
        <v>0</v>
      </c>
      <c r="AA260" s="8" t="str">
        <f>IFERROR(Z260/Z444, "NA")</f>
        <v>NA</v>
      </c>
      <c r="AB260" s="9"/>
      <c r="AC260" s="10">
        <f t="shared" si="67"/>
        <v>0</v>
      </c>
      <c r="AD260" s="8" t="str">
        <f>IFERROR(AC260/AC444, "NA")</f>
        <v>NA</v>
      </c>
    </row>
    <row r="261" spans="1:30" ht="16.5" hidden="1" customHeight="1" x14ac:dyDescent="0.45">
      <c r="A261" s="12" t="s">
        <v>238</v>
      </c>
      <c r="B261" s="7">
        <v>0</v>
      </c>
      <c r="C261" s="8" t="str">
        <f>IFERROR(B261/B444, "NA")</f>
        <v>NA</v>
      </c>
      <c r="D261" s="9"/>
      <c r="E261" s="7">
        <v>0</v>
      </c>
      <c r="F261" s="8" t="str">
        <f>IFERROR(E261/E444, "NA")</f>
        <v>NA</v>
      </c>
      <c r="G261" s="9"/>
      <c r="H261" s="10">
        <f t="shared" si="64"/>
        <v>0</v>
      </c>
      <c r="I261" s="8" t="str">
        <f>IFERROR(H261/H444, "NA")</f>
        <v>NA</v>
      </c>
      <c r="J261" s="9"/>
      <c r="K261" s="7">
        <v>0</v>
      </c>
      <c r="L261" s="8" t="str">
        <f>IFERROR(K261/K444, "NA")</f>
        <v>NA</v>
      </c>
      <c r="M261" s="9"/>
      <c r="N261" s="10">
        <f t="shared" si="65"/>
        <v>0</v>
      </c>
      <c r="O261" s="8" t="str">
        <f>IFERROR(N261/N444, "NA")</f>
        <v>NA</v>
      </c>
      <c r="P261" s="9"/>
      <c r="Q261" s="7">
        <v>0</v>
      </c>
      <c r="R261" s="8" t="str">
        <f>IFERROR(Q261/Q444, "NA")</f>
        <v>NA</v>
      </c>
      <c r="S261" s="9"/>
      <c r="T261" s="7">
        <v>0</v>
      </c>
      <c r="U261" s="8" t="str">
        <f>IFERROR(T261/T444, "NA")</f>
        <v>NA</v>
      </c>
      <c r="V261" s="9"/>
      <c r="W261" s="10">
        <f t="shared" si="66"/>
        <v>0</v>
      </c>
      <c r="X261" s="8" t="str">
        <f>IFERROR(W261/W444, "NA")</f>
        <v>NA</v>
      </c>
      <c r="Y261" s="9"/>
      <c r="Z261" s="7">
        <v>0</v>
      </c>
      <c r="AA261" s="8" t="str">
        <f>IFERROR(Z261/Z444, "NA")</f>
        <v>NA</v>
      </c>
      <c r="AB261" s="9"/>
      <c r="AC261" s="10">
        <f t="shared" si="67"/>
        <v>0</v>
      </c>
      <c r="AD261" s="8" t="str">
        <f>IFERROR(AC261/AC444, "NA")</f>
        <v>NA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0</v>
      </c>
      <c r="C262" s="15" t="str">
        <f>IFERROR(B262/B444, "NA")</f>
        <v>NA</v>
      </c>
      <c r="D262" s="2"/>
      <c r="E262" s="14">
        <f>IFERROR(E240+E241+E242+E243+E244+E245+E246+E247+E248+E249+E250+E251+E252+E253+E254+E255+E256+E257+E258+E259+E260+E261, "NA")</f>
        <v>0</v>
      </c>
      <c r="F262" s="15" t="str">
        <f>IFERROR(E262/E444, "NA")</f>
        <v>NA</v>
      </c>
      <c r="G262" s="2"/>
      <c r="H262" s="14">
        <f t="shared" si="64"/>
        <v>0</v>
      </c>
      <c r="I262" s="15" t="str">
        <f>IFERROR(H262/H444, "NA")</f>
        <v>NA</v>
      </c>
      <c r="J262" s="2"/>
      <c r="K262" s="14">
        <f>IFERROR(K240+K241+K242+K243+K244+K245+K246+K247+K248+K249+K250+K251+K252+K253+K254+K255+K256+K257+K258+K259+K260+K261, "NA")</f>
        <v>0</v>
      </c>
      <c r="L262" s="15" t="str">
        <f>IFERROR(K262/K444, "NA")</f>
        <v>NA</v>
      </c>
      <c r="M262" s="2"/>
      <c r="N262" s="14">
        <f t="shared" si="65"/>
        <v>0</v>
      </c>
      <c r="O262" s="15" t="str">
        <f>IFERROR(N262/N444, "NA")</f>
        <v>NA</v>
      </c>
      <c r="P262" s="2"/>
      <c r="Q262" s="14">
        <f>IFERROR(Q240+Q241+Q242+Q243+Q244+Q245+Q246+Q247+Q248+Q249+Q250+Q251+Q252+Q253+Q254+Q255+Q256+Q257+Q258+Q259+Q260+Q261, "NA")</f>
        <v>0</v>
      </c>
      <c r="R262" s="15" t="str">
        <f>IFERROR(Q262/Q444, "NA")</f>
        <v>NA</v>
      </c>
      <c r="S262" s="2"/>
      <c r="T262" s="14">
        <f>IFERROR(T240+T241+T242+T243+T244+T245+T246+T247+T248+T249+T250+T251+T252+T253+T254+T255+T256+T257+T258+T259+T260+T261, "NA")</f>
        <v>0</v>
      </c>
      <c r="U262" s="15" t="str">
        <f>IFERROR(T262/T444, "NA")</f>
        <v>NA</v>
      </c>
      <c r="V262" s="2"/>
      <c r="W262" s="14">
        <f t="shared" si="66"/>
        <v>0</v>
      </c>
      <c r="X262" s="15" t="str">
        <f>IFERROR(W262/W444, "NA")</f>
        <v>NA</v>
      </c>
      <c r="Y262" s="2"/>
      <c r="Z262" s="14">
        <f>IFERROR(Z240+Z241+Z242+Z243+Z244+Z245+Z246+Z247+Z248+Z249+Z250+Z251+Z252+Z253+Z254+Z255+Z256+Z257+Z258+Z259+Z260+Z261, "NA")</f>
        <v>0</v>
      </c>
      <c r="AA262" s="15" t="str">
        <f>IFERROR(Z262/Z444, "NA")</f>
        <v>NA</v>
      </c>
      <c r="AB262" s="2"/>
      <c r="AC262" s="14">
        <f t="shared" si="67"/>
        <v>0</v>
      </c>
      <c r="AD262" s="15" t="str">
        <f>IFERROR(AC262/AC444, "NA")</f>
        <v>NA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0</v>
      </c>
      <c r="C263" s="15" t="str">
        <f>IFERROR(B263/B444, "NA")</f>
        <v>NA</v>
      </c>
      <c r="D263" s="2"/>
      <c r="E263" s="14">
        <f>IFERROR(E238+E240+E241+E242+E243+E244+E245+E246+E247+E248+E249+E250+E251+E252+E253+E254+E255+E256+E257+E258+E259+E260+E261, "NA")</f>
        <v>0</v>
      </c>
      <c r="F263" s="15" t="str">
        <f>IFERROR(E263/E444, "NA")</f>
        <v>NA</v>
      </c>
      <c r="G263" s="2"/>
      <c r="H263" s="14">
        <f t="shared" si="64"/>
        <v>0</v>
      </c>
      <c r="I263" s="15" t="str">
        <f>IFERROR(H263/H444, "NA")</f>
        <v>NA</v>
      </c>
      <c r="J263" s="2"/>
      <c r="K263" s="14">
        <f>IFERROR(K238+K240+K241+K242+K243+K244+K245+K246+K247+K248+K249+K250+K251+K252+K253+K254+K255+K256+K257+K258+K259+K260+K261, "NA")</f>
        <v>0</v>
      </c>
      <c r="L263" s="15" t="str">
        <f>IFERROR(K263/K444, "NA")</f>
        <v>NA</v>
      </c>
      <c r="M263" s="2"/>
      <c r="N263" s="14">
        <f t="shared" si="65"/>
        <v>0</v>
      </c>
      <c r="O263" s="15" t="str">
        <f>IFERROR(N263/N444, "NA")</f>
        <v>NA</v>
      </c>
      <c r="P263" s="2"/>
      <c r="Q263" s="14">
        <f>IFERROR(Q238+Q240+Q241+Q242+Q243+Q244+Q245+Q246+Q247+Q248+Q249+Q250+Q251+Q252+Q253+Q254+Q255+Q256+Q257+Q258+Q259+Q260+Q261, "NA")</f>
        <v>0</v>
      </c>
      <c r="R263" s="15" t="str">
        <f>IFERROR(Q263/Q444, "NA")</f>
        <v>NA</v>
      </c>
      <c r="S263" s="2"/>
      <c r="T263" s="14">
        <f>IFERROR(T238+T240+T241+T242+T243+T244+T245+T246+T247+T248+T249+T250+T251+T252+T253+T254+T255+T256+T257+T258+T259+T260+T261, "NA")</f>
        <v>0</v>
      </c>
      <c r="U263" s="15" t="str">
        <f>IFERROR(T263/T444, "NA")</f>
        <v>NA</v>
      </c>
      <c r="V263" s="2"/>
      <c r="W263" s="14">
        <f t="shared" si="66"/>
        <v>0</v>
      </c>
      <c r="X263" s="15" t="str">
        <f>IFERROR(W263/W444, "NA")</f>
        <v>NA</v>
      </c>
      <c r="Y263" s="2"/>
      <c r="Z263" s="14">
        <f>IFERROR(Z238+Z240+Z241+Z242+Z243+Z244+Z245+Z246+Z247+Z248+Z249+Z250+Z251+Z252+Z253+Z254+Z255+Z256+Z257+Z258+Z259+Z260+Z261, "NA")</f>
        <v>0</v>
      </c>
      <c r="AA263" s="15" t="str">
        <f>IFERROR(Z263/Z444, "NA")</f>
        <v>NA</v>
      </c>
      <c r="AB263" s="2"/>
      <c r="AC263" s="14">
        <f t="shared" si="67"/>
        <v>0</v>
      </c>
      <c r="AD263" s="15" t="str">
        <f>IFERROR(AC263/AC444, "NA")</f>
        <v>NA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hidden="1" customHeight="1" x14ac:dyDescent="0.45">
      <c r="A265" s="6" t="s">
        <v>241</v>
      </c>
      <c r="B265" s="7">
        <v>0</v>
      </c>
      <c r="C265" s="8" t="str">
        <f>IFERROR(B265/B444, "NA")</f>
        <v>NA</v>
      </c>
      <c r="D265" s="9"/>
      <c r="E265" s="7">
        <v>0</v>
      </c>
      <c r="F265" s="8" t="str">
        <f>IFERROR(E265/E444, "NA")</f>
        <v>NA</v>
      </c>
      <c r="G265" s="9"/>
      <c r="H265" s="10">
        <f>IFERROR(-(B265-E265), "NA")</f>
        <v>0</v>
      </c>
      <c r="I265" s="8" t="str">
        <f>IFERROR(H265/H444, "NA")</f>
        <v>NA</v>
      </c>
      <c r="J265" s="9"/>
      <c r="K265" s="7">
        <v>0</v>
      </c>
      <c r="L265" s="8" t="str">
        <f>IFERROR(K265/K444, "NA")</f>
        <v>NA</v>
      </c>
      <c r="M265" s="9"/>
      <c r="N265" s="10">
        <f>IFERROR(-(B265-K265), "NA")</f>
        <v>0</v>
      </c>
      <c r="O265" s="8" t="str">
        <f>IFERROR(N265/N444, "NA")</f>
        <v>NA</v>
      </c>
      <c r="P265" s="9"/>
      <c r="Q265" s="7">
        <v>0</v>
      </c>
      <c r="R265" s="8" t="str">
        <f>IFERROR(Q265/Q444, "NA")</f>
        <v>NA</v>
      </c>
      <c r="S265" s="9"/>
      <c r="T265" s="7">
        <v>0</v>
      </c>
      <c r="U265" s="8" t="str">
        <f>IFERROR(T265/T444, "NA")</f>
        <v>NA</v>
      </c>
      <c r="V265" s="9"/>
      <c r="W265" s="10">
        <f>IFERROR(-(Q265-T265), "NA")</f>
        <v>0</v>
      </c>
      <c r="X265" s="8" t="str">
        <f>IFERROR(W265/W444, "NA")</f>
        <v>NA</v>
      </c>
      <c r="Y265" s="9"/>
      <c r="Z265" s="7">
        <v>0</v>
      </c>
      <c r="AA265" s="8" t="str">
        <f>IFERROR(Z265/Z444, "NA")</f>
        <v>NA</v>
      </c>
      <c r="AB265" s="9"/>
      <c r="AC265" s="10">
        <f>IFERROR(-(Q265-Z265), "NA")</f>
        <v>0</v>
      </c>
      <c r="AD265" s="8" t="str">
        <f>IFERROR(AC265/AC444, "NA")</f>
        <v>NA</v>
      </c>
    </row>
    <row r="266" spans="1:30" ht="16.5" hidden="1" customHeight="1" x14ac:dyDescent="0.45">
      <c r="A266" s="6" t="s">
        <v>242</v>
      </c>
      <c r="B266" s="7">
        <v>0</v>
      </c>
      <c r="C266" s="8" t="str">
        <f>IFERROR(B266/B444, "NA")</f>
        <v>NA</v>
      </c>
      <c r="D266" s="9"/>
      <c r="E266" s="7">
        <v>0</v>
      </c>
      <c r="F266" s="8" t="str">
        <f>IFERROR(E266/E444, "NA")</f>
        <v>NA</v>
      </c>
      <c r="G266" s="9"/>
      <c r="H266" s="10">
        <f>IFERROR(-(B266-E266), "NA")</f>
        <v>0</v>
      </c>
      <c r="I266" s="8" t="str">
        <f>IFERROR(H266/H444, "NA")</f>
        <v>NA</v>
      </c>
      <c r="J266" s="9"/>
      <c r="K266" s="7">
        <v>0</v>
      </c>
      <c r="L266" s="8" t="str">
        <f>IFERROR(K266/K444, "NA")</f>
        <v>NA</v>
      </c>
      <c r="M266" s="9"/>
      <c r="N266" s="10">
        <f>IFERROR(-(B266-K266), "NA")</f>
        <v>0</v>
      </c>
      <c r="O266" s="8" t="str">
        <f>IFERROR(N266/N444, "NA")</f>
        <v>NA</v>
      </c>
      <c r="P266" s="9"/>
      <c r="Q266" s="7">
        <v>0</v>
      </c>
      <c r="R266" s="8" t="str">
        <f>IFERROR(Q266/Q444, "NA")</f>
        <v>NA</v>
      </c>
      <c r="S266" s="9"/>
      <c r="T266" s="7">
        <v>0</v>
      </c>
      <c r="U266" s="8" t="str">
        <f>IFERROR(T266/T444, "NA")</f>
        <v>NA</v>
      </c>
      <c r="V266" s="9"/>
      <c r="W266" s="10">
        <f>IFERROR(-(Q266-T266), "NA")</f>
        <v>0</v>
      </c>
      <c r="X266" s="8" t="str">
        <f>IFERROR(W266/W444, "NA")</f>
        <v>NA</v>
      </c>
      <c r="Y266" s="9"/>
      <c r="Z266" s="7">
        <v>0</v>
      </c>
      <c r="AA266" s="8" t="str">
        <f>IFERROR(Z266/Z444, "NA")</f>
        <v>NA</v>
      </c>
      <c r="AB266" s="9"/>
      <c r="AC266" s="10">
        <f>IFERROR(-(Q266-Z266), "NA")</f>
        <v>0</v>
      </c>
      <c r="AD266" s="8" t="str">
        <f>IFERROR(AC266/AC444, "NA")</f>
        <v>NA</v>
      </c>
    </row>
    <row r="267" spans="1:30" ht="16.5" customHeight="1" x14ac:dyDescent="0.45">
      <c r="A267" s="19" t="s">
        <v>243</v>
      </c>
      <c r="B267" s="14">
        <f>IFERROR(B265+B266, "NA")</f>
        <v>0</v>
      </c>
      <c r="C267" s="15" t="str">
        <f>IFERROR(B267/B444, "NA")</f>
        <v>NA</v>
      </c>
      <c r="D267" s="2"/>
      <c r="E267" s="14">
        <f>IFERROR(E265+E266, "NA")</f>
        <v>0</v>
      </c>
      <c r="F267" s="15" t="str">
        <f>IFERROR(E267/E444, "NA")</f>
        <v>NA</v>
      </c>
      <c r="G267" s="2"/>
      <c r="H267" s="14">
        <f>IFERROR(-(B267-E267), "NA")</f>
        <v>0</v>
      </c>
      <c r="I267" s="15" t="str">
        <f>IFERROR(H267/H444, "NA")</f>
        <v>NA</v>
      </c>
      <c r="J267" s="2"/>
      <c r="K267" s="14">
        <f>IFERROR(K265+K266, "NA")</f>
        <v>0</v>
      </c>
      <c r="L267" s="15" t="str">
        <f>IFERROR(K267/K444, "NA")</f>
        <v>NA</v>
      </c>
      <c r="M267" s="2"/>
      <c r="N267" s="14">
        <f>IFERROR(-(B267-K267), "NA")</f>
        <v>0</v>
      </c>
      <c r="O267" s="15" t="str">
        <f>IFERROR(N267/N444, "NA")</f>
        <v>NA</v>
      </c>
      <c r="P267" s="2"/>
      <c r="Q267" s="14">
        <f>IFERROR(Q265+Q266, "NA")</f>
        <v>0</v>
      </c>
      <c r="R267" s="15" t="str">
        <f>IFERROR(Q267/Q444, "NA")</f>
        <v>NA</v>
      </c>
      <c r="S267" s="2"/>
      <c r="T267" s="14">
        <f>IFERROR(T265+T266, "NA")</f>
        <v>0</v>
      </c>
      <c r="U267" s="15" t="str">
        <f>IFERROR(T267/T444, "NA")</f>
        <v>NA</v>
      </c>
      <c r="V267" s="2"/>
      <c r="W267" s="14">
        <f>IFERROR(-(Q267-T267), "NA")</f>
        <v>0</v>
      </c>
      <c r="X267" s="15" t="str">
        <f>IFERROR(W267/W444, "NA")</f>
        <v>NA</v>
      </c>
      <c r="Y267" s="2"/>
      <c r="Z267" s="14">
        <f>IFERROR(Z265+Z266, "NA")</f>
        <v>0</v>
      </c>
      <c r="AA267" s="15" t="str">
        <f>IFERROR(Z267/Z444, "NA")</f>
        <v>NA</v>
      </c>
      <c r="AB267" s="2"/>
      <c r="AC267" s="14">
        <f>IFERROR(-(Q267-Z267), "NA")</f>
        <v>0</v>
      </c>
      <c r="AD267" s="15" t="str">
        <f>IFERROR(AC267/AC444, "NA")</f>
        <v>NA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 t="str">
        <f>IFERROR(B269/B444, "NA")</f>
        <v>NA</v>
      </c>
      <c r="D269" s="9"/>
      <c r="E269" s="7">
        <v>0</v>
      </c>
      <c r="F269" s="8" t="str">
        <f>IFERROR(E269/E444, "NA")</f>
        <v>NA</v>
      </c>
      <c r="G269" s="9"/>
      <c r="H269" s="10">
        <f>IFERROR(-(B269-E269), "NA")</f>
        <v>0</v>
      </c>
      <c r="I269" s="8" t="str">
        <f>IFERROR(H269/H444, "NA")</f>
        <v>NA</v>
      </c>
      <c r="J269" s="9"/>
      <c r="K269" s="7">
        <v>0</v>
      </c>
      <c r="L269" s="8" t="str">
        <f>IFERROR(K269/K444, "NA")</f>
        <v>NA</v>
      </c>
      <c r="M269" s="9"/>
      <c r="N269" s="10">
        <f>IFERROR(-(B269-K269), "NA")</f>
        <v>0</v>
      </c>
      <c r="O269" s="8" t="str">
        <f>IFERROR(N269/N444, "NA")</f>
        <v>NA</v>
      </c>
      <c r="P269" s="9"/>
      <c r="Q269" s="7">
        <v>0</v>
      </c>
      <c r="R269" s="8" t="str">
        <f>IFERROR(Q269/Q444, "NA")</f>
        <v>NA</v>
      </c>
      <c r="S269" s="9"/>
      <c r="T269" s="7">
        <v>0</v>
      </c>
      <c r="U269" s="8" t="str">
        <f>IFERROR(T269/T444, "NA")</f>
        <v>NA</v>
      </c>
      <c r="V269" s="9"/>
      <c r="W269" s="10">
        <f>IFERROR(-(Q269-T269), "NA")</f>
        <v>0</v>
      </c>
      <c r="X269" s="8" t="str">
        <f>IFERROR(W269/W444, "NA")</f>
        <v>NA</v>
      </c>
      <c r="Y269" s="9"/>
      <c r="Z269" s="7">
        <v>0</v>
      </c>
      <c r="AA269" s="8" t="str">
        <f>IFERROR(Z269/Z444, "NA")</f>
        <v>NA</v>
      </c>
      <c r="AB269" s="9"/>
      <c r="AC269" s="10">
        <f>IFERROR(-(Q269-Z269), "NA")</f>
        <v>0</v>
      </c>
      <c r="AD269" s="8" t="str">
        <f>IFERROR(AC269/AC444, "NA")</f>
        <v>NA</v>
      </c>
    </row>
    <row r="270" spans="1:30" ht="16.5" hidden="1" customHeight="1" x14ac:dyDescent="0.45">
      <c r="A270" s="6" t="s">
        <v>245</v>
      </c>
      <c r="B270" s="7">
        <v>0</v>
      </c>
      <c r="C270" s="8" t="str">
        <f>IFERROR(B270/B444, "NA")</f>
        <v>NA</v>
      </c>
      <c r="D270" s="9"/>
      <c r="E270" s="7">
        <v>0</v>
      </c>
      <c r="F270" s="8" t="str">
        <f>IFERROR(E270/E444, "NA")</f>
        <v>NA</v>
      </c>
      <c r="G270" s="9"/>
      <c r="H270" s="10">
        <f>IFERROR(-(B270-E270), "NA")</f>
        <v>0</v>
      </c>
      <c r="I270" s="8" t="str">
        <f>IFERROR(H270/H444, "NA")</f>
        <v>NA</v>
      </c>
      <c r="J270" s="9"/>
      <c r="K270" s="7">
        <v>0</v>
      </c>
      <c r="L270" s="8" t="str">
        <f>IFERROR(K270/K444, "NA")</f>
        <v>NA</v>
      </c>
      <c r="M270" s="9"/>
      <c r="N270" s="10">
        <f>IFERROR(-(B270-K270), "NA")</f>
        <v>0</v>
      </c>
      <c r="O270" s="8" t="str">
        <f>IFERROR(N270/N444, "NA")</f>
        <v>NA</v>
      </c>
      <c r="P270" s="9"/>
      <c r="Q270" s="7">
        <v>0</v>
      </c>
      <c r="R270" s="8" t="str">
        <f>IFERROR(Q270/Q444, "NA")</f>
        <v>NA</v>
      </c>
      <c r="S270" s="9"/>
      <c r="T270" s="7">
        <v>0</v>
      </c>
      <c r="U270" s="8" t="str">
        <f>IFERROR(T270/T444, "NA")</f>
        <v>NA</v>
      </c>
      <c r="V270" s="9"/>
      <c r="W270" s="10">
        <f>IFERROR(-(Q270-T270), "NA")</f>
        <v>0</v>
      </c>
      <c r="X270" s="8" t="str">
        <f>IFERROR(W270/W444, "NA")</f>
        <v>NA</v>
      </c>
      <c r="Y270" s="9"/>
      <c r="Z270" s="7">
        <v>0</v>
      </c>
      <c r="AA270" s="8" t="str">
        <f>IFERROR(Z270/Z444, "NA")</f>
        <v>NA</v>
      </c>
      <c r="AB270" s="9"/>
      <c r="AC270" s="10">
        <f>IFERROR(-(Q270-Z270), "NA")</f>
        <v>0</v>
      </c>
      <c r="AD270" s="8" t="str">
        <f>IFERROR(AC270/AC444, "NA")</f>
        <v>NA</v>
      </c>
    </row>
    <row r="271" spans="1:30" ht="16.5" hidden="1" customHeight="1" x14ac:dyDescent="0.45">
      <c r="A271" s="6" t="s">
        <v>246</v>
      </c>
      <c r="B271" s="7">
        <v>0</v>
      </c>
      <c r="C271" s="8" t="str">
        <f>IFERROR(B271/B444, "NA")</f>
        <v>NA</v>
      </c>
      <c r="D271" s="9"/>
      <c r="E271" s="7">
        <v>0</v>
      </c>
      <c r="F271" s="8" t="str">
        <f>IFERROR(E271/E444, "NA")</f>
        <v>NA</v>
      </c>
      <c r="G271" s="9"/>
      <c r="H271" s="10">
        <f>IFERROR(-(B271-E271), "NA")</f>
        <v>0</v>
      </c>
      <c r="I271" s="8" t="str">
        <f>IFERROR(H271/H444, "NA")</f>
        <v>NA</v>
      </c>
      <c r="J271" s="9"/>
      <c r="K271" s="7">
        <v>0</v>
      </c>
      <c r="L271" s="8" t="str">
        <f>IFERROR(K271/K444, "NA")</f>
        <v>NA</v>
      </c>
      <c r="M271" s="9"/>
      <c r="N271" s="10">
        <f>IFERROR(-(B271-K271), "NA")</f>
        <v>0</v>
      </c>
      <c r="O271" s="8" t="str">
        <f>IFERROR(N271/N444, "NA")</f>
        <v>NA</v>
      </c>
      <c r="P271" s="9"/>
      <c r="Q271" s="7">
        <v>0</v>
      </c>
      <c r="R271" s="8" t="str">
        <f>IFERROR(Q271/Q444, "NA")</f>
        <v>NA</v>
      </c>
      <c r="S271" s="9"/>
      <c r="T271" s="7">
        <v>0</v>
      </c>
      <c r="U271" s="8" t="str">
        <f>IFERROR(T271/T444, "NA")</f>
        <v>NA</v>
      </c>
      <c r="V271" s="9"/>
      <c r="W271" s="10">
        <f>IFERROR(-(Q271-T271), "NA")</f>
        <v>0</v>
      </c>
      <c r="X271" s="8" t="str">
        <f>IFERROR(W271/W444, "NA")</f>
        <v>NA</v>
      </c>
      <c r="Y271" s="9"/>
      <c r="Z271" s="7">
        <v>0</v>
      </c>
      <c r="AA271" s="8" t="str">
        <f>IFERROR(Z271/Z444, "NA")</f>
        <v>NA</v>
      </c>
      <c r="AB271" s="9"/>
      <c r="AC271" s="10">
        <f>IFERROR(-(Q271-Z271), "NA")</f>
        <v>0</v>
      </c>
      <c r="AD271" s="8" t="str">
        <f>IFERROR(AC271/AC444, "NA")</f>
        <v>NA</v>
      </c>
    </row>
    <row r="272" spans="1:30" ht="16.5" hidden="1" customHeight="1" x14ac:dyDescent="0.45">
      <c r="A272" s="6" t="s">
        <v>247</v>
      </c>
      <c r="B272" s="7">
        <v>0</v>
      </c>
      <c r="C272" s="8" t="str">
        <f>IFERROR(B272/B444, "NA")</f>
        <v>NA</v>
      </c>
      <c r="D272" s="9"/>
      <c r="E272" s="7">
        <v>0</v>
      </c>
      <c r="F272" s="8" t="str">
        <f>IFERROR(E272/E444, "NA")</f>
        <v>NA</v>
      </c>
      <c r="G272" s="9"/>
      <c r="H272" s="10">
        <f>IFERROR(-(B272-E272), "NA")</f>
        <v>0</v>
      </c>
      <c r="I272" s="8" t="str">
        <f>IFERROR(H272/H444, "NA")</f>
        <v>NA</v>
      </c>
      <c r="J272" s="9"/>
      <c r="K272" s="7">
        <v>0</v>
      </c>
      <c r="L272" s="8" t="str">
        <f>IFERROR(K272/K444, "NA")</f>
        <v>NA</v>
      </c>
      <c r="M272" s="9"/>
      <c r="N272" s="10">
        <f>IFERROR(-(B272-K272), "NA")</f>
        <v>0</v>
      </c>
      <c r="O272" s="8" t="str">
        <f>IFERROR(N272/N444, "NA")</f>
        <v>NA</v>
      </c>
      <c r="P272" s="9"/>
      <c r="Q272" s="7">
        <v>0</v>
      </c>
      <c r="R272" s="8" t="str">
        <f>IFERROR(Q272/Q444, "NA")</f>
        <v>NA</v>
      </c>
      <c r="S272" s="9"/>
      <c r="T272" s="7">
        <v>0</v>
      </c>
      <c r="U272" s="8" t="str">
        <f>IFERROR(T272/T444, "NA")</f>
        <v>NA</v>
      </c>
      <c r="V272" s="9"/>
      <c r="W272" s="10">
        <f>IFERROR(-(Q272-T272), "NA")</f>
        <v>0</v>
      </c>
      <c r="X272" s="8" t="str">
        <f>IFERROR(W272/W444, "NA")</f>
        <v>NA</v>
      </c>
      <c r="Y272" s="9"/>
      <c r="Z272" s="7">
        <v>0</v>
      </c>
      <c r="AA272" s="8" t="str">
        <f>IFERROR(Z272/Z444, "NA")</f>
        <v>NA</v>
      </c>
      <c r="AB272" s="9"/>
      <c r="AC272" s="10">
        <f>IFERROR(-(Q272-Z272), "NA")</f>
        <v>0</v>
      </c>
      <c r="AD272" s="8" t="str">
        <f>IFERROR(AC272/AC444, "NA")</f>
        <v>NA</v>
      </c>
    </row>
    <row r="273" spans="1:30" ht="16.5" customHeight="1" x14ac:dyDescent="0.45">
      <c r="A273" s="19" t="s">
        <v>248</v>
      </c>
      <c r="B273" s="14">
        <f>IFERROR(B269+B270+B271+B272, "NA")</f>
        <v>0</v>
      </c>
      <c r="C273" s="15" t="str">
        <f>IFERROR(B273/B444, "NA")</f>
        <v>NA</v>
      </c>
      <c r="D273" s="2"/>
      <c r="E273" s="14">
        <f>IFERROR(E269+E270+E271+E272, "NA")</f>
        <v>0</v>
      </c>
      <c r="F273" s="15" t="str">
        <f>IFERROR(E273/E444, "NA")</f>
        <v>NA</v>
      </c>
      <c r="G273" s="2"/>
      <c r="H273" s="14">
        <f>IFERROR(-(B273-E273), "NA")</f>
        <v>0</v>
      </c>
      <c r="I273" s="15" t="str">
        <f>IFERROR(H273/H444, "NA")</f>
        <v>NA</v>
      </c>
      <c r="J273" s="2"/>
      <c r="K273" s="14">
        <f>IFERROR(K269+K270+K271+K272, "NA")</f>
        <v>0</v>
      </c>
      <c r="L273" s="15" t="str">
        <f>IFERROR(K273/K444, "NA")</f>
        <v>NA</v>
      </c>
      <c r="M273" s="2"/>
      <c r="N273" s="14">
        <f>IFERROR(-(B273-K273), "NA")</f>
        <v>0</v>
      </c>
      <c r="O273" s="15" t="str">
        <f>IFERROR(N273/N444, "NA")</f>
        <v>NA</v>
      </c>
      <c r="P273" s="2"/>
      <c r="Q273" s="14">
        <f>IFERROR(Q269+Q270+Q271+Q272, "NA")</f>
        <v>0</v>
      </c>
      <c r="R273" s="15" t="str">
        <f>IFERROR(Q273/Q444, "NA")</f>
        <v>NA</v>
      </c>
      <c r="S273" s="2"/>
      <c r="T273" s="14">
        <f>IFERROR(T269+T270+T271+T272, "NA")</f>
        <v>0</v>
      </c>
      <c r="U273" s="15" t="str">
        <f>IFERROR(T273/T444, "NA")</f>
        <v>NA</v>
      </c>
      <c r="V273" s="2"/>
      <c r="W273" s="14">
        <f>IFERROR(-(Q273-T273), "NA")</f>
        <v>0</v>
      </c>
      <c r="X273" s="15" t="str">
        <f>IFERROR(W273/W444, "NA")</f>
        <v>NA</v>
      </c>
      <c r="Y273" s="2"/>
      <c r="Z273" s="14">
        <f>IFERROR(Z269+Z270+Z271+Z272, "NA")</f>
        <v>0</v>
      </c>
      <c r="AA273" s="15" t="str">
        <f>IFERROR(Z273/Z444, "NA")</f>
        <v>NA</v>
      </c>
      <c r="AB273" s="2"/>
      <c r="AC273" s="14">
        <f>IFERROR(-(Q273-Z273), "NA")</f>
        <v>0</v>
      </c>
      <c r="AD273" s="15" t="str">
        <f>IFERROR(AC273/AC444, "NA")</f>
        <v>NA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 t="str">
        <f>IFERROR(B275/B444, "NA")</f>
        <v>NA</v>
      </c>
      <c r="D275" s="9"/>
      <c r="E275" s="7">
        <v>0</v>
      </c>
      <c r="F275" s="8" t="str">
        <f>IFERROR(E275/E444, "NA")</f>
        <v>NA</v>
      </c>
      <c r="G275" s="9"/>
      <c r="H275" s="10">
        <f t="shared" ref="H275:H284" si="68">IFERROR(-(B275-E275), "NA")</f>
        <v>0</v>
      </c>
      <c r="I275" s="8" t="str">
        <f>IFERROR(H275/H444, "NA")</f>
        <v>NA</v>
      </c>
      <c r="J275" s="9"/>
      <c r="K275" s="7">
        <v>0</v>
      </c>
      <c r="L275" s="8" t="str">
        <f>IFERROR(K275/K444, "NA")</f>
        <v>NA</v>
      </c>
      <c r="M275" s="9"/>
      <c r="N275" s="10">
        <f t="shared" ref="N275:N284" si="69">IFERROR(-(B275-K275), "NA")</f>
        <v>0</v>
      </c>
      <c r="O275" s="8" t="str">
        <f>IFERROR(N275/N444, "NA")</f>
        <v>NA</v>
      </c>
      <c r="P275" s="9"/>
      <c r="Q275" s="7">
        <v>0</v>
      </c>
      <c r="R275" s="8" t="str">
        <f>IFERROR(Q275/Q444, "NA")</f>
        <v>NA</v>
      </c>
      <c r="S275" s="9"/>
      <c r="T275" s="7">
        <v>0</v>
      </c>
      <c r="U275" s="8" t="str">
        <f>IFERROR(T275/T444, "NA")</f>
        <v>NA</v>
      </c>
      <c r="V275" s="9"/>
      <c r="W275" s="10">
        <f t="shared" ref="W275:W284" si="70">IFERROR(-(Q275-T275), "NA")</f>
        <v>0</v>
      </c>
      <c r="X275" s="8" t="str">
        <f>IFERROR(W275/W444, "NA")</f>
        <v>NA</v>
      </c>
      <c r="Y275" s="9"/>
      <c r="Z275" s="7">
        <v>0</v>
      </c>
      <c r="AA275" s="8" t="str">
        <f>IFERROR(Z275/Z444, "NA")</f>
        <v>NA</v>
      </c>
      <c r="AB275" s="9"/>
      <c r="AC275" s="10">
        <f t="shared" ref="AC275:AC284" si="71">IFERROR(-(Q275-Z275), "NA")</f>
        <v>0</v>
      </c>
      <c r="AD275" s="8" t="str">
        <f>IFERROR(AC275/AC444, "NA")</f>
        <v>NA</v>
      </c>
    </row>
    <row r="276" spans="1:30" ht="16.5" hidden="1" customHeight="1" x14ac:dyDescent="0.45">
      <c r="A276" s="6" t="s">
        <v>250</v>
      </c>
      <c r="B276" s="7">
        <v>0</v>
      </c>
      <c r="C276" s="8" t="str">
        <f>IFERROR(B276/B444, "NA")</f>
        <v>NA</v>
      </c>
      <c r="D276" s="9"/>
      <c r="E276" s="7">
        <v>0</v>
      </c>
      <c r="F276" s="8" t="str">
        <f>IFERROR(E276/E444, "NA")</f>
        <v>NA</v>
      </c>
      <c r="G276" s="9"/>
      <c r="H276" s="10">
        <f t="shared" si="68"/>
        <v>0</v>
      </c>
      <c r="I276" s="8" t="str">
        <f>IFERROR(H276/H444, "NA")</f>
        <v>NA</v>
      </c>
      <c r="J276" s="9"/>
      <c r="K276" s="7">
        <v>0</v>
      </c>
      <c r="L276" s="8" t="str">
        <f>IFERROR(K276/K444, "NA")</f>
        <v>NA</v>
      </c>
      <c r="M276" s="9"/>
      <c r="N276" s="10">
        <f t="shared" si="69"/>
        <v>0</v>
      </c>
      <c r="O276" s="8" t="str">
        <f>IFERROR(N276/N444, "NA")</f>
        <v>NA</v>
      </c>
      <c r="P276" s="9"/>
      <c r="Q276" s="7">
        <v>0</v>
      </c>
      <c r="R276" s="8" t="str">
        <f>IFERROR(Q276/Q444, "NA")</f>
        <v>NA</v>
      </c>
      <c r="S276" s="9"/>
      <c r="T276" s="7">
        <v>0</v>
      </c>
      <c r="U276" s="8" t="str">
        <f>IFERROR(T276/T444, "NA")</f>
        <v>NA</v>
      </c>
      <c r="V276" s="9"/>
      <c r="W276" s="10">
        <f t="shared" si="70"/>
        <v>0</v>
      </c>
      <c r="X276" s="8" t="str">
        <f>IFERROR(W276/W444, "NA")</f>
        <v>NA</v>
      </c>
      <c r="Y276" s="9"/>
      <c r="Z276" s="7">
        <v>0</v>
      </c>
      <c r="AA276" s="8" t="str">
        <f>IFERROR(Z276/Z444, "NA")</f>
        <v>NA</v>
      </c>
      <c r="AB276" s="9"/>
      <c r="AC276" s="10">
        <f t="shared" si="71"/>
        <v>0</v>
      </c>
      <c r="AD276" s="8" t="str">
        <f>IFERROR(AC276/AC444, "NA")</f>
        <v>NA</v>
      </c>
    </row>
    <row r="277" spans="1:30" ht="16.5" hidden="1" customHeight="1" x14ac:dyDescent="0.45">
      <c r="A277" s="6" t="s">
        <v>251</v>
      </c>
      <c r="B277" s="7">
        <v>0</v>
      </c>
      <c r="C277" s="8" t="str">
        <f>IFERROR(B277/B444, "NA")</f>
        <v>NA</v>
      </c>
      <c r="D277" s="9"/>
      <c r="E277" s="7">
        <v>0</v>
      </c>
      <c r="F277" s="8" t="str">
        <f>IFERROR(E277/E444, "NA")</f>
        <v>NA</v>
      </c>
      <c r="G277" s="9"/>
      <c r="H277" s="10">
        <f t="shared" si="68"/>
        <v>0</v>
      </c>
      <c r="I277" s="8" t="str">
        <f>IFERROR(H277/H444, "NA")</f>
        <v>NA</v>
      </c>
      <c r="J277" s="9"/>
      <c r="K277" s="7">
        <v>0</v>
      </c>
      <c r="L277" s="8" t="str">
        <f>IFERROR(K277/K444, "NA")</f>
        <v>NA</v>
      </c>
      <c r="M277" s="9"/>
      <c r="N277" s="10">
        <f t="shared" si="69"/>
        <v>0</v>
      </c>
      <c r="O277" s="8" t="str">
        <f>IFERROR(N277/N444, "NA")</f>
        <v>NA</v>
      </c>
      <c r="P277" s="9"/>
      <c r="Q277" s="7">
        <v>0</v>
      </c>
      <c r="R277" s="8" t="str">
        <f>IFERROR(Q277/Q444, "NA")</f>
        <v>NA</v>
      </c>
      <c r="S277" s="9"/>
      <c r="T277" s="7">
        <v>0</v>
      </c>
      <c r="U277" s="8" t="str">
        <f>IFERROR(T277/T444, "NA")</f>
        <v>NA</v>
      </c>
      <c r="V277" s="9"/>
      <c r="W277" s="10">
        <f t="shared" si="70"/>
        <v>0</v>
      </c>
      <c r="X277" s="8" t="str">
        <f>IFERROR(W277/W444, "NA")</f>
        <v>NA</v>
      </c>
      <c r="Y277" s="9"/>
      <c r="Z277" s="7">
        <v>0</v>
      </c>
      <c r="AA277" s="8" t="str">
        <f>IFERROR(Z277/Z444, "NA")</f>
        <v>NA</v>
      </c>
      <c r="AB277" s="9"/>
      <c r="AC277" s="10">
        <f t="shared" si="71"/>
        <v>0</v>
      </c>
      <c r="AD277" s="8" t="str">
        <f>IFERROR(AC277/AC444, "NA")</f>
        <v>NA</v>
      </c>
    </row>
    <row r="278" spans="1:30" ht="16.5" hidden="1" customHeight="1" x14ac:dyDescent="0.45">
      <c r="A278" s="6" t="s">
        <v>252</v>
      </c>
      <c r="B278" s="7">
        <v>0</v>
      </c>
      <c r="C278" s="8" t="str">
        <f>IFERROR(B278/B444, "NA")</f>
        <v>NA</v>
      </c>
      <c r="D278" s="9"/>
      <c r="E278" s="7">
        <v>0</v>
      </c>
      <c r="F278" s="8" t="str">
        <f>IFERROR(E278/E444, "NA")</f>
        <v>NA</v>
      </c>
      <c r="G278" s="9"/>
      <c r="H278" s="10">
        <f t="shared" si="68"/>
        <v>0</v>
      </c>
      <c r="I278" s="8" t="str">
        <f>IFERROR(H278/H444, "NA")</f>
        <v>NA</v>
      </c>
      <c r="J278" s="9"/>
      <c r="K278" s="7">
        <v>0</v>
      </c>
      <c r="L278" s="8" t="str">
        <f>IFERROR(K278/K444, "NA")</f>
        <v>NA</v>
      </c>
      <c r="M278" s="9"/>
      <c r="N278" s="10">
        <f t="shared" si="69"/>
        <v>0</v>
      </c>
      <c r="O278" s="8" t="str">
        <f>IFERROR(N278/N444, "NA")</f>
        <v>NA</v>
      </c>
      <c r="P278" s="9"/>
      <c r="Q278" s="7">
        <v>0</v>
      </c>
      <c r="R278" s="8" t="str">
        <f>IFERROR(Q278/Q444, "NA")</f>
        <v>NA</v>
      </c>
      <c r="S278" s="9"/>
      <c r="T278" s="7">
        <v>0</v>
      </c>
      <c r="U278" s="8" t="str">
        <f>IFERROR(T278/T444, "NA")</f>
        <v>NA</v>
      </c>
      <c r="V278" s="9"/>
      <c r="W278" s="10">
        <f t="shared" si="70"/>
        <v>0</v>
      </c>
      <c r="X278" s="8" t="str">
        <f>IFERROR(W278/W444, "NA")</f>
        <v>NA</v>
      </c>
      <c r="Y278" s="9"/>
      <c r="Z278" s="7">
        <v>0</v>
      </c>
      <c r="AA278" s="8" t="str">
        <f>IFERROR(Z278/Z444, "NA")</f>
        <v>NA</v>
      </c>
      <c r="AB278" s="9"/>
      <c r="AC278" s="10">
        <f t="shared" si="71"/>
        <v>0</v>
      </c>
      <c r="AD278" s="8" t="str">
        <f>IFERROR(AC278/AC444, "NA")</f>
        <v>NA</v>
      </c>
    </row>
    <row r="279" spans="1:30" ht="16.5" hidden="1" customHeight="1" x14ac:dyDescent="0.45">
      <c r="A279" s="6" t="s">
        <v>253</v>
      </c>
      <c r="B279" s="7">
        <v>0</v>
      </c>
      <c r="C279" s="8" t="str">
        <f>IFERROR(B279/B444, "NA")</f>
        <v>NA</v>
      </c>
      <c r="D279" s="9"/>
      <c r="E279" s="7">
        <v>0</v>
      </c>
      <c r="F279" s="8" t="str">
        <f>IFERROR(E279/E444, "NA")</f>
        <v>NA</v>
      </c>
      <c r="G279" s="9"/>
      <c r="H279" s="10">
        <f t="shared" si="68"/>
        <v>0</v>
      </c>
      <c r="I279" s="8" t="str">
        <f>IFERROR(H279/H444, "NA")</f>
        <v>NA</v>
      </c>
      <c r="J279" s="9"/>
      <c r="K279" s="7">
        <v>0</v>
      </c>
      <c r="L279" s="8" t="str">
        <f>IFERROR(K279/K444, "NA")</f>
        <v>NA</v>
      </c>
      <c r="M279" s="9"/>
      <c r="N279" s="10">
        <f t="shared" si="69"/>
        <v>0</v>
      </c>
      <c r="O279" s="8" t="str">
        <f>IFERROR(N279/N444, "NA")</f>
        <v>NA</v>
      </c>
      <c r="P279" s="9"/>
      <c r="Q279" s="7">
        <v>0</v>
      </c>
      <c r="R279" s="8" t="str">
        <f>IFERROR(Q279/Q444, "NA")</f>
        <v>NA</v>
      </c>
      <c r="S279" s="9"/>
      <c r="T279" s="7">
        <v>0</v>
      </c>
      <c r="U279" s="8" t="str">
        <f>IFERROR(T279/T444, "NA")</f>
        <v>NA</v>
      </c>
      <c r="V279" s="9"/>
      <c r="W279" s="10">
        <f t="shared" si="70"/>
        <v>0</v>
      </c>
      <c r="X279" s="8" t="str">
        <f>IFERROR(W279/W444, "NA")</f>
        <v>NA</v>
      </c>
      <c r="Y279" s="9"/>
      <c r="Z279" s="7">
        <v>0</v>
      </c>
      <c r="AA279" s="8" t="str">
        <f>IFERROR(Z279/Z444, "NA")</f>
        <v>NA</v>
      </c>
      <c r="AB279" s="9"/>
      <c r="AC279" s="10">
        <f t="shared" si="71"/>
        <v>0</v>
      </c>
      <c r="AD279" s="8" t="str">
        <f>IFERROR(AC279/AC444, "NA")</f>
        <v>NA</v>
      </c>
    </row>
    <row r="280" spans="1:30" ht="16.5" hidden="1" customHeight="1" x14ac:dyDescent="0.45">
      <c r="A280" s="6" t="s">
        <v>254</v>
      </c>
      <c r="B280" s="7">
        <v>0</v>
      </c>
      <c r="C280" s="8" t="str">
        <f>IFERROR(B280/B444, "NA")</f>
        <v>NA</v>
      </c>
      <c r="D280" s="9"/>
      <c r="E280" s="7">
        <v>0</v>
      </c>
      <c r="F280" s="8" t="str">
        <f>IFERROR(E280/E444, "NA")</f>
        <v>NA</v>
      </c>
      <c r="G280" s="9"/>
      <c r="H280" s="10">
        <f t="shared" si="68"/>
        <v>0</v>
      </c>
      <c r="I280" s="8" t="str">
        <f>IFERROR(H280/H444, "NA")</f>
        <v>NA</v>
      </c>
      <c r="J280" s="9"/>
      <c r="K280" s="7">
        <v>0</v>
      </c>
      <c r="L280" s="8" t="str">
        <f>IFERROR(K280/K444, "NA")</f>
        <v>NA</v>
      </c>
      <c r="M280" s="9"/>
      <c r="N280" s="10">
        <f t="shared" si="69"/>
        <v>0</v>
      </c>
      <c r="O280" s="8" t="str">
        <f>IFERROR(N280/N444, "NA")</f>
        <v>NA</v>
      </c>
      <c r="P280" s="9"/>
      <c r="Q280" s="7">
        <v>0</v>
      </c>
      <c r="R280" s="8" t="str">
        <f>IFERROR(Q280/Q444, "NA")</f>
        <v>NA</v>
      </c>
      <c r="S280" s="9"/>
      <c r="T280" s="7">
        <v>0</v>
      </c>
      <c r="U280" s="8" t="str">
        <f>IFERROR(T280/T444, "NA")</f>
        <v>NA</v>
      </c>
      <c r="V280" s="9"/>
      <c r="W280" s="10">
        <f t="shared" si="70"/>
        <v>0</v>
      </c>
      <c r="X280" s="8" t="str">
        <f>IFERROR(W280/W444, "NA")</f>
        <v>NA</v>
      </c>
      <c r="Y280" s="9"/>
      <c r="Z280" s="7">
        <v>0</v>
      </c>
      <c r="AA280" s="8" t="str">
        <f>IFERROR(Z280/Z444, "NA")</f>
        <v>NA</v>
      </c>
      <c r="AB280" s="9"/>
      <c r="AC280" s="10">
        <f t="shared" si="71"/>
        <v>0</v>
      </c>
      <c r="AD280" s="8" t="str">
        <f>IFERROR(AC280/AC444, "NA")</f>
        <v>NA</v>
      </c>
    </row>
    <row r="281" spans="1:30" ht="16.5" hidden="1" customHeight="1" x14ac:dyDescent="0.45">
      <c r="A281" s="6" t="s">
        <v>255</v>
      </c>
      <c r="B281" s="7">
        <v>0</v>
      </c>
      <c r="C281" s="8" t="str">
        <f>IFERROR(B281/B444, "NA")</f>
        <v>NA</v>
      </c>
      <c r="D281" s="9"/>
      <c r="E281" s="7">
        <v>0</v>
      </c>
      <c r="F281" s="8" t="str">
        <f>IFERROR(E281/E444, "NA")</f>
        <v>NA</v>
      </c>
      <c r="G281" s="9"/>
      <c r="H281" s="10">
        <f t="shared" si="68"/>
        <v>0</v>
      </c>
      <c r="I281" s="8" t="str">
        <f>IFERROR(H281/H444, "NA")</f>
        <v>NA</v>
      </c>
      <c r="J281" s="9"/>
      <c r="K281" s="7">
        <v>0</v>
      </c>
      <c r="L281" s="8" t="str">
        <f>IFERROR(K281/K444, "NA")</f>
        <v>NA</v>
      </c>
      <c r="M281" s="9"/>
      <c r="N281" s="10">
        <f t="shared" si="69"/>
        <v>0</v>
      </c>
      <c r="O281" s="8" t="str">
        <f>IFERROR(N281/N444, "NA")</f>
        <v>NA</v>
      </c>
      <c r="P281" s="9"/>
      <c r="Q281" s="7">
        <v>0</v>
      </c>
      <c r="R281" s="8" t="str">
        <f>IFERROR(Q281/Q444, "NA")</f>
        <v>NA</v>
      </c>
      <c r="S281" s="9"/>
      <c r="T281" s="7">
        <v>0</v>
      </c>
      <c r="U281" s="8" t="str">
        <f>IFERROR(T281/T444, "NA")</f>
        <v>NA</v>
      </c>
      <c r="V281" s="9"/>
      <c r="W281" s="10">
        <f t="shared" si="70"/>
        <v>0</v>
      </c>
      <c r="X281" s="8" t="str">
        <f>IFERROR(W281/W444, "NA")</f>
        <v>NA</v>
      </c>
      <c r="Y281" s="9"/>
      <c r="Z281" s="7">
        <v>0</v>
      </c>
      <c r="AA281" s="8" t="str">
        <f>IFERROR(Z281/Z444, "NA")</f>
        <v>NA</v>
      </c>
      <c r="AB281" s="9"/>
      <c r="AC281" s="10">
        <f t="shared" si="71"/>
        <v>0</v>
      </c>
      <c r="AD281" s="8" t="str">
        <f>IFERROR(AC281/AC444, "NA")</f>
        <v>NA</v>
      </c>
    </row>
    <row r="282" spans="1:30" ht="16.5" hidden="1" customHeight="1" x14ac:dyDescent="0.45">
      <c r="A282" s="6" t="s">
        <v>256</v>
      </c>
      <c r="B282" s="7">
        <v>0</v>
      </c>
      <c r="C282" s="8" t="str">
        <f>IFERROR(B282/B444, "NA")</f>
        <v>NA</v>
      </c>
      <c r="D282" s="9"/>
      <c r="E282" s="7">
        <v>0</v>
      </c>
      <c r="F282" s="8" t="str">
        <f>IFERROR(E282/E444, "NA")</f>
        <v>NA</v>
      </c>
      <c r="G282" s="9"/>
      <c r="H282" s="10">
        <f t="shared" si="68"/>
        <v>0</v>
      </c>
      <c r="I282" s="8" t="str">
        <f>IFERROR(H282/H444, "NA")</f>
        <v>NA</v>
      </c>
      <c r="J282" s="9"/>
      <c r="K282" s="7">
        <v>0</v>
      </c>
      <c r="L282" s="8" t="str">
        <f>IFERROR(K282/K444, "NA")</f>
        <v>NA</v>
      </c>
      <c r="M282" s="9"/>
      <c r="N282" s="10">
        <f t="shared" si="69"/>
        <v>0</v>
      </c>
      <c r="O282" s="8" t="str">
        <f>IFERROR(N282/N444, "NA")</f>
        <v>NA</v>
      </c>
      <c r="P282" s="9"/>
      <c r="Q282" s="7">
        <v>0</v>
      </c>
      <c r="R282" s="8" t="str">
        <f>IFERROR(Q282/Q444, "NA")</f>
        <v>NA</v>
      </c>
      <c r="S282" s="9"/>
      <c r="T282" s="7">
        <v>0</v>
      </c>
      <c r="U282" s="8" t="str">
        <f>IFERROR(T282/T444, "NA")</f>
        <v>NA</v>
      </c>
      <c r="V282" s="9"/>
      <c r="W282" s="10">
        <f t="shared" si="70"/>
        <v>0</v>
      </c>
      <c r="X282" s="8" t="str">
        <f>IFERROR(W282/W444, "NA")</f>
        <v>NA</v>
      </c>
      <c r="Y282" s="9"/>
      <c r="Z282" s="7">
        <v>0</v>
      </c>
      <c r="AA282" s="8" t="str">
        <f>IFERROR(Z282/Z444, "NA")</f>
        <v>NA</v>
      </c>
      <c r="AB282" s="9"/>
      <c r="AC282" s="10">
        <f t="shared" si="71"/>
        <v>0</v>
      </c>
      <c r="AD282" s="8" t="str">
        <f>IFERROR(AC282/AC444, "NA")</f>
        <v>NA</v>
      </c>
    </row>
    <row r="283" spans="1:30" ht="16.5" hidden="1" customHeight="1" x14ac:dyDescent="0.45">
      <c r="A283" s="6" t="s">
        <v>257</v>
      </c>
      <c r="B283" s="7">
        <v>0</v>
      </c>
      <c r="C283" s="8" t="str">
        <f>IFERROR(B283/B444, "NA")</f>
        <v>NA</v>
      </c>
      <c r="D283" s="9"/>
      <c r="E283" s="7">
        <v>0</v>
      </c>
      <c r="F283" s="8" t="str">
        <f>IFERROR(E283/E444, "NA")</f>
        <v>NA</v>
      </c>
      <c r="G283" s="9"/>
      <c r="H283" s="10">
        <f t="shared" si="68"/>
        <v>0</v>
      </c>
      <c r="I283" s="8" t="str">
        <f>IFERROR(H283/H444, "NA")</f>
        <v>NA</v>
      </c>
      <c r="J283" s="9"/>
      <c r="K283" s="7">
        <v>0</v>
      </c>
      <c r="L283" s="8" t="str">
        <f>IFERROR(K283/K444, "NA")</f>
        <v>NA</v>
      </c>
      <c r="M283" s="9"/>
      <c r="N283" s="10">
        <f t="shared" si="69"/>
        <v>0</v>
      </c>
      <c r="O283" s="8" t="str">
        <f>IFERROR(N283/N444, "NA")</f>
        <v>NA</v>
      </c>
      <c r="P283" s="9"/>
      <c r="Q283" s="7">
        <v>0</v>
      </c>
      <c r="R283" s="8" t="str">
        <f>IFERROR(Q283/Q444, "NA")</f>
        <v>NA</v>
      </c>
      <c r="S283" s="9"/>
      <c r="T283" s="7">
        <v>0</v>
      </c>
      <c r="U283" s="8" t="str">
        <f>IFERROR(T283/T444, "NA")</f>
        <v>NA</v>
      </c>
      <c r="V283" s="9"/>
      <c r="W283" s="10">
        <f t="shared" si="70"/>
        <v>0</v>
      </c>
      <c r="X283" s="8" t="str">
        <f>IFERROR(W283/W444, "NA")</f>
        <v>NA</v>
      </c>
      <c r="Y283" s="9"/>
      <c r="Z283" s="7">
        <v>0</v>
      </c>
      <c r="AA283" s="8" t="str">
        <f>IFERROR(Z283/Z444, "NA")</f>
        <v>NA</v>
      </c>
      <c r="AB283" s="9"/>
      <c r="AC283" s="10">
        <f t="shared" si="71"/>
        <v>0</v>
      </c>
      <c r="AD283" s="8" t="str">
        <f>IFERROR(AC283/AC444, "NA")</f>
        <v>NA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 t="str">
        <f>IFERROR(B284/B444, "NA")</f>
        <v>NA</v>
      </c>
      <c r="D284" s="2"/>
      <c r="E284" s="14">
        <f>IFERROR(E275+E276+E277+E278+E279+E280+E281+E282+E283, "NA")</f>
        <v>0</v>
      </c>
      <c r="F284" s="15" t="str">
        <f>IFERROR(E284/E444, "NA")</f>
        <v>NA</v>
      </c>
      <c r="G284" s="2"/>
      <c r="H284" s="14">
        <f t="shared" si="68"/>
        <v>0</v>
      </c>
      <c r="I284" s="15" t="str">
        <f>IFERROR(H284/H444, "NA")</f>
        <v>NA</v>
      </c>
      <c r="J284" s="2"/>
      <c r="K284" s="14">
        <f>IFERROR(K275+K276+K277+K278+K279+K280+K281+K282+K283, "NA")</f>
        <v>0</v>
      </c>
      <c r="L284" s="15" t="str">
        <f>IFERROR(K284/K444, "NA")</f>
        <v>NA</v>
      </c>
      <c r="M284" s="2"/>
      <c r="N284" s="14">
        <f t="shared" si="69"/>
        <v>0</v>
      </c>
      <c r="O284" s="15" t="str">
        <f>IFERROR(N284/N444, "NA")</f>
        <v>NA</v>
      </c>
      <c r="P284" s="2"/>
      <c r="Q284" s="14">
        <f>IFERROR(Q275+Q276+Q277+Q278+Q279+Q280+Q281+Q282+Q283, "NA")</f>
        <v>0</v>
      </c>
      <c r="R284" s="15" t="str">
        <f>IFERROR(Q284/Q444, "NA")</f>
        <v>NA</v>
      </c>
      <c r="S284" s="2"/>
      <c r="T284" s="14">
        <f>IFERROR(T275+T276+T277+T278+T279+T280+T281+T282+T283, "NA")</f>
        <v>0</v>
      </c>
      <c r="U284" s="15" t="str">
        <f>IFERROR(T284/T444, "NA")</f>
        <v>NA</v>
      </c>
      <c r="V284" s="2"/>
      <c r="W284" s="14">
        <f t="shared" si="70"/>
        <v>0</v>
      </c>
      <c r="X284" s="15" t="str">
        <f>IFERROR(W284/W444, "NA")</f>
        <v>NA</v>
      </c>
      <c r="Y284" s="2"/>
      <c r="Z284" s="14">
        <f>IFERROR(Z275+Z276+Z277+Z278+Z279+Z280+Z281+Z282+Z283, "NA")</f>
        <v>0</v>
      </c>
      <c r="AA284" s="15" t="str">
        <f>IFERROR(Z284/Z444, "NA")</f>
        <v>NA</v>
      </c>
      <c r="AB284" s="2"/>
      <c r="AC284" s="14">
        <f t="shared" si="71"/>
        <v>0</v>
      </c>
      <c r="AD284" s="15" t="str">
        <f>IFERROR(AC284/AC444, "NA")</f>
        <v>NA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 t="str">
        <f>IFERROR(B286/B444, "NA")</f>
        <v>NA</v>
      </c>
      <c r="D286" s="9"/>
      <c r="E286" s="7">
        <v>0</v>
      </c>
      <c r="F286" s="8" t="str">
        <f>IFERROR(E286/E444, "NA")</f>
        <v>NA</v>
      </c>
      <c r="G286" s="9"/>
      <c r="H286" s="10">
        <f t="shared" ref="H286:H295" si="72">IFERROR(-(B286-E286), "NA")</f>
        <v>0</v>
      </c>
      <c r="I286" s="8" t="str">
        <f>IFERROR(H286/H444, "NA")</f>
        <v>NA</v>
      </c>
      <c r="J286" s="9"/>
      <c r="K286" s="7">
        <v>0</v>
      </c>
      <c r="L286" s="8" t="str">
        <f>IFERROR(K286/K444, "NA")</f>
        <v>NA</v>
      </c>
      <c r="M286" s="9"/>
      <c r="N286" s="10">
        <f t="shared" ref="N286:N295" si="73">IFERROR(-(B286-K286), "NA")</f>
        <v>0</v>
      </c>
      <c r="O286" s="8" t="str">
        <f>IFERROR(N286/N444, "NA")</f>
        <v>NA</v>
      </c>
      <c r="P286" s="9"/>
      <c r="Q286" s="7">
        <v>0</v>
      </c>
      <c r="R286" s="8" t="str">
        <f>IFERROR(Q286/Q444, "NA")</f>
        <v>NA</v>
      </c>
      <c r="S286" s="9"/>
      <c r="T286" s="7">
        <v>0</v>
      </c>
      <c r="U286" s="8" t="str">
        <f>IFERROR(T286/T444, "NA")</f>
        <v>NA</v>
      </c>
      <c r="V286" s="9"/>
      <c r="W286" s="10">
        <f t="shared" ref="W286:W295" si="74">IFERROR(-(Q286-T286), "NA")</f>
        <v>0</v>
      </c>
      <c r="X286" s="8" t="str">
        <f>IFERROR(W286/W444, "NA")</f>
        <v>NA</v>
      </c>
      <c r="Y286" s="9"/>
      <c r="Z286" s="7">
        <v>0</v>
      </c>
      <c r="AA286" s="8" t="str">
        <f>IFERROR(Z286/Z444, "NA")</f>
        <v>NA</v>
      </c>
      <c r="AB286" s="9"/>
      <c r="AC286" s="10">
        <f t="shared" ref="AC286:AC295" si="75">IFERROR(-(Q286-Z286), "NA")</f>
        <v>0</v>
      </c>
      <c r="AD286" s="8" t="str">
        <f>IFERROR(AC286/AC444, "NA")</f>
        <v>NA</v>
      </c>
    </row>
    <row r="287" spans="1:30" ht="16.5" hidden="1" customHeight="1" x14ac:dyDescent="0.45">
      <c r="A287" s="6" t="s">
        <v>260</v>
      </c>
      <c r="B287" s="7">
        <v>0</v>
      </c>
      <c r="C287" s="8" t="str">
        <f>IFERROR(B287/B444, "NA")</f>
        <v>NA</v>
      </c>
      <c r="D287" s="9"/>
      <c r="E287" s="7">
        <v>0</v>
      </c>
      <c r="F287" s="8" t="str">
        <f>IFERROR(E287/E444, "NA")</f>
        <v>NA</v>
      </c>
      <c r="G287" s="9"/>
      <c r="H287" s="10">
        <f t="shared" si="72"/>
        <v>0</v>
      </c>
      <c r="I287" s="8" t="str">
        <f>IFERROR(H287/H444, "NA")</f>
        <v>NA</v>
      </c>
      <c r="J287" s="9"/>
      <c r="K287" s="7">
        <v>0</v>
      </c>
      <c r="L287" s="8" t="str">
        <f>IFERROR(K287/K444, "NA")</f>
        <v>NA</v>
      </c>
      <c r="M287" s="9"/>
      <c r="N287" s="10">
        <f t="shared" si="73"/>
        <v>0</v>
      </c>
      <c r="O287" s="8" t="str">
        <f>IFERROR(N287/N444, "NA")</f>
        <v>NA</v>
      </c>
      <c r="P287" s="9"/>
      <c r="Q287" s="7">
        <v>0</v>
      </c>
      <c r="R287" s="8" t="str">
        <f>IFERROR(Q287/Q444, "NA")</f>
        <v>NA</v>
      </c>
      <c r="S287" s="9"/>
      <c r="T287" s="7">
        <v>0</v>
      </c>
      <c r="U287" s="8" t="str">
        <f>IFERROR(T287/T444, "NA")</f>
        <v>NA</v>
      </c>
      <c r="V287" s="9"/>
      <c r="W287" s="10">
        <f t="shared" si="74"/>
        <v>0</v>
      </c>
      <c r="X287" s="8" t="str">
        <f>IFERROR(W287/W444, "NA")</f>
        <v>NA</v>
      </c>
      <c r="Y287" s="9"/>
      <c r="Z287" s="7">
        <v>0</v>
      </c>
      <c r="AA287" s="8" t="str">
        <f>IFERROR(Z287/Z444, "NA")</f>
        <v>NA</v>
      </c>
      <c r="AB287" s="9"/>
      <c r="AC287" s="10">
        <f t="shared" si="75"/>
        <v>0</v>
      </c>
      <c r="AD287" s="8" t="str">
        <f>IFERROR(AC287/AC444, "NA")</f>
        <v>NA</v>
      </c>
    </row>
    <row r="288" spans="1:30" ht="16.5" hidden="1" customHeight="1" x14ac:dyDescent="0.45">
      <c r="A288" s="6" t="s">
        <v>261</v>
      </c>
      <c r="B288" s="7">
        <v>0</v>
      </c>
      <c r="C288" s="8" t="str">
        <f>IFERROR(B288/B444, "NA")</f>
        <v>NA</v>
      </c>
      <c r="D288" s="9"/>
      <c r="E288" s="7">
        <v>0</v>
      </c>
      <c r="F288" s="8" t="str">
        <f>IFERROR(E288/E444, "NA")</f>
        <v>NA</v>
      </c>
      <c r="G288" s="9"/>
      <c r="H288" s="10">
        <f t="shared" si="72"/>
        <v>0</v>
      </c>
      <c r="I288" s="8" t="str">
        <f>IFERROR(H288/H444, "NA")</f>
        <v>NA</v>
      </c>
      <c r="J288" s="9"/>
      <c r="K288" s="7">
        <v>0</v>
      </c>
      <c r="L288" s="8" t="str">
        <f>IFERROR(K288/K444, "NA")</f>
        <v>NA</v>
      </c>
      <c r="M288" s="9"/>
      <c r="N288" s="10">
        <f t="shared" si="73"/>
        <v>0</v>
      </c>
      <c r="O288" s="8" t="str">
        <f>IFERROR(N288/N444, "NA")</f>
        <v>NA</v>
      </c>
      <c r="P288" s="9"/>
      <c r="Q288" s="7">
        <v>0</v>
      </c>
      <c r="R288" s="8" t="str">
        <f>IFERROR(Q288/Q444, "NA")</f>
        <v>NA</v>
      </c>
      <c r="S288" s="9"/>
      <c r="T288" s="7">
        <v>0</v>
      </c>
      <c r="U288" s="8" t="str">
        <f>IFERROR(T288/T444, "NA")</f>
        <v>NA</v>
      </c>
      <c r="V288" s="9"/>
      <c r="W288" s="10">
        <f t="shared" si="74"/>
        <v>0</v>
      </c>
      <c r="X288" s="8" t="str">
        <f>IFERROR(W288/W444, "NA")</f>
        <v>NA</v>
      </c>
      <c r="Y288" s="9"/>
      <c r="Z288" s="7">
        <v>0</v>
      </c>
      <c r="AA288" s="8" t="str">
        <f>IFERROR(Z288/Z444, "NA")</f>
        <v>NA</v>
      </c>
      <c r="AB288" s="9"/>
      <c r="AC288" s="10">
        <f t="shared" si="75"/>
        <v>0</v>
      </c>
      <c r="AD288" s="8" t="str">
        <f>IFERROR(AC288/AC444, "NA")</f>
        <v>NA</v>
      </c>
    </row>
    <row r="289" spans="1:30" ht="16.5" hidden="1" customHeight="1" x14ac:dyDescent="0.45">
      <c r="A289" s="6" t="s">
        <v>262</v>
      </c>
      <c r="B289" s="7">
        <v>0</v>
      </c>
      <c r="C289" s="8" t="str">
        <f>IFERROR(B289/B444, "NA")</f>
        <v>NA</v>
      </c>
      <c r="D289" s="9"/>
      <c r="E289" s="7">
        <v>0</v>
      </c>
      <c r="F289" s="8" t="str">
        <f>IFERROR(E289/E444, "NA")</f>
        <v>NA</v>
      </c>
      <c r="G289" s="9"/>
      <c r="H289" s="10">
        <f t="shared" si="72"/>
        <v>0</v>
      </c>
      <c r="I289" s="8" t="str">
        <f>IFERROR(H289/H444, "NA")</f>
        <v>NA</v>
      </c>
      <c r="J289" s="9"/>
      <c r="K289" s="7">
        <v>0</v>
      </c>
      <c r="L289" s="8" t="str">
        <f>IFERROR(K289/K444, "NA")</f>
        <v>NA</v>
      </c>
      <c r="M289" s="9"/>
      <c r="N289" s="10">
        <f t="shared" si="73"/>
        <v>0</v>
      </c>
      <c r="O289" s="8" t="str">
        <f>IFERROR(N289/N444, "NA")</f>
        <v>NA</v>
      </c>
      <c r="P289" s="9"/>
      <c r="Q289" s="7">
        <v>0</v>
      </c>
      <c r="R289" s="8" t="str">
        <f>IFERROR(Q289/Q444, "NA")</f>
        <v>NA</v>
      </c>
      <c r="S289" s="9"/>
      <c r="T289" s="7">
        <v>0</v>
      </c>
      <c r="U289" s="8" t="str">
        <f>IFERROR(T289/T444, "NA")</f>
        <v>NA</v>
      </c>
      <c r="V289" s="9"/>
      <c r="W289" s="10">
        <f t="shared" si="74"/>
        <v>0</v>
      </c>
      <c r="X289" s="8" t="str">
        <f>IFERROR(W289/W444, "NA")</f>
        <v>NA</v>
      </c>
      <c r="Y289" s="9"/>
      <c r="Z289" s="7">
        <v>0</v>
      </c>
      <c r="AA289" s="8" t="str">
        <f>IFERROR(Z289/Z444, "NA")</f>
        <v>NA</v>
      </c>
      <c r="AB289" s="9"/>
      <c r="AC289" s="10">
        <f t="shared" si="75"/>
        <v>0</v>
      </c>
      <c r="AD289" s="8" t="str">
        <f>IFERROR(AC289/AC444, "NA")</f>
        <v>NA</v>
      </c>
    </row>
    <row r="290" spans="1:30" ht="16.5" hidden="1" customHeight="1" x14ac:dyDescent="0.45">
      <c r="A290" s="6" t="s">
        <v>263</v>
      </c>
      <c r="B290" s="7">
        <v>0</v>
      </c>
      <c r="C290" s="8" t="str">
        <f>IFERROR(B290/B444, "NA")</f>
        <v>NA</v>
      </c>
      <c r="D290" s="9"/>
      <c r="E290" s="7">
        <v>0</v>
      </c>
      <c r="F290" s="8" t="str">
        <f>IFERROR(E290/E444, "NA")</f>
        <v>NA</v>
      </c>
      <c r="G290" s="9"/>
      <c r="H290" s="10">
        <f t="shared" si="72"/>
        <v>0</v>
      </c>
      <c r="I290" s="8" t="str">
        <f>IFERROR(H290/H444, "NA")</f>
        <v>NA</v>
      </c>
      <c r="J290" s="9"/>
      <c r="K290" s="7">
        <v>0</v>
      </c>
      <c r="L290" s="8" t="str">
        <f>IFERROR(K290/K444, "NA")</f>
        <v>NA</v>
      </c>
      <c r="M290" s="9"/>
      <c r="N290" s="10">
        <f t="shared" si="73"/>
        <v>0</v>
      </c>
      <c r="O290" s="8" t="str">
        <f>IFERROR(N290/N444, "NA")</f>
        <v>NA</v>
      </c>
      <c r="P290" s="9"/>
      <c r="Q290" s="7">
        <v>0</v>
      </c>
      <c r="R290" s="8" t="str">
        <f>IFERROR(Q290/Q444, "NA")</f>
        <v>NA</v>
      </c>
      <c r="S290" s="9"/>
      <c r="T290" s="7">
        <v>0</v>
      </c>
      <c r="U290" s="8" t="str">
        <f>IFERROR(T290/T444, "NA")</f>
        <v>NA</v>
      </c>
      <c r="V290" s="9"/>
      <c r="W290" s="10">
        <f t="shared" si="74"/>
        <v>0</v>
      </c>
      <c r="X290" s="8" t="str">
        <f>IFERROR(W290/W444, "NA")</f>
        <v>NA</v>
      </c>
      <c r="Y290" s="9"/>
      <c r="Z290" s="7">
        <v>0</v>
      </c>
      <c r="AA290" s="8" t="str">
        <f>IFERROR(Z290/Z444, "NA")</f>
        <v>NA</v>
      </c>
      <c r="AB290" s="9"/>
      <c r="AC290" s="10">
        <f t="shared" si="75"/>
        <v>0</v>
      </c>
      <c r="AD290" s="8" t="str">
        <f>IFERROR(AC290/AC444, "NA")</f>
        <v>NA</v>
      </c>
    </row>
    <row r="291" spans="1:30" ht="16.5" hidden="1" customHeight="1" x14ac:dyDescent="0.45">
      <c r="A291" s="6" t="s">
        <v>264</v>
      </c>
      <c r="B291" s="7">
        <v>0</v>
      </c>
      <c r="C291" s="8" t="str">
        <f>IFERROR(B291/B444, "NA")</f>
        <v>NA</v>
      </c>
      <c r="D291" s="9"/>
      <c r="E291" s="7">
        <v>0</v>
      </c>
      <c r="F291" s="8" t="str">
        <f>IFERROR(E291/E444, "NA")</f>
        <v>NA</v>
      </c>
      <c r="G291" s="9"/>
      <c r="H291" s="10">
        <f t="shared" si="72"/>
        <v>0</v>
      </c>
      <c r="I291" s="8" t="str">
        <f>IFERROR(H291/H444, "NA")</f>
        <v>NA</v>
      </c>
      <c r="J291" s="9"/>
      <c r="K291" s="7">
        <v>0</v>
      </c>
      <c r="L291" s="8" t="str">
        <f>IFERROR(K291/K444, "NA")</f>
        <v>NA</v>
      </c>
      <c r="M291" s="9"/>
      <c r="N291" s="10">
        <f t="shared" si="73"/>
        <v>0</v>
      </c>
      <c r="O291" s="8" t="str">
        <f>IFERROR(N291/N444, "NA")</f>
        <v>NA</v>
      </c>
      <c r="P291" s="9"/>
      <c r="Q291" s="7">
        <v>0</v>
      </c>
      <c r="R291" s="8" t="str">
        <f>IFERROR(Q291/Q444, "NA")</f>
        <v>NA</v>
      </c>
      <c r="S291" s="9"/>
      <c r="T291" s="7">
        <v>0</v>
      </c>
      <c r="U291" s="8" t="str">
        <f>IFERROR(T291/T444, "NA")</f>
        <v>NA</v>
      </c>
      <c r="V291" s="9"/>
      <c r="W291" s="10">
        <f t="shared" si="74"/>
        <v>0</v>
      </c>
      <c r="X291" s="8" t="str">
        <f>IFERROR(W291/W444, "NA")</f>
        <v>NA</v>
      </c>
      <c r="Y291" s="9"/>
      <c r="Z291" s="7">
        <v>0</v>
      </c>
      <c r="AA291" s="8" t="str">
        <f>IFERROR(Z291/Z444, "NA")</f>
        <v>NA</v>
      </c>
      <c r="AB291" s="9"/>
      <c r="AC291" s="10">
        <f t="shared" si="75"/>
        <v>0</v>
      </c>
      <c r="AD291" s="8" t="str">
        <f>IFERROR(AC291/AC444, "NA")</f>
        <v>NA</v>
      </c>
    </row>
    <row r="292" spans="1:30" ht="16.5" hidden="1" customHeight="1" x14ac:dyDescent="0.45">
      <c r="A292" s="6" t="s">
        <v>265</v>
      </c>
      <c r="B292" s="7">
        <v>0</v>
      </c>
      <c r="C292" s="8" t="str">
        <f>IFERROR(B292/B444, "NA")</f>
        <v>NA</v>
      </c>
      <c r="D292" s="9"/>
      <c r="E292" s="7">
        <v>0</v>
      </c>
      <c r="F292" s="8" t="str">
        <f>IFERROR(E292/E444, "NA")</f>
        <v>NA</v>
      </c>
      <c r="G292" s="9"/>
      <c r="H292" s="10">
        <f t="shared" si="72"/>
        <v>0</v>
      </c>
      <c r="I292" s="8" t="str">
        <f>IFERROR(H292/H444, "NA")</f>
        <v>NA</v>
      </c>
      <c r="J292" s="9"/>
      <c r="K292" s="7">
        <v>0</v>
      </c>
      <c r="L292" s="8" t="str">
        <f>IFERROR(K292/K444, "NA")</f>
        <v>NA</v>
      </c>
      <c r="M292" s="9"/>
      <c r="N292" s="10">
        <f t="shared" si="73"/>
        <v>0</v>
      </c>
      <c r="O292" s="8" t="str">
        <f>IFERROR(N292/N444, "NA")</f>
        <v>NA</v>
      </c>
      <c r="P292" s="9"/>
      <c r="Q292" s="7">
        <v>0</v>
      </c>
      <c r="R292" s="8" t="str">
        <f>IFERROR(Q292/Q444, "NA")</f>
        <v>NA</v>
      </c>
      <c r="S292" s="9"/>
      <c r="T292" s="7">
        <v>0</v>
      </c>
      <c r="U292" s="8" t="str">
        <f>IFERROR(T292/T444, "NA")</f>
        <v>NA</v>
      </c>
      <c r="V292" s="9"/>
      <c r="W292" s="10">
        <f t="shared" si="74"/>
        <v>0</v>
      </c>
      <c r="X292" s="8" t="str">
        <f>IFERROR(W292/W444, "NA")</f>
        <v>NA</v>
      </c>
      <c r="Y292" s="9"/>
      <c r="Z292" s="7">
        <v>0</v>
      </c>
      <c r="AA292" s="8" t="str">
        <f>IFERROR(Z292/Z444, "NA")</f>
        <v>NA</v>
      </c>
      <c r="AB292" s="9"/>
      <c r="AC292" s="10">
        <f t="shared" si="75"/>
        <v>0</v>
      </c>
      <c r="AD292" s="8" t="str">
        <f>IFERROR(AC292/AC444, "NA")</f>
        <v>NA</v>
      </c>
    </row>
    <row r="293" spans="1:30" ht="16.5" hidden="1" customHeight="1" x14ac:dyDescent="0.45">
      <c r="A293" s="6" t="s">
        <v>266</v>
      </c>
      <c r="B293" s="7">
        <v>0</v>
      </c>
      <c r="C293" s="8" t="str">
        <f>IFERROR(B293/B444, "NA")</f>
        <v>NA</v>
      </c>
      <c r="D293" s="9"/>
      <c r="E293" s="7">
        <v>0</v>
      </c>
      <c r="F293" s="8" t="str">
        <f>IFERROR(E293/E444, "NA")</f>
        <v>NA</v>
      </c>
      <c r="G293" s="9"/>
      <c r="H293" s="10">
        <f t="shared" si="72"/>
        <v>0</v>
      </c>
      <c r="I293" s="8" t="str">
        <f>IFERROR(H293/H444, "NA")</f>
        <v>NA</v>
      </c>
      <c r="J293" s="9"/>
      <c r="K293" s="7">
        <v>0</v>
      </c>
      <c r="L293" s="8" t="str">
        <f>IFERROR(K293/K444, "NA")</f>
        <v>NA</v>
      </c>
      <c r="M293" s="9"/>
      <c r="N293" s="10">
        <f t="shared" si="73"/>
        <v>0</v>
      </c>
      <c r="O293" s="8" t="str">
        <f>IFERROR(N293/N444, "NA")</f>
        <v>NA</v>
      </c>
      <c r="P293" s="9"/>
      <c r="Q293" s="7">
        <v>0</v>
      </c>
      <c r="R293" s="8" t="str">
        <f>IFERROR(Q293/Q444, "NA")</f>
        <v>NA</v>
      </c>
      <c r="S293" s="9"/>
      <c r="T293" s="7">
        <v>0</v>
      </c>
      <c r="U293" s="8" t="str">
        <f>IFERROR(T293/T444, "NA")</f>
        <v>NA</v>
      </c>
      <c r="V293" s="9"/>
      <c r="W293" s="10">
        <f t="shared" si="74"/>
        <v>0</v>
      </c>
      <c r="X293" s="8" t="str">
        <f>IFERROR(W293/W444, "NA")</f>
        <v>NA</v>
      </c>
      <c r="Y293" s="9"/>
      <c r="Z293" s="7">
        <v>0</v>
      </c>
      <c r="AA293" s="8" t="str">
        <f>IFERROR(Z293/Z444, "NA")</f>
        <v>NA</v>
      </c>
      <c r="AB293" s="9"/>
      <c r="AC293" s="10">
        <f t="shared" si="75"/>
        <v>0</v>
      </c>
      <c r="AD293" s="8" t="str">
        <f>IFERROR(AC293/AC444, "NA")</f>
        <v>NA</v>
      </c>
    </row>
    <row r="294" spans="1:30" ht="16.5" hidden="1" customHeight="1" x14ac:dyDescent="0.45">
      <c r="A294" s="6" t="s">
        <v>267</v>
      </c>
      <c r="B294" s="7">
        <v>0</v>
      </c>
      <c r="C294" s="8" t="str">
        <f>IFERROR(B294/B444, "NA")</f>
        <v>NA</v>
      </c>
      <c r="D294" s="9"/>
      <c r="E294" s="7">
        <v>0</v>
      </c>
      <c r="F294" s="8" t="str">
        <f>IFERROR(E294/E444, "NA")</f>
        <v>NA</v>
      </c>
      <c r="G294" s="9"/>
      <c r="H294" s="10">
        <f t="shared" si="72"/>
        <v>0</v>
      </c>
      <c r="I294" s="8" t="str">
        <f>IFERROR(H294/H444, "NA")</f>
        <v>NA</v>
      </c>
      <c r="J294" s="9"/>
      <c r="K294" s="7">
        <v>0</v>
      </c>
      <c r="L294" s="8" t="str">
        <f>IFERROR(K294/K444, "NA")</f>
        <v>NA</v>
      </c>
      <c r="M294" s="9"/>
      <c r="N294" s="10">
        <f t="shared" si="73"/>
        <v>0</v>
      </c>
      <c r="O294" s="8" t="str">
        <f>IFERROR(N294/N444, "NA")</f>
        <v>NA</v>
      </c>
      <c r="P294" s="9"/>
      <c r="Q294" s="7">
        <v>0</v>
      </c>
      <c r="R294" s="8" t="str">
        <f>IFERROR(Q294/Q444, "NA")</f>
        <v>NA</v>
      </c>
      <c r="S294" s="9"/>
      <c r="T294" s="7">
        <v>0</v>
      </c>
      <c r="U294" s="8" t="str">
        <f>IFERROR(T294/T444, "NA")</f>
        <v>NA</v>
      </c>
      <c r="V294" s="9"/>
      <c r="W294" s="10">
        <f t="shared" si="74"/>
        <v>0</v>
      </c>
      <c r="X294" s="8" t="str">
        <f>IFERROR(W294/W444, "NA")</f>
        <v>NA</v>
      </c>
      <c r="Y294" s="9"/>
      <c r="Z294" s="7">
        <v>0</v>
      </c>
      <c r="AA294" s="8" t="str">
        <f>IFERROR(Z294/Z444, "NA")</f>
        <v>NA</v>
      </c>
      <c r="AB294" s="9"/>
      <c r="AC294" s="10">
        <f t="shared" si="75"/>
        <v>0</v>
      </c>
      <c r="AD294" s="8" t="str">
        <f>IFERROR(AC294/AC444, "NA")</f>
        <v>NA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0</v>
      </c>
      <c r="C295" s="15" t="str">
        <f>IFERROR(B295/B444, "NA")</f>
        <v>NA</v>
      </c>
      <c r="D295" s="2"/>
      <c r="E295" s="14">
        <f>IFERROR(E286+E287+E288+E289+E290+E291+E292+E293+E294, "NA")</f>
        <v>0</v>
      </c>
      <c r="F295" s="15" t="str">
        <f>IFERROR(E295/E444, "NA")</f>
        <v>NA</v>
      </c>
      <c r="G295" s="2"/>
      <c r="H295" s="14">
        <f t="shared" si="72"/>
        <v>0</v>
      </c>
      <c r="I295" s="15" t="str">
        <f>IFERROR(H295/H444, "NA")</f>
        <v>NA</v>
      </c>
      <c r="J295" s="2"/>
      <c r="K295" s="14">
        <f>IFERROR(K286+K287+K288+K289+K290+K291+K292+K293+K294, "NA")</f>
        <v>0</v>
      </c>
      <c r="L295" s="15" t="str">
        <f>IFERROR(K295/K444, "NA")</f>
        <v>NA</v>
      </c>
      <c r="M295" s="2"/>
      <c r="N295" s="14">
        <f t="shared" si="73"/>
        <v>0</v>
      </c>
      <c r="O295" s="15" t="str">
        <f>IFERROR(N295/N444, "NA")</f>
        <v>NA</v>
      </c>
      <c r="P295" s="2"/>
      <c r="Q295" s="14">
        <f>IFERROR(Q286+Q287+Q288+Q289+Q290+Q291+Q292+Q293+Q294, "NA")</f>
        <v>0</v>
      </c>
      <c r="R295" s="15" t="str">
        <f>IFERROR(Q295/Q444, "NA")</f>
        <v>NA</v>
      </c>
      <c r="S295" s="2"/>
      <c r="T295" s="14">
        <f>IFERROR(T286+T287+T288+T289+T290+T291+T292+T293+T294, "NA")</f>
        <v>0</v>
      </c>
      <c r="U295" s="15" t="str">
        <f>IFERROR(T295/T444, "NA")</f>
        <v>NA</v>
      </c>
      <c r="V295" s="2"/>
      <c r="W295" s="14">
        <f t="shared" si="74"/>
        <v>0</v>
      </c>
      <c r="X295" s="15" t="str">
        <f>IFERROR(W295/W444, "NA")</f>
        <v>NA</v>
      </c>
      <c r="Y295" s="2"/>
      <c r="Z295" s="14">
        <f>IFERROR(Z286+Z287+Z288+Z289+Z290+Z291+Z292+Z293+Z294, "NA")</f>
        <v>0</v>
      </c>
      <c r="AA295" s="15" t="str">
        <f>IFERROR(Z295/Z444, "NA")</f>
        <v>NA</v>
      </c>
      <c r="AB295" s="2"/>
      <c r="AC295" s="14">
        <f t="shared" si="75"/>
        <v>0</v>
      </c>
      <c r="AD295" s="15" t="str">
        <f>IFERROR(AC295/AC444, "NA")</f>
        <v>NA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hidden="1" customHeight="1" x14ac:dyDescent="0.45">
      <c r="A297" s="6" t="s">
        <v>269</v>
      </c>
      <c r="B297" s="7">
        <v>0</v>
      </c>
      <c r="C297" s="8" t="str">
        <f>IFERROR(B297/B444, "NA")</f>
        <v>NA</v>
      </c>
      <c r="D297" s="9"/>
      <c r="E297" s="7">
        <v>0</v>
      </c>
      <c r="F297" s="8" t="str">
        <f>IFERROR(E297/E444, "NA")</f>
        <v>NA</v>
      </c>
      <c r="G297" s="9"/>
      <c r="H297" s="10">
        <f t="shared" ref="H297:H325" si="76">IFERROR(-(B297-E297), "NA")</f>
        <v>0</v>
      </c>
      <c r="I297" s="8" t="str">
        <f>IFERROR(H297/H444, "NA")</f>
        <v>NA</v>
      </c>
      <c r="J297" s="9"/>
      <c r="K297" s="7">
        <v>0</v>
      </c>
      <c r="L297" s="8" t="str">
        <f>IFERROR(K297/K444, "NA")</f>
        <v>NA</v>
      </c>
      <c r="M297" s="9"/>
      <c r="N297" s="10">
        <f t="shared" ref="N297:N325" si="77">IFERROR(-(B297-K297), "NA")</f>
        <v>0</v>
      </c>
      <c r="O297" s="8" t="str">
        <f>IFERROR(N297/N444, "NA")</f>
        <v>NA</v>
      </c>
      <c r="P297" s="9"/>
      <c r="Q297" s="7">
        <v>0</v>
      </c>
      <c r="R297" s="8" t="str">
        <f>IFERROR(Q297/Q444, "NA")</f>
        <v>NA</v>
      </c>
      <c r="S297" s="9"/>
      <c r="T297" s="7">
        <v>0</v>
      </c>
      <c r="U297" s="8" t="str">
        <f>IFERROR(T297/T444, "NA")</f>
        <v>NA</v>
      </c>
      <c r="V297" s="9"/>
      <c r="W297" s="10">
        <f t="shared" ref="W297:W325" si="78">IFERROR(-(Q297-T297), "NA")</f>
        <v>0</v>
      </c>
      <c r="X297" s="8" t="str">
        <f>IFERROR(W297/W444, "NA")</f>
        <v>NA</v>
      </c>
      <c r="Y297" s="9"/>
      <c r="Z297" s="7">
        <v>0</v>
      </c>
      <c r="AA297" s="8" t="str">
        <f>IFERROR(Z297/Z444, "NA")</f>
        <v>NA</v>
      </c>
      <c r="AB297" s="9"/>
      <c r="AC297" s="10">
        <f t="shared" ref="AC297:AC325" si="79">IFERROR(-(Q297-Z297), "NA")</f>
        <v>0</v>
      </c>
      <c r="AD297" s="8" t="str">
        <f>IFERROR(AC297/AC444, "NA")</f>
        <v>NA</v>
      </c>
    </row>
    <row r="298" spans="1:30" ht="16.5" hidden="1" customHeight="1" x14ac:dyDescent="0.45">
      <c r="A298" s="6" t="s">
        <v>270</v>
      </c>
      <c r="B298" s="7">
        <v>0</v>
      </c>
      <c r="C298" s="8" t="str">
        <f>IFERROR(B298/B444, "NA")</f>
        <v>NA</v>
      </c>
      <c r="D298" s="9"/>
      <c r="E298" s="7">
        <v>0</v>
      </c>
      <c r="F298" s="8" t="str">
        <f>IFERROR(E298/E444, "NA")</f>
        <v>NA</v>
      </c>
      <c r="G298" s="9"/>
      <c r="H298" s="10">
        <f t="shared" si="76"/>
        <v>0</v>
      </c>
      <c r="I298" s="8" t="str">
        <f>IFERROR(H298/H444, "NA")</f>
        <v>NA</v>
      </c>
      <c r="J298" s="9"/>
      <c r="K298" s="7">
        <v>0</v>
      </c>
      <c r="L298" s="8" t="str">
        <f>IFERROR(K298/K444, "NA")</f>
        <v>NA</v>
      </c>
      <c r="M298" s="9"/>
      <c r="N298" s="10">
        <f t="shared" si="77"/>
        <v>0</v>
      </c>
      <c r="O298" s="8" t="str">
        <f>IFERROR(N298/N444, "NA")</f>
        <v>NA</v>
      </c>
      <c r="P298" s="9"/>
      <c r="Q298" s="7">
        <v>0</v>
      </c>
      <c r="R298" s="8" t="str">
        <f>IFERROR(Q298/Q444, "NA")</f>
        <v>NA</v>
      </c>
      <c r="S298" s="9"/>
      <c r="T298" s="7">
        <v>0</v>
      </c>
      <c r="U298" s="8" t="str">
        <f>IFERROR(T298/T444, "NA")</f>
        <v>NA</v>
      </c>
      <c r="V298" s="9"/>
      <c r="W298" s="10">
        <f t="shared" si="78"/>
        <v>0</v>
      </c>
      <c r="X298" s="8" t="str">
        <f>IFERROR(W298/W444, "NA")</f>
        <v>NA</v>
      </c>
      <c r="Y298" s="9"/>
      <c r="Z298" s="7">
        <v>0</v>
      </c>
      <c r="AA298" s="8" t="str">
        <f>IFERROR(Z298/Z444, "NA")</f>
        <v>NA</v>
      </c>
      <c r="AB298" s="9"/>
      <c r="AC298" s="10">
        <f t="shared" si="79"/>
        <v>0</v>
      </c>
      <c r="AD298" s="8" t="str">
        <f>IFERROR(AC298/AC444, "NA")</f>
        <v>NA</v>
      </c>
    </row>
    <row r="299" spans="1:30" ht="16.5" hidden="1" customHeight="1" x14ac:dyDescent="0.45">
      <c r="A299" s="6" t="s">
        <v>271</v>
      </c>
      <c r="B299" s="7">
        <v>0</v>
      </c>
      <c r="C299" s="8" t="str">
        <f>IFERROR(B299/B444, "NA")</f>
        <v>NA</v>
      </c>
      <c r="D299" s="9"/>
      <c r="E299" s="7">
        <v>0</v>
      </c>
      <c r="F299" s="8" t="str">
        <f>IFERROR(E299/E444, "NA")</f>
        <v>NA</v>
      </c>
      <c r="G299" s="9"/>
      <c r="H299" s="10">
        <f t="shared" si="76"/>
        <v>0</v>
      </c>
      <c r="I299" s="8" t="str">
        <f>IFERROR(H299/H444, "NA")</f>
        <v>NA</v>
      </c>
      <c r="J299" s="9"/>
      <c r="K299" s="7">
        <v>0</v>
      </c>
      <c r="L299" s="8" t="str">
        <f>IFERROR(K299/K444, "NA")</f>
        <v>NA</v>
      </c>
      <c r="M299" s="9"/>
      <c r="N299" s="10">
        <f t="shared" si="77"/>
        <v>0</v>
      </c>
      <c r="O299" s="8" t="str">
        <f>IFERROR(N299/N444, "NA")</f>
        <v>NA</v>
      </c>
      <c r="P299" s="9"/>
      <c r="Q299" s="7">
        <v>0</v>
      </c>
      <c r="R299" s="8" t="str">
        <f>IFERROR(Q299/Q444, "NA")</f>
        <v>NA</v>
      </c>
      <c r="S299" s="9"/>
      <c r="T299" s="7">
        <v>0</v>
      </c>
      <c r="U299" s="8" t="str">
        <f>IFERROR(T299/T444, "NA")</f>
        <v>NA</v>
      </c>
      <c r="V299" s="9"/>
      <c r="W299" s="10">
        <f t="shared" si="78"/>
        <v>0</v>
      </c>
      <c r="X299" s="8" t="str">
        <f>IFERROR(W299/W444, "NA")</f>
        <v>NA</v>
      </c>
      <c r="Y299" s="9"/>
      <c r="Z299" s="7">
        <v>0</v>
      </c>
      <c r="AA299" s="8" t="str">
        <f>IFERROR(Z299/Z444, "NA")</f>
        <v>NA</v>
      </c>
      <c r="AB299" s="9"/>
      <c r="AC299" s="10">
        <f t="shared" si="79"/>
        <v>0</v>
      </c>
      <c r="AD299" s="8" t="str">
        <f>IFERROR(AC299/AC444, "NA")</f>
        <v>NA</v>
      </c>
    </row>
    <row r="300" spans="1:30" ht="16.5" hidden="1" customHeight="1" x14ac:dyDescent="0.45">
      <c r="A300" s="6" t="s">
        <v>272</v>
      </c>
      <c r="B300" s="7">
        <v>0</v>
      </c>
      <c r="C300" s="8" t="str">
        <f>IFERROR(B300/B444, "NA")</f>
        <v>NA</v>
      </c>
      <c r="D300" s="9"/>
      <c r="E300" s="7">
        <v>0</v>
      </c>
      <c r="F300" s="8" t="str">
        <f>IFERROR(E300/E444, "NA")</f>
        <v>NA</v>
      </c>
      <c r="G300" s="9"/>
      <c r="H300" s="10">
        <f t="shared" si="76"/>
        <v>0</v>
      </c>
      <c r="I300" s="8" t="str">
        <f>IFERROR(H300/H444, "NA")</f>
        <v>NA</v>
      </c>
      <c r="J300" s="9"/>
      <c r="K300" s="7">
        <v>0</v>
      </c>
      <c r="L300" s="8" t="str">
        <f>IFERROR(K300/K444, "NA")</f>
        <v>NA</v>
      </c>
      <c r="M300" s="9"/>
      <c r="N300" s="10">
        <f t="shared" si="77"/>
        <v>0</v>
      </c>
      <c r="O300" s="8" t="str">
        <f>IFERROR(N300/N444, "NA")</f>
        <v>NA</v>
      </c>
      <c r="P300" s="9"/>
      <c r="Q300" s="7">
        <v>0</v>
      </c>
      <c r="R300" s="8" t="str">
        <f>IFERROR(Q300/Q444, "NA")</f>
        <v>NA</v>
      </c>
      <c r="S300" s="9"/>
      <c r="T300" s="7">
        <v>0</v>
      </c>
      <c r="U300" s="8" t="str">
        <f>IFERROR(T300/T444, "NA")</f>
        <v>NA</v>
      </c>
      <c r="V300" s="9"/>
      <c r="W300" s="10">
        <f t="shared" si="78"/>
        <v>0</v>
      </c>
      <c r="X300" s="8" t="str">
        <f>IFERROR(W300/W444, "NA")</f>
        <v>NA</v>
      </c>
      <c r="Y300" s="9"/>
      <c r="Z300" s="7">
        <v>0</v>
      </c>
      <c r="AA300" s="8" t="str">
        <f>IFERROR(Z300/Z444, "NA")</f>
        <v>NA</v>
      </c>
      <c r="AB300" s="9"/>
      <c r="AC300" s="10">
        <f t="shared" si="79"/>
        <v>0</v>
      </c>
      <c r="AD300" s="8" t="str">
        <f>IFERROR(AC300/AC444, "NA")</f>
        <v>NA</v>
      </c>
    </row>
    <row r="301" spans="1:30" ht="16.5" hidden="1" customHeight="1" x14ac:dyDescent="0.45">
      <c r="A301" s="6" t="s">
        <v>273</v>
      </c>
      <c r="B301" s="7">
        <v>0</v>
      </c>
      <c r="C301" s="8" t="str">
        <f>IFERROR(B301/B444, "NA")</f>
        <v>NA</v>
      </c>
      <c r="D301" s="9"/>
      <c r="E301" s="7">
        <v>0</v>
      </c>
      <c r="F301" s="8" t="str">
        <f>IFERROR(E301/E444, "NA")</f>
        <v>NA</v>
      </c>
      <c r="G301" s="9"/>
      <c r="H301" s="10">
        <f t="shared" si="76"/>
        <v>0</v>
      </c>
      <c r="I301" s="8" t="str">
        <f>IFERROR(H301/H444, "NA")</f>
        <v>NA</v>
      </c>
      <c r="J301" s="9"/>
      <c r="K301" s="7">
        <v>0</v>
      </c>
      <c r="L301" s="8" t="str">
        <f>IFERROR(K301/K444, "NA")</f>
        <v>NA</v>
      </c>
      <c r="M301" s="9"/>
      <c r="N301" s="10">
        <f t="shared" si="77"/>
        <v>0</v>
      </c>
      <c r="O301" s="8" t="str">
        <f>IFERROR(N301/N444, "NA")</f>
        <v>NA</v>
      </c>
      <c r="P301" s="9"/>
      <c r="Q301" s="7">
        <v>0</v>
      </c>
      <c r="R301" s="8" t="str">
        <f>IFERROR(Q301/Q444, "NA")</f>
        <v>NA</v>
      </c>
      <c r="S301" s="9"/>
      <c r="T301" s="7">
        <v>0</v>
      </c>
      <c r="U301" s="8" t="str">
        <f>IFERROR(T301/T444, "NA")</f>
        <v>NA</v>
      </c>
      <c r="V301" s="9"/>
      <c r="W301" s="10">
        <f t="shared" si="78"/>
        <v>0</v>
      </c>
      <c r="X301" s="8" t="str">
        <f>IFERROR(W301/W444, "NA")</f>
        <v>NA</v>
      </c>
      <c r="Y301" s="9"/>
      <c r="Z301" s="7">
        <v>0</v>
      </c>
      <c r="AA301" s="8" t="str">
        <f>IFERROR(Z301/Z444, "NA")</f>
        <v>NA</v>
      </c>
      <c r="AB301" s="9"/>
      <c r="AC301" s="10">
        <f t="shared" si="79"/>
        <v>0</v>
      </c>
      <c r="AD301" s="8" t="str">
        <f>IFERROR(AC301/AC444, "NA")</f>
        <v>NA</v>
      </c>
    </row>
    <row r="302" spans="1:30" ht="16.5" hidden="1" customHeight="1" x14ac:dyDescent="0.45">
      <c r="A302" s="6" t="s">
        <v>274</v>
      </c>
      <c r="B302" s="7">
        <v>0</v>
      </c>
      <c r="C302" s="8" t="str">
        <f>IFERROR(B302/B444, "NA")</f>
        <v>NA</v>
      </c>
      <c r="D302" s="9"/>
      <c r="E302" s="7">
        <v>0</v>
      </c>
      <c r="F302" s="8" t="str">
        <f>IFERROR(E302/E444, "NA")</f>
        <v>NA</v>
      </c>
      <c r="G302" s="9"/>
      <c r="H302" s="10">
        <f t="shared" si="76"/>
        <v>0</v>
      </c>
      <c r="I302" s="8" t="str">
        <f>IFERROR(H302/H444, "NA")</f>
        <v>NA</v>
      </c>
      <c r="J302" s="9"/>
      <c r="K302" s="7">
        <v>0</v>
      </c>
      <c r="L302" s="8" t="str">
        <f>IFERROR(K302/K444, "NA")</f>
        <v>NA</v>
      </c>
      <c r="M302" s="9"/>
      <c r="N302" s="10">
        <f t="shared" si="77"/>
        <v>0</v>
      </c>
      <c r="O302" s="8" t="str">
        <f>IFERROR(N302/N444, "NA")</f>
        <v>NA</v>
      </c>
      <c r="P302" s="9"/>
      <c r="Q302" s="7">
        <v>0</v>
      </c>
      <c r="R302" s="8" t="str">
        <f>IFERROR(Q302/Q444, "NA")</f>
        <v>NA</v>
      </c>
      <c r="S302" s="9"/>
      <c r="T302" s="7">
        <v>0</v>
      </c>
      <c r="U302" s="8" t="str">
        <f>IFERROR(T302/T444, "NA")</f>
        <v>NA</v>
      </c>
      <c r="V302" s="9"/>
      <c r="W302" s="10">
        <f t="shared" si="78"/>
        <v>0</v>
      </c>
      <c r="X302" s="8" t="str">
        <f>IFERROR(W302/W444, "NA")</f>
        <v>NA</v>
      </c>
      <c r="Y302" s="9"/>
      <c r="Z302" s="7">
        <v>0</v>
      </c>
      <c r="AA302" s="8" t="str">
        <f>IFERROR(Z302/Z444, "NA")</f>
        <v>NA</v>
      </c>
      <c r="AB302" s="9"/>
      <c r="AC302" s="10">
        <f t="shared" si="79"/>
        <v>0</v>
      </c>
      <c r="AD302" s="8" t="str">
        <f>IFERROR(AC302/AC444, "NA")</f>
        <v>NA</v>
      </c>
    </row>
    <row r="303" spans="1:30" ht="16.5" hidden="1" customHeight="1" x14ac:dyDescent="0.45">
      <c r="A303" s="6" t="s">
        <v>275</v>
      </c>
      <c r="B303" s="7">
        <v>0</v>
      </c>
      <c r="C303" s="8" t="str">
        <f>IFERROR(B303/B444, "NA")</f>
        <v>NA</v>
      </c>
      <c r="D303" s="9"/>
      <c r="E303" s="7">
        <v>0</v>
      </c>
      <c r="F303" s="8" t="str">
        <f>IFERROR(E303/E444, "NA")</f>
        <v>NA</v>
      </c>
      <c r="G303" s="9"/>
      <c r="H303" s="10">
        <f t="shared" si="76"/>
        <v>0</v>
      </c>
      <c r="I303" s="8" t="str">
        <f>IFERROR(H303/H444, "NA")</f>
        <v>NA</v>
      </c>
      <c r="J303" s="9"/>
      <c r="K303" s="7">
        <v>0</v>
      </c>
      <c r="L303" s="8" t="str">
        <f>IFERROR(K303/K444, "NA")</f>
        <v>NA</v>
      </c>
      <c r="M303" s="9"/>
      <c r="N303" s="10">
        <f t="shared" si="77"/>
        <v>0</v>
      </c>
      <c r="O303" s="8" t="str">
        <f>IFERROR(N303/N444, "NA")</f>
        <v>NA</v>
      </c>
      <c r="P303" s="9"/>
      <c r="Q303" s="7">
        <v>0</v>
      </c>
      <c r="R303" s="8" t="str">
        <f>IFERROR(Q303/Q444, "NA")</f>
        <v>NA</v>
      </c>
      <c r="S303" s="9"/>
      <c r="T303" s="7">
        <v>0</v>
      </c>
      <c r="U303" s="8" t="str">
        <f>IFERROR(T303/T444, "NA")</f>
        <v>NA</v>
      </c>
      <c r="V303" s="9"/>
      <c r="W303" s="10">
        <f t="shared" si="78"/>
        <v>0</v>
      </c>
      <c r="X303" s="8" t="str">
        <f>IFERROR(W303/W444, "NA")</f>
        <v>NA</v>
      </c>
      <c r="Y303" s="9"/>
      <c r="Z303" s="7">
        <v>0</v>
      </c>
      <c r="AA303" s="8" t="str">
        <f>IFERROR(Z303/Z444, "NA")</f>
        <v>NA</v>
      </c>
      <c r="AB303" s="9"/>
      <c r="AC303" s="10">
        <f t="shared" si="79"/>
        <v>0</v>
      </c>
      <c r="AD303" s="8" t="str">
        <f>IFERROR(AC303/AC444, "NA")</f>
        <v>NA</v>
      </c>
    </row>
    <row r="304" spans="1:30" ht="16.5" hidden="1" customHeight="1" x14ac:dyDescent="0.45">
      <c r="A304" s="6" t="s">
        <v>276</v>
      </c>
      <c r="B304" s="7">
        <v>0</v>
      </c>
      <c r="C304" s="8" t="str">
        <f>IFERROR(B304/B444, "NA")</f>
        <v>NA</v>
      </c>
      <c r="D304" s="9"/>
      <c r="E304" s="7">
        <v>0</v>
      </c>
      <c r="F304" s="8" t="str">
        <f>IFERROR(E304/E444, "NA")</f>
        <v>NA</v>
      </c>
      <c r="G304" s="9"/>
      <c r="H304" s="10">
        <f t="shared" si="76"/>
        <v>0</v>
      </c>
      <c r="I304" s="8" t="str">
        <f>IFERROR(H304/H444, "NA")</f>
        <v>NA</v>
      </c>
      <c r="J304" s="9"/>
      <c r="K304" s="7">
        <v>0</v>
      </c>
      <c r="L304" s="8" t="str">
        <f>IFERROR(K304/K444, "NA")</f>
        <v>NA</v>
      </c>
      <c r="M304" s="9"/>
      <c r="N304" s="10">
        <f t="shared" si="77"/>
        <v>0</v>
      </c>
      <c r="O304" s="8" t="str">
        <f>IFERROR(N304/N444, "NA")</f>
        <v>NA</v>
      </c>
      <c r="P304" s="9"/>
      <c r="Q304" s="7">
        <v>0</v>
      </c>
      <c r="R304" s="8" t="str">
        <f>IFERROR(Q304/Q444, "NA")</f>
        <v>NA</v>
      </c>
      <c r="S304" s="9"/>
      <c r="T304" s="7">
        <v>0</v>
      </c>
      <c r="U304" s="8" t="str">
        <f>IFERROR(T304/T444, "NA")</f>
        <v>NA</v>
      </c>
      <c r="V304" s="9"/>
      <c r="W304" s="10">
        <f t="shared" si="78"/>
        <v>0</v>
      </c>
      <c r="X304" s="8" t="str">
        <f>IFERROR(W304/W444, "NA")</f>
        <v>NA</v>
      </c>
      <c r="Y304" s="9"/>
      <c r="Z304" s="7">
        <v>0</v>
      </c>
      <c r="AA304" s="8" t="str">
        <f>IFERROR(Z304/Z444, "NA")</f>
        <v>NA</v>
      </c>
      <c r="AB304" s="9"/>
      <c r="AC304" s="10">
        <f t="shared" si="79"/>
        <v>0</v>
      </c>
      <c r="AD304" s="8" t="str">
        <f>IFERROR(AC304/AC444, "NA")</f>
        <v>NA</v>
      </c>
    </row>
    <row r="305" spans="1:30" ht="16.5" hidden="1" customHeight="1" x14ac:dyDescent="0.45">
      <c r="A305" s="6" t="s">
        <v>277</v>
      </c>
      <c r="B305" s="7">
        <v>0</v>
      </c>
      <c r="C305" s="8" t="str">
        <f>IFERROR(B305/B444, "NA")</f>
        <v>NA</v>
      </c>
      <c r="D305" s="9"/>
      <c r="E305" s="7">
        <v>0</v>
      </c>
      <c r="F305" s="8" t="str">
        <f>IFERROR(E305/E444, "NA")</f>
        <v>NA</v>
      </c>
      <c r="G305" s="9"/>
      <c r="H305" s="10">
        <f t="shared" si="76"/>
        <v>0</v>
      </c>
      <c r="I305" s="8" t="str">
        <f>IFERROR(H305/H444, "NA")</f>
        <v>NA</v>
      </c>
      <c r="J305" s="9"/>
      <c r="K305" s="7">
        <v>0</v>
      </c>
      <c r="L305" s="8" t="str">
        <f>IFERROR(K305/K444, "NA")</f>
        <v>NA</v>
      </c>
      <c r="M305" s="9"/>
      <c r="N305" s="10">
        <f t="shared" si="77"/>
        <v>0</v>
      </c>
      <c r="O305" s="8" t="str">
        <f>IFERROR(N305/N444, "NA")</f>
        <v>NA</v>
      </c>
      <c r="P305" s="9"/>
      <c r="Q305" s="7">
        <v>0</v>
      </c>
      <c r="R305" s="8" t="str">
        <f>IFERROR(Q305/Q444, "NA")</f>
        <v>NA</v>
      </c>
      <c r="S305" s="9"/>
      <c r="T305" s="7">
        <v>0</v>
      </c>
      <c r="U305" s="8" t="str">
        <f>IFERROR(T305/T444, "NA")</f>
        <v>NA</v>
      </c>
      <c r="V305" s="9"/>
      <c r="W305" s="10">
        <f t="shared" si="78"/>
        <v>0</v>
      </c>
      <c r="X305" s="8" t="str">
        <f>IFERROR(W305/W444, "NA")</f>
        <v>NA</v>
      </c>
      <c r="Y305" s="9"/>
      <c r="Z305" s="7">
        <v>0</v>
      </c>
      <c r="AA305" s="8" t="str">
        <f>IFERROR(Z305/Z444, "NA")</f>
        <v>NA</v>
      </c>
      <c r="AB305" s="9"/>
      <c r="AC305" s="10">
        <f t="shared" si="79"/>
        <v>0</v>
      </c>
      <c r="AD305" s="8" t="str">
        <f>IFERROR(AC305/AC444, "NA")</f>
        <v>NA</v>
      </c>
    </row>
    <row r="306" spans="1:30" ht="16.5" hidden="1" customHeight="1" x14ac:dyDescent="0.45">
      <c r="A306" s="6" t="s">
        <v>278</v>
      </c>
      <c r="B306" s="7">
        <v>0</v>
      </c>
      <c r="C306" s="8" t="str">
        <f>IFERROR(B306/B444, "NA")</f>
        <v>NA</v>
      </c>
      <c r="D306" s="9"/>
      <c r="E306" s="7">
        <v>0</v>
      </c>
      <c r="F306" s="8" t="str">
        <f>IFERROR(E306/E444, "NA")</f>
        <v>NA</v>
      </c>
      <c r="G306" s="9"/>
      <c r="H306" s="10">
        <f t="shared" si="76"/>
        <v>0</v>
      </c>
      <c r="I306" s="8" t="str">
        <f>IFERROR(H306/H444, "NA")</f>
        <v>NA</v>
      </c>
      <c r="J306" s="9"/>
      <c r="K306" s="7">
        <v>0</v>
      </c>
      <c r="L306" s="8" t="str">
        <f>IFERROR(K306/K444, "NA")</f>
        <v>NA</v>
      </c>
      <c r="M306" s="9"/>
      <c r="N306" s="10">
        <f t="shared" si="77"/>
        <v>0</v>
      </c>
      <c r="O306" s="8" t="str">
        <f>IFERROR(N306/N444, "NA")</f>
        <v>NA</v>
      </c>
      <c r="P306" s="9"/>
      <c r="Q306" s="7">
        <v>0</v>
      </c>
      <c r="R306" s="8" t="str">
        <f>IFERROR(Q306/Q444, "NA")</f>
        <v>NA</v>
      </c>
      <c r="S306" s="9"/>
      <c r="T306" s="7">
        <v>0</v>
      </c>
      <c r="U306" s="8" t="str">
        <f>IFERROR(T306/T444, "NA")</f>
        <v>NA</v>
      </c>
      <c r="V306" s="9"/>
      <c r="W306" s="10">
        <f t="shared" si="78"/>
        <v>0</v>
      </c>
      <c r="X306" s="8" t="str">
        <f>IFERROR(W306/W444, "NA")</f>
        <v>NA</v>
      </c>
      <c r="Y306" s="9"/>
      <c r="Z306" s="7">
        <v>0</v>
      </c>
      <c r="AA306" s="8" t="str">
        <f>IFERROR(Z306/Z444, "NA")</f>
        <v>NA</v>
      </c>
      <c r="AB306" s="9"/>
      <c r="AC306" s="10">
        <f t="shared" si="79"/>
        <v>0</v>
      </c>
      <c r="AD306" s="8" t="str">
        <f>IFERROR(AC306/AC444, "NA")</f>
        <v>NA</v>
      </c>
    </row>
    <row r="307" spans="1:30" ht="16.5" hidden="1" customHeight="1" x14ac:dyDescent="0.45">
      <c r="A307" s="6" t="s">
        <v>279</v>
      </c>
      <c r="B307" s="7">
        <v>0</v>
      </c>
      <c r="C307" s="8" t="str">
        <f>IFERROR(B307/B444, "NA")</f>
        <v>NA</v>
      </c>
      <c r="D307" s="9"/>
      <c r="E307" s="7">
        <v>0</v>
      </c>
      <c r="F307" s="8" t="str">
        <f>IFERROR(E307/E444, "NA")</f>
        <v>NA</v>
      </c>
      <c r="G307" s="9"/>
      <c r="H307" s="10">
        <f t="shared" si="76"/>
        <v>0</v>
      </c>
      <c r="I307" s="8" t="str">
        <f>IFERROR(H307/H444, "NA")</f>
        <v>NA</v>
      </c>
      <c r="J307" s="9"/>
      <c r="K307" s="7">
        <v>0</v>
      </c>
      <c r="L307" s="8" t="str">
        <f>IFERROR(K307/K444, "NA")</f>
        <v>NA</v>
      </c>
      <c r="M307" s="9"/>
      <c r="N307" s="10">
        <f t="shared" si="77"/>
        <v>0</v>
      </c>
      <c r="O307" s="8" t="str">
        <f>IFERROR(N307/N444, "NA")</f>
        <v>NA</v>
      </c>
      <c r="P307" s="9"/>
      <c r="Q307" s="7">
        <v>0</v>
      </c>
      <c r="R307" s="8" t="str">
        <f>IFERROR(Q307/Q444, "NA")</f>
        <v>NA</v>
      </c>
      <c r="S307" s="9"/>
      <c r="T307" s="7">
        <v>0</v>
      </c>
      <c r="U307" s="8" t="str">
        <f>IFERROR(T307/T444, "NA")</f>
        <v>NA</v>
      </c>
      <c r="V307" s="9"/>
      <c r="W307" s="10">
        <f t="shared" si="78"/>
        <v>0</v>
      </c>
      <c r="X307" s="8" t="str">
        <f>IFERROR(W307/W444, "NA")</f>
        <v>NA</v>
      </c>
      <c r="Y307" s="9"/>
      <c r="Z307" s="7">
        <v>0</v>
      </c>
      <c r="AA307" s="8" t="str">
        <f>IFERROR(Z307/Z444, "NA")</f>
        <v>NA</v>
      </c>
      <c r="AB307" s="9"/>
      <c r="AC307" s="10">
        <f t="shared" si="79"/>
        <v>0</v>
      </c>
      <c r="AD307" s="8" t="str">
        <f>IFERROR(AC307/AC444, "NA")</f>
        <v>NA</v>
      </c>
    </row>
    <row r="308" spans="1:30" ht="16.5" hidden="1" customHeight="1" x14ac:dyDescent="0.45">
      <c r="A308" s="6" t="s">
        <v>280</v>
      </c>
      <c r="B308" s="7">
        <v>0</v>
      </c>
      <c r="C308" s="8" t="str">
        <f>IFERROR(B308/B444, "NA")</f>
        <v>NA</v>
      </c>
      <c r="D308" s="9"/>
      <c r="E308" s="7">
        <v>0</v>
      </c>
      <c r="F308" s="8" t="str">
        <f>IFERROR(E308/E444, "NA")</f>
        <v>NA</v>
      </c>
      <c r="G308" s="9"/>
      <c r="H308" s="10">
        <f t="shared" si="76"/>
        <v>0</v>
      </c>
      <c r="I308" s="8" t="str">
        <f>IFERROR(H308/H444, "NA")</f>
        <v>NA</v>
      </c>
      <c r="J308" s="9"/>
      <c r="K308" s="7">
        <v>0</v>
      </c>
      <c r="L308" s="8" t="str">
        <f>IFERROR(K308/K444, "NA")</f>
        <v>NA</v>
      </c>
      <c r="M308" s="9"/>
      <c r="N308" s="10">
        <f t="shared" si="77"/>
        <v>0</v>
      </c>
      <c r="O308" s="8" t="str">
        <f>IFERROR(N308/N444, "NA")</f>
        <v>NA</v>
      </c>
      <c r="P308" s="9"/>
      <c r="Q308" s="7">
        <v>0</v>
      </c>
      <c r="R308" s="8" t="str">
        <f>IFERROR(Q308/Q444, "NA")</f>
        <v>NA</v>
      </c>
      <c r="S308" s="9"/>
      <c r="T308" s="7">
        <v>0</v>
      </c>
      <c r="U308" s="8" t="str">
        <f>IFERROR(T308/T444, "NA")</f>
        <v>NA</v>
      </c>
      <c r="V308" s="9"/>
      <c r="W308" s="10">
        <f t="shared" si="78"/>
        <v>0</v>
      </c>
      <c r="X308" s="8" t="str">
        <f>IFERROR(W308/W444, "NA")</f>
        <v>NA</v>
      </c>
      <c r="Y308" s="9"/>
      <c r="Z308" s="7">
        <v>0</v>
      </c>
      <c r="AA308" s="8" t="str">
        <f>IFERROR(Z308/Z444, "NA")</f>
        <v>NA</v>
      </c>
      <c r="AB308" s="9"/>
      <c r="AC308" s="10">
        <f t="shared" si="79"/>
        <v>0</v>
      </c>
      <c r="AD308" s="8" t="str">
        <f>IFERROR(AC308/AC444, "NA")</f>
        <v>NA</v>
      </c>
    </row>
    <row r="309" spans="1:30" ht="16.5" hidden="1" customHeight="1" x14ac:dyDescent="0.45">
      <c r="A309" s="6" t="s">
        <v>281</v>
      </c>
      <c r="B309" s="7">
        <v>0</v>
      </c>
      <c r="C309" s="8" t="str">
        <f>IFERROR(B309/B444, "NA")</f>
        <v>NA</v>
      </c>
      <c r="D309" s="9"/>
      <c r="E309" s="7">
        <v>0</v>
      </c>
      <c r="F309" s="8" t="str">
        <f>IFERROR(E309/E444, "NA")</f>
        <v>NA</v>
      </c>
      <c r="G309" s="9"/>
      <c r="H309" s="10">
        <f t="shared" si="76"/>
        <v>0</v>
      </c>
      <c r="I309" s="8" t="str">
        <f>IFERROR(H309/H444, "NA")</f>
        <v>NA</v>
      </c>
      <c r="J309" s="9"/>
      <c r="K309" s="7">
        <v>0</v>
      </c>
      <c r="L309" s="8" t="str">
        <f>IFERROR(K309/K444, "NA")</f>
        <v>NA</v>
      </c>
      <c r="M309" s="9"/>
      <c r="N309" s="10">
        <f t="shared" si="77"/>
        <v>0</v>
      </c>
      <c r="O309" s="8" t="str">
        <f>IFERROR(N309/N444, "NA")</f>
        <v>NA</v>
      </c>
      <c r="P309" s="9"/>
      <c r="Q309" s="7">
        <v>0</v>
      </c>
      <c r="R309" s="8" t="str">
        <f>IFERROR(Q309/Q444, "NA")</f>
        <v>NA</v>
      </c>
      <c r="S309" s="9"/>
      <c r="T309" s="7">
        <v>0</v>
      </c>
      <c r="U309" s="8" t="str">
        <f>IFERROR(T309/T444, "NA")</f>
        <v>NA</v>
      </c>
      <c r="V309" s="9"/>
      <c r="W309" s="10">
        <f t="shared" si="78"/>
        <v>0</v>
      </c>
      <c r="X309" s="8" t="str">
        <f>IFERROR(W309/W444, "NA")</f>
        <v>NA</v>
      </c>
      <c r="Y309" s="9"/>
      <c r="Z309" s="7">
        <v>0</v>
      </c>
      <c r="AA309" s="8" t="str">
        <f>IFERROR(Z309/Z444, "NA")</f>
        <v>NA</v>
      </c>
      <c r="AB309" s="9"/>
      <c r="AC309" s="10">
        <f t="shared" si="79"/>
        <v>0</v>
      </c>
      <c r="AD309" s="8" t="str">
        <f>IFERROR(AC309/AC444, "NA")</f>
        <v>NA</v>
      </c>
    </row>
    <row r="310" spans="1:30" ht="16.5" hidden="1" customHeight="1" x14ac:dyDescent="0.45">
      <c r="A310" s="6" t="s">
        <v>282</v>
      </c>
      <c r="B310" s="7">
        <v>0</v>
      </c>
      <c r="C310" s="8" t="str">
        <f>IFERROR(B310/B444, "NA")</f>
        <v>NA</v>
      </c>
      <c r="D310" s="9"/>
      <c r="E310" s="7">
        <v>0</v>
      </c>
      <c r="F310" s="8" t="str">
        <f>IFERROR(E310/E444, "NA")</f>
        <v>NA</v>
      </c>
      <c r="G310" s="9"/>
      <c r="H310" s="10">
        <f t="shared" si="76"/>
        <v>0</v>
      </c>
      <c r="I310" s="8" t="str">
        <f>IFERROR(H310/H444, "NA")</f>
        <v>NA</v>
      </c>
      <c r="J310" s="9"/>
      <c r="K310" s="7">
        <v>0</v>
      </c>
      <c r="L310" s="8" t="str">
        <f>IFERROR(K310/K444, "NA")</f>
        <v>NA</v>
      </c>
      <c r="M310" s="9"/>
      <c r="N310" s="10">
        <f t="shared" si="77"/>
        <v>0</v>
      </c>
      <c r="O310" s="8" t="str">
        <f>IFERROR(N310/N444, "NA")</f>
        <v>NA</v>
      </c>
      <c r="P310" s="9"/>
      <c r="Q310" s="7">
        <v>0</v>
      </c>
      <c r="R310" s="8" t="str">
        <f>IFERROR(Q310/Q444, "NA")</f>
        <v>NA</v>
      </c>
      <c r="S310" s="9"/>
      <c r="T310" s="7">
        <v>0</v>
      </c>
      <c r="U310" s="8" t="str">
        <f>IFERROR(T310/T444, "NA")</f>
        <v>NA</v>
      </c>
      <c r="V310" s="9"/>
      <c r="W310" s="10">
        <f t="shared" si="78"/>
        <v>0</v>
      </c>
      <c r="X310" s="8" t="str">
        <f>IFERROR(W310/W444, "NA")</f>
        <v>NA</v>
      </c>
      <c r="Y310" s="9"/>
      <c r="Z310" s="7">
        <v>0</v>
      </c>
      <c r="AA310" s="8" t="str">
        <f>IFERROR(Z310/Z444, "NA")</f>
        <v>NA</v>
      </c>
      <c r="AB310" s="9"/>
      <c r="AC310" s="10">
        <f t="shared" si="79"/>
        <v>0</v>
      </c>
      <c r="AD310" s="8" t="str">
        <f>IFERROR(AC310/AC444, "NA")</f>
        <v>NA</v>
      </c>
    </row>
    <row r="311" spans="1:30" ht="16.5" hidden="1" customHeight="1" x14ac:dyDescent="0.45">
      <c r="A311" s="6" t="s">
        <v>283</v>
      </c>
      <c r="B311" s="7">
        <v>0</v>
      </c>
      <c r="C311" s="8" t="str">
        <f>IFERROR(B311/B444, "NA")</f>
        <v>NA</v>
      </c>
      <c r="D311" s="9"/>
      <c r="E311" s="7">
        <v>0</v>
      </c>
      <c r="F311" s="8" t="str">
        <f>IFERROR(E311/E444, "NA")</f>
        <v>NA</v>
      </c>
      <c r="G311" s="9"/>
      <c r="H311" s="10">
        <f t="shared" si="76"/>
        <v>0</v>
      </c>
      <c r="I311" s="8" t="str">
        <f>IFERROR(H311/H444, "NA")</f>
        <v>NA</v>
      </c>
      <c r="J311" s="9"/>
      <c r="K311" s="7">
        <v>0</v>
      </c>
      <c r="L311" s="8" t="str">
        <f>IFERROR(K311/K444, "NA")</f>
        <v>NA</v>
      </c>
      <c r="M311" s="9"/>
      <c r="N311" s="10">
        <f t="shared" si="77"/>
        <v>0</v>
      </c>
      <c r="O311" s="8" t="str">
        <f>IFERROR(N311/N444, "NA")</f>
        <v>NA</v>
      </c>
      <c r="P311" s="9"/>
      <c r="Q311" s="7">
        <v>0</v>
      </c>
      <c r="R311" s="8" t="str">
        <f>IFERROR(Q311/Q444, "NA")</f>
        <v>NA</v>
      </c>
      <c r="S311" s="9"/>
      <c r="T311" s="7">
        <v>0</v>
      </c>
      <c r="U311" s="8" t="str">
        <f>IFERROR(T311/T444, "NA")</f>
        <v>NA</v>
      </c>
      <c r="V311" s="9"/>
      <c r="W311" s="10">
        <f t="shared" si="78"/>
        <v>0</v>
      </c>
      <c r="X311" s="8" t="str">
        <f>IFERROR(W311/W444, "NA")</f>
        <v>NA</v>
      </c>
      <c r="Y311" s="9"/>
      <c r="Z311" s="7">
        <v>0</v>
      </c>
      <c r="AA311" s="8" t="str">
        <f>IFERROR(Z311/Z444, "NA")</f>
        <v>NA</v>
      </c>
      <c r="AB311" s="9"/>
      <c r="AC311" s="10">
        <f t="shared" si="79"/>
        <v>0</v>
      </c>
      <c r="AD311" s="8" t="str">
        <f>IFERROR(AC311/AC444, "NA")</f>
        <v>NA</v>
      </c>
    </row>
    <row r="312" spans="1:30" ht="16.5" hidden="1" customHeight="1" x14ac:dyDescent="0.45">
      <c r="A312" s="6" t="s">
        <v>284</v>
      </c>
      <c r="B312" s="7">
        <v>0</v>
      </c>
      <c r="C312" s="8" t="str">
        <f>IFERROR(B312/B444, "NA")</f>
        <v>NA</v>
      </c>
      <c r="D312" s="9"/>
      <c r="E312" s="7">
        <v>0</v>
      </c>
      <c r="F312" s="8" t="str">
        <f>IFERROR(E312/E444, "NA")</f>
        <v>NA</v>
      </c>
      <c r="G312" s="9"/>
      <c r="H312" s="10">
        <f t="shared" si="76"/>
        <v>0</v>
      </c>
      <c r="I312" s="8" t="str">
        <f>IFERROR(H312/H444, "NA")</f>
        <v>NA</v>
      </c>
      <c r="J312" s="9"/>
      <c r="K312" s="7">
        <v>0</v>
      </c>
      <c r="L312" s="8" t="str">
        <f>IFERROR(K312/K444, "NA")</f>
        <v>NA</v>
      </c>
      <c r="M312" s="9"/>
      <c r="N312" s="10">
        <f t="shared" si="77"/>
        <v>0</v>
      </c>
      <c r="O312" s="8" t="str">
        <f>IFERROR(N312/N444, "NA")</f>
        <v>NA</v>
      </c>
      <c r="P312" s="9"/>
      <c r="Q312" s="7">
        <v>0</v>
      </c>
      <c r="R312" s="8" t="str">
        <f>IFERROR(Q312/Q444, "NA")</f>
        <v>NA</v>
      </c>
      <c r="S312" s="9"/>
      <c r="T312" s="7">
        <v>0</v>
      </c>
      <c r="U312" s="8" t="str">
        <f>IFERROR(T312/T444, "NA")</f>
        <v>NA</v>
      </c>
      <c r="V312" s="9"/>
      <c r="W312" s="10">
        <f t="shared" si="78"/>
        <v>0</v>
      </c>
      <c r="X312" s="8" t="str">
        <f>IFERROR(W312/W444, "NA")</f>
        <v>NA</v>
      </c>
      <c r="Y312" s="9"/>
      <c r="Z312" s="7">
        <v>0</v>
      </c>
      <c r="AA312" s="8" t="str">
        <f>IFERROR(Z312/Z444, "NA")</f>
        <v>NA</v>
      </c>
      <c r="AB312" s="9"/>
      <c r="AC312" s="10">
        <f t="shared" si="79"/>
        <v>0</v>
      </c>
      <c r="AD312" s="8" t="str">
        <f>IFERROR(AC312/AC444, "NA")</f>
        <v>NA</v>
      </c>
    </row>
    <row r="313" spans="1:30" ht="16.5" hidden="1" customHeight="1" x14ac:dyDescent="0.45">
      <c r="A313" s="6" t="s">
        <v>285</v>
      </c>
      <c r="B313" s="7">
        <v>0</v>
      </c>
      <c r="C313" s="8" t="str">
        <f>IFERROR(B313/B444, "NA")</f>
        <v>NA</v>
      </c>
      <c r="D313" s="9"/>
      <c r="E313" s="7">
        <v>0</v>
      </c>
      <c r="F313" s="8" t="str">
        <f>IFERROR(E313/E444, "NA")</f>
        <v>NA</v>
      </c>
      <c r="G313" s="9"/>
      <c r="H313" s="10">
        <f t="shared" si="76"/>
        <v>0</v>
      </c>
      <c r="I313" s="8" t="str">
        <f>IFERROR(H313/H444, "NA")</f>
        <v>NA</v>
      </c>
      <c r="J313" s="9"/>
      <c r="K313" s="7">
        <v>0</v>
      </c>
      <c r="L313" s="8" t="str">
        <f>IFERROR(K313/K444, "NA")</f>
        <v>NA</v>
      </c>
      <c r="M313" s="9"/>
      <c r="N313" s="10">
        <f t="shared" si="77"/>
        <v>0</v>
      </c>
      <c r="O313" s="8" t="str">
        <f>IFERROR(N313/N444, "NA")</f>
        <v>NA</v>
      </c>
      <c r="P313" s="9"/>
      <c r="Q313" s="7">
        <v>0</v>
      </c>
      <c r="R313" s="8" t="str">
        <f>IFERROR(Q313/Q444, "NA")</f>
        <v>NA</v>
      </c>
      <c r="S313" s="9"/>
      <c r="T313" s="7">
        <v>0</v>
      </c>
      <c r="U313" s="8" t="str">
        <f>IFERROR(T313/T444, "NA")</f>
        <v>NA</v>
      </c>
      <c r="V313" s="9"/>
      <c r="W313" s="10">
        <f t="shared" si="78"/>
        <v>0</v>
      </c>
      <c r="X313" s="8" t="str">
        <f>IFERROR(W313/W444, "NA")</f>
        <v>NA</v>
      </c>
      <c r="Y313" s="9"/>
      <c r="Z313" s="7">
        <v>0</v>
      </c>
      <c r="AA313" s="8" t="str">
        <f>IFERROR(Z313/Z444, "NA")</f>
        <v>NA</v>
      </c>
      <c r="AB313" s="9"/>
      <c r="AC313" s="10">
        <f t="shared" si="79"/>
        <v>0</v>
      </c>
      <c r="AD313" s="8" t="str">
        <f>IFERROR(AC313/AC444, "NA")</f>
        <v>NA</v>
      </c>
    </row>
    <row r="314" spans="1:30" ht="16.5" hidden="1" customHeight="1" x14ac:dyDescent="0.45">
      <c r="A314" s="6" t="s">
        <v>286</v>
      </c>
      <c r="B314" s="7">
        <v>0</v>
      </c>
      <c r="C314" s="8" t="str">
        <f>IFERROR(B314/B444, "NA")</f>
        <v>NA</v>
      </c>
      <c r="D314" s="9"/>
      <c r="E314" s="7">
        <v>0</v>
      </c>
      <c r="F314" s="8" t="str">
        <f>IFERROR(E314/E444, "NA")</f>
        <v>NA</v>
      </c>
      <c r="G314" s="9"/>
      <c r="H314" s="10">
        <f t="shared" si="76"/>
        <v>0</v>
      </c>
      <c r="I314" s="8" t="str">
        <f>IFERROR(H314/H444, "NA")</f>
        <v>NA</v>
      </c>
      <c r="J314" s="9"/>
      <c r="K314" s="7">
        <v>0</v>
      </c>
      <c r="L314" s="8" t="str">
        <f>IFERROR(K314/K444, "NA")</f>
        <v>NA</v>
      </c>
      <c r="M314" s="9"/>
      <c r="N314" s="10">
        <f t="shared" si="77"/>
        <v>0</v>
      </c>
      <c r="O314" s="8" t="str">
        <f>IFERROR(N314/N444, "NA")</f>
        <v>NA</v>
      </c>
      <c r="P314" s="9"/>
      <c r="Q314" s="7">
        <v>0</v>
      </c>
      <c r="R314" s="8" t="str">
        <f>IFERROR(Q314/Q444, "NA")</f>
        <v>NA</v>
      </c>
      <c r="S314" s="9"/>
      <c r="T314" s="7">
        <v>0</v>
      </c>
      <c r="U314" s="8" t="str">
        <f>IFERROR(T314/T444, "NA")</f>
        <v>NA</v>
      </c>
      <c r="V314" s="9"/>
      <c r="W314" s="10">
        <f t="shared" si="78"/>
        <v>0</v>
      </c>
      <c r="X314" s="8" t="str">
        <f>IFERROR(W314/W444, "NA")</f>
        <v>NA</v>
      </c>
      <c r="Y314" s="9"/>
      <c r="Z314" s="7">
        <v>0</v>
      </c>
      <c r="AA314" s="8" t="str">
        <f>IFERROR(Z314/Z444, "NA")</f>
        <v>NA</v>
      </c>
      <c r="AB314" s="9"/>
      <c r="AC314" s="10">
        <f t="shared" si="79"/>
        <v>0</v>
      </c>
      <c r="AD314" s="8" t="str">
        <f>IFERROR(AC314/AC444, "NA")</f>
        <v>NA</v>
      </c>
    </row>
    <row r="315" spans="1:30" ht="16.5" hidden="1" customHeight="1" x14ac:dyDescent="0.45">
      <c r="A315" s="6" t="s">
        <v>287</v>
      </c>
      <c r="B315" s="7">
        <v>0</v>
      </c>
      <c r="C315" s="8" t="str">
        <f>IFERROR(B315/B444, "NA")</f>
        <v>NA</v>
      </c>
      <c r="D315" s="9"/>
      <c r="E315" s="7">
        <v>0</v>
      </c>
      <c r="F315" s="8" t="str">
        <f>IFERROR(E315/E444, "NA")</f>
        <v>NA</v>
      </c>
      <c r="G315" s="9"/>
      <c r="H315" s="10">
        <f t="shared" si="76"/>
        <v>0</v>
      </c>
      <c r="I315" s="8" t="str">
        <f>IFERROR(H315/H444, "NA")</f>
        <v>NA</v>
      </c>
      <c r="J315" s="9"/>
      <c r="K315" s="7">
        <v>0</v>
      </c>
      <c r="L315" s="8" t="str">
        <f>IFERROR(K315/K444, "NA")</f>
        <v>NA</v>
      </c>
      <c r="M315" s="9"/>
      <c r="N315" s="10">
        <f t="shared" si="77"/>
        <v>0</v>
      </c>
      <c r="O315" s="8" t="str">
        <f>IFERROR(N315/N444, "NA")</f>
        <v>NA</v>
      </c>
      <c r="P315" s="9"/>
      <c r="Q315" s="7">
        <v>0</v>
      </c>
      <c r="R315" s="8" t="str">
        <f>IFERROR(Q315/Q444, "NA")</f>
        <v>NA</v>
      </c>
      <c r="S315" s="9"/>
      <c r="T315" s="7">
        <v>0</v>
      </c>
      <c r="U315" s="8" t="str">
        <f>IFERROR(T315/T444, "NA")</f>
        <v>NA</v>
      </c>
      <c r="V315" s="9"/>
      <c r="W315" s="10">
        <f t="shared" si="78"/>
        <v>0</v>
      </c>
      <c r="X315" s="8" t="str">
        <f>IFERROR(W315/W444, "NA")</f>
        <v>NA</v>
      </c>
      <c r="Y315" s="9"/>
      <c r="Z315" s="7">
        <v>0</v>
      </c>
      <c r="AA315" s="8" t="str">
        <f>IFERROR(Z315/Z444, "NA")</f>
        <v>NA</v>
      </c>
      <c r="AB315" s="9"/>
      <c r="AC315" s="10">
        <f t="shared" si="79"/>
        <v>0</v>
      </c>
      <c r="AD315" s="8" t="str">
        <f>IFERROR(AC315/AC444, "NA")</f>
        <v>NA</v>
      </c>
    </row>
    <row r="316" spans="1:30" ht="16.5" hidden="1" customHeight="1" x14ac:dyDescent="0.45">
      <c r="A316" s="6" t="s">
        <v>288</v>
      </c>
      <c r="B316" s="7">
        <v>0</v>
      </c>
      <c r="C316" s="8" t="str">
        <f>IFERROR(B316/B444, "NA")</f>
        <v>NA</v>
      </c>
      <c r="D316" s="9"/>
      <c r="E316" s="7">
        <v>0</v>
      </c>
      <c r="F316" s="8" t="str">
        <f>IFERROR(E316/E444, "NA")</f>
        <v>NA</v>
      </c>
      <c r="G316" s="9"/>
      <c r="H316" s="10">
        <f t="shared" si="76"/>
        <v>0</v>
      </c>
      <c r="I316" s="8" t="str">
        <f>IFERROR(H316/H444, "NA")</f>
        <v>NA</v>
      </c>
      <c r="J316" s="9"/>
      <c r="K316" s="7">
        <v>0</v>
      </c>
      <c r="L316" s="8" t="str">
        <f>IFERROR(K316/K444, "NA")</f>
        <v>NA</v>
      </c>
      <c r="M316" s="9"/>
      <c r="N316" s="10">
        <f t="shared" si="77"/>
        <v>0</v>
      </c>
      <c r="O316" s="8" t="str">
        <f>IFERROR(N316/N444, "NA")</f>
        <v>NA</v>
      </c>
      <c r="P316" s="9"/>
      <c r="Q316" s="7">
        <v>0</v>
      </c>
      <c r="R316" s="8" t="str">
        <f>IFERROR(Q316/Q444, "NA")</f>
        <v>NA</v>
      </c>
      <c r="S316" s="9"/>
      <c r="T316" s="7">
        <v>0</v>
      </c>
      <c r="U316" s="8" t="str">
        <f>IFERROR(T316/T444, "NA")</f>
        <v>NA</v>
      </c>
      <c r="V316" s="9"/>
      <c r="W316" s="10">
        <f t="shared" si="78"/>
        <v>0</v>
      </c>
      <c r="X316" s="8" t="str">
        <f>IFERROR(W316/W444, "NA")</f>
        <v>NA</v>
      </c>
      <c r="Y316" s="9"/>
      <c r="Z316" s="7">
        <v>0</v>
      </c>
      <c r="AA316" s="8" t="str">
        <f>IFERROR(Z316/Z444, "NA")</f>
        <v>NA</v>
      </c>
      <c r="AB316" s="9"/>
      <c r="AC316" s="10">
        <f t="shared" si="79"/>
        <v>0</v>
      </c>
      <c r="AD316" s="8" t="str">
        <f>IFERROR(AC316/AC444, "NA")</f>
        <v>NA</v>
      </c>
    </row>
    <row r="317" spans="1:30" ht="16.5" hidden="1" customHeight="1" x14ac:dyDescent="0.45">
      <c r="A317" s="6" t="s">
        <v>289</v>
      </c>
      <c r="B317" s="7">
        <v>0</v>
      </c>
      <c r="C317" s="8" t="str">
        <f>IFERROR(B317/B444, "NA")</f>
        <v>NA</v>
      </c>
      <c r="D317" s="9"/>
      <c r="E317" s="7">
        <v>0</v>
      </c>
      <c r="F317" s="8" t="str">
        <f>IFERROR(E317/E444, "NA")</f>
        <v>NA</v>
      </c>
      <c r="G317" s="9"/>
      <c r="H317" s="10">
        <f t="shared" si="76"/>
        <v>0</v>
      </c>
      <c r="I317" s="8" t="str">
        <f>IFERROR(H317/H444, "NA")</f>
        <v>NA</v>
      </c>
      <c r="J317" s="9"/>
      <c r="K317" s="7">
        <v>0</v>
      </c>
      <c r="L317" s="8" t="str">
        <f>IFERROR(K317/K444, "NA")</f>
        <v>NA</v>
      </c>
      <c r="M317" s="9"/>
      <c r="N317" s="10">
        <f t="shared" si="77"/>
        <v>0</v>
      </c>
      <c r="O317" s="8" t="str">
        <f>IFERROR(N317/N444, "NA")</f>
        <v>NA</v>
      </c>
      <c r="P317" s="9"/>
      <c r="Q317" s="7">
        <v>0</v>
      </c>
      <c r="R317" s="8" t="str">
        <f>IFERROR(Q317/Q444, "NA")</f>
        <v>NA</v>
      </c>
      <c r="S317" s="9"/>
      <c r="T317" s="7">
        <v>0</v>
      </c>
      <c r="U317" s="8" t="str">
        <f>IFERROR(T317/T444, "NA")</f>
        <v>NA</v>
      </c>
      <c r="V317" s="9"/>
      <c r="W317" s="10">
        <f t="shared" si="78"/>
        <v>0</v>
      </c>
      <c r="X317" s="8" t="str">
        <f>IFERROR(W317/W444, "NA")</f>
        <v>NA</v>
      </c>
      <c r="Y317" s="9"/>
      <c r="Z317" s="7">
        <v>0</v>
      </c>
      <c r="AA317" s="8" t="str">
        <f>IFERROR(Z317/Z444, "NA")</f>
        <v>NA</v>
      </c>
      <c r="AB317" s="9"/>
      <c r="AC317" s="10">
        <f t="shared" si="79"/>
        <v>0</v>
      </c>
      <c r="AD317" s="8" t="str">
        <f>IFERROR(AC317/AC444, "NA")</f>
        <v>NA</v>
      </c>
    </row>
    <row r="318" spans="1:30" ht="16.5" hidden="1" customHeight="1" x14ac:dyDescent="0.45">
      <c r="A318" s="6" t="s">
        <v>290</v>
      </c>
      <c r="B318" s="7">
        <v>0</v>
      </c>
      <c r="C318" s="8" t="str">
        <f>IFERROR(B318/B444, "NA")</f>
        <v>NA</v>
      </c>
      <c r="D318" s="9"/>
      <c r="E318" s="7">
        <v>0</v>
      </c>
      <c r="F318" s="8" t="str">
        <f>IFERROR(E318/E444, "NA")</f>
        <v>NA</v>
      </c>
      <c r="G318" s="9"/>
      <c r="H318" s="10">
        <f t="shared" si="76"/>
        <v>0</v>
      </c>
      <c r="I318" s="8" t="str">
        <f>IFERROR(H318/H444, "NA")</f>
        <v>NA</v>
      </c>
      <c r="J318" s="9"/>
      <c r="K318" s="7">
        <v>0</v>
      </c>
      <c r="L318" s="8" t="str">
        <f>IFERROR(K318/K444, "NA")</f>
        <v>NA</v>
      </c>
      <c r="M318" s="9"/>
      <c r="N318" s="10">
        <f t="shared" si="77"/>
        <v>0</v>
      </c>
      <c r="O318" s="8" t="str">
        <f>IFERROR(N318/N444, "NA")</f>
        <v>NA</v>
      </c>
      <c r="P318" s="9"/>
      <c r="Q318" s="7">
        <v>0</v>
      </c>
      <c r="R318" s="8" t="str">
        <f>IFERROR(Q318/Q444, "NA")</f>
        <v>NA</v>
      </c>
      <c r="S318" s="9"/>
      <c r="T318" s="7">
        <v>0</v>
      </c>
      <c r="U318" s="8" t="str">
        <f>IFERROR(T318/T444, "NA")</f>
        <v>NA</v>
      </c>
      <c r="V318" s="9"/>
      <c r="W318" s="10">
        <f t="shared" si="78"/>
        <v>0</v>
      </c>
      <c r="X318" s="8" t="str">
        <f>IFERROR(W318/W444, "NA")</f>
        <v>NA</v>
      </c>
      <c r="Y318" s="9"/>
      <c r="Z318" s="7">
        <v>0</v>
      </c>
      <c r="AA318" s="8" t="str">
        <f>IFERROR(Z318/Z444, "NA")</f>
        <v>NA</v>
      </c>
      <c r="AB318" s="9"/>
      <c r="AC318" s="10">
        <f t="shared" si="79"/>
        <v>0</v>
      </c>
      <c r="AD318" s="8" t="str">
        <f>IFERROR(AC318/AC444, "NA")</f>
        <v>NA</v>
      </c>
    </row>
    <row r="319" spans="1:30" ht="16.5" hidden="1" customHeight="1" x14ac:dyDescent="0.45">
      <c r="A319" s="6" t="s">
        <v>291</v>
      </c>
      <c r="B319" s="7">
        <v>0</v>
      </c>
      <c r="C319" s="8" t="str">
        <f>IFERROR(B319/B444, "NA")</f>
        <v>NA</v>
      </c>
      <c r="D319" s="9"/>
      <c r="E319" s="7">
        <v>0</v>
      </c>
      <c r="F319" s="8" t="str">
        <f>IFERROR(E319/E444, "NA")</f>
        <v>NA</v>
      </c>
      <c r="G319" s="9"/>
      <c r="H319" s="10">
        <f t="shared" si="76"/>
        <v>0</v>
      </c>
      <c r="I319" s="8" t="str">
        <f>IFERROR(H319/H444, "NA")</f>
        <v>NA</v>
      </c>
      <c r="J319" s="9"/>
      <c r="K319" s="7">
        <v>0</v>
      </c>
      <c r="L319" s="8" t="str">
        <f>IFERROR(K319/K444, "NA")</f>
        <v>NA</v>
      </c>
      <c r="M319" s="9"/>
      <c r="N319" s="10">
        <f t="shared" si="77"/>
        <v>0</v>
      </c>
      <c r="O319" s="8" t="str">
        <f>IFERROR(N319/N444, "NA")</f>
        <v>NA</v>
      </c>
      <c r="P319" s="9"/>
      <c r="Q319" s="7">
        <v>0</v>
      </c>
      <c r="R319" s="8" t="str">
        <f>IFERROR(Q319/Q444, "NA")</f>
        <v>NA</v>
      </c>
      <c r="S319" s="9"/>
      <c r="T319" s="7">
        <v>0</v>
      </c>
      <c r="U319" s="8" t="str">
        <f>IFERROR(T319/T444, "NA")</f>
        <v>NA</v>
      </c>
      <c r="V319" s="9"/>
      <c r="W319" s="10">
        <f t="shared" si="78"/>
        <v>0</v>
      </c>
      <c r="X319" s="8" t="str">
        <f>IFERROR(W319/W444, "NA")</f>
        <v>NA</v>
      </c>
      <c r="Y319" s="9"/>
      <c r="Z319" s="7">
        <v>0</v>
      </c>
      <c r="AA319" s="8" t="str">
        <f>IFERROR(Z319/Z444, "NA")</f>
        <v>NA</v>
      </c>
      <c r="AB319" s="9"/>
      <c r="AC319" s="10">
        <f t="shared" si="79"/>
        <v>0</v>
      </c>
      <c r="AD319" s="8" t="str">
        <f>IFERROR(AC319/AC444, "NA")</f>
        <v>NA</v>
      </c>
    </row>
    <row r="320" spans="1:30" ht="16.5" hidden="1" customHeight="1" x14ac:dyDescent="0.45">
      <c r="A320" s="6" t="s">
        <v>292</v>
      </c>
      <c r="B320" s="7">
        <v>0</v>
      </c>
      <c r="C320" s="8" t="str">
        <f>IFERROR(B320/B444, "NA")</f>
        <v>NA</v>
      </c>
      <c r="D320" s="9"/>
      <c r="E320" s="7">
        <v>0</v>
      </c>
      <c r="F320" s="8" t="str">
        <f>IFERROR(E320/E444, "NA")</f>
        <v>NA</v>
      </c>
      <c r="G320" s="9"/>
      <c r="H320" s="10">
        <f t="shared" si="76"/>
        <v>0</v>
      </c>
      <c r="I320" s="8" t="str">
        <f>IFERROR(H320/H444, "NA")</f>
        <v>NA</v>
      </c>
      <c r="J320" s="9"/>
      <c r="K320" s="7">
        <v>0</v>
      </c>
      <c r="L320" s="8" t="str">
        <f>IFERROR(K320/K444, "NA")</f>
        <v>NA</v>
      </c>
      <c r="M320" s="9"/>
      <c r="N320" s="10">
        <f t="shared" si="77"/>
        <v>0</v>
      </c>
      <c r="O320" s="8" t="str">
        <f>IFERROR(N320/N444, "NA")</f>
        <v>NA</v>
      </c>
      <c r="P320" s="9"/>
      <c r="Q320" s="7">
        <v>0</v>
      </c>
      <c r="R320" s="8" t="str">
        <f>IFERROR(Q320/Q444, "NA")</f>
        <v>NA</v>
      </c>
      <c r="S320" s="9"/>
      <c r="T320" s="7">
        <v>0</v>
      </c>
      <c r="U320" s="8" t="str">
        <f>IFERROR(T320/T444, "NA")</f>
        <v>NA</v>
      </c>
      <c r="V320" s="9"/>
      <c r="W320" s="10">
        <f t="shared" si="78"/>
        <v>0</v>
      </c>
      <c r="X320" s="8" t="str">
        <f>IFERROR(W320/W444, "NA")</f>
        <v>NA</v>
      </c>
      <c r="Y320" s="9"/>
      <c r="Z320" s="7">
        <v>0</v>
      </c>
      <c r="AA320" s="8" t="str">
        <f>IFERROR(Z320/Z444, "NA")</f>
        <v>NA</v>
      </c>
      <c r="AB320" s="9"/>
      <c r="AC320" s="10">
        <f t="shared" si="79"/>
        <v>0</v>
      </c>
      <c r="AD320" s="8" t="str">
        <f>IFERROR(AC320/AC444, "NA")</f>
        <v>NA</v>
      </c>
    </row>
    <row r="321" spans="1:30" ht="16.5" hidden="1" customHeight="1" x14ac:dyDescent="0.45">
      <c r="A321" s="6" t="s">
        <v>293</v>
      </c>
      <c r="B321" s="7">
        <v>0</v>
      </c>
      <c r="C321" s="8" t="str">
        <f>IFERROR(B321/B444, "NA")</f>
        <v>NA</v>
      </c>
      <c r="D321" s="9"/>
      <c r="E321" s="7">
        <v>0</v>
      </c>
      <c r="F321" s="8" t="str">
        <f>IFERROR(E321/E444, "NA")</f>
        <v>NA</v>
      </c>
      <c r="G321" s="9"/>
      <c r="H321" s="10">
        <f t="shared" si="76"/>
        <v>0</v>
      </c>
      <c r="I321" s="8" t="str">
        <f>IFERROR(H321/H444, "NA")</f>
        <v>NA</v>
      </c>
      <c r="J321" s="9"/>
      <c r="K321" s="7">
        <v>0</v>
      </c>
      <c r="L321" s="8" t="str">
        <f>IFERROR(K321/K444, "NA")</f>
        <v>NA</v>
      </c>
      <c r="M321" s="9"/>
      <c r="N321" s="10">
        <f t="shared" si="77"/>
        <v>0</v>
      </c>
      <c r="O321" s="8" t="str">
        <f>IFERROR(N321/N444, "NA")</f>
        <v>NA</v>
      </c>
      <c r="P321" s="9"/>
      <c r="Q321" s="7">
        <v>0</v>
      </c>
      <c r="R321" s="8" t="str">
        <f>IFERROR(Q321/Q444, "NA")</f>
        <v>NA</v>
      </c>
      <c r="S321" s="9"/>
      <c r="T321" s="7">
        <v>0</v>
      </c>
      <c r="U321" s="8" t="str">
        <f>IFERROR(T321/T444, "NA")</f>
        <v>NA</v>
      </c>
      <c r="V321" s="9"/>
      <c r="W321" s="10">
        <f t="shared" si="78"/>
        <v>0</v>
      </c>
      <c r="X321" s="8" t="str">
        <f>IFERROR(W321/W444, "NA")</f>
        <v>NA</v>
      </c>
      <c r="Y321" s="9"/>
      <c r="Z321" s="7">
        <v>0</v>
      </c>
      <c r="AA321" s="8" t="str">
        <f>IFERROR(Z321/Z444, "NA")</f>
        <v>NA</v>
      </c>
      <c r="AB321" s="9"/>
      <c r="AC321" s="10">
        <f t="shared" si="79"/>
        <v>0</v>
      </c>
      <c r="AD321" s="8" t="str">
        <f>IFERROR(AC321/AC444, "NA")</f>
        <v>NA</v>
      </c>
    </row>
    <row r="322" spans="1:30" ht="16.5" hidden="1" customHeight="1" x14ac:dyDescent="0.45">
      <c r="A322" s="6" t="s">
        <v>294</v>
      </c>
      <c r="B322" s="7">
        <v>0</v>
      </c>
      <c r="C322" s="8" t="str">
        <f>IFERROR(B322/B444, "NA")</f>
        <v>NA</v>
      </c>
      <c r="D322" s="9"/>
      <c r="E322" s="7">
        <v>0</v>
      </c>
      <c r="F322" s="8" t="str">
        <f>IFERROR(E322/E444, "NA")</f>
        <v>NA</v>
      </c>
      <c r="G322" s="9"/>
      <c r="H322" s="10">
        <f t="shared" si="76"/>
        <v>0</v>
      </c>
      <c r="I322" s="8" t="str">
        <f>IFERROR(H322/H444, "NA")</f>
        <v>NA</v>
      </c>
      <c r="J322" s="9"/>
      <c r="K322" s="7">
        <v>0</v>
      </c>
      <c r="L322" s="8" t="str">
        <f>IFERROR(K322/K444, "NA")</f>
        <v>NA</v>
      </c>
      <c r="M322" s="9"/>
      <c r="N322" s="10">
        <f t="shared" si="77"/>
        <v>0</v>
      </c>
      <c r="O322" s="8" t="str">
        <f>IFERROR(N322/N444, "NA")</f>
        <v>NA</v>
      </c>
      <c r="P322" s="9"/>
      <c r="Q322" s="7">
        <v>0</v>
      </c>
      <c r="R322" s="8" t="str">
        <f>IFERROR(Q322/Q444, "NA")</f>
        <v>NA</v>
      </c>
      <c r="S322" s="9"/>
      <c r="T322" s="7">
        <v>0</v>
      </c>
      <c r="U322" s="8" t="str">
        <f>IFERROR(T322/T444, "NA")</f>
        <v>NA</v>
      </c>
      <c r="V322" s="9"/>
      <c r="W322" s="10">
        <f t="shared" si="78"/>
        <v>0</v>
      </c>
      <c r="X322" s="8" t="str">
        <f>IFERROR(W322/W444, "NA")</f>
        <v>NA</v>
      </c>
      <c r="Y322" s="9"/>
      <c r="Z322" s="7">
        <v>0</v>
      </c>
      <c r="AA322" s="8" t="str">
        <f>IFERROR(Z322/Z444, "NA")</f>
        <v>NA</v>
      </c>
      <c r="AB322" s="9"/>
      <c r="AC322" s="10">
        <f t="shared" si="79"/>
        <v>0</v>
      </c>
      <c r="AD322" s="8" t="str">
        <f>IFERROR(AC322/AC444, "NA")</f>
        <v>NA</v>
      </c>
    </row>
    <row r="323" spans="1:30" ht="16.5" hidden="1" customHeight="1" x14ac:dyDescent="0.45">
      <c r="A323" s="6" t="s">
        <v>295</v>
      </c>
      <c r="B323" s="7">
        <v>0</v>
      </c>
      <c r="C323" s="8" t="str">
        <f>IFERROR(B323/B444, "NA")</f>
        <v>NA</v>
      </c>
      <c r="D323" s="9"/>
      <c r="E323" s="7">
        <v>0</v>
      </c>
      <c r="F323" s="8" t="str">
        <f>IFERROR(E323/E444, "NA")</f>
        <v>NA</v>
      </c>
      <c r="G323" s="9"/>
      <c r="H323" s="10">
        <f t="shared" si="76"/>
        <v>0</v>
      </c>
      <c r="I323" s="8" t="str">
        <f>IFERROR(H323/H444, "NA")</f>
        <v>NA</v>
      </c>
      <c r="J323" s="9"/>
      <c r="K323" s="7">
        <v>0</v>
      </c>
      <c r="L323" s="8" t="str">
        <f>IFERROR(K323/K444, "NA")</f>
        <v>NA</v>
      </c>
      <c r="M323" s="9"/>
      <c r="N323" s="10">
        <f t="shared" si="77"/>
        <v>0</v>
      </c>
      <c r="O323" s="8" t="str">
        <f>IFERROR(N323/N444, "NA")</f>
        <v>NA</v>
      </c>
      <c r="P323" s="9"/>
      <c r="Q323" s="7">
        <v>0</v>
      </c>
      <c r="R323" s="8" t="str">
        <f>IFERROR(Q323/Q444, "NA")</f>
        <v>NA</v>
      </c>
      <c r="S323" s="9"/>
      <c r="T323" s="7">
        <v>0</v>
      </c>
      <c r="U323" s="8" t="str">
        <f>IFERROR(T323/T444, "NA")</f>
        <v>NA</v>
      </c>
      <c r="V323" s="9"/>
      <c r="W323" s="10">
        <f t="shared" si="78"/>
        <v>0</v>
      </c>
      <c r="X323" s="8" t="str">
        <f>IFERROR(W323/W444, "NA")</f>
        <v>NA</v>
      </c>
      <c r="Y323" s="9"/>
      <c r="Z323" s="7">
        <v>0</v>
      </c>
      <c r="AA323" s="8" t="str">
        <f>IFERROR(Z323/Z444, "NA")</f>
        <v>NA</v>
      </c>
      <c r="AB323" s="9"/>
      <c r="AC323" s="10">
        <f t="shared" si="79"/>
        <v>0</v>
      </c>
      <c r="AD323" s="8" t="str">
        <f>IFERROR(AC323/AC444, "NA")</f>
        <v>NA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0</v>
      </c>
      <c r="C324" s="15" t="str">
        <f>IFERROR(B324/B444, "NA")</f>
        <v>NA</v>
      </c>
      <c r="D324" s="2"/>
      <c r="E324" s="14">
        <f>IFERROR(E297+E298+E299+E300+E301+E302+E303+E304+E305+E306+E307+E308+E309+E310+E311+E312+E313+E314+E315+E316+E317+E318+E319+E320+E321+E322+E323, "NA")</f>
        <v>0</v>
      </c>
      <c r="F324" s="15" t="str">
        <f>IFERROR(E324/E444, "NA")</f>
        <v>NA</v>
      </c>
      <c r="G324" s="2"/>
      <c r="H324" s="14">
        <f t="shared" si="76"/>
        <v>0</v>
      </c>
      <c r="I324" s="15" t="str">
        <f>IFERROR(H324/H444, "NA")</f>
        <v>NA</v>
      </c>
      <c r="J324" s="2"/>
      <c r="K324" s="14">
        <f>IFERROR(K297+K298+K299+K300+K301+K302+K303+K304+K305+K306+K307+K308+K309+K310+K311+K312+K313+K314+K315+K316+K317+K318+K319+K320+K321+K322+K323, "NA")</f>
        <v>0</v>
      </c>
      <c r="L324" s="15" t="str">
        <f>IFERROR(K324/K444, "NA")</f>
        <v>NA</v>
      </c>
      <c r="M324" s="2"/>
      <c r="N324" s="14">
        <f t="shared" si="77"/>
        <v>0</v>
      </c>
      <c r="O324" s="15" t="str">
        <f>IFERROR(N324/N444, "NA")</f>
        <v>NA</v>
      </c>
      <c r="P324" s="2"/>
      <c r="Q324" s="14">
        <f>IFERROR(Q297+Q298+Q299+Q300+Q301+Q302+Q303+Q304+Q305+Q306+Q307+Q308+Q309+Q310+Q311+Q312+Q313+Q314+Q315+Q316+Q317+Q318+Q319+Q320+Q321+Q322+Q323, "NA")</f>
        <v>0</v>
      </c>
      <c r="R324" s="15" t="str">
        <f>IFERROR(Q324/Q444, "NA")</f>
        <v>NA</v>
      </c>
      <c r="S324" s="2"/>
      <c r="T324" s="14">
        <f>IFERROR(T297+T298+T299+T300+T301+T302+T303+T304+T305+T306+T307+T308+T309+T310+T311+T312+T313+T314+T315+T316+T317+T318+T319+T320+T321+T322+T323, "NA")</f>
        <v>0</v>
      </c>
      <c r="U324" s="15" t="str">
        <f>IFERROR(T324/T444, "NA")</f>
        <v>NA</v>
      </c>
      <c r="V324" s="2"/>
      <c r="W324" s="14">
        <f t="shared" si="78"/>
        <v>0</v>
      </c>
      <c r="X324" s="15" t="str">
        <f>IFERROR(W324/W444, "NA")</f>
        <v>NA</v>
      </c>
      <c r="Y324" s="2"/>
      <c r="Z324" s="14">
        <f>IFERROR(Z297+Z298+Z299+Z300+Z301+Z302+Z303+Z304+Z305+Z306+Z307+Z308+Z309+Z310+Z311+Z312+Z313+Z314+Z315+Z316+Z317+Z318+Z319+Z320+Z321+Z322+Z323, "NA")</f>
        <v>0</v>
      </c>
      <c r="AA324" s="15" t="str">
        <f>IFERROR(Z324/Z444, "NA")</f>
        <v>NA</v>
      </c>
      <c r="AB324" s="2"/>
      <c r="AC324" s="14">
        <f t="shared" si="79"/>
        <v>0</v>
      </c>
      <c r="AD324" s="15" t="str">
        <f>IFERROR(AC324/AC444, "NA")</f>
        <v>NA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0</v>
      </c>
      <c r="C325" s="15" t="str">
        <f>IFERROR(B325/B444, "NA")</f>
        <v>NA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0</v>
      </c>
      <c r="F325" s="15" t="str">
        <f>IFERROR(E325/E444, "NA")</f>
        <v>NA</v>
      </c>
      <c r="G325" s="2"/>
      <c r="H325" s="14">
        <f t="shared" si="76"/>
        <v>0</v>
      </c>
      <c r="I325" s="15" t="str">
        <f>IFERROR(H325/H444, "NA")</f>
        <v>NA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0</v>
      </c>
      <c r="L325" s="15" t="str">
        <f>IFERROR(K325/K444, "NA")</f>
        <v>NA</v>
      </c>
      <c r="M325" s="2"/>
      <c r="N325" s="14">
        <f t="shared" si="77"/>
        <v>0</v>
      </c>
      <c r="O325" s="15" t="str">
        <f>IFERROR(N325/N444, "NA")</f>
        <v>NA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0</v>
      </c>
      <c r="R325" s="15" t="str">
        <f>IFERROR(Q325/Q444, "NA")</f>
        <v>NA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0</v>
      </c>
      <c r="U325" s="15" t="str">
        <f>IFERROR(T325/T444, "NA")</f>
        <v>NA</v>
      </c>
      <c r="V325" s="2"/>
      <c r="W325" s="14">
        <f t="shared" si="78"/>
        <v>0</v>
      </c>
      <c r="X325" s="15" t="str">
        <f>IFERROR(W325/W444, "NA")</f>
        <v>NA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0</v>
      </c>
      <c r="AA325" s="15" t="str">
        <f>IFERROR(Z325/Z444, "NA")</f>
        <v>NA</v>
      </c>
      <c r="AB325" s="2"/>
      <c r="AC325" s="14">
        <f t="shared" si="79"/>
        <v>0</v>
      </c>
      <c r="AD325" s="15" t="str">
        <f>IFERROR(AC325/AC444, "NA")</f>
        <v>NA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 t="str">
        <f>IFERROR(B328/B444, "NA")</f>
        <v>NA</v>
      </c>
      <c r="D328" s="9"/>
      <c r="E328" s="7">
        <v>0</v>
      </c>
      <c r="F328" s="8" t="str">
        <f>IFERROR(E328/E444, "NA")</f>
        <v>NA</v>
      </c>
      <c r="G328" s="9"/>
      <c r="H328" s="10">
        <f t="shared" ref="H328:H335" si="80">IFERROR(-(B328-E328), "NA")</f>
        <v>0</v>
      </c>
      <c r="I328" s="8" t="str">
        <f>IFERROR(H328/H444, "NA")</f>
        <v>NA</v>
      </c>
      <c r="J328" s="9"/>
      <c r="K328" s="7">
        <v>0</v>
      </c>
      <c r="L328" s="8" t="str">
        <f>IFERROR(K328/K444, "NA")</f>
        <v>NA</v>
      </c>
      <c r="M328" s="9"/>
      <c r="N328" s="10">
        <f t="shared" ref="N328:N335" si="81">IFERROR(-(B328-K328), "NA")</f>
        <v>0</v>
      </c>
      <c r="O328" s="8" t="str">
        <f>IFERROR(N328/N444, "NA")</f>
        <v>NA</v>
      </c>
      <c r="P328" s="9"/>
      <c r="Q328" s="7">
        <v>0</v>
      </c>
      <c r="R328" s="8" t="str">
        <f>IFERROR(Q328/Q444, "NA")</f>
        <v>NA</v>
      </c>
      <c r="S328" s="9"/>
      <c r="T328" s="7">
        <v>0</v>
      </c>
      <c r="U328" s="8" t="str">
        <f>IFERROR(T328/T444, "NA")</f>
        <v>NA</v>
      </c>
      <c r="V328" s="9"/>
      <c r="W328" s="10">
        <f t="shared" ref="W328:W335" si="82">IFERROR(-(Q328-T328), "NA")</f>
        <v>0</v>
      </c>
      <c r="X328" s="8" t="str">
        <f>IFERROR(W328/W444, "NA")</f>
        <v>NA</v>
      </c>
      <c r="Y328" s="9"/>
      <c r="Z328" s="7">
        <v>0</v>
      </c>
      <c r="AA328" s="8" t="str">
        <f>IFERROR(Z328/Z444, "NA")</f>
        <v>NA</v>
      </c>
      <c r="AB328" s="9"/>
      <c r="AC328" s="10">
        <f t="shared" ref="AC328:AC335" si="83">IFERROR(-(Q328-Z328), "NA")</f>
        <v>0</v>
      </c>
      <c r="AD328" s="8" t="str">
        <f>IFERROR(AC328/AC444, "NA")</f>
        <v>NA</v>
      </c>
    </row>
    <row r="329" spans="1:30" ht="16.5" hidden="1" customHeight="1" x14ac:dyDescent="0.45">
      <c r="A329" s="6" t="s">
        <v>300</v>
      </c>
      <c r="B329" s="7">
        <v>0</v>
      </c>
      <c r="C329" s="8" t="str">
        <f>IFERROR(B329/B444, "NA")</f>
        <v>NA</v>
      </c>
      <c r="D329" s="9"/>
      <c r="E329" s="7">
        <v>0</v>
      </c>
      <c r="F329" s="8" t="str">
        <f>IFERROR(E329/E444, "NA")</f>
        <v>NA</v>
      </c>
      <c r="G329" s="9"/>
      <c r="H329" s="10">
        <f t="shared" si="80"/>
        <v>0</v>
      </c>
      <c r="I329" s="8" t="str">
        <f>IFERROR(H329/H444, "NA")</f>
        <v>NA</v>
      </c>
      <c r="J329" s="9"/>
      <c r="K329" s="7">
        <v>0</v>
      </c>
      <c r="L329" s="8" t="str">
        <f>IFERROR(K329/K444, "NA")</f>
        <v>NA</v>
      </c>
      <c r="M329" s="9"/>
      <c r="N329" s="10">
        <f t="shared" si="81"/>
        <v>0</v>
      </c>
      <c r="O329" s="8" t="str">
        <f>IFERROR(N329/N444, "NA")</f>
        <v>NA</v>
      </c>
      <c r="P329" s="9"/>
      <c r="Q329" s="7">
        <v>0</v>
      </c>
      <c r="R329" s="8" t="str">
        <f>IFERROR(Q329/Q444, "NA")</f>
        <v>NA</v>
      </c>
      <c r="S329" s="9"/>
      <c r="T329" s="7">
        <v>0</v>
      </c>
      <c r="U329" s="8" t="str">
        <f>IFERROR(T329/T444, "NA")</f>
        <v>NA</v>
      </c>
      <c r="V329" s="9"/>
      <c r="W329" s="10">
        <f t="shared" si="82"/>
        <v>0</v>
      </c>
      <c r="X329" s="8" t="str">
        <f>IFERROR(W329/W444, "NA")</f>
        <v>NA</v>
      </c>
      <c r="Y329" s="9"/>
      <c r="Z329" s="7">
        <v>0</v>
      </c>
      <c r="AA329" s="8" t="str">
        <f>IFERROR(Z329/Z444, "NA")</f>
        <v>NA</v>
      </c>
      <c r="AB329" s="9"/>
      <c r="AC329" s="10">
        <f t="shared" si="83"/>
        <v>0</v>
      </c>
      <c r="AD329" s="8" t="str">
        <f>IFERROR(AC329/AC444, "NA")</f>
        <v>NA</v>
      </c>
    </row>
    <row r="330" spans="1:30" ht="16.5" hidden="1" customHeight="1" x14ac:dyDescent="0.45">
      <c r="A330" s="6" t="s">
        <v>301</v>
      </c>
      <c r="B330" s="7">
        <v>0</v>
      </c>
      <c r="C330" s="8" t="str">
        <f>IFERROR(B330/B444, "NA")</f>
        <v>NA</v>
      </c>
      <c r="D330" s="9"/>
      <c r="E330" s="7">
        <v>0</v>
      </c>
      <c r="F330" s="8" t="str">
        <f>IFERROR(E330/E444, "NA")</f>
        <v>NA</v>
      </c>
      <c r="G330" s="9"/>
      <c r="H330" s="10">
        <f t="shared" si="80"/>
        <v>0</v>
      </c>
      <c r="I330" s="8" t="str">
        <f>IFERROR(H330/H444, "NA")</f>
        <v>NA</v>
      </c>
      <c r="J330" s="9"/>
      <c r="K330" s="7">
        <v>0</v>
      </c>
      <c r="L330" s="8" t="str">
        <f>IFERROR(K330/K444, "NA")</f>
        <v>NA</v>
      </c>
      <c r="M330" s="9"/>
      <c r="N330" s="10">
        <f t="shared" si="81"/>
        <v>0</v>
      </c>
      <c r="O330" s="8" t="str">
        <f>IFERROR(N330/N444, "NA")</f>
        <v>NA</v>
      </c>
      <c r="P330" s="9"/>
      <c r="Q330" s="7">
        <v>0</v>
      </c>
      <c r="R330" s="8" t="str">
        <f>IFERROR(Q330/Q444, "NA")</f>
        <v>NA</v>
      </c>
      <c r="S330" s="9"/>
      <c r="T330" s="7">
        <v>0</v>
      </c>
      <c r="U330" s="8" t="str">
        <f>IFERROR(T330/T444, "NA")</f>
        <v>NA</v>
      </c>
      <c r="V330" s="9"/>
      <c r="W330" s="10">
        <f t="shared" si="82"/>
        <v>0</v>
      </c>
      <c r="X330" s="8" t="str">
        <f>IFERROR(W330/W444, "NA")</f>
        <v>NA</v>
      </c>
      <c r="Y330" s="9"/>
      <c r="Z330" s="7">
        <v>0</v>
      </c>
      <c r="AA330" s="8" t="str">
        <f>IFERROR(Z330/Z444, "NA")</f>
        <v>NA</v>
      </c>
      <c r="AB330" s="9"/>
      <c r="AC330" s="10">
        <f t="shared" si="83"/>
        <v>0</v>
      </c>
      <c r="AD330" s="8" t="str">
        <f>IFERROR(AC330/AC444, "NA")</f>
        <v>NA</v>
      </c>
    </row>
    <row r="331" spans="1:30" ht="16.5" hidden="1" customHeight="1" x14ac:dyDescent="0.45">
      <c r="A331" s="6" t="s">
        <v>302</v>
      </c>
      <c r="B331" s="7">
        <v>0</v>
      </c>
      <c r="C331" s="8" t="str">
        <f>IFERROR(B331/B444, "NA")</f>
        <v>NA</v>
      </c>
      <c r="D331" s="9"/>
      <c r="E331" s="7">
        <v>0</v>
      </c>
      <c r="F331" s="8" t="str">
        <f>IFERROR(E331/E444, "NA")</f>
        <v>NA</v>
      </c>
      <c r="G331" s="9"/>
      <c r="H331" s="10">
        <f t="shared" si="80"/>
        <v>0</v>
      </c>
      <c r="I331" s="8" t="str">
        <f>IFERROR(H331/H444, "NA")</f>
        <v>NA</v>
      </c>
      <c r="J331" s="9"/>
      <c r="K331" s="7">
        <v>0</v>
      </c>
      <c r="L331" s="8" t="str">
        <f>IFERROR(K331/K444, "NA")</f>
        <v>NA</v>
      </c>
      <c r="M331" s="9"/>
      <c r="N331" s="10">
        <f t="shared" si="81"/>
        <v>0</v>
      </c>
      <c r="O331" s="8" t="str">
        <f>IFERROR(N331/N444, "NA")</f>
        <v>NA</v>
      </c>
      <c r="P331" s="9"/>
      <c r="Q331" s="7">
        <v>0</v>
      </c>
      <c r="R331" s="8" t="str">
        <f>IFERROR(Q331/Q444, "NA")</f>
        <v>NA</v>
      </c>
      <c r="S331" s="9"/>
      <c r="T331" s="7">
        <v>0</v>
      </c>
      <c r="U331" s="8" t="str">
        <f>IFERROR(T331/T444, "NA")</f>
        <v>NA</v>
      </c>
      <c r="V331" s="9"/>
      <c r="W331" s="10">
        <f t="shared" si="82"/>
        <v>0</v>
      </c>
      <c r="X331" s="8" t="str">
        <f>IFERROR(W331/W444, "NA")</f>
        <v>NA</v>
      </c>
      <c r="Y331" s="9"/>
      <c r="Z331" s="7">
        <v>0</v>
      </c>
      <c r="AA331" s="8" t="str">
        <f>IFERROR(Z331/Z444, "NA")</f>
        <v>NA</v>
      </c>
      <c r="AB331" s="9"/>
      <c r="AC331" s="10">
        <f t="shared" si="83"/>
        <v>0</v>
      </c>
      <c r="AD331" s="8" t="str">
        <f>IFERROR(AC331/AC444, "NA")</f>
        <v>NA</v>
      </c>
    </row>
    <row r="332" spans="1:30" ht="16.5" hidden="1" customHeight="1" x14ac:dyDescent="0.45">
      <c r="A332" s="6" t="s">
        <v>303</v>
      </c>
      <c r="B332" s="7">
        <v>0</v>
      </c>
      <c r="C332" s="8" t="str">
        <f>IFERROR(B332/B444, "NA")</f>
        <v>NA</v>
      </c>
      <c r="D332" s="9"/>
      <c r="E332" s="7">
        <v>0</v>
      </c>
      <c r="F332" s="8" t="str">
        <f>IFERROR(E332/E444, "NA")</f>
        <v>NA</v>
      </c>
      <c r="G332" s="9"/>
      <c r="H332" s="10">
        <f t="shared" si="80"/>
        <v>0</v>
      </c>
      <c r="I332" s="8" t="str">
        <f>IFERROR(H332/H444, "NA")</f>
        <v>NA</v>
      </c>
      <c r="J332" s="9"/>
      <c r="K332" s="7">
        <v>0</v>
      </c>
      <c r="L332" s="8" t="str">
        <f>IFERROR(K332/K444, "NA")</f>
        <v>NA</v>
      </c>
      <c r="M332" s="9"/>
      <c r="N332" s="10">
        <f t="shared" si="81"/>
        <v>0</v>
      </c>
      <c r="O332" s="8" t="str">
        <f>IFERROR(N332/N444, "NA")</f>
        <v>NA</v>
      </c>
      <c r="P332" s="9"/>
      <c r="Q332" s="7">
        <v>0</v>
      </c>
      <c r="R332" s="8" t="str">
        <f>IFERROR(Q332/Q444, "NA")</f>
        <v>NA</v>
      </c>
      <c r="S332" s="9"/>
      <c r="T332" s="7">
        <v>0</v>
      </c>
      <c r="U332" s="8" t="str">
        <f>IFERROR(T332/T444, "NA")</f>
        <v>NA</v>
      </c>
      <c r="V332" s="9"/>
      <c r="W332" s="10">
        <f t="shared" si="82"/>
        <v>0</v>
      </c>
      <c r="X332" s="8" t="str">
        <f>IFERROR(W332/W444, "NA")</f>
        <v>NA</v>
      </c>
      <c r="Y332" s="9"/>
      <c r="Z332" s="7">
        <v>0</v>
      </c>
      <c r="AA332" s="8" t="str">
        <f>IFERROR(Z332/Z444, "NA")</f>
        <v>NA</v>
      </c>
      <c r="AB332" s="9"/>
      <c r="AC332" s="10">
        <f t="shared" si="83"/>
        <v>0</v>
      </c>
      <c r="AD332" s="8" t="str">
        <f>IFERROR(AC332/AC444, "NA")</f>
        <v>NA</v>
      </c>
    </row>
    <row r="333" spans="1:30" ht="16.5" hidden="1" customHeight="1" x14ac:dyDescent="0.45">
      <c r="A333" s="6" t="s">
        <v>304</v>
      </c>
      <c r="B333" s="7">
        <v>0</v>
      </c>
      <c r="C333" s="8" t="str">
        <f>IFERROR(B333/B444, "NA")</f>
        <v>NA</v>
      </c>
      <c r="D333" s="9"/>
      <c r="E333" s="7">
        <v>0</v>
      </c>
      <c r="F333" s="8" t="str">
        <f>IFERROR(E333/E444, "NA")</f>
        <v>NA</v>
      </c>
      <c r="G333" s="9"/>
      <c r="H333" s="10">
        <f t="shared" si="80"/>
        <v>0</v>
      </c>
      <c r="I333" s="8" t="str">
        <f>IFERROR(H333/H444, "NA")</f>
        <v>NA</v>
      </c>
      <c r="J333" s="9"/>
      <c r="K333" s="7">
        <v>0</v>
      </c>
      <c r="L333" s="8" t="str">
        <f>IFERROR(K333/K444, "NA")</f>
        <v>NA</v>
      </c>
      <c r="M333" s="9"/>
      <c r="N333" s="10">
        <f t="shared" si="81"/>
        <v>0</v>
      </c>
      <c r="O333" s="8" t="str">
        <f>IFERROR(N333/N444, "NA")</f>
        <v>NA</v>
      </c>
      <c r="P333" s="9"/>
      <c r="Q333" s="7">
        <v>0</v>
      </c>
      <c r="R333" s="8" t="str">
        <f>IFERROR(Q333/Q444, "NA")</f>
        <v>NA</v>
      </c>
      <c r="S333" s="9"/>
      <c r="T333" s="7">
        <v>0</v>
      </c>
      <c r="U333" s="8" t="str">
        <f>IFERROR(T333/T444, "NA")</f>
        <v>NA</v>
      </c>
      <c r="V333" s="9"/>
      <c r="W333" s="10">
        <f t="shared" si="82"/>
        <v>0</v>
      </c>
      <c r="X333" s="8" t="str">
        <f>IFERROR(W333/W444, "NA")</f>
        <v>NA</v>
      </c>
      <c r="Y333" s="9"/>
      <c r="Z333" s="7">
        <v>0</v>
      </c>
      <c r="AA333" s="8" t="str">
        <f>IFERROR(Z333/Z444, "NA")</f>
        <v>NA</v>
      </c>
      <c r="AB333" s="9"/>
      <c r="AC333" s="10">
        <f t="shared" si="83"/>
        <v>0</v>
      </c>
      <c r="AD333" s="8" t="str">
        <f>IFERROR(AC333/AC444, "NA")</f>
        <v>NA</v>
      </c>
    </row>
    <row r="334" spans="1:30" ht="16.5" hidden="1" customHeight="1" x14ac:dyDescent="0.45">
      <c r="A334" s="6" t="s">
        <v>305</v>
      </c>
      <c r="B334" s="7">
        <v>0</v>
      </c>
      <c r="C334" s="8" t="str">
        <f>IFERROR(B334/B444, "NA")</f>
        <v>NA</v>
      </c>
      <c r="D334" s="9"/>
      <c r="E334" s="7">
        <v>0</v>
      </c>
      <c r="F334" s="8" t="str">
        <f>IFERROR(E334/E444, "NA")</f>
        <v>NA</v>
      </c>
      <c r="G334" s="9"/>
      <c r="H334" s="10">
        <f t="shared" si="80"/>
        <v>0</v>
      </c>
      <c r="I334" s="8" t="str">
        <f>IFERROR(H334/H444, "NA")</f>
        <v>NA</v>
      </c>
      <c r="J334" s="9"/>
      <c r="K334" s="7">
        <v>0</v>
      </c>
      <c r="L334" s="8" t="str">
        <f>IFERROR(K334/K444, "NA")</f>
        <v>NA</v>
      </c>
      <c r="M334" s="9"/>
      <c r="N334" s="10">
        <f t="shared" si="81"/>
        <v>0</v>
      </c>
      <c r="O334" s="8" t="str">
        <f>IFERROR(N334/N444, "NA")</f>
        <v>NA</v>
      </c>
      <c r="P334" s="9"/>
      <c r="Q334" s="7">
        <v>0</v>
      </c>
      <c r="R334" s="8" t="str">
        <f>IFERROR(Q334/Q444, "NA")</f>
        <v>NA</v>
      </c>
      <c r="S334" s="9"/>
      <c r="T334" s="7">
        <v>0</v>
      </c>
      <c r="U334" s="8" t="str">
        <f>IFERROR(T334/T444, "NA")</f>
        <v>NA</v>
      </c>
      <c r="V334" s="9"/>
      <c r="W334" s="10">
        <f t="shared" si="82"/>
        <v>0</v>
      </c>
      <c r="X334" s="8" t="str">
        <f>IFERROR(W334/W444, "NA")</f>
        <v>NA</v>
      </c>
      <c r="Y334" s="9"/>
      <c r="Z334" s="7">
        <v>0</v>
      </c>
      <c r="AA334" s="8" t="str">
        <f>IFERROR(Z334/Z444, "NA")</f>
        <v>NA</v>
      </c>
      <c r="AB334" s="9"/>
      <c r="AC334" s="10">
        <f t="shared" si="83"/>
        <v>0</v>
      </c>
      <c r="AD334" s="8" t="str">
        <f>IFERROR(AC334/AC444, "NA")</f>
        <v>NA</v>
      </c>
    </row>
    <row r="335" spans="1:30" ht="16.5" hidden="1" customHeight="1" x14ac:dyDescent="0.45">
      <c r="A335" s="6" t="s">
        <v>306</v>
      </c>
      <c r="B335" s="7">
        <v>0</v>
      </c>
      <c r="C335" s="8" t="str">
        <f>IFERROR(B335/B444, "NA")</f>
        <v>NA</v>
      </c>
      <c r="D335" s="9"/>
      <c r="E335" s="7">
        <v>0</v>
      </c>
      <c r="F335" s="8" t="str">
        <f>IFERROR(E335/E444, "NA")</f>
        <v>NA</v>
      </c>
      <c r="G335" s="9"/>
      <c r="H335" s="10">
        <f t="shared" si="80"/>
        <v>0</v>
      </c>
      <c r="I335" s="8" t="str">
        <f>IFERROR(H335/H444, "NA")</f>
        <v>NA</v>
      </c>
      <c r="J335" s="9"/>
      <c r="K335" s="7">
        <v>0</v>
      </c>
      <c r="L335" s="8" t="str">
        <f>IFERROR(K335/K444, "NA")</f>
        <v>NA</v>
      </c>
      <c r="M335" s="9"/>
      <c r="N335" s="10">
        <f t="shared" si="81"/>
        <v>0</v>
      </c>
      <c r="O335" s="8" t="str">
        <f>IFERROR(N335/N444, "NA")</f>
        <v>NA</v>
      </c>
      <c r="P335" s="9"/>
      <c r="Q335" s="7">
        <v>0</v>
      </c>
      <c r="R335" s="8" t="str">
        <f>IFERROR(Q335/Q444, "NA")</f>
        <v>NA</v>
      </c>
      <c r="S335" s="9"/>
      <c r="T335" s="7">
        <v>0</v>
      </c>
      <c r="U335" s="8" t="str">
        <f>IFERROR(T335/T444, "NA")</f>
        <v>NA</v>
      </c>
      <c r="V335" s="9"/>
      <c r="W335" s="10">
        <f t="shared" si="82"/>
        <v>0</v>
      </c>
      <c r="X335" s="8" t="str">
        <f>IFERROR(W335/W444, "NA")</f>
        <v>NA</v>
      </c>
      <c r="Y335" s="9"/>
      <c r="Z335" s="7">
        <v>0</v>
      </c>
      <c r="AA335" s="8" t="str">
        <f>IFERROR(Z335/Z444, "NA")</f>
        <v>NA</v>
      </c>
      <c r="AB335" s="9"/>
      <c r="AC335" s="10">
        <f t="shared" si="83"/>
        <v>0</v>
      </c>
      <c r="AD335" s="8" t="str">
        <f>IFERROR(AC335/AC444, "NA")</f>
        <v>NA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hidden="1" customHeight="1" x14ac:dyDescent="0.45">
      <c r="A337" s="12" t="s">
        <v>307</v>
      </c>
      <c r="B337" s="7">
        <v>0</v>
      </c>
      <c r="C337" s="8" t="str">
        <f>IFERROR(B337/B444, "NA")</f>
        <v>NA</v>
      </c>
      <c r="D337" s="9"/>
      <c r="E337" s="7">
        <v>0</v>
      </c>
      <c r="F337" s="8" t="str">
        <f>IFERROR(E337/E444, "NA")</f>
        <v>NA</v>
      </c>
      <c r="G337" s="9"/>
      <c r="H337" s="10">
        <f t="shared" ref="H337:H344" si="84">IFERROR(-(B337-E337), "NA")</f>
        <v>0</v>
      </c>
      <c r="I337" s="8" t="str">
        <f>IFERROR(H337/H444, "NA")</f>
        <v>NA</v>
      </c>
      <c r="J337" s="9"/>
      <c r="K337" s="7">
        <v>0</v>
      </c>
      <c r="L337" s="8" t="str">
        <f>IFERROR(K337/K444, "NA")</f>
        <v>NA</v>
      </c>
      <c r="M337" s="9"/>
      <c r="N337" s="10">
        <f t="shared" ref="N337:N344" si="85">IFERROR(-(B337-K337), "NA")</f>
        <v>0</v>
      </c>
      <c r="O337" s="8" t="str">
        <f>IFERROR(N337/N444, "NA")</f>
        <v>NA</v>
      </c>
      <c r="P337" s="9"/>
      <c r="Q337" s="7">
        <v>0</v>
      </c>
      <c r="R337" s="8" t="str">
        <f>IFERROR(Q337/Q444, "NA")</f>
        <v>NA</v>
      </c>
      <c r="S337" s="9"/>
      <c r="T337" s="7">
        <v>0</v>
      </c>
      <c r="U337" s="8" t="str">
        <f>IFERROR(T337/T444, "NA")</f>
        <v>NA</v>
      </c>
      <c r="V337" s="9"/>
      <c r="W337" s="10">
        <f t="shared" ref="W337:W344" si="86">IFERROR(-(Q337-T337), "NA")</f>
        <v>0</v>
      </c>
      <c r="X337" s="8" t="str">
        <f>IFERROR(W337/W444, "NA")</f>
        <v>NA</v>
      </c>
      <c r="Y337" s="9"/>
      <c r="Z337" s="7">
        <v>0</v>
      </c>
      <c r="AA337" s="8" t="str">
        <f>IFERROR(Z337/Z444, "NA")</f>
        <v>NA</v>
      </c>
      <c r="AB337" s="9"/>
      <c r="AC337" s="10">
        <f t="shared" ref="AC337:AC344" si="87">IFERROR(-(Q337-Z337), "NA")</f>
        <v>0</v>
      </c>
      <c r="AD337" s="8" t="str">
        <f>IFERROR(AC337/AC444, "NA")</f>
        <v>NA</v>
      </c>
    </row>
    <row r="338" spans="1:30" ht="16.5" hidden="1" customHeight="1" x14ac:dyDescent="0.45">
      <c r="A338" s="12" t="s">
        <v>308</v>
      </c>
      <c r="B338" s="7">
        <v>0</v>
      </c>
      <c r="C338" s="8" t="str">
        <f>IFERROR(B338/B444, "NA")</f>
        <v>NA</v>
      </c>
      <c r="D338" s="9"/>
      <c r="E338" s="7">
        <v>0</v>
      </c>
      <c r="F338" s="8" t="str">
        <f>IFERROR(E338/E444, "NA")</f>
        <v>NA</v>
      </c>
      <c r="G338" s="9"/>
      <c r="H338" s="10">
        <f t="shared" si="84"/>
        <v>0</v>
      </c>
      <c r="I338" s="8" t="str">
        <f>IFERROR(H338/H444, "NA")</f>
        <v>NA</v>
      </c>
      <c r="J338" s="9"/>
      <c r="K338" s="7">
        <v>0</v>
      </c>
      <c r="L338" s="8" t="str">
        <f>IFERROR(K338/K444, "NA")</f>
        <v>NA</v>
      </c>
      <c r="M338" s="9"/>
      <c r="N338" s="10">
        <f t="shared" si="85"/>
        <v>0</v>
      </c>
      <c r="O338" s="8" t="str">
        <f>IFERROR(N338/N444, "NA")</f>
        <v>NA</v>
      </c>
      <c r="P338" s="9"/>
      <c r="Q338" s="7">
        <v>0</v>
      </c>
      <c r="R338" s="8" t="str">
        <f>IFERROR(Q338/Q444, "NA")</f>
        <v>NA</v>
      </c>
      <c r="S338" s="9"/>
      <c r="T338" s="7">
        <v>0</v>
      </c>
      <c r="U338" s="8" t="str">
        <f>IFERROR(T338/T444, "NA")</f>
        <v>NA</v>
      </c>
      <c r="V338" s="9"/>
      <c r="W338" s="10">
        <f t="shared" si="86"/>
        <v>0</v>
      </c>
      <c r="X338" s="8" t="str">
        <f>IFERROR(W338/W444, "NA")</f>
        <v>NA</v>
      </c>
      <c r="Y338" s="9"/>
      <c r="Z338" s="7">
        <v>0</v>
      </c>
      <c r="AA338" s="8" t="str">
        <f>IFERROR(Z338/Z444, "NA")</f>
        <v>NA</v>
      </c>
      <c r="AB338" s="9"/>
      <c r="AC338" s="10">
        <f t="shared" si="87"/>
        <v>0</v>
      </c>
      <c r="AD338" s="8" t="str">
        <f>IFERROR(AC338/AC444, "NA")</f>
        <v>NA</v>
      </c>
    </row>
    <row r="339" spans="1:30" ht="16.5" hidden="1" customHeight="1" x14ac:dyDescent="0.45">
      <c r="A339" s="12" t="s">
        <v>309</v>
      </c>
      <c r="B339" s="7">
        <v>0</v>
      </c>
      <c r="C339" s="8" t="str">
        <f>IFERROR(B339/B444, "NA")</f>
        <v>NA</v>
      </c>
      <c r="D339" s="9"/>
      <c r="E339" s="7">
        <v>0</v>
      </c>
      <c r="F339" s="8" t="str">
        <f>IFERROR(E339/E444, "NA")</f>
        <v>NA</v>
      </c>
      <c r="G339" s="9"/>
      <c r="H339" s="10">
        <f t="shared" si="84"/>
        <v>0</v>
      </c>
      <c r="I339" s="8" t="str">
        <f>IFERROR(H339/H444, "NA")</f>
        <v>NA</v>
      </c>
      <c r="J339" s="9"/>
      <c r="K339" s="7">
        <v>0</v>
      </c>
      <c r="L339" s="8" t="str">
        <f>IFERROR(K339/K444, "NA")</f>
        <v>NA</v>
      </c>
      <c r="M339" s="9"/>
      <c r="N339" s="10">
        <f t="shared" si="85"/>
        <v>0</v>
      </c>
      <c r="O339" s="8" t="str">
        <f>IFERROR(N339/N444, "NA")</f>
        <v>NA</v>
      </c>
      <c r="P339" s="9"/>
      <c r="Q339" s="7">
        <v>0</v>
      </c>
      <c r="R339" s="8" t="str">
        <f>IFERROR(Q339/Q444, "NA")</f>
        <v>NA</v>
      </c>
      <c r="S339" s="9"/>
      <c r="T339" s="7">
        <v>0</v>
      </c>
      <c r="U339" s="8" t="str">
        <f>IFERROR(T339/T444, "NA")</f>
        <v>NA</v>
      </c>
      <c r="V339" s="9"/>
      <c r="W339" s="10">
        <f t="shared" si="86"/>
        <v>0</v>
      </c>
      <c r="X339" s="8" t="str">
        <f>IFERROR(W339/W444, "NA")</f>
        <v>NA</v>
      </c>
      <c r="Y339" s="9"/>
      <c r="Z339" s="7">
        <v>0</v>
      </c>
      <c r="AA339" s="8" t="str">
        <f>IFERROR(Z339/Z444, "NA")</f>
        <v>NA</v>
      </c>
      <c r="AB339" s="9"/>
      <c r="AC339" s="10">
        <f t="shared" si="87"/>
        <v>0</v>
      </c>
      <c r="AD339" s="8" t="str">
        <f>IFERROR(AC339/AC444, "NA")</f>
        <v>NA</v>
      </c>
    </row>
    <row r="340" spans="1:30" ht="16.5" hidden="1" customHeight="1" x14ac:dyDescent="0.45">
      <c r="A340" s="12" t="s">
        <v>310</v>
      </c>
      <c r="B340" s="7">
        <v>0</v>
      </c>
      <c r="C340" s="8" t="str">
        <f>IFERROR(B340/B444, "NA")</f>
        <v>NA</v>
      </c>
      <c r="D340" s="9"/>
      <c r="E340" s="7">
        <v>0</v>
      </c>
      <c r="F340" s="8" t="str">
        <f>IFERROR(E340/E444, "NA")</f>
        <v>NA</v>
      </c>
      <c r="G340" s="9"/>
      <c r="H340" s="10">
        <f t="shared" si="84"/>
        <v>0</v>
      </c>
      <c r="I340" s="8" t="str">
        <f>IFERROR(H340/H444, "NA")</f>
        <v>NA</v>
      </c>
      <c r="J340" s="9"/>
      <c r="K340" s="7">
        <v>0</v>
      </c>
      <c r="L340" s="8" t="str">
        <f>IFERROR(K340/K444, "NA")</f>
        <v>NA</v>
      </c>
      <c r="M340" s="9"/>
      <c r="N340" s="10">
        <f t="shared" si="85"/>
        <v>0</v>
      </c>
      <c r="O340" s="8" t="str">
        <f>IFERROR(N340/N444, "NA")</f>
        <v>NA</v>
      </c>
      <c r="P340" s="9"/>
      <c r="Q340" s="7">
        <v>0</v>
      </c>
      <c r="R340" s="8" t="str">
        <f>IFERROR(Q340/Q444, "NA")</f>
        <v>NA</v>
      </c>
      <c r="S340" s="9"/>
      <c r="T340" s="7">
        <v>0</v>
      </c>
      <c r="U340" s="8" t="str">
        <f>IFERROR(T340/T444, "NA")</f>
        <v>NA</v>
      </c>
      <c r="V340" s="9"/>
      <c r="W340" s="10">
        <f t="shared" si="86"/>
        <v>0</v>
      </c>
      <c r="X340" s="8" t="str">
        <f>IFERROR(W340/W444, "NA")</f>
        <v>NA</v>
      </c>
      <c r="Y340" s="9"/>
      <c r="Z340" s="7">
        <v>0</v>
      </c>
      <c r="AA340" s="8" t="str">
        <f>IFERROR(Z340/Z444, "NA")</f>
        <v>NA</v>
      </c>
      <c r="AB340" s="9"/>
      <c r="AC340" s="10">
        <f t="shared" si="87"/>
        <v>0</v>
      </c>
      <c r="AD340" s="8" t="str">
        <f>IFERROR(AC340/AC444, "NA")</f>
        <v>NA</v>
      </c>
    </row>
    <row r="341" spans="1:30" ht="16.5" hidden="1" customHeight="1" x14ac:dyDescent="0.45">
      <c r="A341" s="12" t="s">
        <v>311</v>
      </c>
      <c r="B341" s="7">
        <v>0</v>
      </c>
      <c r="C341" s="8" t="str">
        <f>IFERROR(B341/B444, "NA")</f>
        <v>NA</v>
      </c>
      <c r="D341" s="9"/>
      <c r="E341" s="7">
        <v>0</v>
      </c>
      <c r="F341" s="8" t="str">
        <f>IFERROR(E341/E444, "NA")</f>
        <v>NA</v>
      </c>
      <c r="G341" s="9"/>
      <c r="H341" s="10">
        <f t="shared" si="84"/>
        <v>0</v>
      </c>
      <c r="I341" s="8" t="str">
        <f>IFERROR(H341/H444, "NA")</f>
        <v>NA</v>
      </c>
      <c r="J341" s="9"/>
      <c r="K341" s="7">
        <v>0</v>
      </c>
      <c r="L341" s="8" t="str">
        <f>IFERROR(K341/K444, "NA")</f>
        <v>NA</v>
      </c>
      <c r="M341" s="9"/>
      <c r="N341" s="10">
        <f t="shared" si="85"/>
        <v>0</v>
      </c>
      <c r="O341" s="8" t="str">
        <f>IFERROR(N341/N444, "NA")</f>
        <v>NA</v>
      </c>
      <c r="P341" s="9"/>
      <c r="Q341" s="7">
        <v>0</v>
      </c>
      <c r="R341" s="8" t="str">
        <f>IFERROR(Q341/Q444, "NA")</f>
        <v>NA</v>
      </c>
      <c r="S341" s="9"/>
      <c r="T341" s="7">
        <v>0</v>
      </c>
      <c r="U341" s="8" t="str">
        <f>IFERROR(T341/T444, "NA")</f>
        <v>NA</v>
      </c>
      <c r="V341" s="9"/>
      <c r="W341" s="10">
        <f t="shared" si="86"/>
        <v>0</v>
      </c>
      <c r="X341" s="8" t="str">
        <f>IFERROR(W341/W444, "NA")</f>
        <v>NA</v>
      </c>
      <c r="Y341" s="9"/>
      <c r="Z341" s="7">
        <v>0</v>
      </c>
      <c r="AA341" s="8" t="str">
        <f>IFERROR(Z341/Z444, "NA")</f>
        <v>NA</v>
      </c>
      <c r="AB341" s="9"/>
      <c r="AC341" s="10">
        <f t="shared" si="87"/>
        <v>0</v>
      </c>
      <c r="AD341" s="8" t="str">
        <f>IFERROR(AC341/AC444, "NA")</f>
        <v>NA</v>
      </c>
    </row>
    <row r="342" spans="1:30" ht="16.5" customHeight="1" x14ac:dyDescent="0.45">
      <c r="A342" s="13" t="s">
        <v>312</v>
      </c>
      <c r="B342" s="14">
        <f>IFERROR(B337+B338+B339+B340+B341, "NA")</f>
        <v>0</v>
      </c>
      <c r="C342" s="15" t="str">
        <f>IFERROR(B342/B444, "NA")</f>
        <v>NA</v>
      </c>
      <c r="D342" s="2"/>
      <c r="E342" s="14">
        <f>IFERROR(E337+E338+E339+E340+E341, "NA")</f>
        <v>0</v>
      </c>
      <c r="F342" s="15" t="str">
        <f>IFERROR(E342/E444, "NA")</f>
        <v>NA</v>
      </c>
      <c r="G342" s="2"/>
      <c r="H342" s="14">
        <f t="shared" si="84"/>
        <v>0</v>
      </c>
      <c r="I342" s="15" t="str">
        <f>IFERROR(H342/H444, "NA")</f>
        <v>NA</v>
      </c>
      <c r="J342" s="2"/>
      <c r="K342" s="14">
        <f>IFERROR(K337+K338+K339+K340+K341, "NA")</f>
        <v>0</v>
      </c>
      <c r="L342" s="15" t="str">
        <f>IFERROR(K342/K444, "NA")</f>
        <v>NA</v>
      </c>
      <c r="M342" s="2"/>
      <c r="N342" s="14">
        <f t="shared" si="85"/>
        <v>0</v>
      </c>
      <c r="O342" s="15" t="str">
        <f>IFERROR(N342/N444, "NA")</f>
        <v>NA</v>
      </c>
      <c r="P342" s="2"/>
      <c r="Q342" s="14">
        <f>IFERROR(Q337+Q338+Q339+Q340+Q341, "NA")</f>
        <v>0</v>
      </c>
      <c r="R342" s="15" t="str">
        <f>IFERROR(Q342/Q444, "NA")</f>
        <v>NA</v>
      </c>
      <c r="S342" s="2"/>
      <c r="T342" s="14">
        <f>IFERROR(T337+T338+T339+T340+T341, "NA")</f>
        <v>0</v>
      </c>
      <c r="U342" s="15" t="str">
        <f>IFERROR(T342/T444, "NA")</f>
        <v>NA</v>
      </c>
      <c r="V342" s="2"/>
      <c r="W342" s="14">
        <f t="shared" si="86"/>
        <v>0</v>
      </c>
      <c r="X342" s="15" t="str">
        <f>IFERROR(W342/W444, "NA")</f>
        <v>NA</v>
      </c>
      <c r="Y342" s="2"/>
      <c r="Z342" s="14">
        <f>IFERROR(Z337+Z338+Z339+Z340+Z341, "NA")</f>
        <v>0</v>
      </c>
      <c r="AA342" s="15" t="str">
        <f>IFERROR(Z342/Z444, "NA")</f>
        <v>NA</v>
      </c>
      <c r="AB342" s="2"/>
      <c r="AC342" s="14">
        <f t="shared" si="87"/>
        <v>0</v>
      </c>
      <c r="AD342" s="15" t="str">
        <f>IFERROR(AC342/AC444, "NA")</f>
        <v>NA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0</v>
      </c>
      <c r="C343" s="15" t="str">
        <f>IFERROR(B343/B444, "NA")</f>
        <v>NA</v>
      </c>
      <c r="D343" s="2"/>
      <c r="E343" s="14">
        <f>IFERROR(E328+E329+E330+E331+E332+E333+E334+E335+E337+E338+E339+E340+E341, "NA")</f>
        <v>0</v>
      </c>
      <c r="F343" s="15" t="str">
        <f>IFERROR(E343/E444, "NA")</f>
        <v>NA</v>
      </c>
      <c r="G343" s="2"/>
      <c r="H343" s="14">
        <f t="shared" si="84"/>
        <v>0</v>
      </c>
      <c r="I343" s="15" t="str">
        <f>IFERROR(H343/H444, "NA")</f>
        <v>NA</v>
      </c>
      <c r="J343" s="2"/>
      <c r="K343" s="14">
        <f>IFERROR(K328+K329+K330+K331+K332+K333+K334+K335+K337+K338+K339+K340+K341, "NA")</f>
        <v>0</v>
      </c>
      <c r="L343" s="15" t="str">
        <f>IFERROR(K343/K444, "NA")</f>
        <v>NA</v>
      </c>
      <c r="M343" s="2"/>
      <c r="N343" s="14">
        <f t="shared" si="85"/>
        <v>0</v>
      </c>
      <c r="O343" s="15" t="str">
        <f>IFERROR(N343/N444, "NA")</f>
        <v>NA</v>
      </c>
      <c r="P343" s="2"/>
      <c r="Q343" s="14">
        <f>IFERROR(Q328+Q329+Q330+Q331+Q332+Q333+Q334+Q335+Q337+Q338+Q339+Q340+Q341, "NA")</f>
        <v>0</v>
      </c>
      <c r="R343" s="15" t="str">
        <f>IFERROR(Q343/Q444, "NA")</f>
        <v>NA</v>
      </c>
      <c r="S343" s="2"/>
      <c r="T343" s="14">
        <f>IFERROR(T328+T329+T330+T331+T332+T333+T334+T335+T337+T338+T339+T340+T341, "NA")</f>
        <v>0</v>
      </c>
      <c r="U343" s="15" t="str">
        <f>IFERROR(T343/T444, "NA")</f>
        <v>NA</v>
      </c>
      <c r="V343" s="2"/>
      <c r="W343" s="14">
        <f t="shared" si="86"/>
        <v>0</v>
      </c>
      <c r="X343" s="15" t="str">
        <f>IFERROR(W343/W444, "NA")</f>
        <v>NA</v>
      </c>
      <c r="Y343" s="2"/>
      <c r="Z343" s="14">
        <f>IFERROR(Z328+Z329+Z330+Z331+Z332+Z333+Z334+Z335+Z337+Z338+Z339+Z340+Z341, "NA")</f>
        <v>0</v>
      </c>
      <c r="AA343" s="15" t="str">
        <f>IFERROR(Z343/Z444, "NA")</f>
        <v>NA</v>
      </c>
      <c r="AB343" s="2"/>
      <c r="AC343" s="14">
        <f t="shared" si="87"/>
        <v>0</v>
      </c>
      <c r="AD343" s="15" t="str">
        <f>IFERROR(AC343/AC444, "NA")</f>
        <v>NA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0</v>
      </c>
      <c r="C344" s="15" t="str">
        <f>IFERROR(B344/B444, "NA")</f>
        <v>NA</v>
      </c>
      <c r="D344" s="2"/>
      <c r="E344" s="14">
        <f>IFERROR(E328+E329+E330+E331+E332+E333+E334+E335+E337+E338+E339+E340+E341, "NA")</f>
        <v>0</v>
      </c>
      <c r="F344" s="15" t="str">
        <f>IFERROR(E344/E444, "NA")</f>
        <v>NA</v>
      </c>
      <c r="G344" s="2"/>
      <c r="H344" s="14">
        <f t="shared" si="84"/>
        <v>0</v>
      </c>
      <c r="I344" s="15" t="str">
        <f>IFERROR(H344/H444, "NA")</f>
        <v>NA</v>
      </c>
      <c r="J344" s="2"/>
      <c r="K344" s="14">
        <f>IFERROR(K328+K329+K330+K331+K332+K333+K334+K335+K337+K338+K339+K340+K341, "NA")</f>
        <v>0</v>
      </c>
      <c r="L344" s="15" t="str">
        <f>IFERROR(K344/K444, "NA")</f>
        <v>NA</v>
      </c>
      <c r="M344" s="2"/>
      <c r="N344" s="14">
        <f t="shared" si="85"/>
        <v>0</v>
      </c>
      <c r="O344" s="15" t="str">
        <f>IFERROR(N344/N444, "NA")</f>
        <v>NA</v>
      </c>
      <c r="P344" s="2"/>
      <c r="Q344" s="14">
        <f>IFERROR(Q328+Q329+Q330+Q331+Q332+Q333+Q334+Q335+Q337+Q338+Q339+Q340+Q341, "NA")</f>
        <v>0</v>
      </c>
      <c r="R344" s="15" t="str">
        <f>IFERROR(Q344/Q444, "NA")</f>
        <v>NA</v>
      </c>
      <c r="S344" s="2"/>
      <c r="T344" s="14">
        <f>IFERROR(T328+T329+T330+T331+T332+T333+T334+T335+T337+T338+T339+T340+T341, "NA")</f>
        <v>0</v>
      </c>
      <c r="U344" s="15" t="str">
        <f>IFERROR(T344/T444, "NA")</f>
        <v>NA</v>
      </c>
      <c r="V344" s="2"/>
      <c r="W344" s="14">
        <f t="shared" si="86"/>
        <v>0</v>
      </c>
      <c r="X344" s="15" t="str">
        <f>IFERROR(W344/W444, "NA")</f>
        <v>NA</v>
      </c>
      <c r="Y344" s="2"/>
      <c r="Z344" s="14">
        <f>IFERROR(Z328+Z329+Z330+Z331+Z332+Z333+Z334+Z335+Z337+Z338+Z339+Z340+Z341, "NA")</f>
        <v>0</v>
      </c>
      <c r="AA344" s="15" t="str">
        <f>IFERROR(Z344/Z444, "NA")</f>
        <v>NA</v>
      </c>
      <c r="AB344" s="2"/>
      <c r="AC344" s="14">
        <f t="shared" si="87"/>
        <v>0</v>
      </c>
      <c r="AD344" s="15" t="str">
        <f>IFERROR(AC344/AC444, "NA")</f>
        <v>NA</v>
      </c>
    </row>
    <row r="345" spans="1:30" ht="16.5" customHeight="1" x14ac:dyDescent="0.45">
      <c r="A345" s="22" t="s">
        <v>315</v>
      </c>
      <c r="B345" s="23">
        <f>IFERROR(B198-B325-B344, "NA")</f>
        <v>0</v>
      </c>
      <c r="C345" s="24" t="str">
        <f>IFERROR(B345/B444, "NA")</f>
        <v>NA</v>
      </c>
      <c r="D345" s="25"/>
      <c r="E345" s="23">
        <f>IFERROR(E198-E325-E344, "NA")</f>
        <v>0</v>
      </c>
      <c r="F345" s="24" t="str">
        <f>IFERROR(E345/E444, "NA")</f>
        <v>NA</v>
      </c>
      <c r="G345" s="25"/>
      <c r="H345" s="23">
        <f>IFERROR(B345-E345, "NA")</f>
        <v>0</v>
      </c>
      <c r="I345" s="24" t="str">
        <f>IFERROR(H345/H444, "NA")</f>
        <v>NA</v>
      </c>
      <c r="J345" s="25"/>
      <c r="K345" s="23">
        <f>IFERROR(K198-K325-K344, "NA")</f>
        <v>0</v>
      </c>
      <c r="L345" s="24" t="str">
        <f>IFERROR(K345/K444, "NA")</f>
        <v>NA</v>
      </c>
      <c r="M345" s="25"/>
      <c r="N345" s="23">
        <f>IFERROR(B345-K345, "NA")</f>
        <v>0</v>
      </c>
      <c r="O345" s="24" t="str">
        <f>IFERROR(N345/N444, "NA")</f>
        <v>NA</v>
      </c>
      <c r="P345" s="25"/>
      <c r="Q345" s="23">
        <f>IFERROR(Q198-Q325-Q344, "NA")</f>
        <v>0</v>
      </c>
      <c r="R345" s="24" t="str">
        <f>IFERROR(Q345/Q444, "NA")</f>
        <v>NA</v>
      </c>
      <c r="S345" s="25"/>
      <c r="T345" s="23">
        <f>IFERROR(T198-T325-T344, "NA")</f>
        <v>0</v>
      </c>
      <c r="U345" s="24" t="str">
        <f>IFERROR(T345/T444, "NA")</f>
        <v>NA</v>
      </c>
      <c r="V345" s="25"/>
      <c r="W345" s="23">
        <f>IFERROR(Q345-T345, "NA")</f>
        <v>0</v>
      </c>
      <c r="X345" s="24" t="str">
        <f>IFERROR(W345/W444, "NA")</f>
        <v>NA</v>
      </c>
      <c r="Y345" s="25"/>
      <c r="Z345" s="23">
        <f>IFERROR(Z198-Z325-Z344, "NA")</f>
        <v>0</v>
      </c>
      <c r="AA345" s="24" t="str">
        <f>IFERROR(Z345/Z444, "NA")</f>
        <v>NA</v>
      </c>
      <c r="AB345" s="25"/>
      <c r="AC345" s="23">
        <f>IFERROR(Q345-Z345, "NA")</f>
        <v>0</v>
      </c>
      <c r="AD345" s="24" t="str">
        <f>IFERROR(AC345/AC444, "NA")</f>
        <v>NA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 t="str">
        <f>IFERROR(B347/B444, "NA")</f>
        <v>NA</v>
      </c>
      <c r="D347" s="9"/>
      <c r="E347" s="7">
        <v>0</v>
      </c>
      <c r="F347" s="8" t="str">
        <f>IFERROR(E347/E444, "NA")</f>
        <v>NA</v>
      </c>
      <c r="G347" s="9"/>
      <c r="H347" s="10">
        <f>IFERROR(-(B347-E347), "NA")</f>
        <v>0</v>
      </c>
      <c r="I347" s="8" t="str">
        <f>IFERROR(H347/H444, "NA")</f>
        <v>NA</v>
      </c>
      <c r="J347" s="9"/>
      <c r="K347" s="7">
        <v>0</v>
      </c>
      <c r="L347" s="8" t="str">
        <f>IFERROR(K347/K444, "NA")</f>
        <v>NA</v>
      </c>
      <c r="M347" s="9"/>
      <c r="N347" s="10">
        <f>IFERROR(-(B347-K347), "NA")</f>
        <v>0</v>
      </c>
      <c r="O347" s="8" t="str">
        <f>IFERROR(N347/N444, "NA")</f>
        <v>NA</v>
      </c>
      <c r="P347" s="9"/>
      <c r="Q347" s="7">
        <v>0</v>
      </c>
      <c r="R347" s="8" t="str">
        <f>IFERROR(Q347/Q444, "NA")</f>
        <v>NA</v>
      </c>
      <c r="S347" s="9"/>
      <c r="T347" s="7">
        <v>0</v>
      </c>
      <c r="U347" s="8" t="str">
        <f>IFERROR(T347/T444, "NA")</f>
        <v>NA</v>
      </c>
      <c r="V347" s="9"/>
      <c r="W347" s="10">
        <f>IFERROR(-(Q347-T347), "NA")</f>
        <v>0</v>
      </c>
      <c r="X347" s="8" t="str">
        <f>IFERROR(W347/W444, "NA")</f>
        <v>NA</v>
      </c>
      <c r="Y347" s="9"/>
      <c r="Z347" s="7">
        <v>0</v>
      </c>
      <c r="AA347" s="8" t="str">
        <f>IFERROR(Z347/Z444, "NA")</f>
        <v>NA</v>
      </c>
      <c r="AB347" s="9"/>
      <c r="AC347" s="10">
        <f>IFERROR(-(Q347-Z347), "NA")</f>
        <v>0</v>
      </c>
      <c r="AD347" s="8" t="str">
        <f>IFERROR(AC347/AC444, "NA")</f>
        <v>NA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 t="str">
        <f>IFERROR(B349/B444, "NA")</f>
        <v>NA</v>
      </c>
      <c r="D349" s="9"/>
      <c r="E349" s="7">
        <v>0</v>
      </c>
      <c r="F349" s="8" t="str">
        <f>IFERROR(E349/E444, "NA")</f>
        <v>NA</v>
      </c>
      <c r="G349" s="9"/>
      <c r="H349" s="10">
        <f t="shared" ref="H349:H358" si="88">IFERROR(-(B349-E349), "NA")</f>
        <v>0</v>
      </c>
      <c r="I349" s="8" t="str">
        <f>IFERROR(H349/H444, "NA")</f>
        <v>NA</v>
      </c>
      <c r="J349" s="9"/>
      <c r="K349" s="7">
        <v>0</v>
      </c>
      <c r="L349" s="8" t="str">
        <f>IFERROR(K349/K444, "NA")</f>
        <v>NA</v>
      </c>
      <c r="M349" s="9"/>
      <c r="N349" s="10">
        <f t="shared" ref="N349:N358" si="89">IFERROR(-(B349-K349), "NA")</f>
        <v>0</v>
      </c>
      <c r="O349" s="8" t="str">
        <f>IFERROR(N349/N444, "NA")</f>
        <v>NA</v>
      </c>
      <c r="P349" s="9"/>
      <c r="Q349" s="7">
        <v>0</v>
      </c>
      <c r="R349" s="8" t="str">
        <f>IFERROR(Q349/Q444, "NA")</f>
        <v>NA</v>
      </c>
      <c r="S349" s="9"/>
      <c r="T349" s="7">
        <v>0</v>
      </c>
      <c r="U349" s="8" t="str">
        <f>IFERROR(T349/T444, "NA")</f>
        <v>NA</v>
      </c>
      <c r="V349" s="9"/>
      <c r="W349" s="10">
        <f t="shared" ref="W349:W358" si="90">IFERROR(-(Q349-T349), "NA")</f>
        <v>0</v>
      </c>
      <c r="X349" s="8" t="str">
        <f>IFERROR(W349/W444, "NA")</f>
        <v>NA</v>
      </c>
      <c r="Y349" s="9"/>
      <c r="Z349" s="7">
        <v>0</v>
      </c>
      <c r="AA349" s="8" t="str">
        <f>IFERROR(Z349/Z444, "NA")</f>
        <v>NA</v>
      </c>
      <c r="AB349" s="9"/>
      <c r="AC349" s="10">
        <f t="shared" ref="AC349:AC358" si="91">IFERROR(-(Q349-Z349), "NA")</f>
        <v>0</v>
      </c>
      <c r="AD349" s="8" t="str">
        <f>IFERROR(AC349/AC444, "NA")</f>
        <v>NA</v>
      </c>
    </row>
    <row r="350" spans="1:30" ht="16.5" customHeight="1" x14ac:dyDescent="0.45">
      <c r="A350" s="6" t="s">
        <v>319</v>
      </c>
      <c r="B350" s="7">
        <v>51009.55</v>
      </c>
      <c r="C350" s="8" t="str">
        <f>IFERROR(B350/B444, "NA")</f>
        <v>NA</v>
      </c>
      <c r="D350" s="9"/>
      <c r="E350" s="7">
        <v>77644</v>
      </c>
      <c r="F350" s="8" t="str">
        <f>IFERROR(E350/E444, "NA")</f>
        <v>NA</v>
      </c>
      <c r="G350" s="9"/>
      <c r="H350" s="10">
        <f t="shared" si="88"/>
        <v>26634.449999999997</v>
      </c>
      <c r="I350" s="8" t="str">
        <f>IFERROR(H350/H444, "NA")</f>
        <v>NA</v>
      </c>
      <c r="J350" s="9"/>
      <c r="K350" s="7">
        <v>47163.4</v>
      </c>
      <c r="L350" s="8" t="str">
        <f>IFERROR(K350/K444, "NA")</f>
        <v>NA</v>
      </c>
      <c r="M350" s="9"/>
      <c r="N350" s="10">
        <f t="shared" si="89"/>
        <v>-3846.1500000000015</v>
      </c>
      <c r="O350" s="8" t="str">
        <f>IFERROR(N350/N444, "NA")</f>
        <v>NA</v>
      </c>
      <c r="P350" s="9"/>
      <c r="Q350" s="7">
        <v>313621.8</v>
      </c>
      <c r="R350" s="8" t="str">
        <f>IFERROR(Q350/Q444, "NA")</f>
        <v>NA</v>
      </c>
      <c r="S350" s="9"/>
      <c r="T350" s="7">
        <v>396441</v>
      </c>
      <c r="U350" s="8" t="str">
        <f>IFERROR(T350/T444, "NA")</f>
        <v>NA</v>
      </c>
      <c r="V350" s="9"/>
      <c r="W350" s="10">
        <f t="shared" si="90"/>
        <v>82819.200000000012</v>
      </c>
      <c r="X350" s="8" t="str">
        <f>IFERROR(W350/W444, "NA")</f>
        <v>NA</v>
      </c>
      <c r="Y350" s="9"/>
      <c r="Z350" s="7">
        <v>314541.74</v>
      </c>
      <c r="AA350" s="8" t="str">
        <f>IFERROR(Z350/Z444, "NA")</f>
        <v>NA</v>
      </c>
      <c r="AB350" s="9"/>
      <c r="AC350" s="10">
        <f t="shared" si="91"/>
        <v>919.94000000000233</v>
      </c>
      <c r="AD350" s="8" t="str">
        <f>IFERROR(AC350/AC444, "NA")</f>
        <v>NA</v>
      </c>
    </row>
    <row r="351" spans="1:30" ht="16.5" hidden="1" customHeight="1" x14ac:dyDescent="0.45">
      <c r="A351" s="6" t="s">
        <v>320</v>
      </c>
      <c r="B351" s="7">
        <v>0</v>
      </c>
      <c r="C351" s="8" t="str">
        <f>IFERROR(B351/B444, "NA")</f>
        <v>NA</v>
      </c>
      <c r="D351" s="9"/>
      <c r="E351" s="7">
        <v>0</v>
      </c>
      <c r="F351" s="8" t="str">
        <f>IFERROR(E351/E444, "NA")</f>
        <v>NA</v>
      </c>
      <c r="G351" s="9"/>
      <c r="H351" s="10">
        <f t="shared" si="88"/>
        <v>0</v>
      </c>
      <c r="I351" s="8" t="str">
        <f>IFERROR(H351/H444, "NA")</f>
        <v>NA</v>
      </c>
      <c r="J351" s="9"/>
      <c r="K351" s="7">
        <v>0</v>
      </c>
      <c r="L351" s="8" t="str">
        <f>IFERROR(K351/K444, "NA")</f>
        <v>NA</v>
      </c>
      <c r="M351" s="9"/>
      <c r="N351" s="10">
        <f t="shared" si="89"/>
        <v>0</v>
      </c>
      <c r="O351" s="8" t="str">
        <f>IFERROR(N351/N444, "NA")</f>
        <v>NA</v>
      </c>
      <c r="P351" s="9"/>
      <c r="Q351" s="7">
        <v>0</v>
      </c>
      <c r="R351" s="8" t="str">
        <f>IFERROR(Q351/Q444, "NA")</f>
        <v>NA</v>
      </c>
      <c r="S351" s="9"/>
      <c r="T351" s="7">
        <v>0</v>
      </c>
      <c r="U351" s="8" t="str">
        <f>IFERROR(T351/T444, "NA")</f>
        <v>NA</v>
      </c>
      <c r="V351" s="9"/>
      <c r="W351" s="10">
        <f t="shared" si="90"/>
        <v>0</v>
      </c>
      <c r="X351" s="8" t="str">
        <f>IFERROR(W351/W444, "NA")</f>
        <v>NA</v>
      </c>
      <c r="Y351" s="9"/>
      <c r="Z351" s="7">
        <v>0</v>
      </c>
      <c r="AA351" s="8" t="str">
        <f>IFERROR(Z351/Z444, "NA")</f>
        <v>NA</v>
      </c>
      <c r="AB351" s="9"/>
      <c r="AC351" s="10">
        <f t="shared" si="91"/>
        <v>0</v>
      </c>
      <c r="AD351" s="8" t="str">
        <f>IFERROR(AC351/AC444, "NA")</f>
        <v>NA</v>
      </c>
    </row>
    <row r="352" spans="1:30" ht="16.5" customHeight="1" x14ac:dyDescent="0.45">
      <c r="A352" s="6" t="s">
        <v>321</v>
      </c>
      <c r="B352" s="7">
        <v>0</v>
      </c>
      <c r="C352" s="8" t="str">
        <f>IFERROR(B352/B444, "NA")</f>
        <v>NA</v>
      </c>
      <c r="D352" s="9"/>
      <c r="E352" s="7">
        <v>0</v>
      </c>
      <c r="F352" s="8" t="str">
        <f>IFERROR(E352/E444, "NA")</f>
        <v>NA</v>
      </c>
      <c r="G352" s="9"/>
      <c r="H352" s="10">
        <f t="shared" si="88"/>
        <v>0</v>
      </c>
      <c r="I352" s="8" t="str">
        <f>IFERROR(H352/H444, "NA")</f>
        <v>NA</v>
      </c>
      <c r="J352" s="9"/>
      <c r="K352" s="7">
        <v>13461.55</v>
      </c>
      <c r="L352" s="8" t="str">
        <f>IFERROR(K352/K444, "NA")</f>
        <v>NA</v>
      </c>
      <c r="M352" s="9"/>
      <c r="N352" s="10">
        <f t="shared" si="89"/>
        <v>13461.55</v>
      </c>
      <c r="O352" s="8" t="str">
        <f>IFERROR(N352/N444, "NA")</f>
        <v>NA</v>
      </c>
      <c r="P352" s="9"/>
      <c r="Q352" s="7">
        <v>0</v>
      </c>
      <c r="R352" s="8" t="str">
        <f>IFERROR(Q352/Q444, "NA")</f>
        <v>NA</v>
      </c>
      <c r="S352" s="9"/>
      <c r="T352" s="7">
        <v>12375</v>
      </c>
      <c r="U352" s="8" t="str">
        <f>IFERROR(T352/T444, "NA")</f>
        <v>NA</v>
      </c>
      <c r="V352" s="9"/>
      <c r="W352" s="10">
        <f t="shared" si="90"/>
        <v>12375</v>
      </c>
      <c r="X352" s="8" t="str">
        <f>IFERROR(W352/W444, "NA")</f>
        <v>NA</v>
      </c>
      <c r="Y352" s="9"/>
      <c r="Z352" s="7">
        <v>59807.73</v>
      </c>
      <c r="AA352" s="8" t="str">
        <f>IFERROR(Z352/Z444, "NA")</f>
        <v>NA</v>
      </c>
      <c r="AB352" s="9"/>
      <c r="AC352" s="10">
        <f t="shared" si="91"/>
        <v>59807.73</v>
      </c>
      <c r="AD352" s="8" t="str">
        <f>IFERROR(AC352/AC444, "NA")</f>
        <v>NA</v>
      </c>
    </row>
    <row r="353" spans="1:30" ht="16.5" customHeight="1" x14ac:dyDescent="0.45">
      <c r="A353" s="6" t="s">
        <v>322</v>
      </c>
      <c r="B353" s="7">
        <v>0</v>
      </c>
      <c r="C353" s="8" t="str">
        <f>IFERROR(B353/B444, "NA")</f>
        <v>NA</v>
      </c>
      <c r="D353" s="9"/>
      <c r="E353" s="7">
        <v>6553.36</v>
      </c>
      <c r="F353" s="8" t="str">
        <f>IFERROR(E353/E444, "NA")</f>
        <v>NA</v>
      </c>
      <c r="G353" s="9"/>
      <c r="H353" s="10">
        <f t="shared" si="88"/>
        <v>6553.36</v>
      </c>
      <c r="I353" s="8" t="str">
        <f>IFERROR(H353/H444, "NA")</f>
        <v>NA</v>
      </c>
      <c r="J353" s="9"/>
      <c r="K353" s="7">
        <v>0</v>
      </c>
      <c r="L353" s="8" t="str">
        <f>IFERROR(K353/K444, "NA")</f>
        <v>NA</v>
      </c>
      <c r="M353" s="9"/>
      <c r="N353" s="10">
        <f t="shared" si="89"/>
        <v>0</v>
      </c>
      <c r="O353" s="8" t="str">
        <f>IFERROR(N353/N444, "NA")</f>
        <v>NA</v>
      </c>
      <c r="P353" s="9"/>
      <c r="Q353" s="7">
        <v>6774.8</v>
      </c>
      <c r="R353" s="8" t="str">
        <f>IFERROR(Q353/Q444, "NA")</f>
        <v>NA</v>
      </c>
      <c r="S353" s="9"/>
      <c r="T353" s="7">
        <v>30265.57</v>
      </c>
      <c r="U353" s="8" t="str">
        <f>IFERROR(T353/T444, "NA")</f>
        <v>NA</v>
      </c>
      <c r="V353" s="9"/>
      <c r="W353" s="10">
        <f t="shared" si="90"/>
        <v>23490.77</v>
      </c>
      <c r="X353" s="8" t="str">
        <f>IFERROR(W353/W444, "NA")</f>
        <v>NA</v>
      </c>
      <c r="Y353" s="9"/>
      <c r="Z353" s="7">
        <v>0</v>
      </c>
      <c r="AA353" s="8" t="str">
        <f>IFERROR(Z353/Z444, "NA")</f>
        <v>NA</v>
      </c>
      <c r="AB353" s="9"/>
      <c r="AC353" s="10">
        <f t="shared" si="91"/>
        <v>-6774.8</v>
      </c>
      <c r="AD353" s="8" t="str">
        <f>IFERROR(AC353/AC444, "NA")</f>
        <v>NA</v>
      </c>
    </row>
    <row r="354" spans="1:30" ht="16.5" customHeight="1" x14ac:dyDescent="0.45">
      <c r="A354" s="6" t="s">
        <v>323</v>
      </c>
      <c r="B354" s="7">
        <v>4110.0200000000004</v>
      </c>
      <c r="C354" s="8" t="str">
        <f>IFERROR(B354/B444, "NA")</f>
        <v>NA</v>
      </c>
      <c r="D354" s="9"/>
      <c r="E354" s="7">
        <v>5976.1</v>
      </c>
      <c r="F354" s="8" t="str">
        <f>IFERROR(E354/E444, "NA")</f>
        <v>NA</v>
      </c>
      <c r="G354" s="9"/>
      <c r="H354" s="10">
        <f t="shared" si="88"/>
        <v>1866.08</v>
      </c>
      <c r="I354" s="8" t="str">
        <f>IFERROR(H354/H444, "NA")</f>
        <v>NA</v>
      </c>
      <c r="J354" s="9"/>
      <c r="K354" s="7">
        <v>4133.62</v>
      </c>
      <c r="L354" s="8" t="str">
        <f>IFERROR(K354/K444, "NA")</f>
        <v>NA</v>
      </c>
      <c r="M354" s="9"/>
      <c r="N354" s="10">
        <f t="shared" si="89"/>
        <v>23.599999999999454</v>
      </c>
      <c r="O354" s="8" t="str">
        <f>IFERROR(N354/N444, "NA")</f>
        <v>NA</v>
      </c>
      <c r="P354" s="9"/>
      <c r="Q354" s="7">
        <v>27771.45</v>
      </c>
      <c r="R354" s="8" t="str">
        <f>IFERROR(Q354/Q444, "NA")</f>
        <v>NA</v>
      </c>
      <c r="S354" s="9"/>
      <c r="T354" s="7">
        <v>34338.74</v>
      </c>
      <c r="U354" s="8" t="str">
        <f>IFERROR(T354/T444, "NA")</f>
        <v>NA</v>
      </c>
      <c r="V354" s="9"/>
      <c r="W354" s="10">
        <f t="shared" si="90"/>
        <v>6567.2899999999972</v>
      </c>
      <c r="X354" s="8" t="str">
        <f>IFERROR(W354/W444, "NA")</f>
        <v>NA</v>
      </c>
      <c r="Y354" s="9"/>
      <c r="Z354" s="7">
        <v>28852.92</v>
      </c>
      <c r="AA354" s="8" t="str">
        <f>IFERROR(Z354/Z444, "NA")</f>
        <v>NA</v>
      </c>
      <c r="AB354" s="9"/>
      <c r="AC354" s="10">
        <f t="shared" si="91"/>
        <v>1081.4699999999975</v>
      </c>
      <c r="AD354" s="8" t="str">
        <f>IFERROR(AC354/AC444, "NA")</f>
        <v>NA</v>
      </c>
    </row>
    <row r="355" spans="1:30" ht="16.5" customHeight="1" x14ac:dyDescent="0.45">
      <c r="A355" s="6" t="s">
        <v>324</v>
      </c>
      <c r="B355" s="7">
        <v>190.8</v>
      </c>
      <c r="C355" s="8" t="str">
        <f>IFERROR(B355/B444, "NA")</f>
        <v>NA</v>
      </c>
      <c r="D355" s="9"/>
      <c r="E355" s="7">
        <v>350</v>
      </c>
      <c r="F355" s="8" t="str">
        <f>IFERROR(E355/E444, "NA")</f>
        <v>NA</v>
      </c>
      <c r="G355" s="9"/>
      <c r="H355" s="10">
        <f t="shared" si="88"/>
        <v>159.19999999999999</v>
      </c>
      <c r="I355" s="8" t="str">
        <f>IFERROR(H355/H444, "NA")</f>
        <v>NA</v>
      </c>
      <c r="J355" s="9"/>
      <c r="K355" s="7">
        <v>508.8</v>
      </c>
      <c r="L355" s="8" t="str">
        <f>IFERROR(K355/K444, "NA")</f>
        <v>NA</v>
      </c>
      <c r="M355" s="9"/>
      <c r="N355" s="10">
        <f t="shared" si="89"/>
        <v>318</v>
      </c>
      <c r="O355" s="8" t="str">
        <f>IFERROR(N355/N444, "NA")</f>
        <v>NA</v>
      </c>
      <c r="P355" s="9"/>
      <c r="Q355" s="7">
        <v>1409.8</v>
      </c>
      <c r="R355" s="8" t="str">
        <f>IFERROR(Q355/Q444, "NA")</f>
        <v>NA</v>
      </c>
      <c r="S355" s="9"/>
      <c r="T355" s="7">
        <v>1820</v>
      </c>
      <c r="U355" s="8" t="str">
        <f>IFERROR(T355/T444, "NA")</f>
        <v>NA</v>
      </c>
      <c r="V355" s="9"/>
      <c r="W355" s="10">
        <f t="shared" si="90"/>
        <v>410.20000000000005</v>
      </c>
      <c r="X355" s="8" t="str">
        <f>IFERROR(W355/W444, "NA")</f>
        <v>NA</v>
      </c>
      <c r="Y355" s="9"/>
      <c r="Z355" s="7">
        <v>1539.12</v>
      </c>
      <c r="AA355" s="8" t="str">
        <f>IFERROR(Z355/Z444, "NA")</f>
        <v>NA</v>
      </c>
      <c r="AB355" s="9"/>
      <c r="AC355" s="10">
        <f t="shared" si="91"/>
        <v>129.31999999999994</v>
      </c>
      <c r="AD355" s="8" t="str">
        <f>IFERROR(AC355/AC444, "NA")</f>
        <v>NA</v>
      </c>
    </row>
    <row r="356" spans="1:30" ht="16.5" customHeight="1" x14ac:dyDescent="0.45">
      <c r="A356" s="6" t="s">
        <v>325</v>
      </c>
      <c r="B356" s="7">
        <v>6187.5</v>
      </c>
      <c r="C356" s="8" t="str">
        <f>IFERROR(B356/B444, "NA")</f>
        <v>NA</v>
      </c>
      <c r="D356" s="9"/>
      <c r="E356" s="7">
        <v>6187.5</v>
      </c>
      <c r="F356" s="8" t="str">
        <f>IFERROR(E356/E444, "NA")</f>
        <v>NA</v>
      </c>
      <c r="G356" s="9"/>
      <c r="H356" s="10">
        <f t="shared" si="88"/>
        <v>0</v>
      </c>
      <c r="I356" s="8" t="str">
        <f>IFERROR(H356/H444, "NA")</f>
        <v>NA</v>
      </c>
      <c r="J356" s="9"/>
      <c r="K356" s="7">
        <v>0</v>
      </c>
      <c r="L356" s="8" t="str">
        <f>IFERROR(K356/K444, "NA")</f>
        <v>NA</v>
      </c>
      <c r="M356" s="9"/>
      <c r="N356" s="10">
        <f t="shared" si="89"/>
        <v>-6187.5</v>
      </c>
      <c r="O356" s="8" t="str">
        <f>IFERROR(N356/N444, "NA")</f>
        <v>NA</v>
      </c>
      <c r="P356" s="9"/>
      <c r="Q356" s="7">
        <v>40237.5</v>
      </c>
      <c r="R356" s="8" t="str">
        <f>IFERROR(Q356/Q444, "NA")</f>
        <v>NA</v>
      </c>
      <c r="S356" s="9"/>
      <c r="T356" s="7">
        <v>37125</v>
      </c>
      <c r="U356" s="8" t="str">
        <f>IFERROR(T356/T444, "NA")</f>
        <v>NA</v>
      </c>
      <c r="V356" s="9"/>
      <c r="W356" s="10">
        <f t="shared" si="90"/>
        <v>-3112.5</v>
      </c>
      <c r="X356" s="8" t="str">
        <f>IFERROR(W356/W444, "NA")</f>
        <v>NA</v>
      </c>
      <c r="Y356" s="9"/>
      <c r="Z356" s="7">
        <v>11800</v>
      </c>
      <c r="AA356" s="8" t="str">
        <f>IFERROR(Z356/Z444, "NA")</f>
        <v>NA</v>
      </c>
      <c r="AB356" s="9"/>
      <c r="AC356" s="10">
        <f t="shared" si="91"/>
        <v>-28437.5</v>
      </c>
      <c r="AD356" s="8" t="str">
        <f>IFERROR(AC356/AC444, "NA")</f>
        <v>NA</v>
      </c>
    </row>
    <row r="357" spans="1:30" ht="16.5" customHeight="1" x14ac:dyDescent="0.45">
      <c r="A357" s="6" t="s">
        <v>326</v>
      </c>
      <c r="B357" s="7">
        <v>3217.47</v>
      </c>
      <c r="C357" s="8" t="str">
        <f>IFERROR(B357/B444, "NA")</f>
        <v>NA</v>
      </c>
      <c r="D357" s="9"/>
      <c r="E357" s="7">
        <v>3183.4</v>
      </c>
      <c r="F357" s="8" t="str">
        <f>IFERROR(E357/E444, "NA")</f>
        <v>NA</v>
      </c>
      <c r="G357" s="9"/>
      <c r="H357" s="10">
        <f t="shared" si="88"/>
        <v>-34.069999999999709</v>
      </c>
      <c r="I357" s="8" t="str">
        <f>IFERROR(H357/H444, "NA")</f>
        <v>NA</v>
      </c>
      <c r="J357" s="9"/>
      <c r="K357" s="7">
        <v>2439.61</v>
      </c>
      <c r="L357" s="8" t="str">
        <f>IFERROR(K357/K444, "NA")</f>
        <v>NA</v>
      </c>
      <c r="M357" s="9"/>
      <c r="N357" s="10">
        <f t="shared" si="89"/>
        <v>-777.85999999999967</v>
      </c>
      <c r="O357" s="8" t="str">
        <f>IFERROR(N357/N444, "NA")</f>
        <v>NA</v>
      </c>
      <c r="P357" s="9"/>
      <c r="Q357" s="7">
        <v>20722.5</v>
      </c>
      <c r="R357" s="8" t="str">
        <f>IFERROR(Q357/Q444, "NA")</f>
        <v>NA</v>
      </c>
      <c r="S357" s="9"/>
      <c r="T357" s="7">
        <v>16254.08</v>
      </c>
      <c r="U357" s="8" t="str">
        <f>IFERROR(T357/T444, "NA")</f>
        <v>NA</v>
      </c>
      <c r="V357" s="9"/>
      <c r="W357" s="10">
        <f t="shared" si="90"/>
        <v>-4468.42</v>
      </c>
      <c r="X357" s="8" t="str">
        <f>IFERROR(W357/W444, "NA")</f>
        <v>NA</v>
      </c>
      <c r="Y357" s="9"/>
      <c r="Z357" s="7">
        <v>14404.86</v>
      </c>
      <c r="AA357" s="8" t="str">
        <f>IFERROR(Z357/Z444, "NA")</f>
        <v>NA</v>
      </c>
      <c r="AB357" s="9"/>
      <c r="AC357" s="10">
        <f t="shared" si="91"/>
        <v>-6317.6399999999994</v>
      </c>
      <c r="AD357" s="8" t="str">
        <f>IFERROR(AC357/AC444, "NA")</f>
        <v>NA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64715.340000000011</v>
      </c>
      <c r="C358" s="15" t="str">
        <f>IFERROR(B358/B444, "NA")</f>
        <v>NA</v>
      </c>
      <c r="D358" s="2"/>
      <c r="E358" s="14">
        <f>IFERROR(E349+E350+E351+E352+E353+E354+E355+E356+E357, "NA")</f>
        <v>99894.36</v>
      </c>
      <c r="F358" s="15" t="str">
        <f>IFERROR(E358/E444, "NA")</f>
        <v>NA</v>
      </c>
      <c r="G358" s="2"/>
      <c r="H358" s="14">
        <f t="shared" si="88"/>
        <v>35179.01999999999</v>
      </c>
      <c r="I358" s="15" t="str">
        <f>IFERROR(H358/H444, "NA")</f>
        <v>NA</v>
      </c>
      <c r="J358" s="2"/>
      <c r="K358" s="14">
        <f>IFERROR(K349+K350+K351+K352+K353+K354+K355+K356+K357, "NA")</f>
        <v>67706.98</v>
      </c>
      <c r="L358" s="15" t="str">
        <f>IFERROR(K358/K444, "NA")</f>
        <v>NA</v>
      </c>
      <c r="M358" s="2"/>
      <c r="N358" s="14">
        <f t="shared" si="89"/>
        <v>2991.6399999999849</v>
      </c>
      <c r="O358" s="15" t="str">
        <f>IFERROR(N358/N444, "NA")</f>
        <v>NA</v>
      </c>
      <c r="P358" s="2"/>
      <c r="Q358" s="14">
        <f>IFERROR(Q349+Q350+Q351+Q352+Q353+Q354+Q355+Q356+Q357, "NA")</f>
        <v>410537.85</v>
      </c>
      <c r="R358" s="15" t="str">
        <f>IFERROR(Q358/Q444, "NA")</f>
        <v>NA</v>
      </c>
      <c r="S358" s="2"/>
      <c r="T358" s="14">
        <f>IFERROR(T349+T350+T351+T352+T353+T354+T355+T356+T357, "NA")</f>
        <v>528619.39</v>
      </c>
      <c r="U358" s="15" t="str">
        <f>IFERROR(T358/T444, "NA")</f>
        <v>NA</v>
      </c>
      <c r="V358" s="2"/>
      <c r="W358" s="14">
        <f t="shared" si="90"/>
        <v>118081.54000000004</v>
      </c>
      <c r="X358" s="15" t="str">
        <f>IFERROR(W358/W444, "NA")</f>
        <v>NA</v>
      </c>
      <c r="Y358" s="2"/>
      <c r="Z358" s="14">
        <f>IFERROR(Z349+Z350+Z351+Z352+Z353+Z354+Z355+Z356+Z357, "NA")</f>
        <v>430946.36999999994</v>
      </c>
      <c r="AA358" s="15" t="str">
        <f>IFERROR(Z358/Z444, "NA")</f>
        <v>NA</v>
      </c>
      <c r="AB358" s="2"/>
      <c r="AC358" s="14">
        <f t="shared" si="91"/>
        <v>20408.51999999996</v>
      </c>
      <c r="AD358" s="15" t="str">
        <f>IFERROR(AC358/AC444, "NA")</f>
        <v>NA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customHeight="1" x14ac:dyDescent="0.45">
      <c r="A360" s="6" t="s">
        <v>328</v>
      </c>
      <c r="B360" s="7">
        <v>0</v>
      </c>
      <c r="C360" s="8" t="str">
        <f>IFERROR(B360/B444, "NA")</f>
        <v>NA</v>
      </c>
      <c r="D360" s="9"/>
      <c r="E360" s="7">
        <v>1500</v>
      </c>
      <c r="F360" s="8" t="str">
        <f>IFERROR(E360/E444, "NA")</f>
        <v>NA</v>
      </c>
      <c r="G360" s="9"/>
      <c r="H360" s="10">
        <f t="shared" ref="H360:H383" si="92">IFERROR(-(B360-E360), "NA")</f>
        <v>1500</v>
      </c>
      <c r="I360" s="8" t="str">
        <f>IFERROR(H360/H444, "NA")</f>
        <v>NA</v>
      </c>
      <c r="J360" s="9"/>
      <c r="K360" s="7">
        <v>0</v>
      </c>
      <c r="L360" s="8" t="str">
        <f>IFERROR(K360/K444, "NA")</f>
        <v>NA</v>
      </c>
      <c r="M360" s="9"/>
      <c r="N360" s="10">
        <f t="shared" ref="N360:N383" si="93">IFERROR(-(B360-K360), "NA")</f>
        <v>0</v>
      </c>
      <c r="O360" s="8" t="str">
        <f>IFERROR(N360/N444, "NA")</f>
        <v>NA</v>
      </c>
      <c r="P360" s="9"/>
      <c r="Q360" s="7">
        <v>0</v>
      </c>
      <c r="R360" s="8" t="str">
        <f>IFERROR(Q360/Q444, "NA")</f>
        <v>NA</v>
      </c>
      <c r="S360" s="9"/>
      <c r="T360" s="7">
        <v>8500</v>
      </c>
      <c r="U360" s="8" t="str">
        <f>IFERROR(T360/T444, "NA")</f>
        <v>NA</v>
      </c>
      <c r="V360" s="9"/>
      <c r="W360" s="10">
        <f t="shared" ref="W360:W383" si="94">IFERROR(-(Q360-T360), "NA")</f>
        <v>8500</v>
      </c>
      <c r="X360" s="8" t="str">
        <f>IFERROR(W360/W444, "NA")</f>
        <v>NA</v>
      </c>
      <c r="Y360" s="9"/>
      <c r="Z360" s="7">
        <v>0</v>
      </c>
      <c r="AA360" s="8" t="str">
        <f>IFERROR(Z360/Z444, "NA")</f>
        <v>NA</v>
      </c>
      <c r="AB360" s="9"/>
      <c r="AC360" s="10">
        <f t="shared" ref="AC360:AC383" si="95">IFERROR(-(Q360-Z360), "NA")</f>
        <v>0</v>
      </c>
      <c r="AD360" s="8" t="str">
        <f>IFERROR(AC360/AC444, "NA")</f>
        <v>NA</v>
      </c>
    </row>
    <row r="361" spans="1:30" ht="16.5" customHeight="1" x14ac:dyDescent="0.45">
      <c r="A361" s="6" t="s">
        <v>329</v>
      </c>
      <c r="B361" s="7">
        <v>0</v>
      </c>
      <c r="C361" s="8" t="str">
        <f>IFERROR(B361/B444, "NA")</f>
        <v>NA</v>
      </c>
      <c r="D361" s="9"/>
      <c r="E361" s="7">
        <v>0</v>
      </c>
      <c r="F361" s="8" t="str">
        <f>IFERROR(E361/E444, "NA")</f>
        <v>NA</v>
      </c>
      <c r="G361" s="9"/>
      <c r="H361" s="10">
        <f t="shared" si="92"/>
        <v>0</v>
      </c>
      <c r="I361" s="8" t="str">
        <f>IFERROR(H361/H444, "NA")</f>
        <v>NA</v>
      </c>
      <c r="J361" s="9"/>
      <c r="K361" s="7">
        <v>513.75</v>
      </c>
      <c r="L361" s="8" t="str">
        <f>IFERROR(K361/K444, "NA")</f>
        <v>NA</v>
      </c>
      <c r="M361" s="9"/>
      <c r="N361" s="10">
        <f t="shared" si="93"/>
        <v>513.75</v>
      </c>
      <c r="O361" s="8" t="str">
        <f>IFERROR(N361/N444, "NA")</f>
        <v>NA</v>
      </c>
      <c r="P361" s="9"/>
      <c r="Q361" s="7">
        <v>0</v>
      </c>
      <c r="R361" s="8" t="str">
        <f>IFERROR(Q361/Q444, "NA")</f>
        <v>NA</v>
      </c>
      <c r="S361" s="9"/>
      <c r="T361" s="7">
        <v>0</v>
      </c>
      <c r="U361" s="8" t="str">
        <f>IFERROR(T361/T444, "NA")</f>
        <v>NA</v>
      </c>
      <c r="V361" s="9"/>
      <c r="W361" s="10">
        <f t="shared" si="94"/>
        <v>0</v>
      </c>
      <c r="X361" s="8" t="str">
        <f>IFERROR(W361/W444, "NA")</f>
        <v>NA</v>
      </c>
      <c r="Y361" s="9"/>
      <c r="Z361" s="7">
        <v>2632.05</v>
      </c>
      <c r="AA361" s="8" t="str">
        <f>IFERROR(Z361/Z444, "NA")</f>
        <v>NA</v>
      </c>
      <c r="AB361" s="9"/>
      <c r="AC361" s="10">
        <f t="shared" si="95"/>
        <v>2632.05</v>
      </c>
      <c r="AD361" s="8" t="str">
        <f>IFERROR(AC361/AC444, "NA")</f>
        <v>NA</v>
      </c>
    </row>
    <row r="362" spans="1:30" ht="16.5" customHeight="1" x14ac:dyDescent="0.45">
      <c r="A362" s="6" t="s">
        <v>330</v>
      </c>
      <c r="B362" s="7">
        <v>695.55</v>
      </c>
      <c r="C362" s="8" t="str">
        <f>IFERROR(B362/B444, "NA")</f>
        <v>NA</v>
      </c>
      <c r="D362" s="9"/>
      <c r="E362" s="7">
        <v>500</v>
      </c>
      <c r="F362" s="8" t="str">
        <f>IFERROR(E362/E444, "NA")</f>
        <v>NA</v>
      </c>
      <c r="G362" s="9"/>
      <c r="H362" s="10">
        <f t="shared" si="92"/>
        <v>-195.54999999999995</v>
      </c>
      <c r="I362" s="8" t="str">
        <f>IFERROR(H362/H444, "NA")</f>
        <v>NA</v>
      </c>
      <c r="J362" s="9"/>
      <c r="K362" s="7">
        <v>507.75</v>
      </c>
      <c r="L362" s="8" t="str">
        <f>IFERROR(K362/K444, "NA")</f>
        <v>NA</v>
      </c>
      <c r="M362" s="9"/>
      <c r="N362" s="10">
        <f t="shared" si="93"/>
        <v>-187.79999999999995</v>
      </c>
      <c r="O362" s="8" t="str">
        <f>IFERROR(N362/N444, "NA")</f>
        <v>NA</v>
      </c>
      <c r="P362" s="9"/>
      <c r="Q362" s="7">
        <v>4872.1499999999996</v>
      </c>
      <c r="R362" s="8" t="str">
        <f>IFERROR(Q362/Q444, "NA")</f>
        <v>NA</v>
      </c>
      <c r="S362" s="9"/>
      <c r="T362" s="7">
        <v>2700</v>
      </c>
      <c r="U362" s="8" t="str">
        <f>IFERROR(T362/T444, "NA")</f>
        <v>NA</v>
      </c>
      <c r="V362" s="9"/>
      <c r="W362" s="10">
        <f t="shared" si="94"/>
        <v>-2172.1499999999996</v>
      </c>
      <c r="X362" s="8" t="str">
        <f>IFERROR(W362/W444, "NA")</f>
        <v>NA</v>
      </c>
      <c r="Y362" s="9"/>
      <c r="Z362" s="7">
        <v>2327.9</v>
      </c>
      <c r="AA362" s="8" t="str">
        <f>IFERROR(Z362/Z444, "NA")</f>
        <v>NA</v>
      </c>
      <c r="AB362" s="9"/>
      <c r="AC362" s="10">
        <f t="shared" si="95"/>
        <v>-2544.2499999999995</v>
      </c>
      <c r="AD362" s="8" t="str">
        <f>IFERROR(AC362/AC444, "NA")</f>
        <v>NA</v>
      </c>
    </row>
    <row r="363" spans="1:30" ht="16.5" customHeight="1" x14ac:dyDescent="0.45">
      <c r="A363" s="6" t="s">
        <v>331</v>
      </c>
      <c r="B363" s="7">
        <v>763.54</v>
      </c>
      <c r="C363" s="8" t="str">
        <f>IFERROR(B363/B444, "NA")</f>
        <v>NA</v>
      </c>
      <c r="D363" s="9"/>
      <c r="E363" s="7">
        <v>250</v>
      </c>
      <c r="F363" s="8" t="str">
        <f>IFERROR(E363/E444, "NA")</f>
        <v>NA</v>
      </c>
      <c r="G363" s="9"/>
      <c r="H363" s="10">
        <f t="shared" si="92"/>
        <v>-513.54</v>
      </c>
      <c r="I363" s="8" t="str">
        <f>IFERROR(H363/H444, "NA")</f>
        <v>NA</v>
      </c>
      <c r="J363" s="9"/>
      <c r="K363" s="7">
        <v>133.41999999999999</v>
      </c>
      <c r="L363" s="8" t="str">
        <f>IFERROR(K363/K444, "NA")</f>
        <v>NA</v>
      </c>
      <c r="M363" s="9"/>
      <c r="N363" s="10">
        <f t="shared" si="93"/>
        <v>-630.12</v>
      </c>
      <c r="O363" s="8" t="str">
        <f>IFERROR(N363/N444, "NA")</f>
        <v>NA</v>
      </c>
      <c r="P363" s="9"/>
      <c r="Q363" s="7">
        <v>5765.3</v>
      </c>
      <c r="R363" s="8" t="str">
        <f>IFERROR(Q363/Q444, "NA")</f>
        <v>NA</v>
      </c>
      <c r="S363" s="9"/>
      <c r="T363" s="7">
        <v>1300</v>
      </c>
      <c r="U363" s="8" t="str">
        <f>IFERROR(T363/T444, "NA")</f>
        <v>NA</v>
      </c>
      <c r="V363" s="9"/>
      <c r="W363" s="10">
        <f t="shared" si="94"/>
        <v>-4465.3</v>
      </c>
      <c r="X363" s="8" t="str">
        <f>IFERROR(W363/W444, "NA")</f>
        <v>NA</v>
      </c>
      <c r="Y363" s="9"/>
      <c r="Z363" s="7">
        <v>14137.64</v>
      </c>
      <c r="AA363" s="8" t="str">
        <f>IFERROR(Z363/Z444, "NA")</f>
        <v>NA</v>
      </c>
      <c r="AB363" s="9"/>
      <c r="AC363" s="10">
        <f t="shared" si="95"/>
        <v>8372.34</v>
      </c>
      <c r="AD363" s="8" t="str">
        <f>IFERROR(AC363/AC444, "NA")</f>
        <v>NA</v>
      </c>
    </row>
    <row r="364" spans="1:30" ht="16.5" customHeight="1" x14ac:dyDescent="0.45">
      <c r="A364" s="6" t="s">
        <v>332</v>
      </c>
      <c r="B364" s="7">
        <v>765.33</v>
      </c>
      <c r="C364" s="8" t="str">
        <f>IFERROR(B364/B444, "NA")</f>
        <v>NA</v>
      </c>
      <c r="D364" s="9"/>
      <c r="E364" s="7">
        <v>0</v>
      </c>
      <c r="F364" s="8" t="str">
        <f>IFERROR(E364/E444, "NA")</f>
        <v>NA</v>
      </c>
      <c r="G364" s="9"/>
      <c r="H364" s="10">
        <f t="shared" si="92"/>
        <v>-765.33</v>
      </c>
      <c r="I364" s="8" t="str">
        <f>IFERROR(H364/H444, "NA")</f>
        <v>NA</v>
      </c>
      <c r="J364" s="9"/>
      <c r="K364" s="7">
        <v>272.17</v>
      </c>
      <c r="L364" s="8" t="str">
        <f>IFERROR(K364/K444, "NA")</f>
        <v>NA</v>
      </c>
      <c r="M364" s="9"/>
      <c r="N364" s="10">
        <f t="shared" si="93"/>
        <v>-493.16</v>
      </c>
      <c r="O364" s="8" t="str">
        <f>IFERROR(N364/N444, "NA")</f>
        <v>NA</v>
      </c>
      <c r="P364" s="9"/>
      <c r="Q364" s="7">
        <v>4724.93</v>
      </c>
      <c r="R364" s="8" t="str">
        <f>IFERROR(Q364/Q444, "NA")</f>
        <v>NA</v>
      </c>
      <c r="S364" s="9"/>
      <c r="T364" s="7">
        <v>0</v>
      </c>
      <c r="U364" s="8" t="str">
        <f>IFERROR(T364/T444, "NA")</f>
        <v>NA</v>
      </c>
      <c r="V364" s="9"/>
      <c r="W364" s="10">
        <f t="shared" si="94"/>
        <v>-4724.93</v>
      </c>
      <c r="X364" s="8" t="str">
        <f>IFERROR(W364/W444, "NA")</f>
        <v>NA</v>
      </c>
      <c r="Y364" s="9"/>
      <c r="Z364" s="7">
        <v>2931.91</v>
      </c>
      <c r="AA364" s="8" t="str">
        <f>IFERROR(Z364/Z444, "NA")</f>
        <v>NA</v>
      </c>
      <c r="AB364" s="9"/>
      <c r="AC364" s="10">
        <f t="shared" si="95"/>
        <v>-1793.0200000000004</v>
      </c>
      <c r="AD364" s="8" t="str">
        <f>IFERROR(AC364/AC444, "NA")</f>
        <v>NA</v>
      </c>
    </row>
    <row r="365" spans="1:30" ht="16.5" customHeight="1" x14ac:dyDescent="0.45">
      <c r="A365" s="6" t="s">
        <v>333</v>
      </c>
      <c r="B365" s="7">
        <v>0</v>
      </c>
      <c r="C365" s="8" t="str">
        <f>IFERROR(B365/B444, "NA")</f>
        <v>NA</v>
      </c>
      <c r="D365" s="9"/>
      <c r="E365" s="7">
        <v>210</v>
      </c>
      <c r="F365" s="8" t="str">
        <f>IFERROR(E365/E444, "NA")</f>
        <v>NA</v>
      </c>
      <c r="G365" s="9"/>
      <c r="H365" s="10">
        <f t="shared" si="92"/>
        <v>210</v>
      </c>
      <c r="I365" s="8" t="str">
        <f>IFERROR(H365/H444, "NA")</f>
        <v>NA</v>
      </c>
      <c r="J365" s="9"/>
      <c r="K365" s="7">
        <v>0</v>
      </c>
      <c r="L365" s="8" t="str">
        <f>IFERROR(K365/K444, "NA")</f>
        <v>NA</v>
      </c>
      <c r="M365" s="9"/>
      <c r="N365" s="10">
        <f t="shared" si="93"/>
        <v>0</v>
      </c>
      <c r="O365" s="8" t="str">
        <f>IFERROR(N365/N444, "NA")</f>
        <v>NA</v>
      </c>
      <c r="P365" s="9"/>
      <c r="Q365" s="7">
        <v>4358.38</v>
      </c>
      <c r="R365" s="8" t="str">
        <f>IFERROR(Q365/Q444, "NA")</f>
        <v>NA</v>
      </c>
      <c r="S365" s="9"/>
      <c r="T365" s="7">
        <v>1050</v>
      </c>
      <c r="U365" s="8" t="str">
        <f>IFERROR(T365/T444, "NA")</f>
        <v>NA</v>
      </c>
      <c r="V365" s="9"/>
      <c r="W365" s="10">
        <f t="shared" si="94"/>
        <v>-3308.38</v>
      </c>
      <c r="X365" s="8" t="str">
        <f>IFERROR(W365/W444, "NA")</f>
        <v>NA</v>
      </c>
      <c r="Y365" s="9"/>
      <c r="Z365" s="7">
        <v>0</v>
      </c>
      <c r="AA365" s="8" t="str">
        <f>IFERROR(Z365/Z444, "NA")</f>
        <v>NA</v>
      </c>
      <c r="AB365" s="9"/>
      <c r="AC365" s="10">
        <f t="shared" si="95"/>
        <v>-4358.38</v>
      </c>
      <c r="AD365" s="8" t="str">
        <f>IFERROR(AC365/AC444, "NA")</f>
        <v>NA</v>
      </c>
    </row>
    <row r="366" spans="1:30" ht="16.5" customHeight="1" x14ac:dyDescent="0.45">
      <c r="A366" s="6" t="s">
        <v>334</v>
      </c>
      <c r="B366" s="7">
        <v>75</v>
      </c>
      <c r="C366" s="8" t="str">
        <f>IFERROR(B366/B444, "NA")</f>
        <v>NA</v>
      </c>
      <c r="D366" s="9"/>
      <c r="E366" s="7">
        <v>345</v>
      </c>
      <c r="F366" s="8" t="str">
        <f>IFERROR(E366/E444, "NA")</f>
        <v>NA</v>
      </c>
      <c r="G366" s="9"/>
      <c r="H366" s="10">
        <f t="shared" si="92"/>
        <v>270</v>
      </c>
      <c r="I366" s="8" t="str">
        <f>IFERROR(H366/H444, "NA")</f>
        <v>NA</v>
      </c>
      <c r="J366" s="9"/>
      <c r="K366" s="7">
        <v>0</v>
      </c>
      <c r="L366" s="8" t="str">
        <f>IFERROR(K366/K444, "NA")</f>
        <v>NA</v>
      </c>
      <c r="M366" s="9"/>
      <c r="N366" s="10">
        <f t="shared" si="93"/>
        <v>-75</v>
      </c>
      <c r="O366" s="8" t="str">
        <f>IFERROR(N366/N444, "NA")</f>
        <v>NA</v>
      </c>
      <c r="P366" s="9"/>
      <c r="Q366" s="7">
        <v>2868.51</v>
      </c>
      <c r="R366" s="8" t="str">
        <f>IFERROR(Q366/Q444, "NA")</f>
        <v>NA</v>
      </c>
      <c r="S366" s="9"/>
      <c r="T366" s="7">
        <v>2070</v>
      </c>
      <c r="U366" s="8" t="str">
        <f>IFERROR(T366/T444, "NA")</f>
        <v>NA</v>
      </c>
      <c r="V366" s="9"/>
      <c r="W366" s="10">
        <f t="shared" si="94"/>
        <v>-798.51000000000022</v>
      </c>
      <c r="X366" s="8" t="str">
        <f>IFERROR(W366/W444, "NA")</f>
        <v>NA</v>
      </c>
      <c r="Y366" s="9"/>
      <c r="Z366" s="7">
        <v>0</v>
      </c>
      <c r="AA366" s="8" t="str">
        <f>IFERROR(Z366/Z444, "NA")</f>
        <v>NA</v>
      </c>
      <c r="AB366" s="9"/>
      <c r="AC366" s="10">
        <f t="shared" si="95"/>
        <v>-2868.51</v>
      </c>
      <c r="AD366" s="8" t="str">
        <f>IFERROR(AC366/AC444, "NA")</f>
        <v>NA</v>
      </c>
    </row>
    <row r="367" spans="1:30" ht="16.5" customHeight="1" x14ac:dyDescent="0.45">
      <c r="A367" s="6" t="s">
        <v>335</v>
      </c>
      <c r="B367" s="7">
        <v>1292.32</v>
      </c>
      <c r="C367" s="8" t="str">
        <f>IFERROR(B367/B444, "NA")</f>
        <v>NA</v>
      </c>
      <c r="D367" s="9"/>
      <c r="E367" s="7">
        <v>0</v>
      </c>
      <c r="F367" s="8" t="str">
        <f>IFERROR(E367/E444, "NA")</f>
        <v>NA</v>
      </c>
      <c r="G367" s="9"/>
      <c r="H367" s="10">
        <f t="shared" si="92"/>
        <v>-1292.32</v>
      </c>
      <c r="I367" s="8" t="str">
        <f>IFERROR(H367/H444, "NA")</f>
        <v>NA</v>
      </c>
      <c r="J367" s="9"/>
      <c r="K367" s="7">
        <v>0</v>
      </c>
      <c r="L367" s="8" t="str">
        <f>IFERROR(K367/K444, "NA")</f>
        <v>NA</v>
      </c>
      <c r="M367" s="9"/>
      <c r="N367" s="10">
        <f t="shared" si="93"/>
        <v>-1292.32</v>
      </c>
      <c r="O367" s="8" t="str">
        <f>IFERROR(N367/N444, "NA")</f>
        <v>NA</v>
      </c>
      <c r="P367" s="9"/>
      <c r="Q367" s="7">
        <v>6774.06</v>
      </c>
      <c r="R367" s="8" t="str">
        <f>IFERROR(Q367/Q444, "NA")</f>
        <v>NA</v>
      </c>
      <c r="S367" s="9"/>
      <c r="T367" s="7">
        <v>0</v>
      </c>
      <c r="U367" s="8" t="str">
        <f>IFERROR(T367/T444, "NA")</f>
        <v>NA</v>
      </c>
      <c r="V367" s="9"/>
      <c r="W367" s="10">
        <f t="shared" si="94"/>
        <v>-6774.06</v>
      </c>
      <c r="X367" s="8" t="str">
        <f>IFERROR(W367/W444, "NA")</f>
        <v>NA</v>
      </c>
      <c r="Y367" s="9"/>
      <c r="Z367" s="7">
        <v>0</v>
      </c>
      <c r="AA367" s="8" t="str">
        <f>IFERROR(Z367/Z444, "NA")</f>
        <v>NA</v>
      </c>
      <c r="AB367" s="9"/>
      <c r="AC367" s="10">
        <f t="shared" si="95"/>
        <v>-6774.06</v>
      </c>
      <c r="AD367" s="8" t="str">
        <f>IFERROR(AC367/AC444, "NA")</f>
        <v>NA</v>
      </c>
    </row>
    <row r="368" spans="1:30" ht="16.5" customHeight="1" x14ac:dyDescent="0.45">
      <c r="A368" s="19" t="s">
        <v>336</v>
      </c>
      <c r="B368" s="14">
        <f>IFERROR(B360+B361+B362+B363+B364+B365+B366+B367, "NA")</f>
        <v>3591.74</v>
      </c>
      <c r="C368" s="15" t="str">
        <f>IFERROR(B368/B444, "NA")</f>
        <v>NA</v>
      </c>
      <c r="D368" s="2"/>
      <c r="E368" s="14">
        <f>IFERROR(E360+E361+E362+E363+E364+E365+E366+E367, "NA")</f>
        <v>2805</v>
      </c>
      <c r="F368" s="15" t="str">
        <f>IFERROR(E368/E444, "NA")</f>
        <v>NA</v>
      </c>
      <c r="G368" s="2"/>
      <c r="H368" s="14">
        <f t="shared" si="92"/>
        <v>-786.73999999999978</v>
      </c>
      <c r="I368" s="15" t="str">
        <f>IFERROR(H368/H444, "NA")</f>
        <v>NA</v>
      </c>
      <c r="J368" s="2"/>
      <c r="K368" s="14">
        <f>IFERROR(K360+K361+K362+K363+K364+K365+K366+K367, "NA")</f>
        <v>1427.0900000000001</v>
      </c>
      <c r="L368" s="15" t="str">
        <f>IFERROR(K368/K444, "NA")</f>
        <v>NA</v>
      </c>
      <c r="M368" s="2"/>
      <c r="N368" s="14">
        <f t="shared" si="93"/>
        <v>-2164.6499999999996</v>
      </c>
      <c r="O368" s="15" t="str">
        <f>IFERROR(N368/N444, "NA")</f>
        <v>NA</v>
      </c>
      <c r="P368" s="2"/>
      <c r="Q368" s="14">
        <f>IFERROR(Q360+Q361+Q362+Q363+Q364+Q365+Q366+Q367, "NA")</f>
        <v>29363.330000000005</v>
      </c>
      <c r="R368" s="15" t="str">
        <f>IFERROR(Q368/Q444, "NA")</f>
        <v>NA</v>
      </c>
      <c r="S368" s="2"/>
      <c r="T368" s="14">
        <f>IFERROR(T360+T361+T362+T363+T364+T365+T366+T367, "NA")</f>
        <v>15620</v>
      </c>
      <c r="U368" s="15" t="str">
        <f>IFERROR(T368/T444, "NA")</f>
        <v>NA</v>
      </c>
      <c r="V368" s="2"/>
      <c r="W368" s="14">
        <f t="shared" si="94"/>
        <v>-13743.330000000005</v>
      </c>
      <c r="X368" s="15" t="str">
        <f>IFERROR(W368/W444, "NA")</f>
        <v>NA</v>
      </c>
      <c r="Y368" s="2"/>
      <c r="Z368" s="14">
        <f>IFERROR(Z360+Z361+Z362+Z363+Z364+Z365+Z366+Z367, "NA")</f>
        <v>22029.5</v>
      </c>
      <c r="AA368" s="15" t="str">
        <f>IFERROR(Z368/Z444, "NA")</f>
        <v>NA</v>
      </c>
      <c r="AB368" s="2"/>
      <c r="AC368" s="14">
        <f t="shared" si="95"/>
        <v>-7333.8300000000054</v>
      </c>
      <c r="AD368" s="15" t="str">
        <f>IFERROR(AC368/AC444, "NA")</f>
        <v>NA</v>
      </c>
    </row>
    <row r="369" spans="1:30" ht="16.5" hidden="1" customHeight="1" x14ac:dyDescent="0.45">
      <c r="A369" s="20" t="s">
        <v>337</v>
      </c>
      <c r="B369" s="7">
        <v>0</v>
      </c>
      <c r="C369" s="8" t="str">
        <f>IFERROR(B369/B444, "NA")</f>
        <v>NA</v>
      </c>
      <c r="D369" s="9"/>
      <c r="E369" s="7">
        <v>0</v>
      </c>
      <c r="F369" s="8" t="str">
        <f>IFERROR(E369/E444, "NA")</f>
        <v>NA</v>
      </c>
      <c r="G369" s="9"/>
      <c r="H369" s="10">
        <f t="shared" si="92"/>
        <v>0</v>
      </c>
      <c r="I369" s="8" t="str">
        <f>IFERROR(H369/H444, "NA")</f>
        <v>NA</v>
      </c>
      <c r="J369" s="9"/>
      <c r="K369" s="7">
        <v>0</v>
      </c>
      <c r="L369" s="8" t="str">
        <f>IFERROR(K369/K444, "NA")</f>
        <v>NA</v>
      </c>
      <c r="M369" s="9"/>
      <c r="N369" s="10">
        <f t="shared" si="93"/>
        <v>0</v>
      </c>
      <c r="O369" s="8" t="str">
        <f>IFERROR(N369/N444, "NA")</f>
        <v>NA</v>
      </c>
      <c r="P369" s="9"/>
      <c r="Q369" s="7">
        <v>0</v>
      </c>
      <c r="R369" s="8" t="str">
        <f>IFERROR(Q369/Q444, "NA")</f>
        <v>NA</v>
      </c>
      <c r="S369" s="9"/>
      <c r="T369" s="7">
        <v>0</v>
      </c>
      <c r="U369" s="8" t="str">
        <f>IFERROR(T369/T444, "NA")</f>
        <v>NA</v>
      </c>
      <c r="V369" s="9"/>
      <c r="W369" s="10">
        <f t="shared" si="94"/>
        <v>0</v>
      </c>
      <c r="X369" s="8" t="str">
        <f>IFERROR(W369/W444, "NA")</f>
        <v>NA</v>
      </c>
      <c r="Y369" s="9"/>
      <c r="Z369" s="7">
        <v>0</v>
      </c>
      <c r="AA369" s="8" t="str">
        <f>IFERROR(Z369/Z444, "NA")</f>
        <v>NA</v>
      </c>
      <c r="AB369" s="9"/>
      <c r="AC369" s="10">
        <f t="shared" si="95"/>
        <v>0</v>
      </c>
      <c r="AD369" s="8" t="str">
        <f>IFERROR(AC369/AC444, "NA")</f>
        <v>NA</v>
      </c>
    </row>
    <row r="370" spans="1:30" ht="16.5" customHeight="1" x14ac:dyDescent="0.45">
      <c r="A370" s="20" t="s">
        <v>338</v>
      </c>
      <c r="B370" s="7">
        <v>98</v>
      </c>
      <c r="C370" s="8" t="str">
        <f>IFERROR(B370/B444, "NA")</f>
        <v>NA</v>
      </c>
      <c r="D370" s="9"/>
      <c r="E370" s="7">
        <v>635</v>
      </c>
      <c r="F370" s="8" t="str">
        <f>IFERROR(E370/E444, "NA")</f>
        <v>NA</v>
      </c>
      <c r="G370" s="9"/>
      <c r="H370" s="10">
        <f t="shared" si="92"/>
        <v>537</v>
      </c>
      <c r="I370" s="8" t="str">
        <f>IFERROR(H370/H444, "NA")</f>
        <v>NA</v>
      </c>
      <c r="J370" s="9"/>
      <c r="K370" s="7">
        <v>2074</v>
      </c>
      <c r="L370" s="8" t="str">
        <f>IFERROR(K370/K444, "NA")</f>
        <v>NA</v>
      </c>
      <c r="M370" s="9"/>
      <c r="N370" s="10">
        <f t="shared" si="93"/>
        <v>1976</v>
      </c>
      <c r="O370" s="8" t="str">
        <f>IFERROR(N370/N444, "NA")</f>
        <v>NA</v>
      </c>
      <c r="P370" s="9"/>
      <c r="Q370" s="7">
        <v>1487</v>
      </c>
      <c r="R370" s="8" t="str">
        <f>IFERROR(Q370/Q444, "NA")</f>
        <v>NA</v>
      </c>
      <c r="S370" s="9"/>
      <c r="T370" s="7">
        <v>3810</v>
      </c>
      <c r="U370" s="8" t="str">
        <f>IFERROR(T370/T444, "NA")</f>
        <v>NA</v>
      </c>
      <c r="V370" s="9"/>
      <c r="W370" s="10">
        <f t="shared" si="94"/>
        <v>2323</v>
      </c>
      <c r="X370" s="8" t="str">
        <f>IFERROR(W370/W444, "NA")</f>
        <v>NA</v>
      </c>
      <c r="Y370" s="9"/>
      <c r="Z370" s="7">
        <v>4696.6000000000004</v>
      </c>
      <c r="AA370" s="8" t="str">
        <f>IFERROR(Z370/Z444, "NA")</f>
        <v>NA</v>
      </c>
      <c r="AB370" s="9"/>
      <c r="AC370" s="10">
        <f t="shared" si="95"/>
        <v>3209.6000000000004</v>
      </c>
      <c r="AD370" s="8" t="str">
        <f>IFERROR(AC370/AC444, "NA")</f>
        <v>NA</v>
      </c>
    </row>
    <row r="371" spans="1:30" ht="16.5" customHeight="1" x14ac:dyDescent="0.45">
      <c r="A371" s="20" t="s">
        <v>339</v>
      </c>
      <c r="B371" s="7">
        <v>1590.11</v>
      </c>
      <c r="C371" s="8" t="str">
        <f>IFERROR(B371/B444, "NA")</f>
        <v>NA</v>
      </c>
      <c r="D371" s="9"/>
      <c r="E371" s="7">
        <v>100</v>
      </c>
      <c r="F371" s="8" t="str">
        <f>IFERROR(E371/E444, "NA")</f>
        <v>NA</v>
      </c>
      <c r="G371" s="9"/>
      <c r="H371" s="10">
        <f t="shared" si="92"/>
        <v>-1490.11</v>
      </c>
      <c r="I371" s="8" t="str">
        <f>IFERROR(H371/H444, "NA")</f>
        <v>NA</v>
      </c>
      <c r="J371" s="9"/>
      <c r="K371" s="7">
        <v>591.88</v>
      </c>
      <c r="L371" s="8" t="str">
        <f>IFERROR(K371/K444, "NA")</f>
        <v>NA</v>
      </c>
      <c r="M371" s="9"/>
      <c r="N371" s="10">
        <f t="shared" si="93"/>
        <v>-998.2299999999999</v>
      </c>
      <c r="O371" s="8" t="str">
        <f>IFERROR(N371/N444, "NA")</f>
        <v>NA</v>
      </c>
      <c r="P371" s="9"/>
      <c r="Q371" s="7">
        <v>3994.94</v>
      </c>
      <c r="R371" s="8" t="str">
        <f>IFERROR(Q371/Q444, "NA")</f>
        <v>NA</v>
      </c>
      <c r="S371" s="9"/>
      <c r="T371" s="7">
        <v>600</v>
      </c>
      <c r="U371" s="8" t="str">
        <f>IFERROR(T371/T444, "NA")</f>
        <v>NA</v>
      </c>
      <c r="V371" s="9"/>
      <c r="W371" s="10">
        <f t="shared" si="94"/>
        <v>-3394.94</v>
      </c>
      <c r="X371" s="8" t="str">
        <f>IFERROR(W371/W444, "NA")</f>
        <v>NA</v>
      </c>
      <c r="Y371" s="9"/>
      <c r="Z371" s="7">
        <v>3562.35</v>
      </c>
      <c r="AA371" s="8" t="str">
        <f>IFERROR(Z371/Z444, "NA")</f>
        <v>NA</v>
      </c>
      <c r="AB371" s="9"/>
      <c r="AC371" s="10">
        <f t="shared" si="95"/>
        <v>-432.59000000000015</v>
      </c>
      <c r="AD371" s="8" t="str">
        <f>IFERROR(AC371/AC444, "NA")</f>
        <v>NA</v>
      </c>
    </row>
    <row r="372" spans="1:30" ht="16.5" customHeight="1" x14ac:dyDescent="0.45">
      <c r="A372" s="20" t="s">
        <v>340</v>
      </c>
      <c r="B372" s="7">
        <v>277.17</v>
      </c>
      <c r="C372" s="8" t="str">
        <f>IFERROR(B372/B444, "NA")</f>
        <v>NA</v>
      </c>
      <c r="D372" s="9"/>
      <c r="E372" s="7">
        <v>0</v>
      </c>
      <c r="F372" s="8" t="str">
        <f>IFERROR(E372/E444, "NA")</f>
        <v>NA</v>
      </c>
      <c r="G372" s="9"/>
      <c r="H372" s="10">
        <f t="shared" si="92"/>
        <v>-277.17</v>
      </c>
      <c r="I372" s="8" t="str">
        <f>IFERROR(H372/H444, "NA")</f>
        <v>NA</v>
      </c>
      <c r="J372" s="9"/>
      <c r="K372" s="7">
        <v>0</v>
      </c>
      <c r="L372" s="8" t="str">
        <f>IFERROR(K372/K444, "NA")</f>
        <v>NA</v>
      </c>
      <c r="M372" s="9"/>
      <c r="N372" s="10">
        <f t="shared" si="93"/>
        <v>-277.17</v>
      </c>
      <c r="O372" s="8" t="str">
        <f>IFERROR(N372/N444, "NA")</f>
        <v>NA</v>
      </c>
      <c r="P372" s="9"/>
      <c r="Q372" s="7">
        <v>2385.85</v>
      </c>
      <c r="R372" s="8" t="str">
        <f>IFERROR(Q372/Q444, "NA")</f>
        <v>NA</v>
      </c>
      <c r="S372" s="9"/>
      <c r="T372" s="7">
        <v>3500</v>
      </c>
      <c r="U372" s="8" t="str">
        <f>IFERROR(T372/T444, "NA")</f>
        <v>NA</v>
      </c>
      <c r="V372" s="9"/>
      <c r="W372" s="10">
        <f t="shared" si="94"/>
        <v>1114.1500000000001</v>
      </c>
      <c r="X372" s="8" t="str">
        <f>IFERROR(W372/W444, "NA")</f>
        <v>NA</v>
      </c>
      <c r="Y372" s="9"/>
      <c r="Z372" s="7">
        <v>3450</v>
      </c>
      <c r="AA372" s="8" t="str">
        <f>IFERROR(Z372/Z444, "NA")</f>
        <v>NA</v>
      </c>
      <c r="AB372" s="9"/>
      <c r="AC372" s="10">
        <f t="shared" si="95"/>
        <v>1064.1500000000001</v>
      </c>
      <c r="AD372" s="8" t="str">
        <f>IFERROR(AC372/AC444, "NA")</f>
        <v>NA</v>
      </c>
    </row>
    <row r="373" spans="1:30" ht="16.5" customHeight="1" x14ac:dyDescent="0.45">
      <c r="A373" s="20" t="s">
        <v>341</v>
      </c>
      <c r="B373" s="7">
        <v>237.08</v>
      </c>
      <c r="C373" s="8" t="str">
        <f>IFERROR(B373/B444, "NA")</f>
        <v>NA</v>
      </c>
      <c r="D373" s="9"/>
      <c r="E373" s="7">
        <v>325</v>
      </c>
      <c r="F373" s="8" t="str">
        <f>IFERROR(E373/E444, "NA")</f>
        <v>NA</v>
      </c>
      <c r="G373" s="9"/>
      <c r="H373" s="10">
        <f t="shared" si="92"/>
        <v>87.919999999999987</v>
      </c>
      <c r="I373" s="8" t="str">
        <f>IFERROR(H373/H444, "NA")</f>
        <v>NA</v>
      </c>
      <c r="J373" s="9"/>
      <c r="K373" s="7">
        <v>880.96</v>
      </c>
      <c r="L373" s="8" t="str">
        <f>IFERROR(K373/K444, "NA")</f>
        <v>NA</v>
      </c>
      <c r="M373" s="9"/>
      <c r="N373" s="10">
        <f t="shared" si="93"/>
        <v>643.88</v>
      </c>
      <c r="O373" s="8" t="str">
        <f>IFERROR(N373/N444, "NA")</f>
        <v>NA</v>
      </c>
      <c r="P373" s="9"/>
      <c r="Q373" s="7">
        <v>2387.7199999999998</v>
      </c>
      <c r="R373" s="8" t="str">
        <f>IFERROR(Q373/Q444, "NA")</f>
        <v>NA</v>
      </c>
      <c r="S373" s="9"/>
      <c r="T373" s="7">
        <v>1950</v>
      </c>
      <c r="U373" s="8" t="str">
        <f>IFERROR(T373/T444, "NA")</f>
        <v>NA</v>
      </c>
      <c r="V373" s="9"/>
      <c r="W373" s="10">
        <f t="shared" si="94"/>
        <v>-437.7199999999998</v>
      </c>
      <c r="X373" s="8" t="str">
        <f>IFERROR(W373/W444, "NA")</f>
        <v>NA</v>
      </c>
      <c r="Y373" s="9"/>
      <c r="Z373" s="7">
        <v>5224.75</v>
      </c>
      <c r="AA373" s="8" t="str">
        <f>IFERROR(Z373/Z444, "NA")</f>
        <v>NA</v>
      </c>
      <c r="AB373" s="9"/>
      <c r="AC373" s="10">
        <f t="shared" si="95"/>
        <v>2837.03</v>
      </c>
      <c r="AD373" s="8" t="str">
        <f>IFERROR(AC373/AC444, "NA")</f>
        <v>NA</v>
      </c>
    </row>
    <row r="374" spans="1:30" ht="16.5" customHeight="1" x14ac:dyDescent="0.45">
      <c r="A374" s="20" t="s">
        <v>342</v>
      </c>
      <c r="B374" s="7">
        <v>2149.5300000000002</v>
      </c>
      <c r="C374" s="8" t="str">
        <f>IFERROR(B374/B444, "NA")</f>
        <v>NA</v>
      </c>
      <c r="D374" s="9"/>
      <c r="E374" s="7">
        <v>1900</v>
      </c>
      <c r="F374" s="8" t="str">
        <f>IFERROR(E374/E444, "NA")</f>
        <v>NA</v>
      </c>
      <c r="G374" s="9"/>
      <c r="H374" s="10">
        <f t="shared" si="92"/>
        <v>-249.5300000000002</v>
      </c>
      <c r="I374" s="8" t="str">
        <f>IFERROR(H374/H444, "NA")</f>
        <v>NA</v>
      </c>
      <c r="J374" s="9"/>
      <c r="K374" s="7">
        <v>1897.01</v>
      </c>
      <c r="L374" s="8" t="str">
        <f>IFERROR(K374/K444, "NA")</f>
        <v>NA</v>
      </c>
      <c r="M374" s="9"/>
      <c r="N374" s="10">
        <f t="shared" si="93"/>
        <v>-252.52000000000021</v>
      </c>
      <c r="O374" s="8" t="str">
        <f>IFERROR(N374/N444, "NA")</f>
        <v>NA</v>
      </c>
      <c r="P374" s="9"/>
      <c r="Q374" s="7">
        <v>11733.54</v>
      </c>
      <c r="R374" s="8" t="str">
        <f>IFERROR(Q374/Q444, "NA")</f>
        <v>NA</v>
      </c>
      <c r="S374" s="9"/>
      <c r="T374" s="7">
        <v>11400</v>
      </c>
      <c r="U374" s="8" t="str">
        <f>IFERROR(T374/T444, "NA")</f>
        <v>NA</v>
      </c>
      <c r="V374" s="9"/>
      <c r="W374" s="10">
        <f t="shared" si="94"/>
        <v>-333.54000000000087</v>
      </c>
      <c r="X374" s="8" t="str">
        <f>IFERROR(W374/W444, "NA")</f>
        <v>NA</v>
      </c>
      <c r="Y374" s="9"/>
      <c r="Z374" s="7">
        <v>10723.71</v>
      </c>
      <c r="AA374" s="8" t="str">
        <f>IFERROR(Z374/Z444, "NA")</f>
        <v>NA</v>
      </c>
      <c r="AB374" s="9"/>
      <c r="AC374" s="10">
        <f t="shared" si="95"/>
        <v>-1009.8300000000017</v>
      </c>
      <c r="AD374" s="8" t="str">
        <f>IFERROR(AC374/AC444, "NA")</f>
        <v>NA</v>
      </c>
    </row>
    <row r="375" spans="1:30" ht="16.5" customHeight="1" x14ac:dyDescent="0.45">
      <c r="A375" s="20" t="s">
        <v>343</v>
      </c>
      <c r="B375" s="7">
        <v>3675.82</v>
      </c>
      <c r="C375" s="8" t="str">
        <f>IFERROR(B375/B444, "NA")</f>
        <v>NA</v>
      </c>
      <c r="D375" s="9"/>
      <c r="E375" s="7">
        <v>0</v>
      </c>
      <c r="F375" s="8" t="str">
        <f>IFERROR(E375/E444, "NA")</f>
        <v>NA</v>
      </c>
      <c r="G375" s="9"/>
      <c r="H375" s="10">
        <f t="shared" si="92"/>
        <v>-3675.82</v>
      </c>
      <c r="I375" s="8" t="str">
        <f>IFERROR(H375/H444, "NA")</f>
        <v>NA</v>
      </c>
      <c r="J375" s="9"/>
      <c r="K375" s="7">
        <v>0</v>
      </c>
      <c r="L375" s="8" t="str">
        <f>IFERROR(K375/K444, "NA")</f>
        <v>NA</v>
      </c>
      <c r="M375" s="9"/>
      <c r="N375" s="10">
        <f t="shared" si="93"/>
        <v>-3675.82</v>
      </c>
      <c r="O375" s="8" t="str">
        <f>IFERROR(N375/N444, "NA")</f>
        <v>NA</v>
      </c>
      <c r="P375" s="9"/>
      <c r="Q375" s="7">
        <v>3881.08</v>
      </c>
      <c r="R375" s="8" t="str">
        <f>IFERROR(Q375/Q444, "NA")</f>
        <v>NA</v>
      </c>
      <c r="S375" s="9"/>
      <c r="T375" s="7">
        <v>0</v>
      </c>
      <c r="U375" s="8" t="str">
        <f>IFERROR(T375/T444, "NA")</f>
        <v>NA</v>
      </c>
      <c r="V375" s="9"/>
      <c r="W375" s="10">
        <f t="shared" si="94"/>
        <v>-3881.08</v>
      </c>
      <c r="X375" s="8" t="str">
        <f>IFERROR(W375/W444, "NA")</f>
        <v>NA</v>
      </c>
      <c r="Y375" s="9"/>
      <c r="Z375" s="7">
        <v>184.99</v>
      </c>
      <c r="AA375" s="8" t="str">
        <f>IFERROR(Z375/Z444, "NA")</f>
        <v>NA</v>
      </c>
      <c r="AB375" s="9"/>
      <c r="AC375" s="10">
        <f t="shared" si="95"/>
        <v>-3696.09</v>
      </c>
      <c r="AD375" s="8" t="str">
        <f>IFERROR(AC375/AC444, "NA")</f>
        <v>NA</v>
      </c>
    </row>
    <row r="376" spans="1:30" ht="16.5" customHeight="1" x14ac:dyDescent="0.45">
      <c r="A376" s="20" t="s">
        <v>344</v>
      </c>
      <c r="B376" s="7">
        <v>0</v>
      </c>
      <c r="C376" s="8" t="str">
        <f>IFERROR(B376/B444, "NA")</f>
        <v>NA</v>
      </c>
      <c r="D376" s="9"/>
      <c r="E376" s="7">
        <v>0</v>
      </c>
      <c r="F376" s="8" t="str">
        <f>IFERROR(E376/E444, "NA")</f>
        <v>NA</v>
      </c>
      <c r="G376" s="9"/>
      <c r="H376" s="10">
        <f t="shared" si="92"/>
        <v>0</v>
      </c>
      <c r="I376" s="8" t="str">
        <f>IFERROR(H376/H444, "NA")</f>
        <v>NA</v>
      </c>
      <c r="J376" s="9"/>
      <c r="K376" s="7">
        <v>0</v>
      </c>
      <c r="L376" s="8" t="str">
        <f>IFERROR(K376/K444, "NA")</f>
        <v>NA</v>
      </c>
      <c r="M376" s="9"/>
      <c r="N376" s="10">
        <f t="shared" si="93"/>
        <v>0</v>
      </c>
      <c r="O376" s="8" t="str">
        <f>IFERROR(N376/N444, "NA")</f>
        <v>NA</v>
      </c>
      <c r="P376" s="9"/>
      <c r="Q376" s="7">
        <v>-2413</v>
      </c>
      <c r="R376" s="8" t="str">
        <f>IFERROR(Q376/Q444, "NA")</f>
        <v>NA</v>
      </c>
      <c r="S376" s="9"/>
      <c r="T376" s="7">
        <v>0</v>
      </c>
      <c r="U376" s="8" t="str">
        <f>IFERROR(T376/T444, "NA")</f>
        <v>NA</v>
      </c>
      <c r="V376" s="9"/>
      <c r="W376" s="10">
        <f t="shared" si="94"/>
        <v>2413</v>
      </c>
      <c r="X376" s="8" t="str">
        <f>IFERROR(W376/W444, "NA")</f>
        <v>NA</v>
      </c>
      <c r="Y376" s="9"/>
      <c r="Z376" s="7">
        <v>0</v>
      </c>
      <c r="AA376" s="8" t="str">
        <f>IFERROR(Z376/Z444, "NA")</f>
        <v>NA</v>
      </c>
      <c r="AB376" s="9"/>
      <c r="AC376" s="10">
        <f t="shared" si="95"/>
        <v>2413</v>
      </c>
      <c r="AD376" s="8" t="str">
        <f>IFERROR(AC376/AC444, "NA")</f>
        <v>NA</v>
      </c>
    </row>
    <row r="377" spans="1:30" ht="16.5" hidden="1" customHeight="1" x14ac:dyDescent="0.45">
      <c r="A377" s="20" t="s">
        <v>345</v>
      </c>
      <c r="B377" s="7">
        <v>0</v>
      </c>
      <c r="C377" s="8" t="str">
        <f>IFERROR(B377/B444, "NA")</f>
        <v>NA</v>
      </c>
      <c r="D377" s="9"/>
      <c r="E377" s="7">
        <v>0</v>
      </c>
      <c r="F377" s="8" t="str">
        <f>IFERROR(E377/E444, "NA")</f>
        <v>NA</v>
      </c>
      <c r="G377" s="9"/>
      <c r="H377" s="10">
        <f t="shared" si="92"/>
        <v>0</v>
      </c>
      <c r="I377" s="8" t="str">
        <f>IFERROR(H377/H444, "NA")</f>
        <v>NA</v>
      </c>
      <c r="J377" s="9"/>
      <c r="K377" s="7">
        <v>0</v>
      </c>
      <c r="L377" s="8" t="str">
        <f>IFERROR(K377/K444, "NA")</f>
        <v>NA</v>
      </c>
      <c r="M377" s="9"/>
      <c r="N377" s="10">
        <f t="shared" si="93"/>
        <v>0</v>
      </c>
      <c r="O377" s="8" t="str">
        <f>IFERROR(N377/N444, "NA")</f>
        <v>NA</v>
      </c>
      <c r="P377" s="9"/>
      <c r="Q377" s="7">
        <v>0</v>
      </c>
      <c r="R377" s="8" t="str">
        <f>IFERROR(Q377/Q444, "NA")</f>
        <v>NA</v>
      </c>
      <c r="S377" s="9"/>
      <c r="T377" s="7">
        <v>0</v>
      </c>
      <c r="U377" s="8" t="str">
        <f>IFERROR(T377/T444, "NA")</f>
        <v>NA</v>
      </c>
      <c r="V377" s="9"/>
      <c r="W377" s="10">
        <f t="shared" si="94"/>
        <v>0</v>
      </c>
      <c r="X377" s="8" t="str">
        <f>IFERROR(W377/W444, "NA")</f>
        <v>NA</v>
      </c>
      <c r="Y377" s="9"/>
      <c r="Z377" s="7">
        <v>0</v>
      </c>
      <c r="AA377" s="8" t="str">
        <f>IFERROR(Z377/Z444, "NA")</f>
        <v>NA</v>
      </c>
      <c r="AB377" s="9"/>
      <c r="AC377" s="10">
        <f t="shared" si="95"/>
        <v>0</v>
      </c>
      <c r="AD377" s="8" t="str">
        <f>IFERROR(AC377/AC444, "NA")</f>
        <v>NA</v>
      </c>
    </row>
    <row r="378" spans="1:30" ht="16.5" customHeight="1" x14ac:dyDescent="0.45">
      <c r="A378" s="20" t="s">
        <v>346</v>
      </c>
      <c r="B378" s="7">
        <v>12589.94</v>
      </c>
      <c r="C378" s="8" t="str">
        <f>IFERROR(B378/B444, "NA")</f>
        <v>NA</v>
      </c>
      <c r="D378" s="9"/>
      <c r="E378" s="7">
        <v>8470.33</v>
      </c>
      <c r="F378" s="8" t="str">
        <f>IFERROR(E378/E444, "NA")</f>
        <v>NA</v>
      </c>
      <c r="G378" s="9"/>
      <c r="H378" s="10">
        <f t="shared" si="92"/>
        <v>-4119.6100000000006</v>
      </c>
      <c r="I378" s="8" t="str">
        <f>IFERROR(H378/H444, "NA")</f>
        <v>NA</v>
      </c>
      <c r="J378" s="9"/>
      <c r="K378" s="7">
        <v>5177.54</v>
      </c>
      <c r="L378" s="8" t="str">
        <f>IFERROR(K378/K444, "NA")</f>
        <v>NA</v>
      </c>
      <c r="M378" s="9"/>
      <c r="N378" s="10">
        <f t="shared" si="93"/>
        <v>-7412.4000000000005</v>
      </c>
      <c r="O378" s="8" t="str">
        <f>IFERROR(N378/N444, "NA")</f>
        <v>NA</v>
      </c>
      <c r="P378" s="9"/>
      <c r="Q378" s="7">
        <v>56219.96</v>
      </c>
      <c r="R378" s="8" t="str">
        <f>IFERROR(Q378/Q444, "NA")</f>
        <v>NA</v>
      </c>
      <c r="S378" s="9"/>
      <c r="T378" s="7">
        <v>50821.98</v>
      </c>
      <c r="U378" s="8" t="str">
        <f>IFERROR(T378/T444, "NA")</f>
        <v>NA</v>
      </c>
      <c r="V378" s="9"/>
      <c r="W378" s="10">
        <f t="shared" si="94"/>
        <v>-5397.9799999999959</v>
      </c>
      <c r="X378" s="8" t="str">
        <f>IFERROR(W378/W444, "NA")</f>
        <v>NA</v>
      </c>
      <c r="Y378" s="9"/>
      <c r="Z378" s="7">
        <v>34418.18</v>
      </c>
      <c r="AA378" s="8" t="str">
        <f>IFERROR(Z378/Z444, "NA")</f>
        <v>NA</v>
      </c>
      <c r="AB378" s="9"/>
      <c r="AC378" s="10">
        <f t="shared" si="95"/>
        <v>-21801.78</v>
      </c>
      <c r="AD378" s="8" t="str">
        <f>IFERROR(AC378/AC444, "NA")</f>
        <v>NA</v>
      </c>
    </row>
    <row r="379" spans="1:30" ht="16.5" customHeight="1" x14ac:dyDescent="0.45">
      <c r="A379" s="20" t="s">
        <v>347</v>
      </c>
      <c r="B379" s="7">
        <v>1183.08</v>
      </c>
      <c r="C379" s="8" t="str">
        <f>IFERROR(B379/B444, "NA")</f>
        <v>NA</v>
      </c>
      <c r="D379" s="9"/>
      <c r="E379" s="7">
        <v>200</v>
      </c>
      <c r="F379" s="8" t="str">
        <f>IFERROR(E379/E444, "NA")</f>
        <v>NA</v>
      </c>
      <c r="G379" s="9"/>
      <c r="H379" s="10">
        <f t="shared" si="92"/>
        <v>-983.07999999999993</v>
      </c>
      <c r="I379" s="8" t="str">
        <f>IFERROR(H379/H444, "NA")</f>
        <v>NA</v>
      </c>
      <c r="J379" s="9"/>
      <c r="K379" s="7">
        <v>591.15</v>
      </c>
      <c r="L379" s="8" t="str">
        <f>IFERROR(K379/K444, "NA")</f>
        <v>NA</v>
      </c>
      <c r="M379" s="9"/>
      <c r="N379" s="10">
        <f t="shared" si="93"/>
        <v>-591.92999999999995</v>
      </c>
      <c r="O379" s="8" t="str">
        <f>IFERROR(N379/N444, "NA")</f>
        <v>NA</v>
      </c>
      <c r="P379" s="9"/>
      <c r="Q379" s="7">
        <v>6211.91</v>
      </c>
      <c r="R379" s="8" t="str">
        <f>IFERROR(Q379/Q444, "NA")</f>
        <v>NA</v>
      </c>
      <c r="S379" s="9"/>
      <c r="T379" s="7">
        <v>1200</v>
      </c>
      <c r="U379" s="8" t="str">
        <f>IFERROR(T379/T444, "NA")</f>
        <v>NA</v>
      </c>
      <c r="V379" s="9"/>
      <c r="W379" s="10">
        <f t="shared" si="94"/>
        <v>-5011.91</v>
      </c>
      <c r="X379" s="8" t="str">
        <f>IFERROR(W379/W444, "NA")</f>
        <v>NA</v>
      </c>
      <c r="Y379" s="9"/>
      <c r="Z379" s="7">
        <v>2106.1799999999998</v>
      </c>
      <c r="AA379" s="8" t="str">
        <f>IFERROR(Z379/Z444, "NA")</f>
        <v>NA</v>
      </c>
      <c r="AB379" s="9"/>
      <c r="AC379" s="10">
        <f t="shared" si="95"/>
        <v>-4105.7299999999996</v>
      </c>
      <c r="AD379" s="8" t="str">
        <f>IFERROR(AC379/AC444, "NA")</f>
        <v>NA</v>
      </c>
    </row>
    <row r="380" spans="1:30" ht="16.5" customHeight="1" x14ac:dyDescent="0.45">
      <c r="A380" s="20" t="s">
        <v>348</v>
      </c>
      <c r="B380" s="7">
        <v>12190</v>
      </c>
      <c r="C380" s="8" t="str">
        <f>IFERROR(B380/B444, "NA")</f>
        <v>NA</v>
      </c>
      <c r="D380" s="9"/>
      <c r="E380" s="7">
        <v>11500</v>
      </c>
      <c r="F380" s="8" t="str">
        <f>IFERROR(E380/E444, "NA")</f>
        <v>NA</v>
      </c>
      <c r="G380" s="9"/>
      <c r="H380" s="10">
        <f t="shared" si="92"/>
        <v>-690</v>
      </c>
      <c r="I380" s="8" t="str">
        <f>IFERROR(H380/H444, "NA")</f>
        <v>NA</v>
      </c>
      <c r="J380" s="9"/>
      <c r="K380" s="7">
        <v>11500</v>
      </c>
      <c r="L380" s="8" t="str">
        <f>IFERROR(K380/K444, "NA")</f>
        <v>NA</v>
      </c>
      <c r="M380" s="9"/>
      <c r="N380" s="10">
        <f t="shared" si="93"/>
        <v>-690</v>
      </c>
      <c r="O380" s="8" t="str">
        <f>IFERROR(N380/N444, "NA")</f>
        <v>NA</v>
      </c>
      <c r="P380" s="9"/>
      <c r="Q380" s="7">
        <v>69690</v>
      </c>
      <c r="R380" s="8" t="str">
        <f>IFERROR(Q380/Q444, "NA")</f>
        <v>NA</v>
      </c>
      <c r="S380" s="9"/>
      <c r="T380" s="7">
        <v>69000</v>
      </c>
      <c r="U380" s="8" t="str">
        <f>IFERROR(T380/T444, "NA")</f>
        <v>NA</v>
      </c>
      <c r="V380" s="9"/>
      <c r="W380" s="10">
        <f t="shared" si="94"/>
        <v>-690</v>
      </c>
      <c r="X380" s="8" t="str">
        <f>IFERROR(W380/W444, "NA")</f>
        <v>NA</v>
      </c>
      <c r="Y380" s="9"/>
      <c r="Z380" s="7">
        <v>69000</v>
      </c>
      <c r="AA380" s="8" t="str">
        <f>IFERROR(Z380/Z444, "NA")</f>
        <v>NA</v>
      </c>
      <c r="AB380" s="9"/>
      <c r="AC380" s="10">
        <f t="shared" si="95"/>
        <v>-690</v>
      </c>
      <c r="AD380" s="8" t="str">
        <f>IFERROR(AC380/AC444, "NA")</f>
        <v>NA</v>
      </c>
    </row>
    <row r="381" spans="1:30" ht="16.5" customHeight="1" x14ac:dyDescent="0.45">
      <c r="A381" s="20" t="s">
        <v>349</v>
      </c>
      <c r="B381" s="7">
        <v>5950</v>
      </c>
      <c r="C381" s="8" t="str">
        <f>IFERROR(B381/B444, "NA")</f>
        <v>NA</v>
      </c>
      <c r="D381" s="9"/>
      <c r="E381" s="7">
        <v>4000</v>
      </c>
      <c r="F381" s="8" t="str">
        <f>IFERROR(E381/E444, "NA")</f>
        <v>NA</v>
      </c>
      <c r="G381" s="9"/>
      <c r="H381" s="10">
        <f t="shared" si="92"/>
        <v>-1950</v>
      </c>
      <c r="I381" s="8" t="str">
        <f>IFERROR(H381/H444, "NA")</f>
        <v>NA</v>
      </c>
      <c r="J381" s="9"/>
      <c r="K381" s="7">
        <v>39966.949999999997</v>
      </c>
      <c r="L381" s="8" t="str">
        <f>IFERROR(K381/K444, "NA")</f>
        <v>NA</v>
      </c>
      <c r="M381" s="9"/>
      <c r="N381" s="10">
        <f t="shared" si="93"/>
        <v>34016.949999999997</v>
      </c>
      <c r="O381" s="8" t="str">
        <f>IFERROR(N381/N444, "NA")</f>
        <v>NA</v>
      </c>
      <c r="P381" s="9"/>
      <c r="Q381" s="7">
        <v>36441.51</v>
      </c>
      <c r="R381" s="8" t="str">
        <f>IFERROR(Q381/Q444, "NA")</f>
        <v>NA</v>
      </c>
      <c r="S381" s="9"/>
      <c r="T381" s="7">
        <v>24000</v>
      </c>
      <c r="U381" s="8" t="str">
        <f>IFERROR(T381/T444, "NA")</f>
        <v>NA</v>
      </c>
      <c r="V381" s="9"/>
      <c r="W381" s="10">
        <f t="shared" si="94"/>
        <v>-12441.510000000002</v>
      </c>
      <c r="X381" s="8" t="str">
        <f>IFERROR(W381/W444, "NA")</f>
        <v>NA</v>
      </c>
      <c r="Y381" s="9"/>
      <c r="Z381" s="7">
        <v>79996.47</v>
      </c>
      <c r="AA381" s="8" t="str">
        <f>IFERROR(Z381/Z444, "NA")</f>
        <v>NA</v>
      </c>
      <c r="AB381" s="9"/>
      <c r="AC381" s="10">
        <f t="shared" si="95"/>
        <v>43554.96</v>
      </c>
      <c r="AD381" s="8" t="str">
        <f>IFERROR(AC381/AC444, "NA")</f>
        <v>NA</v>
      </c>
    </row>
    <row r="382" spans="1:30" ht="16.5" customHeight="1" x14ac:dyDescent="0.45">
      <c r="A382" s="20" t="s">
        <v>350</v>
      </c>
      <c r="B382" s="7">
        <v>982.62</v>
      </c>
      <c r="C382" s="8" t="str">
        <f>IFERROR(B382/B444, "NA")</f>
        <v>NA</v>
      </c>
      <c r="D382" s="9"/>
      <c r="E382" s="7">
        <v>795</v>
      </c>
      <c r="F382" s="8" t="str">
        <f>IFERROR(E382/E444, "NA")</f>
        <v>NA</v>
      </c>
      <c r="G382" s="9"/>
      <c r="H382" s="10">
        <f t="shared" si="92"/>
        <v>-187.62</v>
      </c>
      <c r="I382" s="8" t="str">
        <f>IFERROR(H382/H444, "NA")</f>
        <v>NA</v>
      </c>
      <c r="J382" s="9"/>
      <c r="K382" s="7">
        <v>168.54</v>
      </c>
      <c r="L382" s="8" t="str">
        <f>IFERROR(K382/K444, "NA")</f>
        <v>NA</v>
      </c>
      <c r="M382" s="9"/>
      <c r="N382" s="10">
        <f t="shared" si="93"/>
        <v>-814.08</v>
      </c>
      <c r="O382" s="8" t="str">
        <f>IFERROR(N382/N444, "NA")</f>
        <v>NA</v>
      </c>
      <c r="P382" s="9"/>
      <c r="Q382" s="7">
        <v>3774.38</v>
      </c>
      <c r="R382" s="8" t="str">
        <f>IFERROR(Q382/Q444, "NA")</f>
        <v>NA</v>
      </c>
      <c r="S382" s="9"/>
      <c r="T382" s="7">
        <v>4770</v>
      </c>
      <c r="U382" s="8" t="str">
        <f>IFERROR(T382/T444, "NA")</f>
        <v>NA</v>
      </c>
      <c r="V382" s="9"/>
      <c r="W382" s="10">
        <f t="shared" si="94"/>
        <v>995.61999999999989</v>
      </c>
      <c r="X382" s="8" t="str">
        <f>IFERROR(W382/W444, "NA")</f>
        <v>NA</v>
      </c>
      <c r="Y382" s="9"/>
      <c r="Z382" s="7">
        <v>1648.23</v>
      </c>
      <c r="AA382" s="8" t="str">
        <f>IFERROR(Z382/Z444, "NA")</f>
        <v>NA</v>
      </c>
      <c r="AB382" s="9"/>
      <c r="AC382" s="10">
        <f t="shared" si="95"/>
        <v>-2126.15</v>
      </c>
      <c r="AD382" s="8" t="str">
        <f>IFERROR(AC382/AC444, "NA")</f>
        <v>NA</v>
      </c>
    </row>
    <row r="383" spans="1:30" ht="16.5" hidden="1" customHeight="1" x14ac:dyDescent="0.45">
      <c r="A383" s="20" t="s">
        <v>351</v>
      </c>
      <c r="B383" s="7">
        <v>0</v>
      </c>
      <c r="C383" s="8" t="str">
        <f>IFERROR(B383/B444, "NA")</f>
        <v>NA</v>
      </c>
      <c r="D383" s="9"/>
      <c r="E383" s="7">
        <v>0</v>
      </c>
      <c r="F383" s="8" t="str">
        <f>IFERROR(E383/E444, "NA")</f>
        <v>NA</v>
      </c>
      <c r="G383" s="9"/>
      <c r="H383" s="10">
        <f t="shared" si="92"/>
        <v>0</v>
      </c>
      <c r="I383" s="8" t="str">
        <f>IFERROR(H383/H444, "NA")</f>
        <v>NA</v>
      </c>
      <c r="J383" s="9"/>
      <c r="K383" s="7">
        <v>0</v>
      </c>
      <c r="L383" s="8" t="str">
        <f>IFERROR(K383/K444, "NA")</f>
        <v>NA</v>
      </c>
      <c r="M383" s="9"/>
      <c r="N383" s="10">
        <f t="shared" si="93"/>
        <v>0</v>
      </c>
      <c r="O383" s="8" t="str">
        <f>IFERROR(N383/N444, "NA")</f>
        <v>NA</v>
      </c>
      <c r="P383" s="9"/>
      <c r="Q383" s="7">
        <v>0</v>
      </c>
      <c r="R383" s="8" t="str">
        <f>IFERROR(Q383/Q444, "NA")</f>
        <v>NA</v>
      </c>
      <c r="S383" s="9"/>
      <c r="T383" s="7">
        <v>0</v>
      </c>
      <c r="U383" s="8" t="str">
        <f>IFERROR(T383/T444, "NA")</f>
        <v>NA</v>
      </c>
      <c r="V383" s="9"/>
      <c r="W383" s="10">
        <f t="shared" si="94"/>
        <v>0</v>
      </c>
      <c r="X383" s="8" t="str">
        <f>IFERROR(W383/W444, "NA")</f>
        <v>NA</v>
      </c>
      <c r="Y383" s="9"/>
      <c r="Z383" s="7">
        <v>0</v>
      </c>
      <c r="AA383" s="8" t="str">
        <f>IFERROR(Z383/Z444, "NA")</f>
        <v>NA</v>
      </c>
      <c r="AB383" s="9"/>
      <c r="AC383" s="10">
        <f t="shared" si="95"/>
        <v>0</v>
      </c>
      <c r="AD383" s="8" t="str">
        <f>IFERROR(AC383/AC444, "NA")</f>
        <v>NA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customHeight="1" x14ac:dyDescent="0.45">
      <c r="A385" s="6" t="s">
        <v>352</v>
      </c>
      <c r="B385" s="7">
        <v>2542.7800000000002</v>
      </c>
      <c r="C385" s="8" t="str">
        <f>IFERROR(B385/B444, "NA")</f>
        <v>NA</v>
      </c>
      <c r="D385" s="9"/>
      <c r="E385" s="7">
        <v>1608.98</v>
      </c>
      <c r="F385" s="8" t="str">
        <f>IFERROR(E385/E444, "NA")</f>
        <v>NA</v>
      </c>
      <c r="G385" s="9"/>
      <c r="H385" s="10">
        <f>IFERROR(-(B385-E385), "NA")</f>
        <v>-933.80000000000018</v>
      </c>
      <c r="I385" s="8" t="str">
        <f>IFERROR(H385/H444, "NA")</f>
        <v>NA</v>
      </c>
      <c r="J385" s="9"/>
      <c r="K385" s="7">
        <v>1857.45</v>
      </c>
      <c r="L385" s="8" t="str">
        <f>IFERROR(K385/K444, "NA")</f>
        <v>NA</v>
      </c>
      <c r="M385" s="9"/>
      <c r="N385" s="10">
        <f>IFERROR(-(B385-K385), "NA")</f>
        <v>-685.33000000000015</v>
      </c>
      <c r="O385" s="8" t="str">
        <f>IFERROR(N385/N444, "NA")</f>
        <v>NA</v>
      </c>
      <c r="P385" s="9"/>
      <c r="Q385" s="7">
        <v>20129.330000000002</v>
      </c>
      <c r="R385" s="8" t="str">
        <f>IFERROR(Q385/Q444, "NA")</f>
        <v>NA</v>
      </c>
      <c r="S385" s="9"/>
      <c r="T385" s="7">
        <v>15084.62</v>
      </c>
      <c r="U385" s="8" t="str">
        <f>IFERROR(T385/T444, "NA")</f>
        <v>NA</v>
      </c>
      <c r="V385" s="9"/>
      <c r="W385" s="10">
        <f>IFERROR(-(Q385-T385), "NA")</f>
        <v>-5044.7100000000009</v>
      </c>
      <c r="X385" s="8" t="str">
        <f>IFERROR(W385/W444, "NA")</f>
        <v>NA</v>
      </c>
      <c r="Y385" s="9"/>
      <c r="Z385" s="7">
        <v>12971.68</v>
      </c>
      <c r="AA385" s="8" t="str">
        <f>IFERROR(Z385/Z444, "NA")</f>
        <v>NA</v>
      </c>
      <c r="AB385" s="9"/>
      <c r="AC385" s="10">
        <f>IFERROR(-(Q385-Z385), "NA")</f>
        <v>-7157.6500000000015</v>
      </c>
      <c r="AD385" s="8" t="str">
        <f>IFERROR(AC385/AC444, "NA")</f>
        <v>NA</v>
      </c>
    </row>
    <row r="386" spans="1:30" ht="16.5" customHeight="1" x14ac:dyDescent="0.45">
      <c r="A386" s="6" t="s">
        <v>353</v>
      </c>
      <c r="B386" s="7">
        <v>0</v>
      </c>
      <c r="C386" s="8" t="str">
        <f>IFERROR(B386/B444, "NA")</f>
        <v>NA</v>
      </c>
      <c r="D386" s="9"/>
      <c r="E386" s="7">
        <v>0</v>
      </c>
      <c r="F386" s="8" t="str">
        <f>IFERROR(E386/E444, "NA")</f>
        <v>NA</v>
      </c>
      <c r="G386" s="9"/>
      <c r="H386" s="10">
        <f>IFERROR(-(B386-E386), "NA")</f>
        <v>0</v>
      </c>
      <c r="I386" s="8" t="str">
        <f>IFERROR(H386/H444, "NA")</f>
        <v>NA</v>
      </c>
      <c r="J386" s="9"/>
      <c r="K386" s="7">
        <v>0</v>
      </c>
      <c r="L386" s="8" t="str">
        <f>IFERROR(K386/K444, "NA")</f>
        <v>NA</v>
      </c>
      <c r="M386" s="9"/>
      <c r="N386" s="10">
        <f>IFERROR(-(B386-K386), "NA")</f>
        <v>0</v>
      </c>
      <c r="O386" s="8" t="str">
        <f>IFERROR(N386/N444, "NA")</f>
        <v>NA</v>
      </c>
      <c r="P386" s="9"/>
      <c r="Q386" s="7">
        <v>51.47</v>
      </c>
      <c r="R386" s="8" t="str">
        <f>IFERROR(Q386/Q444, "NA")</f>
        <v>NA</v>
      </c>
      <c r="S386" s="9"/>
      <c r="T386" s="7">
        <v>0</v>
      </c>
      <c r="U386" s="8" t="str">
        <f>IFERROR(T386/T444, "NA")</f>
        <v>NA</v>
      </c>
      <c r="V386" s="9"/>
      <c r="W386" s="10">
        <f>IFERROR(-(Q386-T386), "NA")</f>
        <v>-51.47</v>
      </c>
      <c r="X386" s="8" t="str">
        <f>IFERROR(W386/W444, "NA")</f>
        <v>NA</v>
      </c>
      <c r="Y386" s="9"/>
      <c r="Z386" s="7">
        <v>4371.13</v>
      </c>
      <c r="AA386" s="8" t="str">
        <f>IFERROR(Z386/Z444, "NA")</f>
        <v>NA</v>
      </c>
      <c r="AB386" s="9"/>
      <c r="AC386" s="10">
        <f>IFERROR(-(Q386-Z386), "NA")</f>
        <v>4319.66</v>
      </c>
      <c r="AD386" s="8" t="str">
        <f>IFERROR(AC386/AC444, "NA")</f>
        <v>NA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 t="str">
        <f>IFERROR(B388/B444, "NA")</f>
        <v>NA</v>
      </c>
      <c r="D388" s="9"/>
      <c r="E388" s="7">
        <v>0</v>
      </c>
      <c r="F388" s="8" t="str">
        <f>IFERROR(E388/E444, "NA")</f>
        <v>NA</v>
      </c>
      <c r="G388" s="9"/>
      <c r="H388" s="10">
        <f t="shared" ref="H388:H403" si="96">IFERROR(-(B388-E388), "NA")</f>
        <v>0</v>
      </c>
      <c r="I388" s="8" t="str">
        <f>IFERROR(H388/H444, "NA")</f>
        <v>NA</v>
      </c>
      <c r="J388" s="9"/>
      <c r="K388" s="7">
        <v>0</v>
      </c>
      <c r="L388" s="8" t="str">
        <f>IFERROR(K388/K444, "NA")</f>
        <v>NA</v>
      </c>
      <c r="M388" s="9"/>
      <c r="N388" s="10">
        <f t="shared" ref="N388:N403" si="97">IFERROR(-(B388-K388), "NA")</f>
        <v>0</v>
      </c>
      <c r="O388" s="8" t="str">
        <f>IFERROR(N388/N444, "NA")</f>
        <v>NA</v>
      </c>
      <c r="P388" s="9"/>
      <c r="Q388" s="7">
        <v>0</v>
      </c>
      <c r="R388" s="8" t="str">
        <f>IFERROR(Q388/Q444, "NA")</f>
        <v>NA</v>
      </c>
      <c r="S388" s="9"/>
      <c r="T388" s="7">
        <v>0</v>
      </c>
      <c r="U388" s="8" t="str">
        <f>IFERROR(T388/T444, "NA")</f>
        <v>NA</v>
      </c>
      <c r="V388" s="9"/>
      <c r="W388" s="10">
        <f t="shared" ref="W388:W403" si="98">IFERROR(-(Q388-T388), "NA")</f>
        <v>0</v>
      </c>
      <c r="X388" s="8" t="str">
        <f>IFERROR(W388/W444, "NA")</f>
        <v>NA</v>
      </c>
      <c r="Y388" s="9"/>
      <c r="Z388" s="7">
        <v>0</v>
      </c>
      <c r="AA388" s="8" t="str">
        <f>IFERROR(Z388/Z444, "NA")</f>
        <v>NA</v>
      </c>
      <c r="AB388" s="9"/>
      <c r="AC388" s="10">
        <f t="shared" ref="AC388:AC403" si="99">IFERROR(-(Q388-Z388), "NA")</f>
        <v>0</v>
      </c>
      <c r="AD388" s="8" t="str">
        <f>IFERROR(AC388/AC444, "NA")</f>
        <v>NA</v>
      </c>
    </row>
    <row r="389" spans="1:30" ht="16.5" customHeight="1" x14ac:dyDescent="0.45">
      <c r="A389" s="12" t="s">
        <v>355</v>
      </c>
      <c r="B389" s="7">
        <v>7237.59</v>
      </c>
      <c r="C389" s="8" t="str">
        <f>IFERROR(B389/B444, "NA")</f>
        <v>NA</v>
      </c>
      <c r="D389" s="9"/>
      <c r="E389" s="7">
        <v>3602.18</v>
      </c>
      <c r="F389" s="8" t="str">
        <f>IFERROR(E389/E444, "NA")</f>
        <v>NA</v>
      </c>
      <c r="G389" s="9"/>
      <c r="H389" s="10">
        <f t="shared" si="96"/>
        <v>-3635.4100000000003</v>
      </c>
      <c r="I389" s="8" t="str">
        <f>IFERROR(H389/H444, "NA")</f>
        <v>NA</v>
      </c>
      <c r="J389" s="9"/>
      <c r="K389" s="7">
        <v>1768.49</v>
      </c>
      <c r="L389" s="8" t="str">
        <f>IFERROR(K389/K444, "NA")</f>
        <v>NA</v>
      </c>
      <c r="M389" s="9"/>
      <c r="N389" s="10">
        <f t="shared" si="97"/>
        <v>-5469.1</v>
      </c>
      <c r="O389" s="8" t="str">
        <f>IFERROR(N389/N444, "NA")</f>
        <v>NA</v>
      </c>
      <c r="P389" s="9"/>
      <c r="Q389" s="7">
        <v>28318.959999999999</v>
      </c>
      <c r="R389" s="8" t="str">
        <f>IFERROR(Q389/Q444, "NA")</f>
        <v>NA</v>
      </c>
      <c r="S389" s="9"/>
      <c r="T389" s="7">
        <v>16645.12</v>
      </c>
      <c r="U389" s="8" t="str">
        <f>IFERROR(T389/T444, "NA")</f>
        <v>NA</v>
      </c>
      <c r="V389" s="9"/>
      <c r="W389" s="10">
        <f t="shared" si="98"/>
        <v>-11673.84</v>
      </c>
      <c r="X389" s="8" t="str">
        <f>IFERROR(W389/W444, "NA")</f>
        <v>NA</v>
      </c>
      <c r="Y389" s="9"/>
      <c r="Z389" s="7">
        <v>7900.97</v>
      </c>
      <c r="AA389" s="8" t="str">
        <f>IFERROR(Z389/Z444, "NA")</f>
        <v>NA</v>
      </c>
      <c r="AB389" s="9"/>
      <c r="AC389" s="10">
        <f t="shared" si="99"/>
        <v>-20417.989999999998</v>
      </c>
      <c r="AD389" s="8" t="str">
        <f>IFERROR(AC389/AC444, "NA")</f>
        <v>NA</v>
      </c>
    </row>
    <row r="390" spans="1:30" ht="16.5" customHeight="1" x14ac:dyDescent="0.45">
      <c r="A390" s="12" t="s">
        <v>356</v>
      </c>
      <c r="B390" s="7">
        <v>918.4</v>
      </c>
      <c r="C390" s="8" t="str">
        <f>IFERROR(B390/B444, "NA")</f>
        <v>NA</v>
      </c>
      <c r="D390" s="9"/>
      <c r="E390" s="7">
        <v>17503.43</v>
      </c>
      <c r="F390" s="8" t="str">
        <f>IFERROR(E390/E444, "NA")</f>
        <v>NA</v>
      </c>
      <c r="G390" s="9"/>
      <c r="H390" s="10">
        <f t="shared" si="96"/>
        <v>16585.03</v>
      </c>
      <c r="I390" s="8" t="str">
        <f>IFERROR(H390/H444, "NA")</f>
        <v>NA</v>
      </c>
      <c r="J390" s="9"/>
      <c r="K390" s="7">
        <v>19751.14</v>
      </c>
      <c r="L390" s="8" t="str">
        <f>IFERROR(K390/K444, "NA")</f>
        <v>NA</v>
      </c>
      <c r="M390" s="9"/>
      <c r="N390" s="10">
        <f t="shared" si="97"/>
        <v>18832.739999999998</v>
      </c>
      <c r="O390" s="8" t="str">
        <f>IFERROR(N390/N444, "NA")</f>
        <v>NA</v>
      </c>
      <c r="P390" s="9"/>
      <c r="Q390" s="7">
        <v>55756.46</v>
      </c>
      <c r="R390" s="8" t="str">
        <f>IFERROR(Q390/Q444, "NA")</f>
        <v>NA</v>
      </c>
      <c r="S390" s="9"/>
      <c r="T390" s="7">
        <v>80880.570000000007</v>
      </c>
      <c r="U390" s="8" t="str">
        <f>IFERROR(T390/T444, "NA")</f>
        <v>NA</v>
      </c>
      <c r="V390" s="9"/>
      <c r="W390" s="10">
        <f t="shared" si="98"/>
        <v>25124.110000000008</v>
      </c>
      <c r="X390" s="8" t="str">
        <f>IFERROR(W390/W444, "NA")</f>
        <v>NA</v>
      </c>
      <c r="Y390" s="9"/>
      <c r="Z390" s="7">
        <v>86121.41</v>
      </c>
      <c r="AA390" s="8" t="str">
        <f>IFERROR(Z390/Z444, "NA")</f>
        <v>NA</v>
      </c>
      <c r="AB390" s="9"/>
      <c r="AC390" s="10">
        <f t="shared" si="99"/>
        <v>30364.950000000004</v>
      </c>
      <c r="AD390" s="8" t="str">
        <f>IFERROR(AC390/AC444, "NA")</f>
        <v>NA</v>
      </c>
    </row>
    <row r="391" spans="1:30" ht="16.5" hidden="1" customHeight="1" x14ac:dyDescent="0.45">
      <c r="A391" s="12" t="s">
        <v>357</v>
      </c>
      <c r="B391" s="7">
        <v>0</v>
      </c>
      <c r="C391" s="8" t="str">
        <f>IFERROR(B391/B444, "NA")</f>
        <v>NA</v>
      </c>
      <c r="D391" s="9"/>
      <c r="E391" s="7">
        <v>0</v>
      </c>
      <c r="F391" s="8" t="str">
        <f>IFERROR(E391/E444, "NA")</f>
        <v>NA</v>
      </c>
      <c r="G391" s="9"/>
      <c r="H391" s="10">
        <f t="shared" si="96"/>
        <v>0</v>
      </c>
      <c r="I391" s="8" t="str">
        <f>IFERROR(H391/H444, "NA")</f>
        <v>NA</v>
      </c>
      <c r="J391" s="9"/>
      <c r="K391" s="7">
        <v>0</v>
      </c>
      <c r="L391" s="8" t="str">
        <f>IFERROR(K391/K444, "NA")</f>
        <v>NA</v>
      </c>
      <c r="M391" s="9"/>
      <c r="N391" s="10">
        <f t="shared" si="97"/>
        <v>0</v>
      </c>
      <c r="O391" s="8" t="str">
        <f>IFERROR(N391/N444, "NA")</f>
        <v>NA</v>
      </c>
      <c r="P391" s="9"/>
      <c r="Q391" s="7">
        <v>0</v>
      </c>
      <c r="R391" s="8" t="str">
        <f>IFERROR(Q391/Q444, "NA")</f>
        <v>NA</v>
      </c>
      <c r="S391" s="9"/>
      <c r="T391" s="7">
        <v>0</v>
      </c>
      <c r="U391" s="8" t="str">
        <f>IFERROR(T391/T444, "NA")</f>
        <v>NA</v>
      </c>
      <c r="V391" s="9"/>
      <c r="W391" s="10">
        <f t="shared" si="98"/>
        <v>0</v>
      </c>
      <c r="X391" s="8" t="str">
        <f>IFERROR(W391/W444, "NA")</f>
        <v>NA</v>
      </c>
      <c r="Y391" s="9"/>
      <c r="Z391" s="7">
        <v>0</v>
      </c>
      <c r="AA391" s="8" t="str">
        <f>IFERROR(Z391/Z444, "NA")</f>
        <v>NA</v>
      </c>
      <c r="AB391" s="9"/>
      <c r="AC391" s="10">
        <f t="shared" si="99"/>
        <v>0</v>
      </c>
      <c r="AD391" s="8" t="str">
        <f>IFERROR(AC391/AC444, "NA")</f>
        <v>NA</v>
      </c>
    </row>
    <row r="392" spans="1:30" ht="16.5" customHeight="1" x14ac:dyDescent="0.45">
      <c r="A392" s="12" t="s">
        <v>358</v>
      </c>
      <c r="B392" s="7">
        <v>4932.67</v>
      </c>
      <c r="C392" s="8" t="str">
        <f>IFERROR(B392/B444, "NA")</f>
        <v>NA</v>
      </c>
      <c r="D392" s="9"/>
      <c r="E392" s="7">
        <v>2688.95</v>
      </c>
      <c r="F392" s="8" t="str">
        <f>IFERROR(E392/E444, "NA")</f>
        <v>NA</v>
      </c>
      <c r="G392" s="9"/>
      <c r="H392" s="10">
        <f t="shared" si="96"/>
        <v>-2243.7200000000003</v>
      </c>
      <c r="I392" s="8" t="str">
        <f>IFERROR(H392/H444, "NA")</f>
        <v>NA</v>
      </c>
      <c r="J392" s="9"/>
      <c r="K392" s="7">
        <v>4675.8</v>
      </c>
      <c r="L392" s="8" t="str">
        <f>IFERROR(K392/K444, "NA")</f>
        <v>NA</v>
      </c>
      <c r="M392" s="9"/>
      <c r="N392" s="10">
        <f t="shared" si="97"/>
        <v>-256.86999999999989</v>
      </c>
      <c r="O392" s="8" t="str">
        <f>IFERROR(N392/N444, "NA")</f>
        <v>NA</v>
      </c>
      <c r="P392" s="9"/>
      <c r="Q392" s="7">
        <v>29147.79</v>
      </c>
      <c r="R392" s="8" t="str">
        <f>IFERROR(Q392/Q444, "NA")</f>
        <v>NA</v>
      </c>
      <c r="S392" s="9"/>
      <c r="T392" s="7">
        <v>12425.19</v>
      </c>
      <c r="U392" s="8" t="str">
        <f>IFERROR(T392/T444, "NA")</f>
        <v>NA</v>
      </c>
      <c r="V392" s="9"/>
      <c r="W392" s="10">
        <f t="shared" si="98"/>
        <v>-16722.599999999999</v>
      </c>
      <c r="X392" s="8" t="str">
        <f>IFERROR(W392/W444, "NA")</f>
        <v>NA</v>
      </c>
      <c r="Y392" s="9"/>
      <c r="Z392" s="7">
        <v>18705.23</v>
      </c>
      <c r="AA392" s="8" t="str">
        <f>IFERROR(Z392/Z444, "NA")</f>
        <v>NA</v>
      </c>
      <c r="AB392" s="9"/>
      <c r="AC392" s="10">
        <f t="shared" si="99"/>
        <v>-10442.560000000001</v>
      </c>
      <c r="AD392" s="8" t="str">
        <f>IFERROR(AC392/AC444, "NA")</f>
        <v>NA</v>
      </c>
    </row>
    <row r="393" spans="1:30" ht="16.5" customHeight="1" x14ac:dyDescent="0.45">
      <c r="A393" s="13" t="s">
        <v>359</v>
      </c>
      <c r="B393" s="14">
        <f>IFERROR(B388+B389+B390+B391+B392, "NA")</f>
        <v>13088.66</v>
      </c>
      <c r="C393" s="15" t="str">
        <f>IFERROR(B393/B444, "NA")</f>
        <v>NA</v>
      </c>
      <c r="D393" s="2"/>
      <c r="E393" s="14">
        <f>IFERROR(E388+E389+E390+E391+E392, "NA")</f>
        <v>23794.560000000001</v>
      </c>
      <c r="F393" s="15" t="str">
        <f>IFERROR(E393/E444, "NA")</f>
        <v>NA</v>
      </c>
      <c r="G393" s="2"/>
      <c r="H393" s="14">
        <f t="shared" si="96"/>
        <v>10705.900000000001</v>
      </c>
      <c r="I393" s="15" t="str">
        <f>IFERROR(H393/H444, "NA")</f>
        <v>NA</v>
      </c>
      <c r="J393" s="2"/>
      <c r="K393" s="14">
        <f>IFERROR(K388+K389+K390+K391+K392, "NA")</f>
        <v>26195.43</v>
      </c>
      <c r="L393" s="15" t="str">
        <f>IFERROR(K393/K444, "NA")</f>
        <v>NA</v>
      </c>
      <c r="M393" s="2"/>
      <c r="N393" s="14">
        <f t="shared" si="97"/>
        <v>13106.77</v>
      </c>
      <c r="O393" s="15" t="str">
        <f>IFERROR(N393/N444, "NA")</f>
        <v>NA</v>
      </c>
      <c r="P393" s="2"/>
      <c r="Q393" s="14">
        <f>IFERROR(Q388+Q389+Q390+Q391+Q392, "NA")</f>
        <v>113223.20999999999</v>
      </c>
      <c r="R393" s="15" t="str">
        <f>IFERROR(Q393/Q444, "NA")</f>
        <v>NA</v>
      </c>
      <c r="S393" s="2"/>
      <c r="T393" s="14">
        <f>IFERROR(T388+T389+T390+T391+T392, "NA")</f>
        <v>109950.88</v>
      </c>
      <c r="U393" s="15" t="str">
        <f>IFERROR(T393/T444, "NA")</f>
        <v>NA</v>
      </c>
      <c r="V393" s="2"/>
      <c r="W393" s="14">
        <f t="shared" si="98"/>
        <v>-3272.3299999999872</v>
      </c>
      <c r="X393" s="15" t="str">
        <f>IFERROR(W393/W444, "NA")</f>
        <v>NA</v>
      </c>
      <c r="Y393" s="2"/>
      <c r="Z393" s="14">
        <f>IFERROR(Z388+Z389+Z390+Z391+Z392, "NA")</f>
        <v>112727.61</v>
      </c>
      <c r="AA393" s="15" t="str">
        <f>IFERROR(Z393/Z444, "NA")</f>
        <v>NA</v>
      </c>
      <c r="AB393" s="2"/>
      <c r="AC393" s="14">
        <f t="shared" si="99"/>
        <v>-495.59999999999127</v>
      </c>
      <c r="AD393" s="15" t="str">
        <f>IFERROR(AC393/AC444, "NA")</f>
        <v>NA</v>
      </c>
    </row>
    <row r="394" spans="1:30" ht="16.5" customHeight="1" x14ac:dyDescent="0.45">
      <c r="A394" s="6" t="s">
        <v>360</v>
      </c>
      <c r="B394" s="7">
        <v>0</v>
      </c>
      <c r="C394" s="8" t="str">
        <f>IFERROR(B394/B444, "NA")</f>
        <v>NA</v>
      </c>
      <c r="D394" s="9"/>
      <c r="E394" s="7">
        <v>7240.39</v>
      </c>
      <c r="F394" s="8" t="str">
        <f>IFERROR(E394/E444, "NA")</f>
        <v>NA</v>
      </c>
      <c r="G394" s="9"/>
      <c r="H394" s="10">
        <f t="shared" si="96"/>
        <v>7240.39</v>
      </c>
      <c r="I394" s="8" t="str">
        <f>IFERROR(H394/H444, "NA")</f>
        <v>NA</v>
      </c>
      <c r="J394" s="9"/>
      <c r="K394" s="7">
        <v>7569.52</v>
      </c>
      <c r="L394" s="8" t="str">
        <f>IFERROR(K394/K444, "NA")</f>
        <v>NA</v>
      </c>
      <c r="M394" s="9"/>
      <c r="N394" s="10">
        <f t="shared" si="97"/>
        <v>7569.52</v>
      </c>
      <c r="O394" s="8" t="str">
        <f>IFERROR(N394/N444, "NA")</f>
        <v>NA</v>
      </c>
      <c r="P394" s="9"/>
      <c r="Q394" s="7">
        <v>6612.06</v>
      </c>
      <c r="R394" s="8" t="str">
        <f>IFERROR(Q394/Q444, "NA")</f>
        <v>NA</v>
      </c>
      <c r="S394" s="9"/>
      <c r="T394" s="7">
        <v>28558.53</v>
      </c>
      <c r="U394" s="8" t="str">
        <f>IFERROR(T394/T444, "NA")</f>
        <v>NA</v>
      </c>
      <c r="V394" s="9"/>
      <c r="W394" s="10">
        <f t="shared" si="98"/>
        <v>21946.469999999998</v>
      </c>
      <c r="X394" s="8" t="str">
        <f>IFERROR(W394/W444, "NA")</f>
        <v>NA</v>
      </c>
      <c r="Y394" s="9"/>
      <c r="Z394" s="7">
        <v>35035.22</v>
      </c>
      <c r="AA394" s="8" t="str">
        <f>IFERROR(Z394/Z444, "NA")</f>
        <v>NA</v>
      </c>
      <c r="AB394" s="9"/>
      <c r="AC394" s="10">
        <f t="shared" si="99"/>
        <v>28423.16</v>
      </c>
      <c r="AD394" s="8" t="str">
        <f>IFERROR(AC394/AC444, "NA")</f>
        <v>NA</v>
      </c>
    </row>
    <row r="395" spans="1:30" ht="16.5" hidden="1" customHeight="1" x14ac:dyDescent="0.45">
      <c r="A395" s="6" t="s">
        <v>361</v>
      </c>
      <c r="B395" s="7">
        <v>0</v>
      </c>
      <c r="C395" s="8" t="str">
        <f>IFERROR(B395/B444, "NA")</f>
        <v>NA</v>
      </c>
      <c r="D395" s="9"/>
      <c r="E395" s="7">
        <v>0</v>
      </c>
      <c r="F395" s="8" t="str">
        <f>IFERROR(E395/E444, "NA")</f>
        <v>NA</v>
      </c>
      <c r="G395" s="9"/>
      <c r="H395" s="10">
        <f t="shared" si="96"/>
        <v>0</v>
      </c>
      <c r="I395" s="8" t="str">
        <f>IFERROR(H395/H444, "NA")</f>
        <v>NA</v>
      </c>
      <c r="J395" s="9"/>
      <c r="K395" s="7">
        <v>0</v>
      </c>
      <c r="L395" s="8" t="str">
        <f>IFERROR(K395/K444, "NA")</f>
        <v>NA</v>
      </c>
      <c r="M395" s="9"/>
      <c r="N395" s="10">
        <f t="shared" si="97"/>
        <v>0</v>
      </c>
      <c r="O395" s="8" t="str">
        <f>IFERROR(N395/N444, "NA")</f>
        <v>NA</v>
      </c>
      <c r="P395" s="9"/>
      <c r="Q395" s="7">
        <v>0</v>
      </c>
      <c r="R395" s="8" t="str">
        <f>IFERROR(Q395/Q444, "NA")</f>
        <v>NA</v>
      </c>
      <c r="S395" s="9"/>
      <c r="T395" s="7">
        <v>0</v>
      </c>
      <c r="U395" s="8" t="str">
        <f>IFERROR(T395/T444, "NA")</f>
        <v>NA</v>
      </c>
      <c r="V395" s="9"/>
      <c r="W395" s="10">
        <f t="shared" si="98"/>
        <v>0</v>
      </c>
      <c r="X395" s="8" t="str">
        <f>IFERROR(W395/W444, "NA")</f>
        <v>NA</v>
      </c>
      <c r="Y395" s="9"/>
      <c r="Z395" s="7">
        <v>0</v>
      </c>
      <c r="AA395" s="8" t="str">
        <f>IFERROR(Z395/Z444, "NA")</f>
        <v>NA</v>
      </c>
      <c r="AB395" s="9"/>
      <c r="AC395" s="10">
        <f t="shared" si="99"/>
        <v>0</v>
      </c>
      <c r="AD395" s="8" t="str">
        <f>IFERROR(AC395/AC444, "NA")</f>
        <v>NA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15631.44</v>
      </c>
      <c r="C396" s="15" t="str">
        <f>IFERROR(B396/B444, "NA")</f>
        <v>NA</v>
      </c>
      <c r="D396" s="2"/>
      <c r="E396" s="14">
        <f>IFERROR(E385+E386+E388+E389+E390+E391+E392+E394+E395, "NA")</f>
        <v>32643.93</v>
      </c>
      <c r="F396" s="15" t="str">
        <f>IFERROR(E396/E444, "NA")</f>
        <v>NA</v>
      </c>
      <c r="G396" s="2"/>
      <c r="H396" s="14">
        <f t="shared" si="96"/>
        <v>17012.489999999998</v>
      </c>
      <c r="I396" s="15" t="str">
        <f>IFERROR(H396/H444, "NA")</f>
        <v>NA</v>
      </c>
      <c r="J396" s="2"/>
      <c r="K396" s="14">
        <f>IFERROR(K385+K386+K388+K389+K390+K391+K392+K394+K395, "NA")</f>
        <v>35622.399999999994</v>
      </c>
      <c r="L396" s="15" t="str">
        <f>IFERROR(K396/K444, "NA")</f>
        <v>NA</v>
      </c>
      <c r="M396" s="2"/>
      <c r="N396" s="14">
        <f t="shared" si="97"/>
        <v>19990.959999999992</v>
      </c>
      <c r="O396" s="15" t="str">
        <f>IFERROR(N396/N444, "NA")</f>
        <v>NA</v>
      </c>
      <c r="P396" s="2"/>
      <c r="Q396" s="14">
        <f>IFERROR(Q385+Q386+Q388+Q389+Q390+Q391+Q392+Q394+Q395, "NA")</f>
        <v>140016.07</v>
      </c>
      <c r="R396" s="15" t="str">
        <f>IFERROR(Q396/Q444, "NA")</f>
        <v>NA</v>
      </c>
      <c r="S396" s="2"/>
      <c r="T396" s="14">
        <f>IFERROR(T385+T386+T388+T389+T390+T391+T392+T394+T395, "NA")</f>
        <v>153594.03</v>
      </c>
      <c r="U396" s="15" t="str">
        <f>IFERROR(T396/T444, "NA")</f>
        <v>NA</v>
      </c>
      <c r="V396" s="2"/>
      <c r="W396" s="14">
        <f t="shared" si="98"/>
        <v>13577.959999999992</v>
      </c>
      <c r="X396" s="15" t="str">
        <f>IFERROR(W396/W444, "NA")</f>
        <v>NA</v>
      </c>
      <c r="Y396" s="2"/>
      <c r="Z396" s="14">
        <f>IFERROR(Z385+Z386+Z388+Z389+Z390+Z391+Z392+Z394+Z395, "NA")</f>
        <v>165105.64000000001</v>
      </c>
      <c r="AA396" s="15" t="str">
        <f>IFERROR(Z396/Z444, "NA")</f>
        <v>NA</v>
      </c>
      <c r="AB396" s="2"/>
      <c r="AC396" s="14">
        <f t="shared" si="99"/>
        <v>25089.570000000007</v>
      </c>
      <c r="AD396" s="15" t="str">
        <f>IFERROR(AC396/AC444, "NA")</f>
        <v>NA</v>
      </c>
    </row>
    <row r="397" spans="1:30" ht="16.5" customHeight="1" x14ac:dyDescent="0.45">
      <c r="A397" s="20" t="s">
        <v>363</v>
      </c>
      <c r="B397" s="7">
        <v>16921.990000000002</v>
      </c>
      <c r="C397" s="8" t="str">
        <f>IFERROR(B397/B444, "NA")</f>
        <v>NA</v>
      </c>
      <c r="D397" s="9"/>
      <c r="E397" s="7">
        <v>20224.240000000002</v>
      </c>
      <c r="F397" s="8" t="str">
        <f>IFERROR(E397/E444, "NA")</f>
        <v>NA</v>
      </c>
      <c r="G397" s="9"/>
      <c r="H397" s="10">
        <f t="shared" si="96"/>
        <v>3302.25</v>
      </c>
      <c r="I397" s="8" t="str">
        <f>IFERROR(H397/H444, "NA")</f>
        <v>NA</v>
      </c>
      <c r="J397" s="9"/>
      <c r="K397" s="7">
        <v>10141.25</v>
      </c>
      <c r="L397" s="8" t="str">
        <f>IFERROR(K397/K444, "NA")</f>
        <v>NA</v>
      </c>
      <c r="M397" s="9"/>
      <c r="N397" s="10">
        <f t="shared" si="97"/>
        <v>-6780.7400000000016</v>
      </c>
      <c r="O397" s="8" t="str">
        <f>IFERROR(N397/N444, "NA")</f>
        <v>NA</v>
      </c>
      <c r="P397" s="9"/>
      <c r="Q397" s="7">
        <v>39239.25</v>
      </c>
      <c r="R397" s="8" t="str">
        <f>IFERROR(Q397/Q444, "NA")</f>
        <v>NA</v>
      </c>
      <c r="S397" s="9"/>
      <c r="T397" s="7">
        <v>103754.53</v>
      </c>
      <c r="U397" s="8" t="str">
        <f>IFERROR(T397/T444, "NA")</f>
        <v>NA</v>
      </c>
      <c r="V397" s="9"/>
      <c r="W397" s="10">
        <f t="shared" si="98"/>
        <v>64515.28</v>
      </c>
      <c r="X397" s="8" t="str">
        <f>IFERROR(W397/W444, "NA")</f>
        <v>NA</v>
      </c>
      <c r="Y397" s="9"/>
      <c r="Z397" s="7">
        <v>46404.639999999999</v>
      </c>
      <c r="AA397" s="8" t="str">
        <f>IFERROR(Z397/Z444, "NA")</f>
        <v>NA</v>
      </c>
      <c r="AB397" s="9"/>
      <c r="AC397" s="10">
        <f t="shared" si="99"/>
        <v>7165.3899999999994</v>
      </c>
      <c r="AD397" s="8" t="str">
        <f>IFERROR(AC397/AC444, "NA")</f>
        <v>NA</v>
      </c>
    </row>
    <row r="398" spans="1:30" ht="16.5" customHeight="1" x14ac:dyDescent="0.45">
      <c r="A398" s="20" t="s">
        <v>364</v>
      </c>
      <c r="B398" s="7">
        <v>141.44</v>
      </c>
      <c r="C398" s="8" t="str">
        <f>IFERROR(B398/B444, "NA")</f>
        <v>NA</v>
      </c>
      <c r="D398" s="9"/>
      <c r="E398" s="7">
        <v>75</v>
      </c>
      <c r="F398" s="8" t="str">
        <f>IFERROR(E398/E444, "NA")</f>
        <v>NA</v>
      </c>
      <c r="G398" s="9"/>
      <c r="H398" s="10">
        <f t="shared" si="96"/>
        <v>-66.44</v>
      </c>
      <c r="I398" s="8" t="str">
        <f>IFERROR(H398/H444, "NA")</f>
        <v>NA</v>
      </c>
      <c r="J398" s="9"/>
      <c r="K398" s="7">
        <v>137.31</v>
      </c>
      <c r="L398" s="8" t="str">
        <f>IFERROR(K398/K444, "NA")</f>
        <v>NA</v>
      </c>
      <c r="M398" s="9"/>
      <c r="N398" s="10">
        <f t="shared" si="97"/>
        <v>-4.1299999999999955</v>
      </c>
      <c r="O398" s="8" t="str">
        <f>IFERROR(N398/N444, "NA")</f>
        <v>NA</v>
      </c>
      <c r="P398" s="9"/>
      <c r="Q398" s="7">
        <v>845.28</v>
      </c>
      <c r="R398" s="8" t="str">
        <f>IFERROR(Q398/Q444, "NA")</f>
        <v>NA</v>
      </c>
      <c r="S398" s="9"/>
      <c r="T398" s="7">
        <v>450</v>
      </c>
      <c r="U398" s="8" t="str">
        <f>IFERROR(T398/T444, "NA")</f>
        <v>NA</v>
      </c>
      <c r="V398" s="9"/>
      <c r="W398" s="10">
        <f t="shared" si="98"/>
        <v>-395.28</v>
      </c>
      <c r="X398" s="8" t="str">
        <f>IFERROR(W398/W444, "NA")</f>
        <v>NA</v>
      </c>
      <c r="Y398" s="9"/>
      <c r="Z398" s="7">
        <v>722.55</v>
      </c>
      <c r="AA398" s="8" t="str">
        <f>IFERROR(Z398/Z444, "NA")</f>
        <v>NA</v>
      </c>
      <c r="AB398" s="9"/>
      <c r="AC398" s="10">
        <f t="shared" si="99"/>
        <v>-122.73000000000002</v>
      </c>
      <c r="AD398" s="8" t="str">
        <f>IFERROR(AC398/AC444, "NA")</f>
        <v>NA</v>
      </c>
    </row>
    <row r="399" spans="1:30" ht="16.5" customHeight="1" x14ac:dyDescent="0.45">
      <c r="A399" s="20" t="s">
        <v>365</v>
      </c>
      <c r="B399" s="7">
        <v>0</v>
      </c>
      <c r="C399" s="8" t="str">
        <f>IFERROR(B399/B444, "NA")</f>
        <v>NA</v>
      </c>
      <c r="D399" s="9"/>
      <c r="E399" s="7">
        <v>700</v>
      </c>
      <c r="F399" s="8" t="str">
        <f>IFERROR(E399/E444, "NA")</f>
        <v>NA</v>
      </c>
      <c r="G399" s="9"/>
      <c r="H399" s="10">
        <f t="shared" si="96"/>
        <v>700</v>
      </c>
      <c r="I399" s="8" t="str">
        <f>IFERROR(H399/H444, "NA")</f>
        <v>NA</v>
      </c>
      <c r="J399" s="9"/>
      <c r="K399" s="7">
        <v>0</v>
      </c>
      <c r="L399" s="8" t="str">
        <f>IFERROR(K399/K444, "NA")</f>
        <v>NA</v>
      </c>
      <c r="M399" s="9"/>
      <c r="N399" s="10">
        <f t="shared" si="97"/>
        <v>0</v>
      </c>
      <c r="O399" s="8" t="str">
        <f>IFERROR(N399/N444, "NA")</f>
        <v>NA</v>
      </c>
      <c r="P399" s="9"/>
      <c r="Q399" s="7">
        <v>500</v>
      </c>
      <c r="R399" s="8" t="str">
        <f>IFERROR(Q399/Q444, "NA")</f>
        <v>NA</v>
      </c>
      <c r="S399" s="9"/>
      <c r="T399" s="7">
        <v>4200</v>
      </c>
      <c r="U399" s="8" t="str">
        <f>IFERROR(T399/T444, "NA")</f>
        <v>NA</v>
      </c>
      <c r="V399" s="9"/>
      <c r="W399" s="10">
        <f t="shared" si="98"/>
        <v>3700</v>
      </c>
      <c r="X399" s="8" t="str">
        <f>IFERROR(W399/W444, "NA")</f>
        <v>NA</v>
      </c>
      <c r="Y399" s="9"/>
      <c r="Z399" s="7">
        <v>3676</v>
      </c>
      <c r="AA399" s="8" t="str">
        <f>IFERROR(Z399/Z444, "NA")</f>
        <v>NA</v>
      </c>
      <c r="AB399" s="9"/>
      <c r="AC399" s="10">
        <f t="shared" si="99"/>
        <v>3176</v>
      </c>
      <c r="AD399" s="8" t="str">
        <f>IFERROR(AC399/AC444, "NA")</f>
        <v>NA</v>
      </c>
    </row>
    <row r="400" spans="1:30" ht="16.5" hidden="1" customHeight="1" x14ac:dyDescent="0.45">
      <c r="A400" s="20" t="s">
        <v>366</v>
      </c>
      <c r="B400" s="7">
        <v>0</v>
      </c>
      <c r="C400" s="8" t="str">
        <f>IFERROR(B400/B444, "NA")</f>
        <v>NA</v>
      </c>
      <c r="D400" s="9"/>
      <c r="E400" s="7">
        <v>0</v>
      </c>
      <c r="F400" s="8" t="str">
        <f>IFERROR(E400/E444, "NA")</f>
        <v>NA</v>
      </c>
      <c r="G400" s="9"/>
      <c r="H400" s="10">
        <f t="shared" si="96"/>
        <v>0</v>
      </c>
      <c r="I400" s="8" t="str">
        <f>IFERROR(H400/H444, "NA")</f>
        <v>NA</v>
      </c>
      <c r="J400" s="9"/>
      <c r="K400" s="7">
        <v>0</v>
      </c>
      <c r="L400" s="8" t="str">
        <f>IFERROR(K400/K444, "NA")</f>
        <v>NA</v>
      </c>
      <c r="M400" s="9"/>
      <c r="N400" s="10">
        <f t="shared" si="97"/>
        <v>0</v>
      </c>
      <c r="O400" s="8" t="str">
        <f>IFERROR(N400/N444, "NA")</f>
        <v>NA</v>
      </c>
      <c r="P400" s="9"/>
      <c r="Q400" s="7">
        <v>0</v>
      </c>
      <c r="R400" s="8" t="str">
        <f>IFERROR(Q400/Q444, "NA")</f>
        <v>NA</v>
      </c>
      <c r="S400" s="9"/>
      <c r="T400" s="7">
        <v>0</v>
      </c>
      <c r="U400" s="8" t="str">
        <f>IFERROR(T400/T444, "NA")</f>
        <v>NA</v>
      </c>
      <c r="V400" s="9"/>
      <c r="W400" s="10">
        <f t="shared" si="98"/>
        <v>0</v>
      </c>
      <c r="X400" s="8" t="str">
        <f>IFERROR(W400/W444, "NA")</f>
        <v>NA</v>
      </c>
      <c r="Y400" s="9"/>
      <c r="Z400" s="7">
        <v>0</v>
      </c>
      <c r="AA400" s="8" t="str">
        <f>IFERROR(Z400/Z444, "NA")</f>
        <v>NA</v>
      </c>
      <c r="AB400" s="9"/>
      <c r="AC400" s="10">
        <f t="shared" si="99"/>
        <v>0</v>
      </c>
      <c r="AD400" s="8" t="str">
        <f>IFERROR(AC400/AC444, "NA")</f>
        <v>NA</v>
      </c>
    </row>
    <row r="401" spans="1:30" ht="16.5" customHeight="1" x14ac:dyDescent="0.45">
      <c r="A401" s="20" t="s">
        <v>367</v>
      </c>
      <c r="B401" s="7">
        <v>0</v>
      </c>
      <c r="C401" s="8" t="str">
        <f>IFERROR(B401/B444, "NA")</f>
        <v>NA</v>
      </c>
      <c r="D401" s="9"/>
      <c r="E401" s="7">
        <v>0</v>
      </c>
      <c r="F401" s="8" t="str">
        <f>IFERROR(E401/E444, "NA")</f>
        <v>NA</v>
      </c>
      <c r="G401" s="9"/>
      <c r="H401" s="10">
        <f t="shared" si="96"/>
        <v>0</v>
      </c>
      <c r="I401" s="8" t="str">
        <f>IFERROR(H401/H444, "NA")</f>
        <v>NA</v>
      </c>
      <c r="J401" s="9"/>
      <c r="K401" s="7">
        <v>8333.34</v>
      </c>
      <c r="L401" s="8" t="str">
        <f>IFERROR(K401/K444, "NA")</f>
        <v>NA</v>
      </c>
      <c r="M401" s="9"/>
      <c r="N401" s="10">
        <f t="shared" si="97"/>
        <v>8333.34</v>
      </c>
      <c r="O401" s="8" t="str">
        <f>IFERROR(N401/N444, "NA")</f>
        <v>NA</v>
      </c>
      <c r="P401" s="9"/>
      <c r="Q401" s="7">
        <v>0</v>
      </c>
      <c r="R401" s="8" t="str">
        <f>IFERROR(Q401/Q444, "NA")</f>
        <v>NA</v>
      </c>
      <c r="S401" s="9"/>
      <c r="T401" s="7">
        <v>0</v>
      </c>
      <c r="U401" s="8" t="str">
        <f>IFERROR(T401/T444, "NA")</f>
        <v>NA</v>
      </c>
      <c r="V401" s="9"/>
      <c r="W401" s="10">
        <f t="shared" si="98"/>
        <v>0</v>
      </c>
      <c r="X401" s="8" t="str">
        <f>IFERROR(W401/W444, "NA")</f>
        <v>NA</v>
      </c>
      <c r="Y401" s="9"/>
      <c r="Z401" s="7">
        <v>50000</v>
      </c>
      <c r="AA401" s="8" t="str">
        <f>IFERROR(Z401/Z444, "NA")</f>
        <v>NA</v>
      </c>
      <c r="AB401" s="9"/>
      <c r="AC401" s="10">
        <f t="shared" si="99"/>
        <v>50000</v>
      </c>
      <c r="AD401" s="8" t="str">
        <f>IFERROR(AC401/AC444, "NA")</f>
        <v>NA</v>
      </c>
    </row>
    <row r="402" spans="1:30" ht="16.5" hidden="1" customHeight="1" x14ac:dyDescent="0.45">
      <c r="A402" s="20" t="s">
        <v>368</v>
      </c>
      <c r="B402" s="7">
        <v>0</v>
      </c>
      <c r="C402" s="8" t="str">
        <f>IFERROR(B402/B444, "NA")</f>
        <v>NA</v>
      </c>
      <c r="D402" s="9"/>
      <c r="E402" s="7">
        <v>0</v>
      </c>
      <c r="F402" s="8" t="str">
        <f>IFERROR(E402/E444, "NA")</f>
        <v>NA</v>
      </c>
      <c r="G402" s="9"/>
      <c r="H402" s="10">
        <f t="shared" si="96"/>
        <v>0</v>
      </c>
      <c r="I402" s="8" t="str">
        <f>IFERROR(H402/H444, "NA")</f>
        <v>NA</v>
      </c>
      <c r="J402" s="9"/>
      <c r="K402" s="7">
        <v>0</v>
      </c>
      <c r="L402" s="8" t="str">
        <f>IFERROR(K402/K444, "NA")</f>
        <v>NA</v>
      </c>
      <c r="M402" s="9"/>
      <c r="N402" s="10">
        <f t="shared" si="97"/>
        <v>0</v>
      </c>
      <c r="O402" s="8" t="str">
        <f>IFERROR(N402/N444, "NA")</f>
        <v>NA</v>
      </c>
      <c r="P402" s="9"/>
      <c r="Q402" s="7">
        <v>0</v>
      </c>
      <c r="R402" s="8" t="str">
        <f>IFERROR(Q402/Q444, "NA")</f>
        <v>NA</v>
      </c>
      <c r="S402" s="9"/>
      <c r="T402" s="7">
        <v>0</v>
      </c>
      <c r="U402" s="8" t="str">
        <f>IFERROR(T402/T444, "NA")</f>
        <v>NA</v>
      </c>
      <c r="V402" s="9"/>
      <c r="W402" s="10">
        <f t="shared" si="98"/>
        <v>0</v>
      </c>
      <c r="X402" s="8" t="str">
        <f>IFERROR(W402/W444, "NA")</f>
        <v>NA</v>
      </c>
      <c r="Y402" s="9"/>
      <c r="Z402" s="7">
        <v>0</v>
      </c>
      <c r="AA402" s="8" t="str">
        <f>IFERROR(Z402/Z444, "NA")</f>
        <v>NA</v>
      </c>
      <c r="AB402" s="9"/>
      <c r="AC402" s="10">
        <f t="shared" si="99"/>
        <v>0</v>
      </c>
      <c r="AD402" s="8" t="str">
        <f>IFERROR(AC402/AC444, "NA")</f>
        <v>NA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141925.30000000002</v>
      </c>
      <c r="C403" s="15" t="str">
        <f>IFERROR(B403/B444, "NA")</f>
        <v>NA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184267.86000000002</v>
      </c>
      <c r="F403" s="15" t="str">
        <f>IFERROR(E403/E444, "NA")</f>
        <v>NA</v>
      </c>
      <c r="G403" s="2"/>
      <c r="H403" s="14">
        <f t="shared" si="96"/>
        <v>42342.559999999998</v>
      </c>
      <c r="I403" s="15" t="str">
        <f>IFERROR(H403/H444, "NA")</f>
        <v>NA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186216.39999999997</v>
      </c>
      <c r="L403" s="15" t="str">
        <f>IFERROR(K403/K444, "NA")</f>
        <v>NA</v>
      </c>
      <c r="M403" s="2"/>
      <c r="N403" s="14">
        <f t="shared" si="97"/>
        <v>44291.099999999948</v>
      </c>
      <c r="O403" s="15" t="str">
        <f>IFERROR(N403/N444, "NA")</f>
        <v>NA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816296.66999999993</v>
      </c>
      <c r="R403" s="15" t="str">
        <f>IFERROR(Q403/Q444, "NA")</f>
        <v>NA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977289.92999999993</v>
      </c>
      <c r="U403" s="15" t="str">
        <f>IFERROR(T403/T444, "NA")</f>
        <v>NA</v>
      </c>
      <c r="V403" s="2"/>
      <c r="W403" s="14">
        <f t="shared" si="98"/>
        <v>160993.26</v>
      </c>
      <c r="X403" s="15" t="str">
        <f>IFERROR(W403/W444, "NA")</f>
        <v>NA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933896.15999999992</v>
      </c>
      <c r="AA403" s="15" t="str">
        <f>IFERROR(Z403/Z444, "NA")</f>
        <v>NA</v>
      </c>
      <c r="AB403" s="2"/>
      <c r="AC403" s="14">
        <f t="shared" si="99"/>
        <v>117599.48999999999</v>
      </c>
      <c r="AD403" s="15" t="str">
        <f>IFERROR(AC403/AC444, "NA")</f>
        <v>NA</v>
      </c>
    </row>
    <row r="404" spans="1:30" ht="16.5" customHeight="1" x14ac:dyDescent="0.45">
      <c r="A404" s="22" t="s">
        <v>370</v>
      </c>
      <c r="B404" s="23">
        <f>IFERROR(B345-B403, "NA")</f>
        <v>-141925.30000000002</v>
      </c>
      <c r="C404" s="24" t="str">
        <f>IFERROR(B404/B444, "NA")</f>
        <v>NA</v>
      </c>
      <c r="D404" s="25"/>
      <c r="E404" s="23">
        <f>IFERROR(E345-E403, "NA")</f>
        <v>-184267.86000000002</v>
      </c>
      <c r="F404" s="24" t="str">
        <f>IFERROR(E404/E444, "NA")</f>
        <v>NA</v>
      </c>
      <c r="G404" s="25"/>
      <c r="H404" s="23">
        <f>IFERROR(B404-E404, "NA")</f>
        <v>42342.559999999998</v>
      </c>
      <c r="I404" s="24" t="str">
        <f>IFERROR(H404/H444, "NA")</f>
        <v>NA</v>
      </c>
      <c r="J404" s="25"/>
      <c r="K404" s="23">
        <f>IFERROR(K345-K403, "NA")</f>
        <v>-186216.39999999997</v>
      </c>
      <c r="L404" s="24" t="str">
        <f>IFERROR(K404/K444, "NA")</f>
        <v>NA</v>
      </c>
      <c r="M404" s="25"/>
      <c r="N404" s="23">
        <f>IFERROR(B404-K404, "NA")</f>
        <v>44291.099999999948</v>
      </c>
      <c r="O404" s="24" t="str">
        <f>IFERROR(N404/N444, "NA")</f>
        <v>NA</v>
      </c>
      <c r="P404" s="25"/>
      <c r="Q404" s="23">
        <f>IFERROR(Q345-Q403, "NA")</f>
        <v>-816296.66999999993</v>
      </c>
      <c r="R404" s="24" t="str">
        <f>IFERROR(Q404/Q444, "NA")</f>
        <v>NA</v>
      </c>
      <c r="S404" s="25"/>
      <c r="T404" s="23">
        <f>IFERROR(T345-T403, "NA")</f>
        <v>-977289.92999999993</v>
      </c>
      <c r="U404" s="24" t="str">
        <f>IFERROR(T404/T444, "NA")</f>
        <v>NA</v>
      </c>
      <c r="V404" s="25"/>
      <c r="W404" s="23">
        <f>IFERROR(Q404-T404, "NA")</f>
        <v>160993.26</v>
      </c>
      <c r="X404" s="24" t="str">
        <f>IFERROR(W404/W444, "NA")</f>
        <v>NA</v>
      </c>
      <c r="Y404" s="25"/>
      <c r="Z404" s="23">
        <f>IFERROR(Z345-Z403, "NA")</f>
        <v>-933896.15999999992</v>
      </c>
      <c r="AA404" s="24" t="str">
        <f>IFERROR(Z404/Z444, "NA")</f>
        <v>NA</v>
      </c>
      <c r="AB404" s="25"/>
      <c r="AC404" s="23">
        <f>IFERROR(Q404-Z404, "NA")</f>
        <v>117599.48999999999</v>
      </c>
      <c r="AD404" s="24" t="str">
        <f>IFERROR(AC404/AC444, "NA")</f>
        <v>NA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 t="str">
        <f>IFERROR(B407/B444, "NA")</f>
        <v>NA</v>
      </c>
      <c r="D407" s="9"/>
      <c r="E407" s="7">
        <v>0</v>
      </c>
      <c r="F407" s="8" t="str">
        <f>IFERROR(E407/E444, "NA")</f>
        <v>NA</v>
      </c>
      <c r="G407" s="9"/>
      <c r="H407" s="10">
        <f t="shared" ref="H407:H429" si="100">IFERROR(-(B407-E407), "NA")</f>
        <v>0</v>
      </c>
      <c r="I407" s="8" t="str">
        <f>IFERROR(H407/H444, "NA")</f>
        <v>NA</v>
      </c>
      <c r="J407" s="9"/>
      <c r="K407" s="7">
        <v>0</v>
      </c>
      <c r="L407" s="8" t="str">
        <f>IFERROR(K407/K444, "NA")</f>
        <v>NA</v>
      </c>
      <c r="M407" s="9"/>
      <c r="N407" s="10">
        <f t="shared" ref="N407:N429" si="101">IFERROR(-(B407-K407), "NA")</f>
        <v>0</v>
      </c>
      <c r="O407" s="8" t="str">
        <f>IFERROR(N407/N444, "NA")</f>
        <v>NA</v>
      </c>
      <c r="P407" s="9"/>
      <c r="Q407" s="7">
        <v>0</v>
      </c>
      <c r="R407" s="8" t="str">
        <f>IFERROR(Q407/Q444, "NA")</f>
        <v>NA</v>
      </c>
      <c r="S407" s="9"/>
      <c r="T407" s="7">
        <v>0</v>
      </c>
      <c r="U407" s="8" t="str">
        <f>IFERROR(T407/T444, "NA")</f>
        <v>NA</v>
      </c>
      <c r="V407" s="9"/>
      <c r="W407" s="10">
        <f t="shared" ref="W407:W429" si="102">IFERROR(-(Q407-T407), "NA")</f>
        <v>0</v>
      </c>
      <c r="X407" s="8" t="str">
        <f>IFERROR(W407/W444, "NA")</f>
        <v>NA</v>
      </c>
      <c r="Y407" s="9"/>
      <c r="Z407" s="7">
        <v>0</v>
      </c>
      <c r="AA407" s="8" t="str">
        <f>IFERROR(Z407/Z444, "NA")</f>
        <v>NA</v>
      </c>
      <c r="AB407" s="9"/>
      <c r="AC407" s="10">
        <f t="shared" ref="AC407:AC429" si="103">IFERROR(-(Q407-Z407), "NA")</f>
        <v>0</v>
      </c>
      <c r="AD407" s="8" t="str">
        <f>IFERROR(AC407/AC444, "NA")</f>
        <v>NA</v>
      </c>
    </row>
    <row r="408" spans="1:30" ht="16.5" hidden="1" customHeight="1" x14ac:dyDescent="0.45">
      <c r="A408" s="6" t="s">
        <v>373</v>
      </c>
      <c r="B408" s="7">
        <v>0</v>
      </c>
      <c r="C408" s="8" t="str">
        <f>IFERROR(B408/B444, "NA")</f>
        <v>NA</v>
      </c>
      <c r="D408" s="9"/>
      <c r="E408" s="7">
        <v>0</v>
      </c>
      <c r="F408" s="8" t="str">
        <f>IFERROR(E408/E444, "NA")</f>
        <v>NA</v>
      </c>
      <c r="G408" s="9"/>
      <c r="H408" s="10">
        <f t="shared" si="100"/>
        <v>0</v>
      </c>
      <c r="I408" s="8" t="str">
        <f>IFERROR(H408/H444, "NA")</f>
        <v>NA</v>
      </c>
      <c r="J408" s="9"/>
      <c r="K408" s="7">
        <v>0</v>
      </c>
      <c r="L408" s="8" t="str">
        <f>IFERROR(K408/K444, "NA")</f>
        <v>NA</v>
      </c>
      <c r="M408" s="9"/>
      <c r="N408" s="10">
        <f t="shared" si="101"/>
        <v>0</v>
      </c>
      <c r="O408" s="8" t="str">
        <f>IFERROR(N408/N444, "NA")</f>
        <v>NA</v>
      </c>
      <c r="P408" s="9"/>
      <c r="Q408" s="7">
        <v>0</v>
      </c>
      <c r="R408" s="8" t="str">
        <f>IFERROR(Q408/Q444, "NA")</f>
        <v>NA</v>
      </c>
      <c r="S408" s="9"/>
      <c r="T408" s="7">
        <v>0</v>
      </c>
      <c r="U408" s="8" t="str">
        <f>IFERROR(T408/T444, "NA")</f>
        <v>NA</v>
      </c>
      <c r="V408" s="9"/>
      <c r="W408" s="10">
        <f t="shared" si="102"/>
        <v>0</v>
      </c>
      <c r="X408" s="8" t="str">
        <f>IFERROR(W408/W444, "NA")</f>
        <v>NA</v>
      </c>
      <c r="Y408" s="9"/>
      <c r="Z408" s="7">
        <v>0</v>
      </c>
      <c r="AA408" s="8" t="str">
        <f>IFERROR(Z408/Z444, "NA")</f>
        <v>NA</v>
      </c>
      <c r="AB408" s="9"/>
      <c r="AC408" s="10">
        <f t="shared" si="103"/>
        <v>0</v>
      </c>
      <c r="AD408" s="8" t="str">
        <f>IFERROR(AC408/AC444, "NA")</f>
        <v>NA</v>
      </c>
    </row>
    <row r="409" spans="1:30" ht="16.5" hidden="1" customHeight="1" x14ac:dyDescent="0.45">
      <c r="A409" s="6" t="s">
        <v>374</v>
      </c>
      <c r="B409" s="7">
        <v>0</v>
      </c>
      <c r="C409" s="8" t="str">
        <f>IFERROR(B409/B444, "NA")</f>
        <v>NA</v>
      </c>
      <c r="D409" s="9"/>
      <c r="E409" s="7">
        <v>0</v>
      </c>
      <c r="F409" s="8" t="str">
        <f>IFERROR(E409/E444, "NA")</f>
        <v>NA</v>
      </c>
      <c r="G409" s="9"/>
      <c r="H409" s="10">
        <f t="shared" si="100"/>
        <v>0</v>
      </c>
      <c r="I409" s="8" t="str">
        <f>IFERROR(H409/H444, "NA")</f>
        <v>NA</v>
      </c>
      <c r="J409" s="9"/>
      <c r="K409" s="7">
        <v>0</v>
      </c>
      <c r="L409" s="8" t="str">
        <f>IFERROR(K409/K444, "NA")</f>
        <v>NA</v>
      </c>
      <c r="M409" s="9"/>
      <c r="N409" s="10">
        <f t="shared" si="101"/>
        <v>0</v>
      </c>
      <c r="O409" s="8" t="str">
        <f>IFERROR(N409/N444, "NA")</f>
        <v>NA</v>
      </c>
      <c r="P409" s="9"/>
      <c r="Q409" s="7">
        <v>0</v>
      </c>
      <c r="R409" s="8" t="str">
        <f>IFERROR(Q409/Q444, "NA")</f>
        <v>NA</v>
      </c>
      <c r="S409" s="9"/>
      <c r="T409" s="7">
        <v>0</v>
      </c>
      <c r="U409" s="8" t="str">
        <f>IFERROR(T409/T444, "NA")</f>
        <v>NA</v>
      </c>
      <c r="V409" s="9"/>
      <c r="W409" s="10">
        <f t="shared" si="102"/>
        <v>0</v>
      </c>
      <c r="X409" s="8" t="str">
        <f>IFERROR(W409/W444, "NA")</f>
        <v>NA</v>
      </c>
      <c r="Y409" s="9"/>
      <c r="Z409" s="7">
        <v>0</v>
      </c>
      <c r="AA409" s="8" t="str">
        <f>IFERROR(Z409/Z444, "NA")</f>
        <v>NA</v>
      </c>
      <c r="AB409" s="9"/>
      <c r="AC409" s="10">
        <f t="shared" si="103"/>
        <v>0</v>
      </c>
      <c r="AD409" s="8" t="str">
        <f>IFERROR(AC409/AC444, "NA")</f>
        <v>NA</v>
      </c>
    </row>
    <row r="410" spans="1:30" ht="16.5" customHeight="1" x14ac:dyDescent="0.45">
      <c r="A410" s="6" t="s">
        <v>375</v>
      </c>
      <c r="B410" s="7">
        <v>59.7</v>
      </c>
      <c r="C410" s="8" t="str">
        <f>IFERROR(B410/B444, "NA")</f>
        <v>NA</v>
      </c>
      <c r="D410" s="9"/>
      <c r="E410" s="7">
        <v>0</v>
      </c>
      <c r="F410" s="8" t="str">
        <f>IFERROR(E410/E444, "NA")</f>
        <v>NA</v>
      </c>
      <c r="G410" s="9"/>
      <c r="H410" s="10">
        <f t="shared" si="100"/>
        <v>-59.7</v>
      </c>
      <c r="I410" s="8" t="str">
        <f>IFERROR(H410/H444, "NA")</f>
        <v>NA</v>
      </c>
      <c r="J410" s="9"/>
      <c r="K410" s="7">
        <v>184.89</v>
      </c>
      <c r="L410" s="8" t="str">
        <f>IFERROR(K410/K444, "NA")</f>
        <v>NA</v>
      </c>
      <c r="M410" s="9"/>
      <c r="N410" s="10">
        <f t="shared" si="101"/>
        <v>125.18999999999998</v>
      </c>
      <c r="O410" s="8" t="str">
        <f>IFERROR(N410/N444, "NA")</f>
        <v>NA</v>
      </c>
      <c r="P410" s="9"/>
      <c r="Q410" s="7">
        <v>483.39</v>
      </c>
      <c r="R410" s="8" t="str">
        <f>IFERROR(Q410/Q444, "NA")</f>
        <v>NA</v>
      </c>
      <c r="S410" s="9"/>
      <c r="T410" s="7">
        <v>0</v>
      </c>
      <c r="U410" s="8" t="str">
        <f>IFERROR(T410/T444, "NA")</f>
        <v>NA</v>
      </c>
      <c r="V410" s="9"/>
      <c r="W410" s="10">
        <f t="shared" si="102"/>
        <v>-483.39</v>
      </c>
      <c r="X410" s="8" t="str">
        <f>IFERROR(W410/W444, "NA")</f>
        <v>NA</v>
      </c>
      <c r="Y410" s="9"/>
      <c r="Z410" s="7">
        <v>1109.3399999999999</v>
      </c>
      <c r="AA410" s="8" t="str">
        <f>IFERROR(Z410/Z444, "NA")</f>
        <v>NA</v>
      </c>
      <c r="AB410" s="9"/>
      <c r="AC410" s="10">
        <f t="shared" si="103"/>
        <v>625.94999999999993</v>
      </c>
      <c r="AD410" s="8" t="str">
        <f>IFERROR(AC410/AC444, "NA")</f>
        <v>NA</v>
      </c>
    </row>
    <row r="411" spans="1:30" ht="16.5" customHeight="1" x14ac:dyDescent="0.45">
      <c r="A411" s="6" t="s">
        <v>376</v>
      </c>
      <c r="B411" s="7">
        <v>268.37</v>
      </c>
      <c r="C411" s="8" t="str">
        <f>IFERROR(B411/B444, "NA")</f>
        <v>NA</v>
      </c>
      <c r="D411" s="9"/>
      <c r="E411" s="7">
        <v>0</v>
      </c>
      <c r="F411" s="8" t="str">
        <f>IFERROR(E411/E444, "NA")</f>
        <v>NA</v>
      </c>
      <c r="G411" s="9"/>
      <c r="H411" s="10">
        <f t="shared" si="100"/>
        <v>-268.37</v>
      </c>
      <c r="I411" s="8" t="str">
        <f>IFERROR(H411/H444, "NA")</f>
        <v>NA</v>
      </c>
      <c r="J411" s="9"/>
      <c r="K411" s="7">
        <v>0</v>
      </c>
      <c r="L411" s="8" t="str">
        <f>IFERROR(K411/K444, "NA")</f>
        <v>NA</v>
      </c>
      <c r="M411" s="9"/>
      <c r="N411" s="10">
        <f t="shared" si="101"/>
        <v>-268.37</v>
      </c>
      <c r="O411" s="8" t="str">
        <f>IFERROR(N411/N444, "NA")</f>
        <v>NA</v>
      </c>
      <c r="P411" s="9"/>
      <c r="Q411" s="7">
        <v>1341.85</v>
      </c>
      <c r="R411" s="8" t="str">
        <f>IFERROR(Q411/Q444, "NA")</f>
        <v>NA</v>
      </c>
      <c r="S411" s="9"/>
      <c r="T411" s="7">
        <v>0</v>
      </c>
      <c r="U411" s="8" t="str">
        <f>IFERROR(T411/T444, "NA")</f>
        <v>NA</v>
      </c>
      <c r="V411" s="9"/>
      <c r="W411" s="10">
        <f t="shared" si="102"/>
        <v>-1341.85</v>
      </c>
      <c r="X411" s="8" t="str">
        <f>IFERROR(W411/W444, "NA")</f>
        <v>NA</v>
      </c>
      <c r="Y411" s="9"/>
      <c r="Z411" s="7">
        <v>0</v>
      </c>
      <c r="AA411" s="8" t="str">
        <f>IFERROR(Z411/Z444, "NA")</f>
        <v>NA</v>
      </c>
      <c r="AB411" s="9"/>
      <c r="AC411" s="10">
        <f t="shared" si="103"/>
        <v>-1341.85</v>
      </c>
      <c r="AD411" s="8" t="str">
        <f>IFERROR(AC411/AC444, "NA")</f>
        <v>NA</v>
      </c>
    </row>
    <row r="412" spans="1:30" ht="16.5" hidden="1" customHeight="1" x14ac:dyDescent="0.45">
      <c r="A412" s="6" t="s">
        <v>377</v>
      </c>
      <c r="B412" s="7">
        <v>0</v>
      </c>
      <c r="C412" s="8" t="str">
        <f>IFERROR(B412/B444, "NA")</f>
        <v>NA</v>
      </c>
      <c r="D412" s="9"/>
      <c r="E412" s="7">
        <v>0</v>
      </c>
      <c r="F412" s="8" t="str">
        <f>IFERROR(E412/E444, "NA")</f>
        <v>NA</v>
      </c>
      <c r="G412" s="9"/>
      <c r="H412" s="10">
        <f t="shared" si="100"/>
        <v>0</v>
      </c>
      <c r="I412" s="8" t="str">
        <f>IFERROR(H412/H444, "NA")</f>
        <v>NA</v>
      </c>
      <c r="J412" s="9"/>
      <c r="K412" s="7">
        <v>0</v>
      </c>
      <c r="L412" s="8" t="str">
        <f>IFERROR(K412/K444, "NA")</f>
        <v>NA</v>
      </c>
      <c r="M412" s="9"/>
      <c r="N412" s="10">
        <f t="shared" si="101"/>
        <v>0</v>
      </c>
      <c r="O412" s="8" t="str">
        <f>IFERROR(N412/N444, "NA")</f>
        <v>NA</v>
      </c>
      <c r="P412" s="9"/>
      <c r="Q412" s="7">
        <v>0</v>
      </c>
      <c r="R412" s="8" t="str">
        <f>IFERROR(Q412/Q444, "NA")</f>
        <v>NA</v>
      </c>
      <c r="S412" s="9"/>
      <c r="T412" s="7">
        <v>0</v>
      </c>
      <c r="U412" s="8" t="str">
        <f>IFERROR(T412/T444, "NA")</f>
        <v>NA</v>
      </c>
      <c r="V412" s="9"/>
      <c r="W412" s="10">
        <f t="shared" si="102"/>
        <v>0</v>
      </c>
      <c r="X412" s="8" t="str">
        <f>IFERROR(W412/W444, "NA")</f>
        <v>NA</v>
      </c>
      <c r="Y412" s="9"/>
      <c r="Z412" s="7">
        <v>0</v>
      </c>
      <c r="AA412" s="8" t="str">
        <f>IFERROR(Z412/Z444, "NA")</f>
        <v>NA</v>
      </c>
      <c r="AB412" s="9"/>
      <c r="AC412" s="10">
        <f t="shared" si="103"/>
        <v>0</v>
      </c>
      <c r="AD412" s="8" t="str">
        <f>IFERROR(AC412/AC444, "NA")</f>
        <v>NA</v>
      </c>
    </row>
    <row r="413" spans="1:30" ht="16.5" hidden="1" customHeight="1" x14ac:dyDescent="0.45">
      <c r="A413" s="6" t="s">
        <v>378</v>
      </c>
      <c r="B413" s="7">
        <v>0</v>
      </c>
      <c r="C413" s="8" t="str">
        <f>IFERROR(B413/B444, "NA")</f>
        <v>NA</v>
      </c>
      <c r="D413" s="9"/>
      <c r="E413" s="7">
        <v>0</v>
      </c>
      <c r="F413" s="8" t="str">
        <f>IFERROR(E413/E444, "NA")</f>
        <v>NA</v>
      </c>
      <c r="G413" s="9"/>
      <c r="H413" s="10">
        <f t="shared" si="100"/>
        <v>0</v>
      </c>
      <c r="I413" s="8" t="str">
        <f>IFERROR(H413/H444, "NA")</f>
        <v>NA</v>
      </c>
      <c r="J413" s="9"/>
      <c r="K413" s="7">
        <v>0</v>
      </c>
      <c r="L413" s="8" t="str">
        <f>IFERROR(K413/K444, "NA")</f>
        <v>NA</v>
      </c>
      <c r="M413" s="9"/>
      <c r="N413" s="10">
        <f t="shared" si="101"/>
        <v>0</v>
      </c>
      <c r="O413" s="8" t="str">
        <f>IFERROR(N413/N444, "NA")</f>
        <v>NA</v>
      </c>
      <c r="P413" s="9"/>
      <c r="Q413" s="7">
        <v>0</v>
      </c>
      <c r="R413" s="8" t="str">
        <f>IFERROR(Q413/Q444, "NA")</f>
        <v>NA</v>
      </c>
      <c r="S413" s="9"/>
      <c r="T413" s="7">
        <v>0</v>
      </c>
      <c r="U413" s="8" t="str">
        <f>IFERROR(T413/T444, "NA")</f>
        <v>NA</v>
      </c>
      <c r="V413" s="9"/>
      <c r="W413" s="10">
        <f t="shared" si="102"/>
        <v>0</v>
      </c>
      <c r="X413" s="8" t="str">
        <f>IFERROR(W413/W444, "NA")</f>
        <v>NA</v>
      </c>
      <c r="Y413" s="9"/>
      <c r="Z413" s="7">
        <v>0</v>
      </c>
      <c r="AA413" s="8" t="str">
        <f>IFERROR(Z413/Z444, "NA")</f>
        <v>NA</v>
      </c>
      <c r="AB413" s="9"/>
      <c r="AC413" s="10">
        <f t="shared" si="103"/>
        <v>0</v>
      </c>
      <c r="AD413" s="8" t="str">
        <f>IFERROR(AC413/AC444, "NA")</f>
        <v>NA</v>
      </c>
    </row>
    <row r="414" spans="1:30" ht="16.5" hidden="1" customHeight="1" x14ac:dyDescent="0.45">
      <c r="A414" s="6" t="s">
        <v>379</v>
      </c>
      <c r="B414" s="7">
        <v>0</v>
      </c>
      <c r="C414" s="8" t="str">
        <f>IFERROR(B414/B444, "NA")</f>
        <v>NA</v>
      </c>
      <c r="D414" s="9"/>
      <c r="E414" s="7">
        <v>0</v>
      </c>
      <c r="F414" s="8" t="str">
        <f>IFERROR(E414/E444, "NA")</f>
        <v>NA</v>
      </c>
      <c r="G414" s="9"/>
      <c r="H414" s="10">
        <f t="shared" si="100"/>
        <v>0</v>
      </c>
      <c r="I414" s="8" t="str">
        <f>IFERROR(H414/H444, "NA")</f>
        <v>NA</v>
      </c>
      <c r="J414" s="9"/>
      <c r="K414" s="7">
        <v>0</v>
      </c>
      <c r="L414" s="8" t="str">
        <f>IFERROR(K414/K444, "NA")</f>
        <v>NA</v>
      </c>
      <c r="M414" s="9"/>
      <c r="N414" s="10">
        <f t="shared" si="101"/>
        <v>0</v>
      </c>
      <c r="O414" s="8" t="str">
        <f>IFERROR(N414/N444, "NA")</f>
        <v>NA</v>
      </c>
      <c r="P414" s="9"/>
      <c r="Q414" s="7">
        <v>0</v>
      </c>
      <c r="R414" s="8" t="str">
        <f>IFERROR(Q414/Q444, "NA")</f>
        <v>NA</v>
      </c>
      <c r="S414" s="9"/>
      <c r="T414" s="7">
        <v>0</v>
      </c>
      <c r="U414" s="8" t="str">
        <f>IFERROR(T414/T444, "NA")</f>
        <v>NA</v>
      </c>
      <c r="V414" s="9"/>
      <c r="W414" s="10">
        <f t="shared" si="102"/>
        <v>0</v>
      </c>
      <c r="X414" s="8" t="str">
        <f>IFERROR(W414/W444, "NA")</f>
        <v>NA</v>
      </c>
      <c r="Y414" s="9"/>
      <c r="Z414" s="7">
        <v>0</v>
      </c>
      <c r="AA414" s="8" t="str">
        <f>IFERROR(Z414/Z444, "NA")</f>
        <v>NA</v>
      </c>
      <c r="AB414" s="9"/>
      <c r="AC414" s="10">
        <f t="shared" si="103"/>
        <v>0</v>
      </c>
      <c r="AD414" s="8" t="str">
        <f>IFERROR(AC414/AC444, "NA")</f>
        <v>NA</v>
      </c>
    </row>
    <row r="415" spans="1:30" ht="16.5" hidden="1" customHeight="1" x14ac:dyDescent="0.45">
      <c r="A415" s="6" t="s">
        <v>380</v>
      </c>
      <c r="B415" s="7">
        <v>0</v>
      </c>
      <c r="C415" s="8" t="str">
        <f>IFERROR(B415/B444, "NA")</f>
        <v>NA</v>
      </c>
      <c r="D415" s="9"/>
      <c r="E415" s="7">
        <v>0</v>
      </c>
      <c r="F415" s="8" t="str">
        <f>IFERROR(E415/E444, "NA")</f>
        <v>NA</v>
      </c>
      <c r="G415" s="9"/>
      <c r="H415" s="10">
        <f t="shared" si="100"/>
        <v>0</v>
      </c>
      <c r="I415" s="8" t="str">
        <f>IFERROR(H415/H444, "NA")</f>
        <v>NA</v>
      </c>
      <c r="J415" s="9"/>
      <c r="K415" s="7">
        <v>0</v>
      </c>
      <c r="L415" s="8" t="str">
        <f>IFERROR(K415/K444, "NA")</f>
        <v>NA</v>
      </c>
      <c r="M415" s="9"/>
      <c r="N415" s="10">
        <f t="shared" si="101"/>
        <v>0</v>
      </c>
      <c r="O415" s="8" t="str">
        <f>IFERROR(N415/N444, "NA")</f>
        <v>NA</v>
      </c>
      <c r="P415" s="9"/>
      <c r="Q415" s="7">
        <v>0</v>
      </c>
      <c r="R415" s="8" t="str">
        <f>IFERROR(Q415/Q444, "NA")</f>
        <v>NA</v>
      </c>
      <c r="S415" s="9"/>
      <c r="T415" s="7">
        <v>0</v>
      </c>
      <c r="U415" s="8" t="str">
        <f>IFERROR(T415/T444, "NA")</f>
        <v>NA</v>
      </c>
      <c r="V415" s="9"/>
      <c r="W415" s="10">
        <f t="shared" si="102"/>
        <v>0</v>
      </c>
      <c r="X415" s="8" t="str">
        <f>IFERROR(W415/W444, "NA")</f>
        <v>NA</v>
      </c>
      <c r="Y415" s="9"/>
      <c r="Z415" s="7">
        <v>0</v>
      </c>
      <c r="AA415" s="8" t="str">
        <f>IFERROR(Z415/Z444, "NA")</f>
        <v>NA</v>
      </c>
      <c r="AB415" s="9"/>
      <c r="AC415" s="10">
        <f t="shared" si="103"/>
        <v>0</v>
      </c>
      <c r="AD415" s="8" t="str">
        <f>IFERROR(AC415/AC444, "NA")</f>
        <v>NA</v>
      </c>
    </row>
    <row r="416" spans="1:30" ht="16.5" hidden="1" customHeight="1" x14ac:dyDescent="0.45">
      <c r="A416" s="6" t="s">
        <v>381</v>
      </c>
      <c r="B416" s="7">
        <v>0</v>
      </c>
      <c r="C416" s="8" t="str">
        <f>IFERROR(B416/B444, "NA")</f>
        <v>NA</v>
      </c>
      <c r="D416" s="9"/>
      <c r="E416" s="7">
        <v>0</v>
      </c>
      <c r="F416" s="8" t="str">
        <f>IFERROR(E416/E444, "NA")</f>
        <v>NA</v>
      </c>
      <c r="G416" s="9"/>
      <c r="H416" s="10">
        <f t="shared" si="100"/>
        <v>0</v>
      </c>
      <c r="I416" s="8" t="str">
        <f>IFERROR(H416/H444, "NA")</f>
        <v>NA</v>
      </c>
      <c r="J416" s="9"/>
      <c r="K416" s="7">
        <v>0</v>
      </c>
      <c r="L416" s="8" t="str">
        <f>IFERROR(K416/K444, "NA")</f>
        <v>NA</v>
      </c>
      <c r="M416" s="9"/>
      <c r="N416" s="10">
        <f t="shared" si="101"/>
        <v>0</v>
      </c>
      <c r="O416" s="8" t="str">
        <f>IFERROR(N416/N444, "NA")</f>
        <v>NA</v>
      </c>
      <c r="P416" s="9"/>
      <c r="Q416" s="7">
        <v>0</v>
      </c>
      <c r="R416" s="8" t="str">
        <f>IFERROR(Q416/Q444, "NA")</f>
        <v>NA</v>
      </c>
      <c r="S416" s="9"/>
      <c r="T416" s="7">
        <v>0</v>
      </c>
      <c r="U416" s="8" t="str">
        <f>IFERROR(T416/T444, "NA")</f>
        <v>NA</v>
      </c>
      <c r="V416" s="9"/>
      <c r="W416" s="10">
        <f t="shared" si="102"/>
        <v>0</v>
      </c>
      <c r="X416" s="8" t="str">
        <f>IFERROR(W416/W444, "NA")</f>
        <v>NA</v>
      </c>
      <c r="Y416" s="9"/>
      <c r="Z416" s="7">
        <v>0</v>
      </c>
      <c r="AA416" s="8" t="str">
        <f>IFERROR(Z416/Z444, "NA")</f>
        <v>NA</v>
      </c>
      <c r="AB416" s="9"/>
      <c r="AC416" s="10">
        <f t="shared" si="103"/>
        <v>0</v>
      </c>
      <c r="AD416" s="8" t="str">
        <f>IFERROR(AC416/AC444, "NA")</f>
        <v>NA</v>
      </c>
    </row>
    <row r="417" spans="1:30" ht="16.5" hidden="1" customHeight="1" x14ac:dyDescent="0.45">
      <c r="A417" s="6" t="s">
        <v>382</v>
      </c>
      <c r="B417" s="7">
        <v>0</v>
      </c>
      <c r="C417" s="8" t="str">
        <f>IFERROR(B417/B444, "NA")</f>
        <v>NA</v>
      </c>
      <c r="D417" s="9"/>
      <c r="E417" s="7">
        <v>0</v>
      </c>
      <c r="F417" s="8" t="str">
        <f>IFERROR(E417/E444, "NA")</f>
        <v>NA</v>
      </c>
      <c r="G417" s="9"/>
      <c r="H417" s="10">
        <f t="shared" si="100"/>
        <v>0</v>
      </c>
      <c r="I417" s="8" t="str">
        <f>IFERROR(H417/H444, "NA")</f>
        <v>NA</v>
      </c>
      <c r="J417" s="9"/>
      <c r="K417" s="7">
        <v>0</v>
      </c>
      <c r="L417" s="8" t="str">
        <f>IFERROR(K417/K444, "NA")</f>
        <v>NA</v>
      </c>
      <c r="M417" s="9"/>
      <c r="N417" s="10">
        <f t="shared" si="101"/>
        <v>0</v>
      </c>
      <c r="O417" s="8" t="str">
        <f>IFERROR(N417/N444, "NA")</f>
        <v>NA</v>
      </c>
      <c r="P417" s="9"/>
      <c r="Q417" s="7">
        <v>0</v>
      </c>
      <c r="R417" s="8" t="str">
        <f>IFERROR(Q417/Q444, "NA")</f>
        <v>NA</v>
      </c>
      <c r="S417" s="9"/>
      <c r="T417" s="7">
        <v>0</v>
      </c>
      <c r="U417" s="8" t="str">
        <f>IFERROR(T417/T444, "NA")</f>
        <v>NA</v>
      </c>
      <c r="V417" s="9"/>
      <c r="W417" s="10">
        <f t="shared" si="102"/>
        <v>0</v>
      </c>
      <c r="X417" s="8" t="str">
        <f>IFERROR(W417/W444, "NA")</f>
        <v>NA</v>
      </c>
      <c r="Y417" s="9"/>
      <c r="Z417" s="7">
        <v>0</v>
      </c>
      <c r="AA417" s="8" t="str">
        <f>IFERROR(Z417/Z444, "NA")</f>
        <v>NA</v>
      </c>
      <c r="AB417" s="9"/>
      <c r="AC417" s="10">
        <f t="shared" si="103"/>
        <v>0</v>
      </c>
      <c r="AD417" s="8" t="str">
        <f>IFERROR(AC417/AC444, "NA")</f>
        <v>NA</v>
      </c>
    </row>
    <row r="418" spans="1:30" ht="16.5" customHeight="1" x14ac:dyDescent="0.45">
      <c r="A418" s="6" t="s">
        <v>383</v>
      </c>
      <c r="B418" s="7">
        <v>0</v>
      </c>
      <c r="C418" s="8" t="str">
        <f>IFERROR(B418/B444, "NA")</f>
        <v>NA</v>
      </c>
      <c r="D418" s="9"/>
      <c r="E418" s="7">
        <v>0</v>
      </c>
      <c r="F418" s="8" t="str">
        <f>IFERROR(E418/E444, "NA")</f>
        <v>NA</v>
      </c>
      <c r="G418" s="9"/>
      <c r="H418" s="10">
        <f t="shared" si="100"/>
        <v>0</v>
      </c>
      <c r="I418" s="8" t="str">
        <f>IFERROR(H418/H444, "NA")</f>
        <v>NA</v>
      </c>
      <c r="J418" s="9"/>
      <c r="K418" s="7">
        <v>0</v>
      </c>
      <c r="L418" s="8" t="str">
        <f>IFERROR(K418/K444, "NA")</f>
        <v>NA</v>
      </c>
      <c r="M418" s="9"/>
      <c r="N418" s="10">
        <f t="shared" si="101"/>
        <v>0</v>
      </c>
      <c r="O418" s="8" t="str">
        <f>IFERROR(N418/N444, "NA")</f>
        <v>NA</v>
      </c>
      <c r="P418" s="9"/>
      <c r="Q418" s="7">
        <v>-3725.69</v>
      </c>
      <c r="R418" s="8" t="str">
        <f>IFERROR(Q418/Q444, "NA")</f>
        <v>NA</v>
      </c>
      <c r="S418" s="9"/>
      <c r="T418" s="7">
        <v>0</v>
      </c>
      <c r="U418" s="8" t="str">
        <f>IFERROR(T418/T444, "NA")</f>
        <v>NA</v>
      </c>
      <c r="V418" s="9"/>
      <c r="W418" s="10">
        <f t="shared" si="102"/>
        <v>3725.69</v>
      </c>
      <c r="X418" s="8" t="str">
        <f>IFERROR(W418/W444, "NA")</f>
        <v>NA</v>
      </c>
      <c r="Y418" s="9"/>
      <c r="Z418" s="7">
        <v>-2278.69</v>
      </c>
      <c r="AA418" s="8" t="str">
        <f>IFERROR(Z418/Z444, "NA")</f>
        <v>NA</v>
      </c>
      <c r="AB418" s="9"/>
      <c r="AC418" s="10">
        <f t="shared" si="103"/>
        <v>1447</v>
      </c>
      <c r="AD418" s="8" t="str">
        <f>IFERROR(AC418/AC444, "NA")</f>
        <v>NA</v>
      </c>
    </row>
    <row r="419" spans="1:30" ht="16.5" customHeight="1" x14ac:dyDescent="0.45">
      <c r="A419" s="6" t="s">
        <v>384</v>
      </c>
      <c r="B419" s="7">
        <v>56.25</v>
      </c>
      <c r="C419" s="8" t="str">
        <f>IFERROR(B419/B444, "NA")</f>
        <v>NA</v>
      </c>
      <c r="D419" s="9"/>
      <c r="E419" s="7">
        <v>0</v>
      </c>
      <c r="F419" s="8" t="str">
        <f>IFERROR(E419/E444, "NA")</f>
        <v>NA</v>
      </c>
      <c r="G419" s="9"/>
      <c r="H419" s="10">
        <f t="shared" si="100"/>
        <v>-56.25</v>
      </c>
      <c r="I419" s="8" t="str">
        <f>IFERROR(H419/H444, "NA")</f>
        <v>NA</v>
      </c>
      <c r="J419" s="9"/>
      <c r="K419" s="7">
        <v>0</v>
      </c>
      <c r="L419" s="8" t="str">
        <f>IFERROR(K419/K444, "NA")</f>
        <v>NA</v>
      </c>
      <c r="M419" s="9"/>
      <c r="N419" s="10">
        <f t="shared" si="101"/>
        <v>-56.25</v>
      </c>
      <c r="O419" s="8" t="str">
        <f>IFERROR(N419/N444, "NA")</f>
        <v>NA</v>
      </c>
      <c r="P419" s="9"/>
      <c r="Q419" s="7">
        <v>56.25</v>
      </c>
      <c r="R419" s="8" t="str">
        <f>IFERROR(Q419/Q444, "NA")</f>
        <v>NA</v>
      </c>
      <c r="S419" s="9"/>
      <c r="T419" s="7">
        <v>0</v>
      </c>
      <c r="U419" s="8" t="str">
        <f>IFERROR(T419/T444, "NA")</f>
        <v>NA</v>
      </c>
      <c r="V419" s="9"/>
      <c r="W419" s="10">
        <f t="shared" si="102"/>
        <v>-56.25</v>
      </c>
      <c r="X419" s="8" t="str">
        <f>IFERROR(W419/W444, "NA")</f>
        <v>NA</v>
      </c>
      <c r="Y419" s="9"/>
      <c r="Z419" s="7">
        <v>0</v>
      </c>
      <c r="AA419" s="8" t="str">
        <f>IFERROR(Z419/Z444, "NA")</f>
        <v>NA</v>
      </c>
      <c r="AB419" s="9"/>
      <c r="AC419" s="10">
        <f t="shared" si="103"/>
        <v>-56.25</v>
      </c>
      <c r="AD419" s="8" t="str">
        <f>IFERROR(AC419/AC444, "NA")</f>
        <v>NA</v>
      </c>
    </row>
    <row r="420" spans="1:30" ht="16.5" hidden="1" customHeight="1" x14ac:dyDescent="0.45">
      <c r="A420" s="6" t="s">
        <v>385</v>
      </c>
      <c r="B420" s="7">
        <v>0</v>
      </c>
      <c r="C420" s="8" t="str">
        <f>IFERROR(B420/B444, "NA")</f>
        <v>NA</v>
      </c>
      <c r="D420" s="9"/>
      <c r="E420" s="7">
        <v>0</v>
      </c>
      <c r="F420" s="8" t="str">
        <f>IFERROR(E420/E444, "NA")</f>
        <v>NA</v>
      </c>
      <c r="G420" s="9"/>
      <c r="H420" s="10">
        <f t="shared" si="100"/>
        <v>0</v>
      </c>
      <c r="I420" s="8" t="str">
        <f>IFERROR(H420/H444, "NA")</f>
        <v>NA</v>
      </c>
      <c r="J420" s="9"/>
      <c r="K420" s="7">
        <v>0</v>
      </c>
      <c r="L420" s="8" t="str">
        <f>IFERROR(K420/K444, "NA")</f>
        <v>NA</v>
      </c>
      <c r="M420" s="9"/>
      <c r="N420" s="10">
        <f t="shared" si="101"/>
        <v>0</v>
      </c>
      <c r="O420" s="8" t="str">
        <f>IFERROR(N420/N444, "NA")</f>
        <v>NA</v>
      </c>
      <c r="P420" s="9"/>
      <c r="Q420" s="7">
        <v>0</v>
      </c>
      <c r="R420" s="8" t="str">
        <f>IFERROR(Q420/Q444, "NA")</f>
        <v>NA</v>
      </c>
      <c r="S420" s="9"/>
      <c r="T420" s="7">
        <v>0</v>
      </c>
      <c r="U420" s="8" t="str">
        <f>IFERROR(T420/T444, "NA")</f>
        <v>NA</v>
      </c>
      <c r="V420" s="9"/>
      <c r="W420" s="10">
        <f t="shared" si="102"/>
        <v>0</v>
      </c>
      <c r="X420" s="8" t="str">
        <f>IFERROR(W420/W444, "NA")</f>
        <v>NA</v>
      </c>
      <c r="Y420" s="9"/>
      <c r="Z420" s="7">
        <v>0</v>
      </c>
      <c r="AA420" s="8" t="str">
        <f>IFERROR(Z420/Z444, "NA")</f>
        <v>NA</v>
      </c>
      <c r="AB420" s="9"/>
      <c r="AC420" s="10">
        <f t="shared" si="103"/>
        <v>0</v>
      </c>
      <c r="AD420" s="8" t="str">
        <f>IFERROR(AC420/AC444, "NA")</f>
        <v>NA</v>
      </c>
    </row>
    <row r="421" spans="1:30" ht="16.5" hidden="1" customHeight="1" x14ac:dyDescent="0.45">
      <c r="A421" s="6" t="s">
        <v>386</v>
      </c>
      <c r="B421" s="7">
        <v>0</v>
      </c>
      <c r="C421" s="8" t="str">
        <f>IFERROR(B421/B444, "NA")</f>
        <v>NA</v>
      </c>
      <c r="D421" s="9"/>
      <c r="E421" s="7">
        <v>0</v>
      </c>
      <c r="F421" s="8" t="str">
        <f>IFERROR(E421/E444, "NA")</f>
        <v>NA</v>
      </c>
      <c r="G421" s="9"/>
      <c r="H421" s="10">
        <f t="shared" si="100"/>
        <v>0</v>
      </c>
      <c r="I421" s="8" t="str">
        <f>IFERROR(H421/H444, "NA")</f>
        <v>NA</v>
      </c>
      <c r="J421" s="9"/>
      <c r="K421" s="7">
        <v>0</v>
      </c>
      <c r="L421" s="8" t="str">
        <f>IFERROR(K421/K444, "NA")</f>
        <v>NA</v>
      </c>
      <c r="M421" s="9"/>
      <c r="N421" s="10">
        <f t="shared" si="101"/>
        <v>0</v>
      </c>
      <c r="O421" s="8" t="str">
        <f>IFERROR(N421/N444, "NA")</f>
        <v>NA</v>
      </c>
      <c r="P421" s="9"/>
      <c r="Q421" s="7">
        <v>0</v>
      </c>
      <c r="R421" s="8" t="str">
        <f>IFERROR(Q421/Q444, "NA")</f>
        <v>NA</v>
      </c>
      <c r="S421" s="9"/>
      <c r="T421" s="7">
        <v>0</v>
      </c>
      <c r="U421" s="8" t="str">
        <f>IFERROR(T421/T444, "NA")</f>
        <v>NA</v>
      </c>
      <c r="V421" s="9"/>
      <c r="W421" s="10">
        <f t="shared" si="102"/>
        <v>0</v>
      </c>
      <c r="X421" s="8" t="str">
        <f>IFERROR(W421/W444, "NA")</f>
        <v>NA</v>
      </c>
      <c r="Y421" s="9"/>
      <c r="Z421" s="7">
        <v>0</v>
      </c>
      <c r="AA421" s="8" t="str">
        <f>IFERROR(Z421/Z444, "NA")</f>
        <v>NA</v>
      </c>
      <c r="AB421" s="9"/>
      <c r="AC421" s="10">
        <f t="shared" si="103"/>
        <v>0</v>
      </c>
      <c r="AD421" s="8" t="str">
        <f>IFERROR(AC421/AC444, "NA")</f>
        <v>NA</v>
      </c>
    </row>
    <row r="422" spans="1:30" ht="16.5" hidden="1" customHeight="1" x14ac:dyDescent="0.45">
      <c r="A422" s="6" t="s">
        <v>387</v>
      </c>
      <c r="B422" s="7">
        <v>0</v>
      </c>
      <c r="C422" s="8" t="str">
        <f>IFERROR(B422/B444, "NA")</f>
        <v>NA</v>
      </c>
      <c r="D422" s="9"/>
      <c r="E422" s="7">
        <v>0</v>
      </c>
      <c r="F422" s="8" t="str">
        <f>IFERROR(E422/E444, "NA")</f>
        <v>NA</v>
      </c>
      <c r="G422" s="9"/>
      <c r="H422" s="10">
        <f t="shared" si="100"/>
        <v>0</v>
      </c>
      <c r="I422" s="8" t="str">
        <f>IFERROR(H422/H444, "NA")</f>
        <v>NA</v>
      </c>
      <c r="J422" s="9"/>
      <c r="K422" s="7">
        <v>0</v>
      </c>
      <c r="L422" s="8" t="str">
        <f>IFERROR(K422/K444, "NA")</f>
        <v>NA</v>
      </c>
      <c r="M422" s="9"/>
      <c r="N422" s="10">
        <f t="shared" si="101"/>
        <v>0</v>
      </c>
      <c r="O422" s="8" t="str">
        <f>IFERROR(N422/N444, "NA")</f>
        <v>NA</v>
      </c>
      <c r="P422" s="9"/>
      <c r="Q422" s="7">
        <v>0</v>
      </c>
      <c r="R422" s="8" t="str">
        <f>IFERROR(Q422/Q444, "NA")</f>
        <v>NA</v>
      </c>
      <c r="S422" s="9"/>
      <c r="T422" s="7">
        <v>0</v>
      </c>
      <c r="U422" s="8" t="str">
        <f>IFERROR(T422/T444, "NA")</f>
        <v>NA</v>
      </c>
      <c r="V422" s="9"/>
      <c r="W422" s="10">
        <f t="shared" si="102"/>
        <v>0</v>
      </c>
      <c r="X422" s="8" t="str">
        <f>IFERROR(W422/W444, "NA")</f>
        <v>NA</v>
      </c>
      <c r="Y422" s="9"/>
      <c r="Z422" s="7">
        <v>0</v>
      </c>
      <c r="AA422" s="8" t="str">
        <f>IFERROR(Z422/Z444, "NA")</f>
        <v>NA</v>
      </c>
      <c r="AB422" s="9"/>
      <c r="AC422" s="10">
        <f t="shared" si="103"/>
        <v>0</v>
      </c>
      <c r="AD422" s="8" t="str">
        <f>IFERROR(AC422/AC444, "NA")</f>
        <v>NA</v>
      </c>
    </row>
    <row r="423" spans="1:30" ht="16.5" customHeight="1" x14ac:dyDescent="0.45">
      <c r="A423" s="6" t="s">
        <v>388</v>
      </c>
      <c r="B423" s="7">
        <v>0</v>
      </c>
      <c r="C423" s="8" t="str">
        <f>IFERROR(B423/B444, "NA")</f>
        <v>NA</v>
      </c>
      <c r="D423" s="9"/>
      <c r="E423" s="7">
        <v>0</v>
      </c>
      <c r="F423" s="8" t="str">
        <f>IFERROR(E423/E444, "NA")</f>
        <v>NA</v>
      </c>
      <c r="G423" s="9"/>
      <c r="H423" s="10">
        <f t="shared" si="100"/>
        <v>0</v>
      </c>
      <c r="I423" s="8" t="str">
        <f>IFERROR(H423/H444, "NA")</f>
        <v>NA</v>
      </c>
      <c r="J423" s="9"/>
      <c r="K423" s="7">
        <v>0</v>
      </c>
      <c r="L423" s="8" t="str">
        <f>IFERROR(K423/K444, "NA")</f>
        <v>NA</v>
      </c>
      <c r="M423" s="9"/>
      <c r="N423" s="10">
        <f t="shared" si="101"/>
        <v>0</v>
      </c>
      <c r="O423" s="8" t="str">
        <f>IFERROR(N423/N444, "NA")</f>
        <v>NA</v>
      </c>
      <c r="P423" s="9"/>
      <c r="Q423" s="7">
        <v>-3.84</v>
      </c>
      <c r="R423" s="8" t="str">
        <f>IFERROR(Q423/Q444, "NA")</f>
        <v>NA</v>
      </c>
      <c r="S423" s="9"/>
      <c r="T423" s="7">
        <v>0</v>
      </c>
      <c r="U423" s="8" t="str">
        <f>IFERROR(T423/T444, "NA")</f>
        <v>NA</v>
      </c>
      <c r="V423" s="9"/>
      <c r="W423" s="10">
        <f t="shared" si="102"/>
        <v>3.84</v>
      </c>
      <c r="X423" s="8" t="str">
        <f>IFERROR(W423/W444, "NA")</f>
        <v>NA</v>
      </c>
      <c r="Y423" s="9"/>
      <c r="Z423" s="7">
        <v>0</v>
      </c>
      <c r="AA423" s="8" t="str">
        <f>IFERROR(Z423/Z444, "NA")</f>
        <v>NA</v>
      </c>
      <c r="AB423" s="9"/>
      <c r="AC423" s="10">
        <f t="shared" si="103"/>
        <v>3.84</v>
      </c>
      <c r="AD423" s="8" t="str">
        <f>IFERROR(AC423/AC444, "NA")</f>
        <v>NA</v>
      </c>
    </row>
    <row r="424" spans="1:30" ht="16.5" hidden="1" customHeight="1" x14ac:dyDescent="0.45">
      <c r="A424" s="6" t="s">
        <v>389</v>
      </c>
      <c r="B424" s="7">
        <v>0</v>
      </c>
      <c r="C424" s="8" t="str">
        <f>IFERROR(B424/B444, "NA")</f>
        <v>NA</v>
      </c>
      <c r="D424" s="9"/>
      <c r="E424" s="7">
        <v>0</v>
      </c>
      <c r="F424" s="8" t="str">
        <f>IFERROR(E424/E444, "NA")</f>
        <v>NA</v>
      </c>
      <c r="G424" s="9"/>
      <c r="H424" s="10">
        <f t="shared" si="100"/>
        <v>0</v>
      </c>
      <c r="I424" s="8" t="str">
        <f>IFERROR(H424/H444, "NA")</f>
        <v>NA</v>
      </c>
      <c r="J424" s="9"/>
      <c r="K424" s="7">
        <v>0</v>
      </c>
      <c r="L424" s="8" t="str">
        <f>IFERROR(K424/K444, "NA")</f>
        <v>NA</v>
      </c>
      <c r="M424" s="9"/>
      <c r="N424" s="10">
        <f t="shared" si="101"/>
        <v>0</v>
      </c>
      <c r="O424" s="8" t="str">
        <f>IFERROR(N424/N444, "NA")</f>
        <v>NA</v>
      </c>
      <c r="P424" s="9"/>
      <c r="Q424" s="7">
        <v>0</v>
      </c>
      <c r="R424" s="8" t="str">
        <f>IFERROR(Q424/Q444, "NA")</f>
        <v>NA</v>
      </c>
      <c r="S424" s="9"/>
      <c r="T424" s="7">
        <v>0</v>
      </c>
      <c r="U424" s="8" t="str">
        <f>IFERROR(T424/T444, "NA")</f>
        <v>NA</v>
      </c>
      <c r="V424" s="9"/>
      <c r="W424" s="10">
        <f t="shared" si="102"/>
        <v>0</v>
      </c>
      <c r="X424" s="8" t="str">
        <f>IFERROR(W424/W444, "NA")</f>
        <v>NA</v>
      </c>
      <c r="Y424" s="9"/>
      <c r="Z424" s="7">
        <v>0</v>
      </c>
      <c r="AA424" s="8" t="str">
        <f>IFERROR(Z424/Z444, "NA")</f>
        <v>NA</v>
      </c>
      <c r="AB424" s="9"/>
      <c r="AC424" s="10">
        <f t="shared" si="103"/>
        <v>0</v>
      </c>
      <c r="AD424" s="8" t="str">
        <f>IFERROR(AC424/AC444, "NA")</f>
        <v>NA</v>
      </c>
    </row>
    <row r="425" spans="1:30" ht="16.5" hidden="1" customHeight="1" x14ac:dyDescent="0.45">
      <c r="A425" s="6" t="s">
        <v>390</v>
      </c>
      <c r="B425" s="7">
        <v>0</v>
      </c>
      <c r="C425" s="8" t="str">
        <f>IFERROR(B425/B444, "NA")</f>
        <v>NA</v>
      </c>
      <c r="D425" s="9"/>
      <c r="E425" s="7">
        <v>0</v>
      </c>
      <c r="F425" s="8" t="str">
        <f>IFERROR(E425/E444, "NA")</f>
        <v>NA</v>
      </c>
      <c r="G425" s="9"/>
      <c r="H425" s="10">
        <f t="shared" si="100"/>
        <v>0</v>
      </c>
      <c r="I425" s="8" t="str">
        <f>IFERROR(H425/H444, "NA")</f>
        <v>NA</v>
      </c>
      <c r="J425" s="9"/>
      <c r="K425" s="7">
        <v>0</v>
      </c>
      <c r="L425" s="8" t="str">
        <f>IFERROR(K425/K444, "NA")</f>
        <v>NA</v>
      </c>
      <c r="M425" s="9"/>
      <c r="N425" s="10">
        <f t="shared" si="101"/>
        <v>0</v>
      </c>
      <c r="O425" s="8" t="str">
        <f>IFERROR(N425/N444, "NA")</f>
        <v>NA</v>
      </c>
      <c r="P425" s="9"/>
      <c r="Q425" s="7">
        <v>0</v>
      </c>
      <c r="R425" s="8" t="str">
        <f>IFERROR(Q425/Q444, "NA")</f>
        <v>NA</v>
      </c>
      <c r="S425" s="9"/>
      <c r="T425" s="7">
        <v>0</v>
      </c>
      <c r="U425" s="8" t="str">
        <f>IFERROR(T425/T444, "NA")</f>
        <v>NA</v>
      </c>
      <c r="V425" s="9"/>
      <c r="W425" s="10">
        <f t="shared" si="102"/>
        <v>0</v>
      </c>
      <c r="X425" s="8" t="str">
        <f>IFERROR(W425/W444, "NA")</f>
        <v>NA</v>
      </c>
      <c r="Y425" s="9"/>
      <c r="Z425" s="7">
        <v>0</v>
      </c>
      <c r="AA425" s="8" t="str">
        <f>IFERROR(Z425/Z444, "NA")</f>
        <v>NA</v>
      </c>
      <c r="AB425" s="9"/>
      <c r="AC425" s="10">
        <f t="shared" si="103"/>
        <v>0</v>
      </c>
      <c r="AD425" s="8" t="str">
        <f>IFERROR(AC425/AC444, "NA")</f>
        <v>NA</v>
      </c>
    </row>
    <row r="426" spans="1:30" ht="16.5" customHeight="1" x14ac:dyDescent="0.45">
      <c r="A426" s="6" t="s">
        <v>391</v>
      </c>
      <c r="B426" s="7">
        <v>-17020.66</v>
      </c>
      <c r="C426" s="8" t="str">
        <f>IFERROR(B426/B444, "NA")</f>
        <v>NA</v>
      </c>
      <c r="D426" s="9"/>
      <c r="E426" s="7">
        <v>0</v>
      </c>
      <c r="F426" s="8" t="str">
        <f>IFERROR(E426/E444, "NA")</f>
        <v>NA</v>
      </c>
      <c r="G426" s="9"/>
      <c r="H426" s="10">
        <f t="shared" si="100"/>
        <v>17020.66</v>
      </c>
      <c r="I426" s="8" t="str">
        <f>IFERROR(H426/H444, "NA")</f>
        <v>NA</v>
      </c>
      <c r="J426" s="9"/>
      <c r="K426" s="7">
        <v>-1410.99</v>
      </c>
      <c r="L426" s="8" t="str">
        <f>IFERROR(K426/K444, "NA")</f>
        <v>NA</v>
      </c>
      <c r="M426" s="9"/>
      <c r="N426" s="10">
        <f t="shared" si="101"/>
        <v>15609.67</v>
      </c>
      <c r="O426" s="8" t="str">
        <f>IFERROR(N426/N444, "NA")</f>
        <v>NA</v>
      </c>
      <c r="P426" s="9"/>
      <c r="Q426" s="7">
        <v>-62864.03</v>
      </c>
      <c r="R426" s="8" t="str">
        <f>IFERROR(Q426/Q444, "NA")</f>
        <v>NA</v>
      </c>
      <c r="S426" s="9"/>
      <c r="T426" s="7">
        <v>0</v>
      </c>
      <c r="U426" s="8" t="str">
        <f>IFERROR(T426/T444, "NA")</f>
        <v>NA</v>
      </c>
      <c r="V426" s="9"/>
      <c r="W426" s="10">
        <f t="shared" si="102"/>
        <v>62864.03</v>
      </c>
      <c r="X426" s="8" t="str">
        <f>IFERROR(W426/W444, "NA")</f>
        <v>NA</v>
      </c>
      <c r="Y426" s="9"/>
      <c r="Z426" s="7">
        <v>-2871.9</v>
      </c>
      <c r="AA426" s="8" t="str">
        <f>IFERROR(Z426/Z444, "NA")</f>
        <v>NA</v>
      </c>
      <c r="AB426" s="9"/>
      <c r="AC426" s="10">
        <f t="shared" si="103"/>
        <v>59992.13</v>
      </c>
      <c r="AD426" s="8" t="str">
        <f>IFERROR(AC426/AC444, "NA")</f>
        <v>NA</v>
      </c>
    </row>
    <row r="427" spans="1:30" ht="16.5" hidden="1" customHeight="1" x14ac:dyDescent="0.45">
      <c r="A427" s="6" t="s">
        <v>392</v>
      </c>
      <c r="B427" s="7">
        <v>0</v>
      </c>
      <c r="C427" s="8" t="str">
        <f>IFERROR(B427/B444, "NA")</f>
        <v>NA</v>
      </c>
      <c r="D427" s="9"/>
      <c r="E427" s="7">
        <v>0</v>
      </c>
      <c r="F427" s="8" t="str">
        <f>IFERROR(E427/E444, "NA")</f>
        <v>NA</v>
      </c>
      <c r="G427" s="9"/>
      <c r="H427" s="10">
        <f t="shared" si="100"/>
        <v>0</v>
      </c>
      <c r="I427" s="8" t="str">
        <f>IFERROR(H427/H444, "NA")</f>
        <v>NA</v>
      </c>
      <c r="J427" s="9"/>
      <c r="K427" s="7">
        <v>0</v>
      </c>
      <c r="L427" s="8" t="str">
        <f>IFERROR(K427/K444, "NA")</f>
        <v>NA</v>
      </c>
      <c r="M427" s="9"/>
      <c r="N427" s="10">
        <f t="shared" si="101"/>
        <v>0</v>
      </c>
      <c r="O427" s="8" t="str">
        <f>IFERROR(N427/N444, "NA")</f>
        <v>NA</v>
      </c>
      <c r="P427" s="9"/>
      <c r="Q427" s="7">
        <v>0</v>
      </c>
      <c r="R427" s="8" t="str">
        <f>IFERROR(Q427/Q444, "NA")</f>
        <v>NA</v>
      </c>
      <c r="S427" s="9"/>
      <c r="T427" s="7">
        <v>0</v>
      </c>
      <c r="U427" s="8" t="str">
        <f>IFERROR(T427/T444, "NA")</f>
        <v>NA</v>
      </c>
      <c r="V427" s="9"/>
      <c r="W427" s="10">
        <f t="shared" si="102"/>
        <v>0</v>
      </c>
      <c r="X427" s="8" t="str">
        <f>IFERROR(W427/W444, "NA")</f>
        <v>NA</v>
      </c>
      <c r="Y427" s="9"/>
      <c r="Z427" s="7">
        <v>0</v>
      </c>
      <c r="AA427" s="8" t="str">
        <f>IFERROR(Z427/Z444, "NA")</f>
        <v>NA</v>
      </c>
      <c r="AB427" s="9"/>
      <c r="AC427" s="10">
        <f t="shared" si="103"/>
        <v>0</v>
      </c>
      <c r="AD427" s="8" t="str">
        <f>IFERROR(AC427/AC444, "NA")</f>
        <v>NA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-16636.34</v>
      </c>
      <c r="C428" s="15" t="str">
        <f>IFERROR(B428/B444, "NA")</f>
        <v>NA</v>
      </c>
      <c r="D428" s="2"/>
      <c r="E428" s="14">
        <f>IFERROR(E407+E408+E409+E410+E411+E412+E413+E414+E415+E416+E417+E418+E419+E420+E421+E422+E423+E424+E425+E426+E427, "NA")</f>
        <v>0</v>
      </c>
      <c r="F428" s="15" t="str">
        <f>IFERROR(E428/E444, "NA")</f>
        <v>NA</v>
      </c>
      <c r="G428" s="2"/>
      <c r="H428" s="14">
        <f t="shared" si="100"/>
        <v>16636.34</v>
      </c>
      <c r="I428" s="15" t="str">
        <f>IFERROR(H428/H444, "NA")</f>
        <v>NA</v>
      </c>
      <c r="J428" s="2"/>
      <c r="K428" s="14">
        <f>IFERROR(K407+K408+K409+K410+K411+K412+K413+K414+K415+K416+K417+K418+K419+K420+K421+K422+K423+K424+K425+K426+K427, "NA")</f>
        <v>-1226.0999999999999</v>
      </c>
      <c r="L428" s="15" t="str">
        <f>IFERROR(K428/K444, "NA")</f>
        <v>NA</v>
      </c>
      <c r="M428" s="2"/>
      <c r="N428" s="14">
        <f t="shared" si="101"/>
        <v>15410.24</v>
      </c>
      <c r="O428" s="15" t="str">
        <f>IFERROR(N428/N444, "NA")</f>
        <v>NA</v>
      </c>
      <c r="P428" s="2"/>
      <c r="Q428" s="14">
        <f>IFERROR(Q407+Q408+Q409+Q410+Q411+Q412+Q413+Q414+Q415+Q416+Q417+Q418+Q419+Q420+Q421+Q422+Q423+Q424+Q425+Q426+Q427, "NA")</f>
        <v>-64712.07</v>
      </c>
      <c r="R428" s="15" t="str">
        <f>IFERROR(Q428/Q444, "NA")</f>
        <v>NA</v>
      </c>
      <c r="S428" s="2"/>
      <c r="T428" s="14">
        <f>IFERROR(T407+T408+T409+T410+T411+T412+T413+T414+T415+T416+T417+T418+T419+T420+T421+T422+T423+T424+T425+T426+T427, "NA")</f>
        <v>0</v>
      </c>
      <c r="U428" s="15" t="str">
        <f>IFERROR(T428/T444, "NA")</f>
        <v>NA</v>
      </c>
      <c r="V428" s="2"/>
      <c r="W428" s="14">
        <f t="shared" si="102"/>
        <v>64712.07</v>
      </c>
      <c r="X428" s="15" t="str">
        <f>IFERROR(W428/W444, "NA")</f>
        <v>NA</v>
      </c>
      <c r="Y428" s="2"/>
      <c r="Z428" s="14">
        <f>IFERROR(Z407+Z408+Z409+Z410+Z411+Z412+Z413+Z414+Z415+Z416+Z417+Z418+Z419+Z420+Z421+Z422+Z423+Z424+Z425+Z426+Z427, "NA")</f>
        <v>-4041.25</v>
      </c>
      <c r="AA428" s="15" t="str">
        <f>IFERROR(Z428/Z444, "NA")</f>
        <v>NA</v>
      </c>
      <c r="AB428" s="2"/>
      <c r="AC428" s="14">
        <f t="shared" si="103"/>
        <v>60670.82</v>
      </c>
      <c r="AD428" s="15" t="str">
        <f>IFERROR(AC428/AC444, "NA")</f>
        <v>NA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-16636.34</v>
      </c>
      <c r="C429" s="15" t="str">
        <f>IFERROR(B429/B444, "NA")</f>
        <v>NA</v>
      </c>
      <c r="D429" s="2"/>
      <c r="E429" s="14">
        <f>IFERROR(E407+E408+E409+E410+E411+E412+E413+E414+E415+E416+E417+E418+E419+E420+E421+E422+E423+E424+E425+E426+E427, "NA")</f>
        <v>0</v>
      </c>
      <c r="F429" s="15" t="str">
        <f>IFERROR(E429/E444, "NA")</f>
        <v>NA</v>
      </c>
      <c r="G429" s="2"/>
      <c r="H429" s="14">
        <f t="shared" si="100"/>
        <v>16636.34</v>
      </c>
      <c r="I429" s="15" t="str">
        <f>IFERROR(H429/H444, "NA")</f>
        <v>NA</v>
      </c>
      <c r="J429" s="2"/>
      <c r="K429" s="14">
        <f>IFERROR(K407+K408+K409+K410+K411+K412+K413+K414+K415+K416+K417+K418+K419+K420+K421+K422+K423+K424+K425+K426+K427, "NA")</f>
        <v>-1226.0999999999999</v>
      </c>
      <c r="L429" s="15" t="str">
        <f>IFERROR(K429/K444, "NA")</f>
        <v>NA</v>
      </c>
      <c r="M429" s="2"/>
      <c r="N429" s="14">
        <f t="shared" si="101"/>
        <v>15410.24</v>
      </c>
      <c r="O429" s="15" t="str">
        <f>IFERROR(N429/N444, "NA")</f>
        <v>NA</v>
      </c>
      <c r="P429" s="2"/>
      <c r="Q429" s="14">
        <f>IFERROR(Q407+Q408+Q409+Q410+Q411+Q412+Q413+Q414+Q415+Q416+Q417+Q418+Q419+Q420+Q421+Q422+Q423+Q424+Q425+Q426+Q427, "NA")</f>
        <v>-64712.07</v>
      </c>
      <c r="R429" s="15" t="str">
        <f>IFERROR(Q429/Q444, "NA")</f>
        <v>NA</v>
      </c>
      <c r="S429" s="2"/>
      <c r="T429" s="14">
        <f>IFERROR(T407+T408+T409+T410+T411+T412+T413+T414+T415+T416+T417+T418+T419+T420+T421+T422+T423+T424+T425+T426+T427, "NA")</f>
        <v>0</v>
      </c>
      <c r="U429" s="15" t="str">
        <f>IFERROR(T429/T444, "NA")</f>
        <v>NA</v>
      </c>
      <c r="V429" s="2"/>
      <c r="W429" s="14">
        <f t="shared" si="102"/>
        <v>64712.07</v>
      </c>
      <c r="X429" s="15" t="str">
        <f>IFERROR(W429/W444, "NA")</f>
        <v>NA</v>
      </c>
      <c r="Y429" s="2"/>
      <c r="Z429" s="14">
        <f>IFERROR(Z407+Z408+Z409+Z410+Z411+Z412+Z413+Z414+Z415+Z416+Z417+Z418+Z419+Z420+Z421+Z422+Z423+Z424+Z425+Z426+Z427, "NA")</f>
        <v>-4041.25</v>
      </c>
      <c r="AA429" s="15" t="str">
        <f>IFERROR(Z429/Z444, "NA")</f>
        <v>NA</v>
      </c>
      <c r="AB429" s="2"/>
      <c r="AC429" s="14">
        <f t="shared" si="103"/>
        <v>60670.82</v>
      </c>
      <c r="AD429" s="15" t="str">
        <f>IFERROR(AC429/AC444, "NA")</f>
        <v>NA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 t="str">
        <f>IFERROR(B432/B444, "NA")</f>
        <v>NA</v>
      </c>
      <c r="D432" s="9"/>
      <c r="E432" s="7">
        <v>0</v>
      </c>
      <c r="F432" s="8" t="str">
        <f>IFERROR(E432/E444, "NA")</f>
        <v>NA</v>
      </c>
      <c r="G432" s="9"/>
      <c r="H432" s="10">
        <f t="shared" ref="H432:H442" si="104">IFERROR(-(B432-E432), "NA")</f>
        <v>0</v>
      </c>
      <c r="I432" s="8" t="str">
        <f>IFERROR(H432/H444, "NA")</f>
        <v>NA</v>
      </c>
      <c r="J432" s="9"/>
      <c r="K432" s="7">
        <v>0</v>
      </c>
      <c r="L432" s="8" t="str">
        <f>IFERROR(K432/K444, "NA")</f>
        <v>NA</v>
      </c>
      <c r="M432" s="9"/>
      <c r="N432" s="10">
        <f t="shared" ref="N432:N442" si="105">IFERROR(-(B432-K432), "NA")</f>
        <v>0</v>
      </c>
      <c r="O432" s="8" t="str">
        <f>IFERROR(N432/N444, "NA")</f>
        <v>NA</v>
      </c>
      <c r="P432" s="9"/>
      <c r="Q432" s="7">
        <v>0</v>
      </c>
      <c r="R432" s="8" t="str">
        <f>IFERROR(Q432/Q444, "NA")</f>
        <v>NA</v>
      </c>
      <c r="S432" s="9"/>
      <c r="T432" s="7">
        <v>0</v>
      </c>
      <c r="U432" s="8" t="str">
        <f>IFERROR(T432/T444, "NA")</f>
        <v>NA</v>
      </c>
      <c r="V432" s="9"/>
      <c r="W432" s="10">
        <f t="shared" ref="W432:W442" si="106">IFERROR(-(Q432-T432), "NA")</f>
        <v>0</v>
      </c>
      <c r="X432" s="8" t="str">
        <f>IFERROR(W432/W444, "NA")</f>
        <v>NA</v>
      </c>
      <c r="Y432" s="9"/>
      <c r="Z432" s="7">
        <v>0</v>
      </c>
      <c r="AA432" s="8" t="str">
        <f>IFERROR(Z432/Z444, "NA")</f>
        <v>NA</v>
      </c>
      <c r="AB432" s="9"/>
      <c r="AC432" s="10">
        <f t="shared" ref="AC432:AC442" si="107">IFERROR(-(Q432-Z432), "NA")</f>
        <v>0</v>
      </c>
      <c r="AD432" s="8" t="str">
        <f>IFERROR(AC432/AC444, "NA")</f>
        <v>NA</v>
      </c>
    </row>
    <row r="433" spans="1:30" ht="16.5" hidden="1" customHeight="1" x14ac:dyDescent="0.45">
      <c r="A433" s="6" t="s">
        <v>397</v>
      </c>
      <c r="B433" s="7">
        <v>0</v>
      </c>
      <c r="C433" s="8" t="str">
        <f>IFERROR(B433/B444, "NA")</f>
        <v>NA</v>
      </c>
      <c r="D433" s="9"/>
      <c r="E433" s="7">
        <v>0</v>
      </c>
      <c r="F433" s="8" t="str">
        <f>IFERROR(E433/E444, "NA")</f>
        <v>NA</v>
      </c>
      <c r="G433" s="9"/>
      <c r="H433" s="10">
        <f t="shared" si="104"/>
        <v>0</v>
      </c>
      <c r="I433" s="8" t="str">
        <f>IFERROR(H433/H444, "NA")</f>
        <v>NA</v>
      </c>
      <c r="J433" s="9"/>
      <c r="K433" s="7">
        <v>0</v>
      </c>
      <c r="L433" s="8" t="str">
        <f>IFERROR(K433/K444, "NA")</f>
        <v>NA</v>
      </c>
      <c r="M433" s="9"/>
      <c r="N433" s="10">
        <f t="shared" si="105"/>
        <v>0</v>
      </c>
      <c r="O433" s="8" t="str">
        <f>IFERROR(N433/N444, "NA")</f>
        <v>NA</v>
      </c>
      <c r="P433" s="9"/>
      <c r="Q433" s="7">
        <v>0</v>
      </c>
      <c r="R433" s="8" t="str">
        <f>IFERROR(Q433/Q444, "NA")</f>
        <v>NA</v>
      </c>
      <c r="S433" s="9"/>
      <c r="T433" s="7">
        <v>0</v>
      </c>
      <c r="U433" s="8" t="str">
        <f>IFERROR(T433/T444, "NA")</f>
        <v>NA</v>
      </c>
      <c r="V433" s="9"/>
      <c r="W433" s="10">
        <f t="shared" si="106"/>
        <v>0</v>
      </c>
      <c r="X433" s="8" t="str">
        <f>IFERROR(W433/W444, "NA")</f>
        <v>NA</v>
      </c>
      <c r="Y433" s="9"/>
      <c r="Z433" s="7">
        <v>0</v>
      </c>
      <c r="AA433" s="8" t="str">
        <f>IFERROR(Z433/Z444, "NA")</f>
        <v>NA</v>
      </c>
      <c r="AB433" s="9"/>
      <c r="AC433" s="10">
        <f t="shared" si="107"/>
        <v>0</v>
      </c>
      <c r="AD433" s="8" t="str">
        <f>IFERROR(AC433/AC444, "NA")</f>
        <v>NA</v>
      </c>
    </row>
    <row r="434" spans="1:30" ht="16.5" hidden="1" customHeight="1" x14ac:dyDescent="0.45">
      <c r="A434" s="6" t="s">
        <v>398</v>
      </c>
      <c r="B434" s="7">
        <v>0</v>
      </c>
      <c r="C434" s="8" t="str">
        <f>IFERROR(B434/B444, "NA")</f>
        <v>NA</v>
      </c>
      <c r="D434" s="9"/>
      <c r="E434" s="7">
        <v>0</v>
      </c>
      <c r="F434" s="8" t="str">
        <f>IFERROR(E434/E444, "NA")</f>
        <v>NA</v>
      </c>
      <c r="G434" s="9"/>
      <c r="H434" s="10">
        <f t="shared" si="104"/>
        <v>0</v>
      </c>
      <c r="I434" s="8" t="str">
        <f>IFERROR(H434/H444, "NA")</f>
        <v>NA</v>
      </c>
      <c r="J434" s="9"/>
      <c r="K434" s="7">
        <v>0</v>
      </c>
      <c r="L434" s="8" t="str">
        <f>IFERROR(K434/K444, "NA")</f>
        <v>NA</v>
      </c>
      <c r="M434" s="9"/>
      <c r="N434" s="10">
        <f t="shared" si="105"/>
        <v>0</v>
      </c>
      <c r="O434" s="8" t="str">
        <f>IFERROR(N434/N444, "NA")</f>
        <v>NA</v>
      </c>
      <c r="P434" s="9"/>
      <c r="Q434" s="7">
        <v>0</v>
      </c>
      <c r="R434" s="8" t="str">
        <f>IFERROR(Q434/Q444, "NA")</f>
        <v>NA</v>
      </c>
      <c r="S434" s="9"/>
      <c r="T434" s="7">
        <v>0</v>
      </c>
      <c r="U434" s="8" t="str">
        <f>IFERROR(T434/T444, "NA")</f>
        <v>NA</v>
      </c>
      <c r="V434" s="9"/>
      <c r="W434" s="10">
        <f t="shared" si="106"/>
        <v>0</v>
      </c>
      <c r="X434" s="8" t="str">
        <f>IFERROR(W434/W444, "NA")</f>
        <v>NA</v>
      </c>
      <c r="Y434" s="9"/>
      <c r="Z434" s="7">
        <v>0</v>
      </c>
      <c r="AA434" s="8" t="str">
        <f>IFERROR(Z434/Z444, "NA")</f>
        <v>NA</v>
      </c>
      <c r="AB434" s="9"/>
      <c r="AC434" s="10">
        <f t="shared" si="107"/>
        <v>0</v>
      </c>
      <c r="AD434" s="8" t="str">
        <f>IFERROR(AC434/AC444, "NA")</f>
        <v>NA</v>
      </c>
    </row>
    <row r="435" spans="1:30" ht="16.5" hidden="1" customHeight="1" x14ac:dyDescent="0.45">
      <c r="A435" s="6" t="s">
        <v>399</v>
      </c>
      <c r="B435" s="7">
        <v>0</v>
      </c>
      <c r="C435" s="8" t="str">
        <f>IFERROR(B435/B444, "NA")</f>
        <v>NA</v>
      </c>
      <c r="D435" s="9"/>
      <c r="E435" s="7">
        <v>0</v>
      </c>
      <c r="F435" s="8" t="str">
        <f>IFERROR(E435/E444, "NA")</f>
        <v>NA</v>
      </c>
      <c r="G435" s="9"/>
      <c r="H435" s="10">
        <f t="shared" si="104"/>
        <v>0</v>
      </c>
      <c r="I435" s="8" t="str">
        <f>IFERROR(H435/H444, "NA")</f>
        <v>NA</v>
      </c>
      <c r="J435" s="9"/>
      <c r="K435" s="7">
        <v>0</v>
      </c>
      <c r="L435" s="8" t="str">
        <f>IFERROR(K435/K444, "NA")</f>
        <v>NA</v>
      </c>
      <c r="M435" s="9"/>
      <c r="N435" s="10">
        <f t="shared" si="105"/>
        <v>0</v>
      </c>
      <c r="O435" s="8" t="str">
        <f>IFERROR(N435/N444, "NA")</f>
        <v>NA</v>
      </c>
      <c r="P435" s="9"/>
      <c r="Q435" s="7">
        <v>0</v>
      </c>
      <c r="R435" s="8" t="str">
        <f>IFERROR(Q435/Q444, "NA")</f>
        <v>NA</v>
      </c>
      <c r="S435" s="9"/>
      <c r="T435" s="7">
        <v>0</v>
      </c>
      <c r="U435" s="8" t="str">
        <f>IFERROR(T435/T444, "NA")</f>
        <v>NA</v>
      </c>
      <c r="V435" s="9"/>
      <c r="W435" s="10">
        <f t="shared" si="106"/>
        <v>0</v>
      </c>
      <c r="X435" s="8" t="str">
        <f>IFERROR(W435/W444, "NA")</f>
        <v>NA</v>
      </c>
      <c r="Y435" s="9"/>
      <c r="Z435" s="7">
        <v>0</v>
      </c>
      <c r="AA435" s="8" t="str">
        <f>IFERROR(Z435/Z444, "NA")</f>
        <v>NA</v>
      </c>
      <c r="AB435" s="9"/>
      <c r="AC435" s="10">
        <f t="shared" si="107"/>
        <v>0</v>
      </c>
      <c r="AD435" s="8" t="str">
        <f>IFERROR(AC435/AC444, "NA")</f>
        <v>NA</v>
      </c>
    </row>
    <row r="436" spans="1:30" ht="16.5" hidden="1" customHeight="1" x14ac:dyDescent="0.45">
      <c r="A436" s="6" t="s">
        <v>400</v>
      </c>
      <c r="B436" s="7">
        <v>0</v>
      </c>
      <c r="C436" s="8" t="str">
        <f>IFERROR(B436/B444, "NA")</f>
        <v>NA</v>
      </c>
      <c r="D436" s="9"/>
      <c r="E436" s="7">
        <v>0</v>
      </c>
      <c r="F436" s="8" t="str">
        <f>IFERROR(E436/E444, "NA")</f>
        <v>NA</v>
      </c>
      <c r="G436" s="9"/>
      <c r="H436" s="10">
        <f t="shared" si="104"/>
        <v>0</v>
      </c>
      <c r="I436" s="8" t="str">
        <f>IFERROR(H436/H444, "NA")</f>
        <v>NA</v>
      </c>
      <c r="J436" s="9"/>
      <c r="K436" s="7">
        <v>0</v>
      </c>
      <c r="L436" s="8" t="str">
        <f>IFERROR(K436/K444, "NA")</f>
        <v>NA</v>
      </c>
      <c r="M436" s="9"/>
      <c r="N436" s="10">
        <f t="shared" si="105"/>
        <v>0</v>
      </c>
      <c r="O436" s="8" t="str">
        <f>IFERROR(N436/N444, "NA")</f>
        <v>NA</v>
      </c>
      <c r="P436" s="9"/>
      <c r="Q436" s="7">
        <v>0</v>
      </c>
      <c r="R436" s="8" t="str">
        <f>IFERROR(Q436/Q444, "NA")</f>
        <v>NA</v>
      </c>
      <c r="S436" s="9"/>
      <c r="T436" s="7">
        <v>0</v>
      </c>
      <c r="U436" s="8" t="str">
        <f>IFERROR(T436/T444, "NA")</f>
        <v>NA</v>
      </c>
      <c r="V436" s="9"/>
      <c r="W436" s="10">
        <f t="shared" si="106"/>
        <v>0</v>
      </c>
      <c r="X436" s="8" t="str">
        <f>IFERROR(W436/W444, "NA")</f>
        <v>NA</v>
      </c>
      <c r="Y436" s="9"/>
      <c r="Z436" s="7">
        <v>0</v>
      </c>
      <c r="AA436" s="8" t="str">
        <f>IFERROR(Z436/Z444, "NA")</f>
        <v>NA</v>
      </c>
      <c r="AB436" s="9"/>
      <c r="AC436" s="10">
        <f t="shared" si="107"/>
        <v>0</v>
      </c>
      <c r="AD436" s="8" t="str">
        <f>IFERROR(AC436/AC444, "NA")</f>
        <v>NA</v>
      </c>
    </row>
    <row r="437" spans="1:30" ht="16.5" hidden="1" customHeight="1" x14ac:dyDescent="0.45">
      <c r="A437" s="6" t="s">
        <v>401</v>
      </c>
      <c r="B437" s="7">
        <v>0</v>
      </c>
      <c r="C437" s="8" t="str">
        <f>IFERROR(B437/B444, "NA")</f>
        <v>NA</v>
      </c>
      <c r="D437" s="9"/>
      <c r="E437" s="7">
        <v>0</v>
      </c>
      <c r="F437" s="8" t="str">
        <f>IFERROR(E437/E444, "NA")</f>
        <v>NA</v>
      </c>
      <c r="G437" s="9"/>
      <c r="H437" s="10">
        <f t="shared" si="104"/>
        <v>0</v>
      </c>
      <c r="I437" s="8" t="str">
        <f>IFERROR(H437/H444, "NA")</f>
        <v>NA</v>
      </c>
      <c r="J437" s="9"/>
      <c r="K437" s="7">
        <v>0</v>
      </c>
      <c r="L437" s="8" t="str">
        <f>IFERROR(K437/K444, "NA")</f>
        <v>NA</v>
      </c>
      <c r="M437" s="9"/>
      <c r="N437" s="10">
        <f t="shared" si="105"/>
        <v>0</v>
      </c>
      <c r="O437" s="8" t="str">
        <f>IFERROR(N437/N444, "NA")</f>
        <v>NA</v>
      </c>
      <c r="P437" s="9"/>
      <c r="Q437" s="7">
        <v>0</v>
      </c>
      <c r="R437" s="8" t="str">
        <f>IFERROR(Q437/Q444, "NA")</f>
        <v>NA</v>
      </c>
      <c r="S437" s="9"/>
      <c r="T437" s="7">
        <v>0</v>
      </c>
      <c r="U437" s="8" t="str">
        <f>IFERROR(T437/T444, "NA")</f>
        <v>NA</v>
      </c>
      <c r="V437" s="9"/>
      <c r="W437" s="10">
        <f t="shared" si="106"/>
        <v>0</v>
      </c>
      <c r="X437" s="8" t="str">
        <f>IFERROR(W437/W444, "NA")</f>
        <v>NA</v>
      </c>
      <c r="Y437" s="9"/>
      <c r="Z437" s="7">
        <v>0</v>
      </c>
      <c r="AA437" s="8" t="str">
        <f>IFERROR(Z437/Z444, "NA")</f>
        <v>NA</v>
      </c>
      <c r="AB437" s="9"/>
      <c r="AC437" s="10">
        <f t="shared" si="107"/>
        <v>0</v>
      </c>
      <c r="AD437" s="8" t="str">
        <f>IFERROR(AC437/AC444, "NA")</f>
        <v>NA</v>
      </c>
    </row>
    <row r="438" spans="1:30" ht="30.75" hidden="1" customHeight="1" x14ac:dyDescent="0.45">
      <c r="A438" s="6" t="s">
        <v>402</v>
      </c>
      <c r="B438" s="7">
        <v>0</v>
      </c>
      <c r="C438" s="8" t="str">
        <f>IFERROR(B438/B444, "NA")</f>
        <v>NA</v>
      </c>
      <c r="D438" s="9"/>
      <c r="E438" s="7">
        <v>0</v>
      </c>
      <c r="F438" s="8" t="str">
        <f>IFERROR(E438/E444, "NA")</f>
        <v>NA</v>
      </c>
      <c r="G438" s="9"/>
      <c r="H438" s="10">
        <f t="shared" si="104"/>
        <v>0</v>
      </c>
      <c r="I438" s="8" t="str">
        <f>IFERROR(H438/H444, "NA")</f>
        <v>NA</v>
      </c>
      <c r="J438" s="9"/>
      <c r="K438" s="7">
        <v>0</v>
      </c>
      <c r="L438" s="8" t="str">
        <f>IFERROR(K438/K444, "NA")</f>
        <v>NA</v>
      </c>
      <c r="M438" s="9"/>
      <c r="N438" s="10">
        <f t="shared" si="105"/>
        <v>0</v>
      </c>
      <c r="O438" s="8" t="str">
        <f>IFERROR(N438/N444, "NA")</f>
        <v>NA</v>
      </c>
      <c r="P438" s="9"/>
      <c r="Q438" s="7">
        <v>0</v>
      </c>
      <c r="R438" s="8" t="str">
        <f>IFERROR(Q438/Q444, "NA")</f>
        <v>NA</v>
      </c>
      <c r="S438" s="9"/>
      <c r="T438" s="7">
        <v>0</v>
      </c>
      <c r="U438" s="8" t="str">
        <f>IFERROR(T438/T444, "NA")</f>
        <v>NA</v>
      </c>
      <c r="V438" s="9"/>
      <c r="W438" s="10">
        <f t="shared" si="106"/>
        <v>0</v>
      </c>
      <c r="X438" s="8" t="str">
        <f>IFERROR(W438/W444, "NA")</f>
        <v>NA</v>
      </c>
      <c r="Y438" s="9"/>
      <c r="Z438" s="7">
        <v>0</v>
      </c>
      <c r="AA438" s="8" t="str">
        <f>IFERROR(Z438/Z444, "NA")</f>
        <v>NA</v>
      </c>
      <c r="AB438" s="9"/>
      <c r="AC438" s="10">
        <f t="shared" si="107"/>
        <v>0</v>
      </c>
      <c r="AD438" s="8" t="str">
        <f>IFERROR(AC438/AC444, "NA")</f>
        <v>NA</v>
      </c>
    </row>
    <row r="439" spans="1:30" ht="16.5" hidden="1" customHeight="1" x14ac:dyDescent="0.45">
      <c r="A439" s="6" t="s">
        <v>403</v>
      </c>
      <c r="B439" s="7">
        <v>0</v>
      </c>
      <c r="C439" s="8" t="str">
        <f>IFERROR(B439/B444, "NA")</f>
        <v>NA</v>
      </c>
      <c r="D439" s="9"/>
      <c r="E439" s="7">
        <v>0</v>
      </c>
      <c r="F439" s="8" t="str">
        <f>IFERROR(E439/E444, "NA")</f>
        <v>NA</v>
      </c>
      <c r="G439" s="9"/>
      <c r="H439" s="10">
        <f t="shared" si="104"/>
        <v>0</v>
      </c>
      <c r="I439" s="8" t="str">
        <f>IFERROR(H439/H444, "NA")</f>
        <v>NA</v>
      </c>
      <c r="J439" s="9"/>
      <c r="K439" s="7">
        <v>0</v>
      </c>
      <c r="L439" s="8" t="str">
        <f>IFERROR(K439/K444, "NA")</f>
        <v>NA</v>
      </c>
      <c r="M439" s="9"/>
      <c r="N439" s="10">
        <f t="shared" si="105"/>
        <v>0</v>
      </c>
      <c r="O439" s="8" t="str">
        <f>IFERROR(N439/N444, "NA")</f>
        <v>NA</v>
      </c>
      <c r="P439" s="9"/>
      <c r="Q439" s="7">
        <v>0</v>
      </c>
      <c r="R439" s="8" t="str">
        <f>IFERROR(Q439/Q444, "NA")</f>
        <v>NA</v>
      </c>
      <c r="S439" s="9"/>
      <c r="T439" s="7">
        <v>0</v>
      </c>
      <c r="U439" s="8" t="str">
        <f>IFERROR(T439/T444, "NA")</f>
        <v>NA</v>
      </c>
      <c r="V439" s="9"/>
      <c r="W439" s="10">
        <f t="shared" si="106"/>
        <v>0</v>
      </c>
      <c r="X439" s="8" t="str">
        <f>IFERROR(W439/W444, "NA")</f>
        <v>NA</v>
      </c>
      <c r="Y439" s="9"/>
      <c r="Z439" s="7">
        <v>0</v>
      </c>
      <c r="AA439" s="8" t="str">
        <f>IFERROR(Z439/Z444, "NA")</f>
        <v>NA</v>
      </c>
      <c r="AB439" s="9"/>
      <c r="AC439" s="10">
        <f t="shared" si="107"/>
        <v>0</v>
      </c>
      <c r="AD439" s="8" t="str">
        <f>IFERROR(AC439/AC444, "NA")</f>
        <v>NA</v>
      </c>
    </row>
    <row r="440" spans="1:30" ht="30.75" hidden="1" customHeight="1" x14ac:dyDescent="0.45">
      <c r="A440" s="6" t="s">
        <v>404</v>
      </c>
      <c r="B440" s="7">
        <v>0</v>
      </c>
      <c r="C440" s="8" t="str">
        <f>IFERROR(B440/B444, "NA")</f>
        <v>NA</v>
      </c>
      <c r="D440" s="9"/>
      <c r="E440" s="7">
        <v>0</v>
      </c>
      <c r="F440" s="8" t="str">
        <f>IFERROR(E440/E444, "NA")</f>
        <v>NA</v>
      </c>
      <c r="G440" s="9"/>
      <c r="H440" s="10">
        <f t="shared" si="104"/>
        <v>0</v>
      </c>
      <c r="I440" s="8" t="str">
        <f>IFERROR(H440/H444, "NA")</f>
        <v>NA</v>
      </c>
      <c r="J440" s="9"/>
      <c r="K440" s="7">
        <v>0</v>
      </c>
      <c r="L440" s="8" t="str">
        <f>IFERROR(K440/K444, "NA")</f>
        <v>NA</v>
      </c>
      <c r="M440" s="9"/>
      <c r="N440" s="10">
        <f t="shared" si="105"/>
        <v>0</v>
      </c>
      <c r="O440" s="8" t="str">
        <f>IFERROR(N440/N444, "NA")</f>
        <v>NA</v>
      </c>
      <c r="P440" s="9"/>
      <c r="Q440" s="7">
        <v>0</v>
      </c>
      <c r="R440" s="8" t="str">
        <f>IFERROR(Q440/Q444, "NA")</f>
        <v>NA</v>
      </c>
      <c r="S440" s="9"/>
      <c r="T440" s="7">
        <v>0</v>
      </c>
      <c r="U440" s="8" t="str">
        <f>IFERROR(T440/T444, "NA")</f>
        <v>NA</v>
      </c>
      <c r="V440" s="9"/>
      <c r="W440" s="10">
        <f t="shared" si="106"/>
        <v>0</v>
      </c>
      <c r="X440" s="8" t="str">
        <f>IFERROR(W440/W444, "NA")</f>
        <v>NA</v>
      </c>
      <c r="Y440" s="9"/>
      <c r="Z440" s="7">
        <v>0</v>
      </c>
      <c r="AA440" s="8" t="str">
        <f>IFERROR(Z440/Z444, "NA")</f>
        <v>NA</v>
      </c>
      <c r="AB440" s="9"/>
      <c r="AC440" s="10">
        <f t="shared" si="107"/>
        <v>0</v>
      </c>
      <c r="AD440" s="8" t="str">
        <f>IFERROR(AC440/AC444, "NA")</f>
        <v>NA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 t="str">
        <f>IFERROR(B441/B444, "NA")</f>
        <v>NA</v>
      </c>
      <c r="D441" s="2"/>
      <c r="E441" s="14">
        <f>IFERROR(E432+E433+E434+E435+E436+E437+E438+E439+E440, "NA")</f>
        <v>0</v>
      </c>
      <c r="F441" s="15" t="str">
        <f>IFERROR(E441/E444, "NA")</f>
        <v>NA</v>
      </c>
      <c r="G441" s="2"/>
      <c r="H441" s="14">
        <f t="shared" si="104"/>
        <v>0</v>
      </c>
      <c r="I441" s="15" t="str">
        <f>IFERROR(H441/H444, "NA")</f>
        <v>NA</v>
      </c>
      <c r="J441" s="2"/>
      <c r="K441" s="14">
        <f>IFERROR(K432+K433+K434+K435+K436+K437+K438+K439+K440, "NA")</f>
        <v>0</v>
      </c>
      <c r="L441" s="15" t="str">
        <f>IFERROR(K441/K444, "NA")</f>
        <v>NA</v>
      </c>
      <c r="M441" s="2"/>
      <c r="N441" s="14">
        <f t="shared" si="105"/>
        <v>0</v>
      </c>
      <c r="O441" s="15" t="str">
        <f>IFERROR(N441/N444, "NA")</f>
        <v>NA</v>
      </c>
      <c r="P441" s="2"/>
      <c r="Q441" s="14">
        <f>IFERROR(Q432+Q433+Q434+Q435+Q436+Q437+Q438+Q439+Q440, "NA")</f>
        <v>0</v>
      </c>
      <c r="R441" s="15" t="str">
        <f>IFERROR(Q441/Q444, "NA")</f>
        <v>NA</v>
      </c>
      <c r="S441" s="2"/>
      <c r="T441" s="14">
        <f>IFERROR(T432+T433+T434+T435+T436+T437+T438+T439+T440, "NA")</f>
        <v>0</v>
      </c>
      <c r="U441" s="15" t="str">
        <f>IFERROR(T441/T444, "NA")</f>
        <v>NA</v>
      </c>
      <c r="V441" s="2"/>
      <c r="W441" s="14">
        <f t="shared" si="106"/>
        <v>0</v>
      </c>
      <c r="X441" s="15" t="str">
        <f>IFERROR(W441/W444, "NA")</f>
        <v>NA</v>
      </c>
      <c r="Y441" s="2"/>
      <c r="Z441" s="14">
        <f>IFERROR(Z432+Z433+Z434+Z435+Z436+Z437+Z438+Z439+Z440, "NA")</f>
        <v>0</v>
      </c>
      <c r="AA441" s="15" t="str">
        <f>IFERROR(Z441/Z444, "NA")</f>
        <v>NA</v>
      </c>
      <c r="AB441" s="2"/>
      <c r="AC441" s="14">
        <f t="shared" si="107"/>
        <v>0</v>
      </c>
      <c r="AD441" s="15" t="str">
        <f>IFERROR(AC441/AC444, "NA")</f>
        <v>NA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 t="str">
        <f>IFERROR(B442/B444, "NA")</f>
        <v>NA</v>
      </c>
      <c r="D442" s="2"/>
      <c r="E442" s="14">
        <f>IFERROR(E432+E433+E434+E435+E436+E437+E438+E439+E440, "NA")</f>
        <v>0</v>
      </c>
      <c r="F442" s="15" t="str">
        <f>IFERROR(E442/E444, "NA")</f>
        <v>NA</v>
      </c>
      <c r="G442" s="2"/>
      <c r="H442" s="14">
        <f t="shared" si="104"/>
        <v>0</v>
      </c>
      <c r="I442" s="15" t="str">
        <f>IFERROR(H442/H444, "NA")</f>
        <v>NA</v>
      </c>
      <c r="J442" s="2"/>
      <c r="K442" s="14">
        <f>IFERROR(K432+K433+K434+K435+K436+K437+K438+K439+K440, "NA")</f>
        <v>0</v>
      </c>
      <c r="L442" s="15" t="str">
        <f>IFERROR(K442/K444, "NA")</f>
        <v>NA</v>
      </c>
      <c r="M442" s="2"/>
      <c r="N442" s="14">
        <f t="shared" si="105"/>
        <v>0</v>
      </c>
      <c r="O442" s="15" t="str">
        <f>IFERROR(N442/N444, "NA")</f>
        <v>NA</v>
      </c>
      <c r="P442" s="2"/>
      <c r="Q442" s="14">
        <f>IFERROR(Q432+Q433+Q434+Q435+Q436+Q437+Q438+Q439+Q440, "NA")</f>
        <v>0</v>
      </c>
      <c r="R442" s="15" t="str">
        <f>IFERROR(Q442/Q444, "NA")</f>
        <v>NA</v>
      </c>
      <c r="S442" s="2"/>
      <c r="T442" s="14">
        <f>IFERROR(T432+T433+T434+T435+T436+T437+T438+T439+T440, "NA")</f>
        <v>0</v>
      </c>
      <c r="U442" s="15" t="str">
        <f>IFERROR(T442/T444, "NA")</f>
        <v>NA</v>
      </c>
      <c r="V442" s="2"/>
      <c r="W442" s="14">
        <f t="shared" si="106"/>
        <v>0</v>
      </c>
      <c r="X442" s="15" t="str">
        <f>IFERROR(W442/W444, "NA")</f>
        <v>NA</v>
      </c>
      <c r="Y442" s="2"/>
      <c r="Z442" s="14">
        <f>IFERROR(Z432+Z433+Z434+Z435+Z436+Z437+Z438+Z439+Z440, "NA")</f>
        <v>0</v>
      </c>
      <c r="AA442" s="15" t="str">
        <f>IFERROR(Z442/Z444, "NA")</f>
        <v>NA</v>
      </c>
      <c r="AB442" s="2"/>
      <c r="AC442" s="14">
        <f t="shared" si="107"/>
        <v>0</v>
      </c>
      <c r="AD442" s="15" t="str">
        <f>IFERROR(AC442/AC444, "NA")</f>
        <v>NA</v>
      </c>
    </row>
    <row r="443" spans="1:30" ht="16.5" customHeight="1" x14ac:dyDescent="0.45">
      <c r="A443" s="22" t="s">
        <v>407</v>
      </c>
      <c r="B443" s="23">
        <f>IFERROR(B404-B429-B442, "NA")</f>
        <v>-125288.96000000002</v>
      </c>
      <c r="C443" s="24" t="str">
        <f>IFERROR(B443/B444, "NA")</f>
        <v>NA</v>
      </c>
      <c r="D443" s="25"/>
      <c r="E443" s="23">
        <f>IFERROR(E404-E429-E442, "NA")</f>
        <v>-184267.86000000002</v>
      </c>
      <c r="F443" s="24" t="str">
        <f>IFERROR(E443/E444, "NA")</f>
        <v>NA</v>
      </c>
      <c r="G443" s="25"/>
      <c r="H443" s="23">
        <f>IFERROR(B443-E443, "NA")</f>
        <v>58978.899999999994</v>
      </c>
      <c r="I443" s="24" t="str">
        <f>IFERROR(H443/H444, "NA")</f>
        <v>NA</v>
      </c>
      <c r="J443" s="25"/>
      <c r="K443" s="23">
        <f>IFERROR(K404-K429-K442, "NA")</f>
        <v>-184990.29999999996</v>
      </c>
      <c r="L443" s="24" t="str">
        <f>IFERROR(K443/K444, "NA")</f>
        <v>NA</v>
      </c>
      <c r="M443" s="25"/>
      <c r="N443" s="23">
        <f>IFERROR(B443-K443, "NA")</f>
        <v>59701.339999999938</v>
      </c>
      <c r="O443" s="24" t="str">
        <f>IFERROR(N443/N444, "NA")</f>
        <v>NA</v>
      </c>
      <c r="P443" s="25"/>
      <c r="Q443" s="23">
        <f>IFERROR(Q404-Q429-Q442, "NA")</f>
        <v>-751584.6</v>
      </c>
      <c r="R443" s="24" t="str">
        <f>IFERROR(Q443/Q444, "NA")</f>
        <v>NA</v>
      </c>
      <c r="S443" s="25"/>
      <c r="T443" s="23">
        <f>IFERROR(T404-T429-T442, "NA")</f>
        <v>-977289.92999999993</v>
      </c>
      <c r="U443" s="24" t="str">
        <f>IFERROR(T443/T444, "NA")</f>
        <v>NA</v>
      </c>
      <c r="V443" s="25"/>
      <c r="W443" s="23">
        <f>IFERROR(Q443-T443, "NA")</f>
        <v>225705.32999999996</v>
      </c>
      <c r="X443" s="24" t="str">
        <f>IFERROR(W443/W444, "NA")</f>
        <v>NA</v>
      </c>
      <c r="Y443" s="25"/>
      <c r="Z443" s="23">
        <f>IFERROR(Z404-Z429-Z442, "NA")</f>
        <v>-929854.90999999992</v>
      </c>
      <c r="AA443" s="24" t="str">
        <f>IFERROR(Z443/Z444, "NA")</f>
        <v>NA</v>
      </c>
      <c r="AB443" s="25"/>
      <c r="AC443" s="23">
        <f>IFERROR(Q443-Z443, "NA")</f>
        <v>178270.30999999994</v>
      </c>
      <c r="AD443" s="24" t="str">
        <f>IFERROR(AC443/AC444, "NA")</f>
        <v>NA</v>
      </c>
    </row>
    <row r="444" spans="1:30" ht="15.75" hidden="1" x14ac:dyDescent="0.45">
      <c r="A444" s="26" t="s">
        <v>117</v>
      </c>
      <c r="B444" s="7">
        <v>0</v>
      </c>
      <c r="C444" s="27"/>
      <c r="D444" s="9"/>
      <c r="E444" s="7">
        <v>0</v>
      </c>
      <c r="F444" s="27"/>
      <c r="G444" s="9"/>
      <c r="H444" s="10">
        <f>IFERROR(B444-E444, "NA")</f>
        <v>0</v>
      </c>
      <c r="I444" s="27"/>
      <c r="J444" s="9"/>
      <c r="K444" s="7">
        <v>0</v>
      </c>
      <c r="L444" s="27"/>
      <c r="M444" s="9"/>
      <c r="N444" s="10">
        <f>IFERROR(B444-K444, "NA")</f>
        <v>0</v>
      </c>
      <c r="O444" s="27"/>
      <c r="P444" s="9"/>
      <c r="Q444" s="7">
        <v>0</v>
      </c>
      <c r="R444" s="27"/>
      <c r="S444" s="9"/>
      <c r="T444" s="7">
        <v>0</v>
      </c>
      <c r="U444" s="27"/>
      <c r="V444" s="9"/>
      <c r="W444" s="10">
        <f>IFERROR(Q444-T444, "NA")</f>
        <v>0</v>
      </c>
      <c r="X444" s="27"/>
      <c r="Y444" s="9"/>
      <c r="Z444" s="7">
        <v>0</v>
      </c>
      <c r="AA444" s="27"/>
      <c r="AB444" s="9"/>
      <c r="AC444" s="10">
        <f>IFERROR(Q444-Z444, "NA")</f>
        <v>0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412</v>
      </c>
      <c r="B3" s="31" t="s">
        <v>412</v>
      </c>
      <c r="C3" s="31" t="s">
        <v>412</v>
      </c>
      <c r="D3" s="31" t="s">
        <v>412</v>
      </c>
      <c r="E3" s="31" t="s">
        <v>412</v>
      </c>
      <c r="F3" s="31" t="s">
        <v>412</v>
      </c>
      <c r="G3" s="31" t="s">
        <v>412</v>
      </c>
      <c r="H3" s="31" t="s">
        <v>412</v>
      </c>
      <c r="I3" s="31" t="s">
        <v>412</v>
      </c>
      <c r="J3" s="31" t="s">
        <v>412</v>
      </c>
      <c r="K3" s="31" t="s">
        <v>412</v>
      </c>
      <c r="L3" s="31" t="s">
        <v>412</v>
      </c>
      <c r="M3" s="31" t="s">
        <v>412</v>
      </c>
      <c r="N3" s="31" t="s">
        <v>412</v>
      </c>
      <c r="O3" s="31" t="s">
        <v>412</v>
      </c>
      <c r="P3" s="31" t="s">
        <v>412</v>
      </c>
      <c r="Q3" s="31" t="s">
        <v>412</v>
      </c>
      <c r="R3" s="31" t="s">
        <v>412</v>
      </c>
      <c r="S3" s="31" t="s">
        <v>412</v>
      </c>
      <c r="T3" s="31" t="s">
        <v>412</v>
      </c>
      <c r="U3" s="31" t="s">
        <v>412</v>
      </c>
      <c r="V3" s="31" t="s">
        <v>412</v>
      </c>
      <c r="W3" s="31" t="s">
        <v>412</v>
      </c>
      <c r="X3" s="31" t="s">
        <v>412</v>
      </c>
      <c r="Y3" s="31" t="s">
        <v>412</v>
      </c>
      <c r="Z3" s="31" t="s">
        <v>412</v>
      </c>
      <c r="AA3" s="31" t="s">
        <v>412</v>
      </c>
      <c r="AB3" s="31" t="s">
        <v>412</v>
      </c>
      <c r="AC3" s="31" t="s">
        <v>412</v>
      </c>
      <c r="AD3" s="31" t="s">
        <v>412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69376.990000000005</v>
      </c>
      <c r="F10" s="8">
        <f>IFERROR(E10/E444, "NA")</f>
        <v>0.56399998861870504</v>
      </c>
      <c r="G10" s="9"/>
      <c r="H10" s="10">
        <f t="shared" ref="H10:H19" si="0">IFERROR(B10-E10, "NA")</f>
        <v>-69376.990000000005</v>
      </c>
      <c r="I10" s="8">
        <f>IFERROR(H10/H444, "NA")</f>
        <v>3.3552053399311887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313096.92</v>
      </c>
      <c r="U10" s="8">
        <f>IFERROR(T10/T444, "NA")</f>
        <v>0.56400000302628339</v>
      </c>
      <c r="V10" s="9"/>
      <c r="W10" s="10">
        <f t="shared" ref="W10:W19" si="2">IFERROR(Q10-T10, "NA")</f>
        <v>-313096.92</v>
      </c>
      <c r="X10" s="8">
        <f>IFERROR(W10/W444, "NA")</f>
        <v>7.402511440787368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47560.22</v>
      </c>
      <c r="C11" s="8">
        <f>IFERROR(B11/B444, "NA")</f>
        <v>0.46476649451688501</v>
      </c>
      <c r="D11" s="9"/>
      <c r="E11" s="7">
        <v>0</v>
      </c>
      <c r="F11" s="8">
        <f>IFERROR(E11/E444, "NA")</f>
        <v>0</v>
      </c>
      <c r="G11" s="9"/>
      <c r="H11" s="10">
        <f t="shared" si="0"/>
        <v>47560.22</v>
      </c>
      <c r="I11" s="8">
        <f>IFERROR(H11/H444, "NA")</f>
        <v>-2.3001041716036128</v>
      </c>
      <c r="J11" s="9"/>
      <c r="K11" s="7">
        <v>58537.21</v>
      </c>
      <c r="L11" s="8">
        <f>IFERROR(K11/K444, "NA")</f>
        <v>0.55677729853502755</v>
      </c>
      <c r="M11" s="9"/>
      <c r="N11" s="10">
        <f t="shared" si="1"/>
        <v>-10976.989999999998</v>
      </c>
      <c r="O11" s="8">
        <f>IFERROR(N11/N444, "NA")</f>
        <v>3.9142864274659828</v>
      </c>
      <c r="P11" s="9"/>
      <c r="Q11" s="7">
        <v>236063.3</v>
      </c>
      <c r="R11" s="8">
        <f>IFERROR(Q11/Q444, "NA")</f>
        <v>0.4603056382031101</v>
      </c>
      <c r="S11" s="9"/>
      <c r="T11" s="7">
        <v>0</v>
      </c>
      <c r="U11" s="8">
        <f>IFERROR(T11/T444, "NA")</f>
        <v>0</v>
      </c>
      <c r="V11" s="9"/>
      <c r="W11" s="10">
        <f t="shared" si="2"/>
        <v>236063.3</v>
      </c>
      <c r="X11" s="8">
        <f>IFERROR(W11/W444, "NA")</f>
        <v>-5.5812151681339461</v>
      </c>
      <c r="Y11" s="9"/>
      <c r="Z11" s="7">
        <v>267512.42</v>
      </c>
      <c r="AA11" s="8">
        <f>IFERROR(Z11/Z444, "NA")</f>
        <v>0.53909093336490477</v>
      </c>
      <c r="AB11" s="9"/>
      <c r="AC11" s="10">
        <f t="shared" si="3"/>
        <v>-31449.119999999995</v>
      </c>
      <c r="AD11" s="8">
        <f>IFERROR(AC11/AC444, "NA")</f>
        <v>-1.8932034802207343</v>
      </c>
    </row>
    <row r="12" spans="1:30" ht="16.5" customHeight="1" x14ac:dyDescent="0.45">
      <c r="A12" s="12" t="s">
        <v>14</v>
      </c>
      <c r="B12" s="7">
        <v>5486.8</v>
      </c>
      <c r="C12" s="8">
        <f>IFERROR(B12/B444, "NA")</f>
        <v>5.3617935369416808E-2</v>
      </c>
      <c r="D12" s="9"/>
      <c r="E12" s="7">
        <v>0</v>
      </c>
      <c r="F12" s="8">
        <f>IFERROR(E12/E444, "NA")</f>
        <v>0</v>
      </c>
      <c r="G12" s="9"/>
      <c r="H12" s="10">
        <f t="shared" si="0"/>
        <v>5486.8</v>
      </c>
      <c r="I12" s="8">
        <f>IFERROR(H12/H444, "NA")</f>
        <v>-0.26535225381116195</v>
      </c>
      <c r="J12" s="9"/>
      <c r="K12" s="7">
        <v>6150</v>
      </c>
      <c r="L12" s="8">
        <f>IFERROR(K12/K444, "NA")</f>
        <v>5.8495790728502771E-2</v>
      </c>
      <c r="M12" s="9"/>
      <c r="N12" s="10">
        <f t="shared" si="1"/>
        <v>-663.19999999999982</v>
      </c>
      <c r="O12" s="8">
        <f>IFERROR(N12/N444, "NA")</f>
        <v>0.23649058245433763</v>
      </c>
      <c r="P12" s="9"/>
      <c r="Q12" s="7">
        <v>25302.2</v>
      </c>
      <c r="R12" s="8">
        <f>IFERROR(Q12/Q444, "NA")</f>
        <v>4.933738246878161E-2</v>
      </c>
      <c r="S12" s="9"/>
      <c r="T12" s="7">
        <v>0</v>
      </c>
      <c r="U12" s="8">
        <f>IFERROR(T12/T444, "NA")</f>
        <v>0</v>
      </c>
      <c r="V12" s="9"/>
      <c r="W12" s="10">
        <f t="shared" si="2"/>
        <v>25302.2</v>
      </c>
      <c r="X12" s="8">
        <f>IFERROR(W12/W444, "NA")</f>
        <v>-0.59821675977230993</v>
      </c>
      <c r="Y12" s="9"/>
      <c r="Z12" s="7">
        <v>24332.85</v>
      </c>
      <c r="AA12" s="8">
        <f>IFERROR(Z12/Z444, "NA")</f>
        <v>4.9035550640707533E-2</v>
      </c>
      <c r="AB12" s="9"/>
      <c r="AC12" s="10">
        <f t="shared" si="3"/>
        <v>969.35000000000218</v>
      </c>
      <c r="AD12" s="8">
        <f>IFERROR(AC12/AC444, "NA")</f>
        <v>5.8353836086732259E-2</v>
      </c>
    </row>
    <row r="13" spans="1:30" ht="16.5" customHeight="1" x14ac:dyDescent="0.45">
      <c r="A13" s="12" t="s">
        <v>15</v>
      </c>
      <c r="B13" s="7">
        <v>299.5</v>
      </c>
      <c r="C13" s="8">
        <f>IFERROR(B13/B444, "NA")</f>
        <v>2.9267645336335086E-3</v>
      </c>
      <c r="D13" s="9"/>
      <c r="E13" s="7">
        <v>0</v>
      </c>
      <c r="F13" s="8">
        <f>IFERROR(E13/E444, "NA")</f>
        <v>0</v>
      </c>
      <c r="G13" s="9"/>
      <c r="H13" s="10">
        <f t="shared" si="0"/>
        <v>299.5</v>
      </c>
      <c r="I13" s="8">
        <f>IFERROR(H13/H444, "NA")</f>
        <v>-1.4484398924043707E-2</v>
      </c>
      <c r="J13" s="9"/>
      <c r="K13" s="7">
        <v>213</v>
      </c>
      <c r="L13" s="8">
        <f>IFERROR(K13/K444, "NA")</f>
        <v>2.0259517764505837E-3</v>
      </c>
      <c r="M13" s="9"/>
      <c r="N13" s="10">
        <f t="shared" si="1"/>
        <v>86.5</v>
      </c>
      <c r="O13" s="8">
        <f>IFERROR(N13/N444, "NA")</f>
        <v>-3.0845047319511779E-2</v>
      </c>
      <c r="P13" s="9"/>
      <c r="Q13" s="7">
        <v>1339</v>
      </c>
      <c r="R13" s="8">
        <f>IFERROR(Q13/Q444, "NA")</f>
        <v>2.6109490528767685E-3</v>
      </c>
      <c r="S13" s="9"/>
      <c r="T13" s="7">
        <v>0</v>
      </c>
      <c r="U13" s="8">
        <f>IFERROR(T13/T444, "NA")</f>
        <v>0</v>
      </c>
      <c r="V13" s="9"/>
      <c r="W13" s="10">
        <f t="shared" si="2"/>
        <v>1339</v>
      </c>
      <c r="X13" s="8">
        <f>IFERROR(W13/W444, "NA")</f>
        <v>-3.1657810045574025E-2</v>
      </c>
      <c r="Y13" s="9"/>
      <c r="Z13" s="7">
        <v>1337.27</v>
      </c>
      <c r="AA13" s="8">
        <f>IFERROR(Z13/Z444, "NA")</f>
        <v>2.6948660270087132E-3</v>
      </c>
      <c r="AB13" s="9"/>
      <c r="AC13" s="10">
        <f t="shared" si="3"/>
        <v>1.7300000000000182</v>
      </c>
      <c r="AD13" s="8">
        <f>IFERROR(AC13/AC444, "NA")</f>
        <v>1.0414415477386665E-4</v>
      </c>
    </row>
    <row r="14" spans="1:30" ht="16.5" customHeight="1" x14ac:dyDescent="0.45">
      <c r="A14" s="12" t="s">
        <v>16</v>
      </c>
      <c r="B14" s="7">
        <v>110</v>
      </c>
      <c r="C14" s="8">
        <f>IFERROR(B14/B444, "NA")</f>
        <v>1.0749385599321734E-3</v>
      </c>
      <c r="D14" s="9"/>
      <c r="E14" s="7">
        <v>0</v>
      </c>
      <c r="F14" s="8">
        <f>IFERROR(E14/E444, "NA")</f>
        <v>0</v>
      </c>
      <c r="G14" s="9"/>
      <c r="H14" s="10">
        <f t="shared" si="0"/>
        <v>110</v>
      </c>
      <c r="I14" s="8">
        <f>IFERROR(H14/H444, "NA")</f>
        <v>-5.3198126265269034E-3</v>
      </c>
      <c r="J14" s="9"/>
      <c r="K14" s="7">
        <v>430</v>
      </c>
      <c r="L14" s="8">
        <f>IFERROR(K14/K444, "NA")</f>
        <v>4.0899495956514135E-3</v>
      </c>
      <c r="M14" s="9"/>
      <c r="N14" s="10">
        <f t="shared" si="1"/>
        <v>-320</v>
      </c>
      <c r="O14" s="8">
        <f>IFERROR(N14/N444, "NA")</f>
        <v>0.11410884557507248</v>
      </c>
      <c r="P14" s="9"/>
      <c r="Q14" s="7">
        <v>1675</v>
      </c>
      <c r="R14" s="8">
        <f>IFERROR(Q14/Q444, "NA")</f>
        <v>3.2661237218585418E-3</v>
      </c>
      <c r="S14" s="9"/>
      <c r="T14" s="7">
        <v>0</v>
      </c>
      <c r="U14" s="8">
        <f>IFERROR(T14/T444, "NA")</f>
        <v>0</v>
      </c>
      <c r="V14" s="9"/>
      <c r="W14" s="10">
        <f t="shared" si="2"/>
        <v>1675</v>
      </c>
      <c r="X14" s="8">
        <f>IFERROR(W14/W444, "NA")</f>
        <v>-3.960181615111015E-2</v>
      </c>
      <c r="Y14" s="9"/>
      <c r="Z14" s="7">
        <v>2364.9899999999998</v>
      </c>
      <c r="AA14" s="8">
        <f>IFERROR(Z14/Z444, "NA")</f>
        <v>4.7659270044309197E-3</v>
      </c>
      <c r="AB14" s="9"/>
      <c r="AC14" s="10">
        <f t="shared" si="3"/>
        <v>-689.98999999999978</v>
      </c>
      <c r="AD14" s="8">
        <f>IFERROR(AC14/AC444, "NA")</f>
        <v>-4.1536662053421658E-2</v>
      </c>
    </row>
    <row r="15" spans="1:30" ht="16.5" customHeight="1" x14ac:dyDescent="0.45">
      <c r="A15" s="12" t="s">
        <v>17</v>
      </c>
      <c r="B15" s="7">
        <v>69</v>
      </c>
      <c r="C15" s="8">
        <f>IFERROR(B15/B444, "NA")</f>
        <v>6.7427964213927238E-4</v>
      </c>
      <c r="D15" s="9"/>
      <c r="E15" s="7">
        <v>0</v>
      </c>
      <c r="F15" s="8">
        <f>IFERROR(E15/E444, "NA")</f>
        <v>0</v>
      </c>
      <c r="G15" s="9"/>
      <c r="H15" s="10">
        <f t="shared" si="0"/>
        <v>69</v>
      </c>
      <c r="I15" s="8">
        <f>IFERROR(H15/H444, "NA")</f>
        <v>-3.3369733748214213E-3</v>
      </c>
      <c r="J15" s="9"/>
      <c r="K15" s="7">
        <v>56</v>
      </c>
      <c r="L15" s="8">
        <f>IFERROR(K15/K444, "NA")</f>
        <v>5.3264459850343982E-4</v>
      </c>
      <c r="M15" s="9"/>
      <c r="N15" s="10">
        <f t="shared" si="1"/>
        <v>13</v>
      </c>
      <c r="O15" s="8">
        <f>IFERROR(N15/N444, "NA")</f>
        <v>-4.6356718514873191E-3</v>
      </c>
      <c r="P15" s="9"/>
      <c r="Q15" s="7">
        <v>256</v>
      </c>
      <c r="R15" s="8">
        <f>IFERROR(Q15/Q444, "NA")</f>
        <v>4.9918070017658902E-4</v>
      </c>
      <c r="S15" s="9"/>
      <c r="T15" s="7">
        <v>0</v>
      </c>
      <c r="U15" s="8">
        <f>IFERROR(T15/T444, "NA")</f>
        <v>0</v>
      </c>
      <c r="V15" s="9"/>
      <c r="W15" s="10">
        <f t="shared" si="2"/>
        <v>256</v>
      </c>
      <c r="X15" s="8">
        <f>IFERROR(W15/W444, "NA")</f>
        <v>-6.0525760804084764E-3</v>
      </c>
      <c r="Y15" s="9"/>
      <c r="Z15" s="7">
        <v>280</v>
      </c>
      <c r="AA15" s="8">
        <f>IFERROR(Z15/Z444, "NA")</f>
        <v>5.6425590012670565E-4</v>
      </c>
      <c r="AB15" s="9"/>
      <c r="AC15" s="10">
        <f t="shared" si="3"/>
        <v>-24</v>
      </c>
      <c r="AD15" s="8">
        <f>IFERROR(AC15/AC444, "NA")</f>
        <v>-1.4447744014871521E-3</v>
      </c>
    </row>
    <row r="16" spans="1:30" ht="16.5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1.35</v>
      </c>
      <c r="R16" s="8">
        <f>IFERROR(Q16/Q444, "NA")</f>
        <v>2.6323982235874813E-6</v>
      </c>
      <c r="S16" s="9"/>
      <c r="T16" s="7">
        <v>0</v>
      </c>
      <c r="U16" s="8">
        <f>IFERROR(T16/T444, "NA")</f>
        <v>0</v>
      </c>
      <c r="V16" s="9"/>
      <c r="W16" s="10">
        <f t="shared" si="2"/>
        <v>1.35</v>
      </c>
      <c r="X16" s="8">
        <f>IFERROR(W16/W444, "NA")</f>
        <v>-3.1917881674029073E-5</v>
      </c>
      <c r="Y16" s="9"/>
      <c r="Z16" s="7">
        <v>0</v>
      </c>
      <c r="AA16" s="8">
        <f>IFERROR(Z16/Z444, "NA")</f>
        <v>0</v>
      </c>
      <c r="AB16" s="9"/>
      <c r="AC16" s="10">
        <f t="shared" si="3"/>
        <v>1.35</v>
      </c>
      <c r="AD16" s="8">
        <f>IFERROR(AC16/AC444, "NA")</f>
        <v>8.1268560083652317E-5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53525.520000000004</v>
      </c>
      <c r="C18" s="15">
        <f>IFERROR(B18/B444, "NA")</f>
        <v>0.52306041262200687</v>
      </c>
      <c r="D18" s="2"/>
      <c r="E18" s="14">
        <f>IFERROR(E10+E11+E12+E13+E14+E15+E16+E17, "NA")</f>
        <v>69376.990000000005</v>
      </c>
      <c r="F18" s="15">
        <f>IFERROR(E18/E444, "NA")</f>
        <v>0.56399998861870504</v>
      </c>
      <c r="G18" s="2"/>
      <c r="H18" s="14">
        <f t="shared" si="0"/>
        <v>-15851.470000000001</v>
      </c>
      <c r="I18" s="15">
        <f>IFERROR(H18/H444, "NA")</f>
        <v>0.76660772959102208</v>
      </c>
      <c r="J18" s="2"/>
      <c r="K18" s="14">
        <f>IFERROR(K10+K11+K12+K13+K14+K15+K16+K17, "NA")</f>
        <v>65386.21</v>
      </c>
      <c r="L18" s="15">
        <f>IFERROR(K18/K444, "NA")</f>
        <v>0.62192163523413579</v>
      </c>
      <c r="M18" s="2"/>
      <c r="N18" s="14">
        <f t="shared" si="1"/>
        <v>-11860.689999999995</v>
      </c>
      <c r="O18" s="15">
        <f>IFERROR(N18/N444, "NA")</f>
        <v>4.2294051363243934</v>
      </c>
      <c r="P18" s="2"/>
      <c r="Q18" s="14">
        <f>IFERROR(Q10+Q11+Q12+Q13+Q14+Q15+Q16+Q17, "NA")</f>
        <v>264636.84999999998</v>
      </c>
      <c r="R18" s="15">
        <f>IFERROR(Q18/Q444, "NA")</f>
        <v>0.51602190654502722</v>
      </c>
      <c r="S18" s="2"/>
      <c r="T18" s="14">
        <f>IFERROR(T10+T11+T12+T13+T14+T15+T16+T17, "NA")</f>
        <v>313096.92</v>
      </c>
      <c r="U18" s="15">
        <f>IFERROR(T18/T444, "NA")</f>
        <v>0.56400000302628339</v>
      </c>
      <c r="V18" s="2"/>
      <c r="W18" s="14">
        <f t="shared" si="2"/>
        <v>-48460.070000000007</v>
      </c>
      <c r="X18" s="15">
        <f>IFERROR(W18/W444, "NA")</f>
        <v>1.1457353927223455</v>
      </c>
      <c r="Y18" s="2"/>
      <c r="Z18" s="14">
        <f>IFERROR(Z10+Z11+Z12+Z13+Z14+Z15+Z16+Z17, "NA")</f>
        <v>295827.52999999997</v>
      </c>
      <c r="AA18" s="15">
        <f>IFERROR(Z18/Z444, "NA")</f>
        <v>0.5961515329371786</v>
      </c>
      <c r="AB18" s="2"/>
      <c r="AC18" s="14">
        <f t="shared" si="3"/>
        <v>-31190.679999999993</v>
      </c>
      <c r="AD18" s="15">
        <f>IFERROR(AC18/AC444, "NA")</f>
        <v>-1.8776456678740532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13038.94</v>
      </c>
      <c r="F21" s="8">
        <f>IFERROR(E21/E444, "NA")</f>
        <v>0.10600001544604311</v>
      </c>
      <c r="G21" s="9"/>
      <c r="H21" s="10">
        <f t="shared" ref="H21:H29" si="4">IFERROR(B21-E21, "NA")</f>
        <v>-13038.94</v>
      </c>
      <c r="I21" s="8">
        <f>IFERROR(H21/H444, "NA")</f>
        <v>0.63058834225933369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58844.45</v>
      </c>
      <c r="U21" s="8">
        <f>IFERROR(T21/T444, "NA")</f>
        <v>0.10599998868746451</v>
      </c>
      <c r="V21" s="9"/>
      <c r="W21" s="10">
        <f t="shared" ref="W21:W29" si="6">IFERROR(Q21-T21, "NA")</f>
        <v>-58844.45</v>
      </c>
      <c r="X21" s="8">
        <f>IFERROR(W21/W444, "NA")</f>
        <v>1.3912519942765333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8677</v>
      </c>
      <c r="C22" s="8">
        <f>IFERROR(B22/B444, "NA")</f>
        <v>8.4793108041195164E-2</v>
      </c>
      <c r="D22" s="9"/>
      <c r="E22" s="7">
        <v>0</v>
      </c>
      <c r="F22" s="8">
        <f>IFERROR(E22/E444, "NA")</f>
        <v>0</v>
      </c>
      <c r="G22" s="9"/>
      <c r="H22" s="10">
        <f t="shared" si="4"/>
        <v>8677</v>
      </c>
      <c r="I22" s="8">
        <f>IFERROR(H22/H444, "NA")</f>
        <v>-0.41963649236703587</v>
      </c>
      <c r="J22" s="9"/>
      <c r="K22" s="7">
        <v>9108.2000000000007</v>
      </c>
      <c r="L22" s="8">
        <f>IFERROR(K22/K444, "NA")</f>
        <v>8.6632741644446995E-2</v>
      </c>
      <c r="M22" s="9"/>
      <c r="N22" s="10">
        <f t="shared" si="5"/>
        <v>-431.20000000000073</v>
      </c>
      <c r="O22" s="8">
        <f>IFERROR(N22/N444, "NA")</f>
        <v>0.15376166941241043</v>
      </c>
      <c r="P22" s="9"/>
      <c r="Q22" s="7">
        <v>41383.15</v>
      </c>
      <c r="R22" s="8">
        <f>IFERROR(Q22/Q444, "NA")</f>
        <v>8.0694022627003176E-2</v>
      </c>
      <c r="S22" s="9"/>
      <c r="T22" s="7">
        <v>0</v>
      </c>
      <c r="U22" s="8">
        <f>IFERROR(T22/T444, "NA")</f>
        <v>0</v>
      </c>
      <c r="V22" s="9"/>
      <c r="W22" s="10">
        <f t="shared" si="6"/>
        <v>41383.15</v>
      </c>
      <c r="X22" s="8">
        <f>IFERROR(W22/W444, "NA")</f>
        <v>-0.97841665555451574</v>
      </c>
      <c r="Y22" s="9"/>
      <c r="Z22" s="7">
        <v>43813.39</v>
      </c>
      <c r="AA22" s="8">
        <f>IFERROR(Z22/Z444, "NA")</f>
        <v>8.8292727900187162E-2</v>
      </c>
      <c r="AB22" s="9"/>
      <c r="AC22" s="10">
        <f t="shared" si="7"/>
        <v>-2430.239999999998</v>
      </c>
      <c r="AD22" s="8">
        <f>IFERROR(AC22/AC444, "NA")</f>
        <v>-0.14629785589458891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785.92</v>
      </c>
      <c r="C24" s="8">
        <f>IFERROR(B24/B444, "NA")</f>
        <v>7.6801428456535793E-3</v>
      </c>
      <c r="D24" s="9"/>
      <c r="E24" s="7">
        <v>0</v>
      </c>
      <c r="F24" s="8">
        <f>IFERROR(E24/E444, "NA")</f>
        <v>0</v>
      </c>
      <c r="G24" s="9"/>
      <c r="H24" s="10">
        <f t="shared" si="4"/>
        <v>785.92</v>
      </c>
      <c r="I24" s="8">
        <f>IFERROR(H24/H444, "NA")</f>
        <v>-3.8008610358545671E-2</v>
      </c>
      <c r="J24" s="9"/>
      <c r="K24" s="7">
        <v>609.20000000000005</v>
      </c>
      <c r="L24" s="8">
        <f>IFERROR(K24/K444, "NA")</f>
        <v>5.7944123108624214E-3</v>
      </c>
      <c r="M24" s="9"/>
      <c r="N24" s="10">
        <f t="shared" si="5"/>
        <v>176.71999999999991</v>
      </c>
      <c r="O24" s="8">
        <f>IFERROR(N24/N444, "NA")</f>
        <v>-6.3016609968833737E-2</v>
      </c>
      <c r="P24" s="9"/>
      <c r="Q24" s="7">
        <v>3845.05</v>
      </c>
      <c r="R24" s="8">
        <f>IFERROR(Q24/Q444, "NA")</f>
        <v>7.4975576219296633E-3</v>
      </c>
      <c r="S24" s="9"/>
      <c r="T24" s="7">
        <v>0</v>
      </c>
      <c r="U24" s="8">
        <f>IFERROR(T24/T444, "NA")</f>
        <v>0</v>
      </c>
      <c r="V24" s="9"/>
      <c r="W24" s="10">
        <f t="shared" si="6"/>
        <v>3845.05</v>
      </c>
      <c r="X24" s="8">
        <f>IFERROR(W24/W444, "NA")</f>
        <v>-9.0908037726463331E-2</v>
      </c>
      <c r="Y24" s="9"/>
      <c r="Z24" s="7">
        <v>2247.5</v>
      </c>
      <c r="AA24" s="8">
        <f>IFERROR(Z24/Z444, "NA")</f>
        <v>4.5291611983384675E-3</v>
      </c>
      <c r="AB24" s="9"/>
      <c r="AC24" s="10">
        <f t="shared" si="7"/>
        <v>1597.5500000000002</v>
      </c>
      <c r="AD24" s="8">
        <f>IFERROR(AC24/AC444, "NA")</f>
        <v>9.617080604565835E-2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406.56</v>
      </c>
      <c r="L27" s="8">
        <f>IFERROR(K27/K444, "NA")</f>
        <v>3.8669997851349734E-3</v>
      </c>
      <c r="M27" s="9"/>
      <c r="N27" s="10">
        <f t="shared" si="5"/>
        <v>-406.56</v>
      </c>
      <c r="O27" s="8">
        <f>IFERROR(N27/N444, "NA")</f>
        <v>0.14497528830312958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2413.9499999999998</v>
      </c>
      <c r="AA27" s="8">
        <f>IFERROR(Z27/Z444, "NA")</f>
        <v>4.8645911789673606E-3</v>
      </c>
      <c r="AB27" s="9"/>
      <c r="AC27" s="10">
        <f t="shared" si="7"/>
        <v>-2413.9499999999998</v>
      </c>
      <c r="AD27" s="8">
        <f>IFERROR(AC27/AC444, "NA")</f>
        <v>-0.14531721526957961</v>
      </c>
    </row>
    <row r="28" spans="1:30" ht="16.5" customHeight="1" x14ac:dyDescent="0.45">
      <c r="A28" s="12" t="s">
        <v>29</v>
      </c>
      <c r="B28" s="7">
        <v>856.57</v>
      </c>
      <c r="C28" s="8">
        <f>IFERROR(B28/B444, "NA")</f>
        <v>8.3705465661918343E-3</v>
      </c>
      <c r="D28" s="9"/>
      <c r="E28" s="7">
        <v>0</v>
      </c>
      <c r="F28" s="8">
        <f>IFERROR(E28/E444, "NA")</f>
        <v>0</v>
      </c>
      <c r="G28" s="9"/>
      <c r="H28" s="10">
        <f t="shared" si="4"/>
        <v>856.57</v>
      </c>
      <c r="I28" s="8">
        <f>IFERROR(H28/H444, "NA")</f>
        <v>-4.1425380922765001E-2</v>
      </c>
      <c r="J28" s="9"/>
      <c r="K28" s="7">
        <v>886.65</v>
      </c>
      <c r="L28" s="8">
        <f>IFERROR(K28/K444, "NA")</f>
        <v>8.4333809511263381E-3</v>
      </c>
      <c r="M28" s="9"/>
      <c r="N28" s="10">
        <f t="shared" si="5"/>
        <v>-30.079999999999927</v>
      </c>
      <c r="O28" s="8">
        <f>IFERROR(N28/N444, "NA")</f>
        <v>1.0726231484056787E-2</v>
      </c>
      <c r="P28" s="9"/>
      <c r="Q28" s="7">
        <v>4983.68</v>
      </c>
      <c r="R28" s="8">
        <f>IFERROR(Q28/Q444, "NA")</f>
        <v>9.7178002806877477E-3</v>
      </c>
      <c r="S28" s="9"/>
      <c r="T28" s="7">
        <v>0</v>
      </c>
      <c r="U28" s="8">
        <f>IFERROR(T28/T444, "NA")</f>
        <v>0</v>
      </c>
      <c r="V28" s="9"/>
      <c r="W28" s="10">
        <f t="shared" si="6"/>
        <v>4983.68</v>
      </c>
      <c r="X28" s="8">
        <f>IFERROR(W28/W444, "NA")</f>
        <v>-0.11782852484535201</v>
      </c>
      <c r="Y28" s="9"/>
      <c r="Z28" s="7">
        <v>4990.42</v>
      </c>
      <c r="AA28" s="8">
        <f>IFERROR(Z28/Z444, "NA")</f>
        <v>1.005669260396541E-2</v>
      </c>
      <c r="AB28" s="9"/>
      <c r="AC28" s="10">
        <f t="shared" si="7"/>
        <v>-6.7399999999997817</v>
      </c>
      <c r="AD28" s="8">
        <f>IFERROR(AC28/AC444, "NA")</f>
        <v>-4.0574081108429546E-4</v>
      </c>
    </row>
    <row r="29" spans="1:30" ht="16.5" customHeight="1" x14ac:dyDescent="0.45">
      <c r="A29" s="13" t="s">
        <v>30</v>
      </c>
      <c r="B29" s="14">
        <f>IFERROR(B21+B22+B23+B24+B25+B26+B27+B28, "NA")</f>
        <v>10319.49</v>
      </c>
      <c r="C29" s="15">
        <f>IFERROR(B29/B444, "NA")</f>
        <v>0.10084379745304058</v>
      </c>
      <c r="D29" s="2"/>
      <c r="E29" s="14">
        <f>IFERROR(E21+E22+E23+E24+E25+E26+E27+E28, "NA")</f>
        <v>13038.94</v>
      </c>
      <c r="F29" s="15">
        <f>IFERROR(E29/E444, "NA")</f>
        <v>0.10600001544604311</v>
      </c>
      <c r="G29" s="2"/>
      <c r="H29" s="14">
        <f t="shared" si="4"/>
        <v>-2719.4500000000007</v>
      </c>
      <c r="I29" s="15">
        <f>IFERROR(H29/H444, "NA")</f>
        <v>0.13151785861098719</v>
      </c>
      <c r="J29" s="2"/>
      <c r="K29" s="14">
        <f>IFERROR(K21+K22+K23+K24+K25+K26+K27+K28, "NA")</f>
        <v>11010.61</v>
      </c>
      <c r="L29" s="15">
        <f>IFERROR(K29/K444, "NA")</f>
        <v>0.10472753469157071</v>
      </c>
      <c r="M29" s="2"/>
      <c r="N29" s="14">
        <f t="shared" si="5"/>
        <v>-691.1200000000008</v>
      </c>
      <c r="O29" s="15">
        <f>IFERROR(N29/N444, "NA")</f>
        <v>0.24644657923076305</v>
      </c>
      <c r="P29" s="2"/>
      <c r="Q29" s="14">
        <f>IFERROR(Q21+Q22+Q23+Q24+Q25+Q26+Q27+Q28, "NA")</f>
        <v>50211.880000000005</v>
      </c>
      <c r="R29" s="15">
        <f>IFERROR(Q29/Q444, "NA")</f>
        <v>9.7909380529620588E-2</v>
      </c>
      <c r="S29" s="2"/>
      <c r="T29" s="14">
        <f>IFERROR(T21+T22+T23+T24+T25+T26+T27+T28, "NA")</f>
        <v>58844.45</v>
      </c>
      <c r="U29" s="15">
        <f>IFERROR(T29/T444, "NA")</f>
        <v>0.10599998868746451</v>
      </c>
      <c r="V29" s="2"/>
      <c r="W29" s="14">
        <f t="shared" si="6"/>
        <v>-8632.5699999999924</v>
      </c>
      <c r="X29" s="15">
        <f>IFERROR(W29/W444, "NA")</f>
        <v>0.20409877615020217</v>
      </c>
      <c r="Y29" s="2"/>
      <c r="Z29" s="14">
        <f>IFERROR(Z21+Z22+Z23+Z24+Z25+Z26+Z27+Z28, "NA")</f>
        <v>53465.259999999995</v>
      </c>
      <c r="AA29" s="15">
        <f>IFERROR(Z29/Z444, "NA")</f>
        <v>0.10774317288145839</v>
      </c>
      <c r="AB29" s="2"/>
      <c r="AC29" s="14">
        <f t="shared" si="7"/>
        <v>-3253.3799999999901</v>
      </c>
      <c r="AD29" s="15">
        <f>IFERROR(AC29/AC444, "NA")</f>
        <v>-0.19585000592959403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26446.9</v>
      </c>
      <c r="F31" s="8">
        <f>IFERROR(E31/E444, "NA")</f>
        <v>0.21499997764388498</v>
      </c>
      <c r="G31" s="9"/>
      <c r="H31" s="10">
        <f t="shared" ref="H31:H40" si="8">IFERROR(B31-E31, "NA")</f>
        <v>-26446.9</v>
      </c>
      <c r="I31" s="8">
        <f>IFERROR(H31/H444, "NA")</f>
        <v>1.2790232050226762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119354.32</v>
      </c>
      <c r="U31" s="8">
        <f>IFERROR(T31/T444, "NA")</f>
        <v>0.21499999693768945</v>
      </c>
      <c r="V31" s="9"/>
      <c r="W31" s="10">
        <f t="shared" ref="W31:W40" si="10">IFERROR(Q31-T31, "NA")</f>
        <v>-119354.32</v>
      </c>
      <c r="X31" s="8">
        <f>IFERROR(W31/W444, "NA")</f>
        <v>2.8218793059586682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7835.76</v>
      </c>
      <c r="C33" s="8">
        <f>IFERROR(B33/B444, "NA")</f>
        <v>7.657236882158297E-2</v>
      </c>
      <c r="D33" s="9"/>
      <c r="E33" s="7">
        <v>0</v>
      </c>
      <c r="F33" s="8">
        <f>IFERROR(E33/E444, "NA")</f>
        <v>0</v>
      </c>
      <c r="G33" s="9"/>
      <c r="H33" s="10">
        <f t="shared" si="8"/>
        <v>7835.76</v>
      </c>
      <c r="I33" s="8">
        <f>IFERROR(H33/H444, "NA")</f>
        <v>-0.37895249987667684</v>
      </c>
      <c r="J33" s="9"/>
      <c r="K33" s="7">
        <v>4523.55</v>
      </c>
      <c r="L33" s="8">
        <f>IFERROR(K33/K444, "NA")</f>
        <v>4.3025794170718494E-2</v>
      </c>
      <c r="M33" s="9"/>
      <c r="N33" s="10">
        <f t="shared" si="9"/>
        <v>3312.21</v>
      </c>
      <c r="O33" s="8">
        <f>IFERROR(N33/N444, "NA")</f>
        <v>-1.1811014356319087</v>
      </c>
      <c r="P33" s="9"/>
      <c r="Q33" s="7">
        <v>34230.07</v>
      </c>
      <c r="R33" s="8">
        <f>IFERROR(Q33/Q444, "NA")</f>
        <v>6.6746055897240836E-2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34230.07</v>
      </c>
      <c r="X33" s="8">
        <f>IFERROR(W33/W444, "NA")</f>
        <v>-0.80929727700276477</v>
      </c>
      <c r="Y33" s="9"/>
      <c r="Z33" s="7">
        <v>26151</v>
      </c>
      <c r="AA33" s="8">
        <f>IFERROR(Z33/Z444, "NA")</f>
        <v>5.2699485872190997E-2</v>
      </c>
      <c r="AB33" s="9"/>
      <c r="AC33" s="10">
        <f t="shared" si="11"/>
        <v>8079.07</v>
      </c>
      <c r="AD33" s="8">
        <f>IFERROR(AC33/AC444, "NA")</f>
        <v>0.48635139682595024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776.92</v>
      </c>
      <c r="C35" s="8">
        <f>IFERROR(B35/B444, "NA")</f>
        <v>7.5921933271136735E-3</v>
      </c>
      <c r="D35" s="9"/>
      <c r="E35" s="7">
        <v>0</v>
      </c>
      <c r="F35" s="8">
        <f>IFERROR(E35/E444, "NA")</f>
        <v>0</v>
      </c>
      <c r="G35" s="9"/>
      <c r="H35" s="10">
        <f t="shared" si="8"/>
        <v>776.92</v>
      </c>
      <c r="I35" s="8">
        <f>IFERROR(H35/H444, "NA")</f>
        <v>-3.7573352961829835E-2</v>
      </c>
      <c r="J35" s="9"/>
      <c r="K35" s="7">
        <v>0</v>
      </c>
      <c r="L35" s="8">
        <f>IFERROR(K35/K444, "NA")</f>
        <v>0</v>
      </c>
      <c r="M35" s="9"/>
      <c r="N35" s="10">
        <f t="shared" si="9"/>
        <v>776.92</v>
      </c>
      <c r="O35" s="8">
        <f>IFERROR(N35/N444, "NA")</f>
        <v>-0.27704201345057905</v>
      </c>
      <c r="P35" s="9"/>
      <c r="Q35" s="7">
        <v>3465.08</v>
      </c>
      <c r="R35" s="8">
        <f>IFERROR(Q35/Q444, "NA")</f>
        <v>6.7566447678433401E-3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3465.08</v>
      </c>
      <c r="X35" s="8">
        <f>IFERROR(W35/W444, "NA")</f>
        <v>-8.1924454393366417E-2</v>
      </c>
      <c r="Y35" s="9"/>
      <c r="Z35" s="7">
        <v>0</v>
      </c>
      <c r="AA35" s="8">
        <f>IFERROR(Z35/Z444, "NA")</f>
        <v>0</v>
      </c>
      <c r="AB35" s="9"/>
      <c r="AC35" s="10">
        <f t="shared" si="11"/>
        <v>3465.08</v>
      </c>
      <c r="AD35" s="8">
        <f>IFERROR(AC35/AC444, "NA")</f>
        <v>0.20859412012937922</v>
      </c>
    </row>
    <row r="36" spans="1:30" ht="16.5" customHeight="1" x14ac:dyDescent="0.45">
      <c r="A36" s="12" t="s">
        <v>36</v>
      </c>
      <c r="B36" s="7">
        <v>10460.790000000001</v>
      </c>
      <c r="C36" s="8">
        <f>IFERROR(B36/B444, "NA")</f>
        <v>0.1022246048941171</v>
      </c>
      <c r="D36" s="9"/>
      <c r="E36" s="7">
        <v>0</v>
      </c>
      <c r="F36" s="8">
        <f>IFERROR(E36/E444, "NA")</f>
        <v>0</v>
      </c>
      <c r="G36" s="9"/>
      <c r="H36" s="10">
        <f t="shared" si="8"/>
        <v>10460.790000000001</v>
      </c>
      <c r="I36" s="8">
        <f>IFERROR(H36/H444, "NA")</f>
        <v>-0.5059040247767852</v>
      </c>
      <c r="J36" s="9"/>
      <c r="K36" s="7">
        <v>12244.24</v>
      </c>
      <c r="L36" s="8">
        <f>IFERROR(K36/K444, "NA")</f>
        <v>0.11646121962106712</v>
      </c>
      <c r="M36" s="9"/>
      <c r="N36" s="10">
        <f t="shared" si="9"/>
        <v>-1783.4499999999989</v>
      </c>
      <c r="O36" s="8">
        <f>IFERROR(N36/N444, "NA")</f>
        <v>0.63596068950269646</v>
      </c>
      <c r="P36" s="9"/>
      <c r="Q36" s="7">
        <v>63296.54</v>
      </c>
      <c r="R36" s="8">
        <f>IFERROR(Q36/Q444, "NA")</f>
        <v>0.12342348107795108</v>
      </c>
      <c r="S36" s="9"/>
      <c r="T36" s="7">
        <v>0</v>
      </c>
      <c r="U36" s="8">
        <f>IFERROR(T36/T444, "NA")</f>
        <v>0</v>
      </c>
      <c r="V36" s="9"/>
      <c r="W36" s="10">
        <f t="shared" si="10"/>
        <v>63296.54</v>
      </c>
      <c r="X36" s="8">
        <f>IFERROR(W36/W444, "NA")</f>
        <v>-1.4965122030336653</v>
      </c>
      <c r="Y36" s="9"/>
      <c r="Z36" s="7">
        <v>52929.86</v>
      </c>
      <c r="AA36" s="8">
        <f>IFERROR(Z36/Z444, "NA")</f>
        <v>0.10666423499243041</v>
      </c>
      <c r="AB36" s="9"/>
      <c r="AC36" s="10">
        <f t="shared" si="11"/>
        <v>10366.68</v>
      </c>
      <c r="AD36" s="8">
        <f>IFERROR(AC36/AC444, "NA")</f>
        <v>0.62406307885036794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1101.83</v>
      </c>
      <c r="C39" s="8">
        <f>IFERROR(B39/B444, "NA")</f>
        <v>1.0767268668091514E-2</v>
      </c>
      <c r="D39" s="9"/>
      <c r="E39" s="7">
        <v>0</v>
      </c>
      <c r="F39" s="8">
        <f>IFERROR(E39/E444, "NA")</f>
        <v>0</v>
      </c>
      <c r="G39" s="9"/>
      <c r="H39" s="10">
        <f t="shared" si="8"/>
        <v>1101.83</v>
      </c>
      <c r="I39" s="8">
        <f>IFERROR(H39/H444, "NA")</f>
        <v>-5.3286628602601256E-2</v>
      </c>
      <c r="J39" s="9"/>
      <c r="K39" s="7">
        <v>1587.25</v>
      </c>
      <c r="L39" s="8">
        <f>IFERROR(K39/K444, "NA")</f>
        <v>1.5097145338831873E-2</v>
      </c>
      <c r="M39" s="9"/>
      <c r="N39" s="10">
        <f t="shared" si="9"/>
        <v>-485.42000000000007</v>
      </c>
      <c r="O39" s="8">
        <f>IFERROR(N39/N444, "NA")</f>
        <v>0.17309598693453654</v>
      </c>
      <c r="P39" s="9"/>
      <c r="Q39" s="7">
        <v>4192.63</v>
      </c>
      <c r="R39" s="8">
        <f>IFERROR(Q39/Q444, "NA")</f>
        <v>8.1753124178959875E-3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4192.63</v>
      </c>
      <c r="X39" s="8">
        <f>IFERROR(W39/W444, "NA")</f>
        <v>-9.9125828328136684E-2</v>
      </c>
      <c r="Y39" s="9"/>
      <c r="Z39" s="7">
        <v>6288.32</v>
      </c>
      <c r="AA39" s="8">
        <f>IFERROR(Z39/Z444, "NA")</f>
        <v>1.267222022101702E-2</v>
      </c>
      <c r="AB39" s="9"/>
      <c r="AC39" s="10">
        <f t="shared" si="11"/>
        <v>-2095.6899999999996</v>
      </c>
      <c r="AD39" s="8">
        <f>IFERROR(AC39/AC444, "NA")</f>
        <v>-0.12615830272719206</v>
      </c>
    </row>
    <row r="40" spans="1:30" ht="16.5" customHeight="1" x14ac:dyDescent="0.45">
      <c r="A40" s="13" t="s">
        <v>40</v>
      </c>
      <c r="B40" s="14">
        <f>IFERROR(B31+B32+B33+B34+B35+B36+B37+B38+B39, "NA")</f>
        <v>20175.300000000003</v>
      </c>
      <c r="C40" s="15">
        <f>IFERROR(B40/B444, "NA")</f>
        <v>0.19715643571090527</v>
      </c>
      <c r="D40" s="2"/>
      <c r="E40" s="14">
        <f>IFERROR(E31+E32+E33+E34+E35+E36+E37+E38+E39, "NA")</f>
        <v>26446.9</v>
      </c>
      <c r="F40" s="15">
        <f>IFERROR(E40/E444, "NA")</f>
        <v>0.21499997764388498</v>
      </c>
      <c r="G40" s="2"/>
      <c r="H40" s="14">
        <f t="shared" si="8"/>
        <v>-6271.5999999999985</v>
      </c>
      <c r="I40" s="15">
        <f>IFERROR(H40/H444, "NA")</f>
        <v>0.30330669880478295</v>
      </c>
      <c r="J40" s="2"/>
      <c r="K40" s="14">
        <f>IFERROR(K31+K32+K33+K34+K35+K36+K37+K38+K39, "NA")</f>
        <v>18355.04</v>
      </c>
      <c r="L40" s="15">
        <f>IFERROR(K40/K444, "NA")</f>
        <v>0.17458415913061748</v>
      </c>
      <c r="M40" s="2"/>
      <c r="N40" s="14">
        <f t="shared" si="9"/>
        <v>1820.260000000002</v>
      </c>
      <c r="O40" s="15">
        <f>IFERROR(N40/N444, "NA")</f>
        <v>-0.64908677264525516</v>
      </c>
      <c r="P40" s="2"/>
      <c r="Q40" s="14">
        <f>IFERROR(Q31+Q32+Q33+Q34+Q35+Q36+Q37+Q38+Q39, "NA")</f>
        <v>105184.32000000001</v>
      </c>
      <c r="R40" s="15">
        <f>IFERROR(Q40/Q444, "NA")</f>
        <v>0.20510149416093126</v>
      </c>
      <c r="S40" s="2"/>
      <c r="T40" s="14">
        <f>IFERROR(T31+T32+T33+T34+T35+T36+T37+T38+T39, "NA")</f>
        <v>119354.32</v>
      </c>
      <c r="U40" s="15">
        <f>IFERROR(T40/T444, "NA")</f>
        <v>0.21499999693768945</v>
      </c>
      <c r="V40" s="2"/>
      <c r="W40" s="14">
        <f t="shared" si="10"/>
        <v>-14170</v>
      </c>
      <c r="X40" s="15">
        <f>IFERROR(W40/W444, "NA")</f>
        <v>0.33501954320073479</v>
      </c>
      <c r="Y40" s="2"/>
      <c r="Z40" s="14">
        <f>IFERROR(Z31+Z32+Z33+Z34+Z35+Z36+Z37+Z38+Z39, "NA")</f>
        <v>85369.18</v>
      </c>
      <c r="AA40" s="15">
        <f>IFERROR(Z40/Z444, "NA")</f>
        <v>0.17203594108563841</v>
      </c>
      <c r="AB40" s="2"/>
      <c r="AC40" s="14">
        <f t="shared" si="11"/>
        <v>19815.140000000014</v>
      </c>
      <c r="AD40" s="15">
        <f>IFERROR(AC40/AC444, "NA")</f>
        <v>1.1928502930785063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7699.28</v>
      </c>
      <c r="C43" s="8">
        <f>IFERROR(B43/B444, "NA")</f>
        <v>7.5238663233768946E-2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7699.28</v>
      </c>
      <c r="I43" s="8">
        <f>IFERROR(H43/H444, "NA")</f>
        <v>-0.37235206326514597</v>
      </c>
      <c r="J43" s="9"/>
      <c r="K43" s="7">
        <v>0</v>
      </c>
      <c r="L43" s="8">
        <f>IFERROR(K43/K444, "NA")</f>
        <v>0</v>
      </c>
      <c r="M43" s="9"/>
      <c r="N43" s="10">
        <f>IFERROR(B43-K43, "NA")</f>
        <v>7699.28</v>
      </c>
      <c r="O43" s="8">
        <f>IFERROR(N43/N444, "NA")</f>
        <v>-2.7454873517476375</v>
      </c>
      <c r="P43" s="9"/>
      <c r="Q43" s="7">
        <v>35981.839999999997</v>
      </c>
      <c r="R43" s="8">
        <f>IFERROR(Q43/Q444, "NA")</f>
        <v>7.0161875331414048E-2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35981.839999999997</v>
      </c>
      <c r="X43" s="8">
        <f>IFERROR(W43/W444, "NA")</f>
        <v>-0.85071415669173789</v>
      </c>
      <c r="Y43" s="9"/>
      <c r="Z43" s="7">
        <v>0</v>
      </c>
      <c r="AA43" s="8">
        <f>IFERROR(Z43/Z444, "NA")</f>
        <v>0</v>
      </c>
      <c r="AB43" s="9"/>
      <c r="AC43" s="10">
        <f>IFERROR(Q43-Z43, "NA")</f>
        <v>35981.839999999997</v>
      </c>
      <c r="AD43" s="8">
        <f>IFERROR(AC43/AC444, "NA")</f>
        <v>2.1660683896002695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18082.3</v>
      </c>
      <c r="F46" s="8">
        <f>IFERROR(E46/E444, "NA")</f>
        <v>0.14699999227697844</v>
      </c>
      <c r="G46" s="9"/>
      <c r="H46" s="10">
        <f t="shared" ref="H46:H62" si="12">IFERROR(B46-E46, "NA")</f>
        <v>-18082.3</v>
      </c>
      <c r="I46" s="8">
        <f>IFERROR(H46/H444, "NA")</f>
        <v>0.87449498051497665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81605.05</v>
      </c>
      <c r="U46" s="8">
        <f>IFERROR(T46/T444, "NA")</f>
        <v>0.14700000385490861</v>
      </c>
      <c r="V46" s="9"/>
      <c r="W46" s="10">
        <f t="shared" ref="W46:W62" si="14">IFERROR(Q46-T46, "NA")</f>
        <v>-81605.05</v>
      </c>
      <c r="X46" s="8">
        <f>IFERROR(W46/W444, "NA")</f>
        <v>1.9293780221505381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customHeight="1" x14ac:dyDescent="0.45">
      <c r="A47" s="17" t="s">
        <v>45</v>
      </c>
      <c r="B47" s="7">
        <v>586.63</v>
      </c>
      <c r="C47" s="8">
        <f>IFERROR(B47/B444, "NA")</f>
        <v>5.7326473401182803E-3</v>
      </c>
      <c r="D47" s="9"/>
      <c r="E47" s="7">
        <v>0</v>
      </c>
      <c r="F47" s="8">
        <f>IFERROR(E47/E444, "NA")</f>
        <v>0</v>
      </c>
      <c r="G47" s="9"/>
      <c r="H47" s="10">
        <f t="shared" si="12"/>
        <v>586.63</v>
      </c>
      <c r="I47" s="8">
        <f>IFERROR(H47/H444, "NA")</f>
        <v>-2.8370560737267979E-2</v>
      </c>
      <c r="J47" s="9"/>
      <c r="K47" s="7">
        <v>748.11</v>
      </c>
      <c r="L47" s="8">
        <f>IFERROR(K47/K444, "NA")</f>
        <v>7.1156562604715789E-3</v>
      </c>
      <c r="M47" s="9"/>
      <c r="N47" s="10">
        <f t="shared" si="13"/>
        <v>-161.48000000000002</v>
      </c>
      <c r="O47" s="8">
        <f>IFERROR(N47/N444, "NA")</f>
        <v>5.7582176198320956E-2</v>
      </c>
      <c r="P47" s="9"/>
      <c r="Q47" s="7">
        <v>5997.94</v>
      </c>
      <c r="R47" s="8">
        <f>IFERROR(Q47/Q444, "NA")</f>
        <v>1.1695530815692072E-2</v>
      </c>
      <c r="S47" s="9"/>
      <c r="T47" s="7">
        <v>0</v>
      </c>
      <c r="U47" s="8">
        <f>IFERROR(T47/T444, "NA")</f>
        <v>0</v>
      </c>
      <c r="V47" s="9"/>
      <c r="W47" s="10">
        <f t="shared" si="14"/>
        <v>5997.94</v>
      </c>
      <c r="X47" s="8">
        <f>IFERROR(W47/W444, "NA")</f>
        <v>-0.14180854756142661</v>
      </c>
      <c r="Y47" s="9"/>
      <c r="Z47" s="7">
        <v>2386.71</v>
      </c>
      <c r="AA47" s="8">
        <f>IFERROR(Z47/Z444, "NA")</f>
        <v>4.8096971406836062E-3</v>
      </c>
      <c r="AB47" s="9"/>
      <c r="AC47" s="10">
        <f t="shared" si="15"/>
        <v>3611.2299999999996</v>
      </c>
      <c r="AD47" s="8">
        <f>IFERROR(AC47/AC444, "NA")</f>
        <v>0.21739219424510201</v>
      </c>
    </row>
    <row r="48" spans="1:30" ht="16.5" customHeight="1" x14ac:dyDescent="0.45">
      <c r="A48" s="17" t="s">
        <v>46</v>
      </c>
      <c r="B48" s="7">
        <v>5354.78</v>
      </c>
      <c r="C48" s="8">
        <f>IFERROR(B48/B444, "NA")</f>
        <v>5.2327813654123666E-2</v>
      </c>
      <c r="D48" s="9"/>
      <c r="E48" s="7">
        <v>0</v>
      </c>
      <c r="F48" s="8">
        <f>IFERROR(E48/E444, "NA")</f>
        <v>0</v>
      </c>
      <c r="G48" s="9"/>
      <c r="H48" s="10">
        <f t="shared" si="12"/>
        <v>5354.78</v>
      </c>
      <c r="I48" s="8">
        <f>IFERROR(H48/H444, "NA")</f>
        <v>-0.25896751142067032</v>
      </c>
      <c r="J48" s="9"/>
      <c r="K48" s="7">
        <v>10711.57</v>
      </c>
      <c r="L48" s="8">
        <f>IFERROR(K48/K444, "NA")</f>
        <v>0.10188321253556235</v>
      </c>
      <c r="M48" s="9"/>
      <c r="N48" s="10">
        <f t="shared" si="13"/>
        <v>-5356.79</v>
      </c>
      <c r="O48" s="8">
        <f>IFERROR(N48/N444, "NA")</f>
        <v>1.910178509025289</v>
      </c>
      <c r="P48" s="9"/>
      <c r="Q48" s="7">
        <v>35664.730000000003</v>
      </c>
      <c r="R48" s="8">
        <f>IFERROR(Q48/Q444, "NA")</f>
        <v>6.9543534738316412E-2</v>
      </c>
      <c r="S48" s="9"/>
      <c r="T48" s="7">
        <v>0</v>
      </c>
      <c r="U48" s="8">
        <f>IFERROR(T48/T444, "NA")</f>
        <v>0</v>
      </c>
      <c r="V48" s="9"/>
      <c r="W48" s="10">
        <f t="shared" si="14"/>
        <v>35664.730000000003</v>
      </c>
      <c r="X48" s="8">
        <f>IFERROR(W48/W444, "NA")</f>
        <v>-0.84321676450088523</v>
      </c>
      <c r="Y48" s="9"/>
      <c r="Z48" s="7">
        <v>46271.43</v>
      </c>
      <c r="AA48" s="8">
        <f>IFERROR(Z48/Z444, "NA")</f>
        <v>9.3246169231428047E-2</v>
      </c>
      <c r="AB48" s="9"/>
      <c r="AC48" s="10">
        <f t="shared" si="15"/>
        <v>-10606.699999999997</v>
      </c>
      <c r="AD48" s="8">
        <f>IFERROR(AC48/AC444, "NA")</f>
        <v>-0.63851202684390718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27.5</v>
      </c>
      <c r="R49" s="8">
        <f>IFERROR(Q49/Q444, "NA")</f>
        <v>5.3622926776782029E-5</v>
      </c>
      <c r="S49" s="9"/>
      <c r="T49" s="7">
        <v>0</v>
      </c>
      <c r="U49" s="8">
        <f>IFERROR(T49/T444, "NA")</f>
        <v>0</v>
      </c>
      <c r="V49" s="9"/>
      <c r="W49" s="10">
        <f t="shared" si="14"/>
        <v>27.5</v>
      </c>
      <c r="X49" s="8">
        <f>IFERROR(W49/W444, "NA")</f>
        <v>-6.5017907113762929E-4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27.5</v>
      </c>
      <c r="AD49" s="8">
        <f>IFERROR(AC49/AC444, "NA")</f>
        <v>1.6554706683706952E-3</v>
      </c>
    </row>
    <row r="50" spans="1:30" ht="16.5" customHeight="1" x14ac:dyDescent="0.45">
      <c r="A50" s="17" t="s">
        <v>48</v>
      </c>
      <c r="B50" s="7">
        <v>50</v>
      </c>
      <c r="C50" s="8">
        <f>IFERROR(B50/B444, "NA")</f>
        <v>4.8860843633280612E-4</v>
      </c>
      <c r="D50" s="9"/>
      <c r="E50" s="7">
        <v>0</v>
      </c>
      <c r="F50" s="8">
        <f>IFERROR(E50/E444, "NA")</f>
        <v>0</v>
      </c>
      <c r="G50" s="9"/>
      <c r="H50" s="10">
        <f t="shared" si="12"/>
        <v>50</v>
      </c>
      <c r="I50" s="8">
        <f>IFERROR(H50/H444, "NA")</f>
        <v>-2.4180966484213199E-3</v>
      </c>
      <c r="J50" s="9"/>
      <c r="K50" s="7">
        <v>1917</v>
      </c>
      <c r="L50" s="8">
        <f>IFERROR(K50/K444, "NA")</f>
        <v>1.8233565988055252E-2</v>
      </c>
      <c r="M50" s="9"/>
      <c r="N50" s="10">
        <f t="shared" si="13"/>
        <v>-1867</v>
      </c>
      <c r="O50" s="8">
        <f>IFERROR(N50/N444, "NA")</f>
        <v>0.66575379590206341</v>
      </c>
      <c r="P50" s="9"/>
      <c r="Q50" s="7">
        <v>7940.57</v>
      </c>
      <c r="R50" s="8">
        <f>IFERROR(Q50/Q444, "NA")</f>
        <v>1.5483512860942256E-2</v>
      </c>
      <c r="S50" s="9"/>
      <c r="T50" s="7">
        <v>0</v>
      </c>
      <c r="U50" s="8">
        <f>IFERROR(T50/T444, "NA")</f>
        <v>0</v>
      </c>
      <c r="V50" s="9"/>
      <c r="W50" s="10">
        <f t="shared" si="14"/>
        <v>7940.57</v>
      </c>
      <c r="X50" s="8">
        <f>IFERROR(W50/W444, "NA")</f>
        <v>-0.18773790643284818</v>
      </c>
      <c r="Y50" s="9"/>
      <c r="Z50" s="7">
        <v>18234.34</v>
      </c>
      <c r="AA50" s="8">
        <f>IFERROR(Z50/Z444, "NA")</f>
        <v>3.6745835463987124E-2</v>
      </c>
      <c r="AB50" s="9"/>
      <c r="AC50" s="10">
        <f t="shared" si="15"/>
        <v>-10293.77</v>
      </c>
      <c r="AD50" s="8">
        <f>IFERROR(AC50/AC444, "NA")</f>
        <v>-0.61967397461651685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151.9</v>
      </c>
      <c r="L54" s="8">
        <f>IFERROR(K54/K444, "NA")</f>
        <v>1.4447984734405808E-3</v>
      </c>
      <c r="M54" s="9"/>
      <c r="N54" s="10">
        <f t="shared" si="13"/>
        <v>-151.9</v>
      </c>
      <c r="O54" s="8">
        <f>IFERROR(N54/N444, "NA")</f>
        <v>5.4166042633917215E-2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978.7</v>
      </c>
      <c r="AA54" s="8">
        <f>IFERROR(Z54/Z444, "NA")</f>
        <v>1.9722758909071674E-3</v>
      </c>
      <c r="AB54" s="9"/>
      <c r="AC54" s="10">
        <f t="shared" si="15"/>
        <v>-978.7</v>
      </c>
      <c r="AD54" s="8">
        <f>IFERROR(AC54/AC444, "NA")</f>
        <v>-5.8916696113978165E-2</v>
      </c>
    </row>
    <row r="55" spans="1:30" ht="16.5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334.29</v>
      </c>
      <c r="R55" s="8">
        <f>IFERROR(Q55/Q444, "NA")</f>
        <v>6.5184029789856237E-4</v>
      </c>
      <c r="S55" s="9"/>
      <c r="T55" s="7">
        <v>0</v>
      </c>
      <c r="U55" s="8">
        <f>IFERROR(T55/T444, "NA")</f>
        <v>0</v>
      </c>
      <c r="V55" s="9"/>
      <c r="W55" s="10">
        <f t="shared" si="14"/>
        <v>334.29</v>
      </c>
      <c r="X55" s="8">
        <f>IFERROR(W55/W444, "NA")</f>
        <v>-7.9035767887490217E-3</v>
      </c>
      <c r="Y55" s="9"/>
      <c r="Z55" s="7">
        <v>1886.55</v>
      </c>
      <c r="AA55" s="8">
        <f>IFERROR(Z55/Z444, "NA")</f>
        <v>3.8017748870858448E-3</v>
      </c>
      <c r="AB55" s="9"/>
      <c r="AC55" s="10">
        <f t="shared" si="15"/>
        <v>-1552.26</v>
      </c>
      <c r="AD55" s="8">
        <f>IFERROR(AC55/AC444, "NA")</f>
        <v>-9.3444396352185294E-2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165.67</v>
      </c>
      <c r="L56" s="8">
        <f>IFERROR(K56/K444, "NA")</f>
        <v>1.5757719756083013E-3</v>
      </c>
      <c r="M56" s="9"/>
      <c r="N56" s="10">
        <f t="shared" si="13"/>
        <v>-165.67</v>
      </c>
      <c r="O56" s="8">
        <f>IFERROR(N56/N444, "NA")</f>
        <v>5.9076288895069544E-2</v>
      </c>
      <c r="P56" s="9"/>
      <c r="Q56" s="7">
        <v>54.95</v>
      </c>
      <c r="R56" s="8">
        <f>IFERROR(Q56/Q444, "NA")</f>
        <v>1.0714835732306081E-4</v>
      </c>
      <c r="S56" s="9"/>
      <c r="T56" s="7">
        <v>0</v>
      </c>
      <c r="U56" s="8">
        <f>IFERROR(T56/T444, "NA")</f>
        <v>0</v>
      </c>
      <c r="V56" s="9"/>
      <c r="W56" s="10">
        <f t="shared" si="14"/>
        <v>54.95</v>
      </c>
      <c r="X56" s="8">
        <f>IFERROR(W56/W444, "NA")</f>
        <v>-1.2991759985095538E-3</v>
      </c>
      <c r="Y56" s="9"/>
      <c r="Z56" s="7">
        <v>858.82</v>
      </c>
      <c r="AA56" s="8">
        <f>IFERROR(Z56/Z444, "NA")</f>
        <v>1.730693757667205E-3</v>
      </c>
      <c r="AB56" s="9"/>
      <c r="AC56" s="10">
        <f t="shared" si="15"/>
        <v>-803.87</v>
      </c>
      <c r="AD56" s="8">
        <f>IFERROR(AC56/AC444, "NA")</f>
        <v>-4.839211658847821E-2</v>
      </c>
    </row>
    <row r="57" spans="1:30" ht="16.5" customHeight="1" x14ac:dyDescent="0.45">
      <c r="A57" s="17" t="s">
        <v>55</v>
      </c>
      <c r="B57" s="7">
        <v>1370.83</v>
      </c>
      <c r="C57" s="8">
        <f>IFERROR(B57/B444, "NA")</f>
        <v>1.3395982055562011E-2</v>
      </c>
      <c r="D57" s="9"/>
      <c r="E57" s="7">
        <v>0</v>
      </c>
      <c r="F57" s="8">
        <f>IFERROR(E57/E444, "NA")</f>
        <v>0</v>
      </c>
      <c r="G57" s="9"/>
      <c r="H57" s="10">
        <f t="shared" si="12"/>
        <v>1370.83</v>
      </c>
      <c r="I57" s="8">
        <f>IFERROR(H57/H444, "NA")</f>
        <v>-6.6295988571107953E-2</v>
      </c>
      <c r="J57" s="9"/>
      <c r="K57" s="7">
        <v>0</v>
      </c>
      <c r="L57" s="8">
        <f>IFERROR(K57/K444, "NA")</f>
        <v>0</v>
      </c>
      <c r="M57" s="9"/>
      <c r="N57" s="10">
        <f t="shared" si="13"/>
        <v>1370.83</v>
      </c>
      <c r="O57" s="8">
        <f>IFERROR(N57/N444, "NA")</f>
        <v>-0.48882446493648934</v>
      </c>
      <c r="P57" s="9"/>
      <c r="Q57" s="7">
        <v>4510.32</v>
      </c>
      <c r="R57" s="8">
        <f>IFERROR(Q57/Q444, "NA")</f>
        <v>8.7947839672674732E-3</v>
      </c>
      <c r="S57" s="9"/>
      <c r="T57" s="7">
        <v>0</v>
      </c>
      <c r="U57" s="8">
        <f>IFERROR(T57/T444, "NA")</f>
        <v>0</v>
      </c>
      <c r="V57" s="9"/>
      <c r="W57" s="10">
        <f t="shared" si="14"/>
        <v>4510.32</v>
      </c>
      <c r="X57" s="8">
        <f>IFERROR(W57/W444, "NA")</f>
        <v>-0.10663693338667171</v>
      </c>
      <c r="Y57" s="9"/>
      <c r="Z57" s="7">
        <v>14356.41</v>
      </c>
      <c r="AA57" s="8">
        <f>IFERROR(Z57/Z444, "NA")</f>
        <v>2.8931032311207281E-2</v>
      </c>
      <c r="AB57" s="9"/>
      <c r="AC57" s="10">
        <f t="shared" si="15"/>
        <v>-9846.09</v>
      </c>
      <c r="AD57" s="8">
        <f>IFERROR(AC57/AC444, "NA")</f>
        <v>-0.5927241161141098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7362.24</v>
      </c>
      <c r="C61" s="15">
        <f>IFERROR(B61/B444, "NA")</f>
        <v>7.1945051486136766E-2</v>
      </c>
      <c r="D61" s="2"/>
      <c r="E61" s="14">
        <f>IFERROR(E46+E47+E48+E49+E50+E51+E52+E53+E54+E55+E56+E57+E58+E59+E60, "NA")</f>
        <v>18082.3</v>
      </c>
      <c r="F61" s="15">
        <f>IFERROR(E61/E444, "NA")</f>
        <v>0.14699999227697844</v>
      </c>
      <c r="G61" s="2"/>
      <c r="H61" s="14">
        <f t="shared" si="12"/>
        <v>-10720.06</v>
      </c>
      <c r="I61" s="15">
        <f>IFERROR(H61/H444, "NA")</f>
        <v>0.51844282313750911</v>
      </c>
      <c r="J61" s="2"/>
      <c r="K61" s="14">
        <f>IFERROR(K46+K47+K48+K49+K50+K51+K52+K53+K54+K55+K56+K57+K58+K59+K60, "NA")</f>
        <v>13694.25</v>
      </c>
      <c r="L61" s="15">
        <f>IFERROR(K61/K444, "NA")</f>
        <v>0.13025300523313807</v>
      </c>
      <c r="M61" s="2"/>
      <c r="N61" s="14">
        <f t="shared" si="13"/>
        <v>-6332.01</v>
      </c>
      <c r="O61" s="15">
        <f>IFERROR(N61/N444, "NA")</f>
        <v>2.257932347718171</v>
      </c>
      <c r="P61" s="2"/>
      <c r="Q61" s="14">
        <f>IFERROR(Q46+Q47+Q48+Q49+Q50+Q51+Q52+Q53+Q54+Q55+Q56+Q57+Q58+Q59+Q60, "NA")</f>
        <v>54530.3</v>
      </c>
      <c r="R61" s="15">
        <f>IFERROR(Q61/Q444, "NA")</f>
        <v>0.10632997396421662</v>
      </c>
      <c r="S61" s="2"/>
      <c r="T61" s="14">
        <f>IFERROR(T46+T47+T48+T49+T50+T51+T52+T53+T54+T55+T56+T57+T58+T59+T60, "NA")</f>
        <v>81605.05</v>
      </c>
      <c r="U61" s="15">
        <f>IFERROR(T61/T444, "NA")</f>
        <v>0.14700000385490861</v>
      </c>
      <c r="V61" s="2"/>
      <c r="W61" s="14">
        <f t="shared" si="14"/>
        <v>-27074.75</v>
      </c>
      <c r="X61" s="15">
        <f>IFERROR(W61/W444, "NA")</f>
        <v>0.64012493841031015</v>
      </c>
      <c r="Y61" s="2"/>
      <c r="Z61" s="14">
        <f>IFERROR(Z46+Z47+Z48+Z49+Z50+Z51+Z52+Z53+Z54+Z55+Z56+Z57+Z58+Z59+Z60, "NA")</f>
        <v>84972.96</v>
      </c>
      <c r="AA61" s="15">
        <f>IFERROR(Z61/Z444, "NA")</f>
        <v>0.17123747868296629</v>
      </c>
      <c r="AB61" s="2"/>
      <c r="AC61" s="14">
        <f t="shared" si="15"/>
        <v>-30442.660000000003</v>
      </c>
      <c r="AD61" s="15">
        <f>IFERROR(AC61/AC444, "NA")</f>
        <v>-1.832615661715703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15061.519999999999</v>
      </c>
      <c r="C62" s="15">
        <f>IFERROR(B62/B444, "NA")</f>
        <v>0.14718371471990571</v>
      </c>
      <c r="D62" s="2"/>
      <c r="E62" s="14">
        <f>IFERROR(E42+E43+E44+E46+E47+E48+E49+E50+E51+E52+E53+E54+E55+E56+E57+E58+E59+E60, "NA")</f>
        <v>18082.3</v>
      </c>
      <c r="F62" s="15">
        <f>IFERROR(E62/E444, "NA")</f>
        <v>0.14699999227697844</v>
      </c>
      <c r="G62" s="2"/>
      <c r="H62" s="14">
        <f t="shared" si="12"/>
        <v>-3020.7800000000007</v>
      </c>
      <c r="I62" s="15">
        <f>IFERROR(H62/H444, "NA")</f>
        <v>0.14609075987236314</v>
      </c>
      <c r="J62" s="2"/>
      <c r="K62" s="14">
        <f>IFERROR(K42+K43+K44+K46+K47+K48+K49+K50+K51+K52+K53+K54+K55+K56+K57+K58+K59+K60, "NA")</f>
        <v>13694.25</v>
      </c>
      <c r="L62" s="15">
        <f>IFERROR(K62/K444, "NA")</f>
        <v>0.13025300523313807</v>
      </c>
      <c r="M62" s="2"/>
      <c r="N62" s="14">
        <f t="shared" si="13"/>
        <v>1367.2699999999986</v>
      </c>
      <c r="O62" s="15">
        <f>IFERROR(N62/N444, "NA")</f>
        <v>-0.48755500402946622</v>
      </c>
      <c r="P62" s="2"/>
      <c r="Q62" s="14">
        <f>IFERROR(Q42+Q43+Q44+Q46+Q47+Q48+Q49+Q50+Q51+Q52+Q53+Q54+Q55+Q56+Q57+Q58+Q59+Q60, "NA")</f>
        <v>90512.140000000014</v>
      </c>
      <c r="R62" s="15">
        <f>IFERROR(Q62/Q444, "NA")</f>
        <v>0.17649184929563069</v>
      </c>
      <c r="S62" s="2"/>
      <c r="T62" s="14">
        <f>IFERROR(T42+T43+T44+T46+T47+T48+T49+T50+T51+T52+T53+T54+T55+T56+T57+T58+T59+T60, "NA")</f>
        <v>81605.05</v>
      </c>
      <c r="U62" s="15">
        <f>IFERROR(T62/T444, "NA")</f>
        <v>0.14700000385490861</v>
      </c>
      <c r="V62" s="2"/>
      <c r="W62" s="14">
        <f t="shared" si="14"/>
        <v>8907.0900000000111</v>
      </c>
      <c r="X62" s="15">
        <f>IFERROR(W62/W444, "NA")</f>
        <v>-0.21058921828142813</v>
      </c>
      <c r="Y62" s="2"/>
      <c r="Z62" s="14">
        <f>IFERROR(Z42+Z43+Z44+Z46+Z47+Z48+Z49+Z50+Z51+Z52+Z53+Z54+Z55+Z56+Z57+Z58+Z59+Z60, "NA")</f>
        <v>84972.96</v>
      </c>
      <c r="AA62" s="15">
        <f>IFERROR(Z62/Z444, "NA")</f>
        <v>0.17123747868296629</v>
      </c>
      <c r="AB62" s="2"/>
      <c r="AC62" s="14">
        <f t="shared" si="15"/>
        <v>5539.1800000000076</v>
      </c>
      <c r="AD62" s="15">
        <f>IFERROR(AC62/AC444, "NA")</f>
        <v>0.33345272788456726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5209</v>
      </c>
      <c r="C65" s="8">
        <f>IFERROR(B65/B444, "NA")</f>
        <v>5.0903226897151738E-2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5209</v>
      </c>
      <c r="I65" s="8">
        <f>IFERROR(H65/H444, "NA")</f>
        <v>-0.2519173088325331</v>
      </c>
      <c r="J65" s="9"/>
      <c r="K65" s="7">
        <v>0</v>
      </c>
      <c r="L65" s="8">
        <f>IFERROR(K65/K444, "NA")</f>
        <v>0</v>
      </c>
      <c r="M65" s="9"/>
      <c r="N65" s="10">
        <f t="shared" si="17"/>
        <v>5209</v>
      </c>
      <c r="O65" s="8">
        <f>IFERROR(N65/N444, "NA")</f>
        <v>-1.8574780518767267</v>
      </c>
      <c r="P65" s="9"/>
      <c r="Q65" s="7">
        <v>15839.63</v>
      </c>
      <c r="R65" s="8">
        <f>IFERROR(Q65/Q444, "NA")</f>
        <v>3.088608435132072E-2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15839.63</v>
      </c>
      <c r="X65" s="8">
        <f>IFERROR(W65/W444, "NA")</f>
        <v>-0.37449439711140825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15839.63</v>
      </c>
      <c r="AD65" s="8">
        <f>IFERROR(AC65/AC444, "NA")</f>
        <v>0.95352883137616418</v>
      </c>
    </row>
    <row r="66" spans="1:30" ht="16.5" customHeight="1" x14ac:dyDescent="0.45">
      <c r="A66" s="12" t="s">
        <v>63</v>
      </c>
      <c r="B66" s="7">
        <v>797.7</v>
      </c>
      <c r="C66" s="8">
        <f>IFERROR(B66/B444, "NA")</f>
        <v>7.795258993253589E-3</v>
      </c>
      <c r="D66" s="9"/>
      <c r="E66" s="7">
        <v>0</v>
      </c>
      <c r="F66" s="8">
        <f>IFERROR(E66/E444, "NA")</f>
        <v>0</v>
      </c>
      <c r="G66" s="9"/>
      <c r="H66" s="10">
        <f t="shared" si="16"/>
        <v>797.7</v>
      </c>
      <c r="I66" s="8">
        <f>IFERROR(H66/H444, "NA")</f>
        <v>-3.8578313928913741E-2</v>
      </c>
      <c r="J66" s="9"/>
      <c r="K66" s="7">
        <v>0</v>
      </c>
      <c r="L66" s="8">
        <f>IFERROR(K66/K444, "NA")</f>
        <v>0</v>
      </c>
      <c r="M66" s="9"/>
      <c r="N66" s="10">
        <f t="shared" si="17"/>
        <v>797.7</v>
      </c>
      <c r="O66" s="8">
        <f>IFERROR(N66/N444, "NA")</f>
        <v>-0.28445195661011036</v>
      </c>
      <c r="P66" s="9"/>
      <c r="Q66" s="7">
        <v>6889.38</v>
      </c>
      <c r="R66" s="8">
        <f>IFERROR(Q66/Q444, "NA")</f>
        <v>1.3433771610088239E-2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6889.38</v>
      </c>
      <c r="X66" s="8">
        <f>IFERROR(W66/W444, "NA")</f>
        <v>-0.16288475233142402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6889.38</v>
      </c>
      <c r="AD66" s="8">
        <f>IFERROR(AC66/AC444, "NA")</f>
        <v>0.41473332775489818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customHeight="1" x14ac:dyDescent="0.45">
      <c r="A68" s="12" t="s">
        <v>65</v>
      </c>
      <c r="B68" s="7">
        <v>2177.6999999999998</v>
      </c>
      <c r="C68" s="8">
        <f>IFERROR(B68/B444, "NA")</f>
        <v>2.1280851836039033E-2</v>
      </c>
      <c r="D68" s="9"/>
      <c r="E68" s="7">
        <v>0</v>
      </c>
      <c r="F68" s="8">
        <f>IFERROR(E68/E444, "NA")</f>
        <v>0</v>
      </c>
      <c r="G68" s="9"/>
      <c r="H68" s="10">
        <f t="shared" si="16"/>
        <v>2177.6999999999998</v>
      </c>
      <c r="I68" s="8">
        <f>IFERROR(H68/H444, "NA")</f>
        <v>-0.10531778142534216</v>
      </c>
      <c r="J68" s="9"/>
      <c r="K68" s="7">
        <v>0</v>
      </c>
      <c r="L68" s="8">
        <f>IFERROR(K68/K444, "NA")</f>
        <v>0</v>
      </c>
      <c r="M68" s="9"/>
      <c r="N68" s="10">
        <f t="shared" si="17"/>
        <v>2177.6999999999998</v>
      </c>
      <c r="O68" s="8">
        <f>IFERROR(N68/N444, "NA")</f>
        <v>-0.77654635315261034</v>
      </c>
      <c r="P68" s="9"/>
      <c r="Q68" s="7">
        <v>4355.3999999999996</v>
      </c>
      <c r="R68" s="8">
        <f>IFERROR(Q68/Q444, "NA")</f>
        <v>8.4927016466762335E-3</v>
      </c>
      <c r="S68" s="9"/>
      <c r="T68" s="7">
        <v>0</v>
      </c>
      <c r="U68" s="8">
        <f>IFERROR(T68/T444, "NA")</f>
        <v>0</v>
      </c>
      <c r="V68" s="9"/>
      <c r="W68" s="10">
        <f t="shared" si="18"/>
        <v>4355.3999999999996</v>
      </c>
      <c r="X68" s="8">
        <f>IFERROR(W68/W444, "NA")</f>
        <v>-0.10297417914301202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4355.3999999999996</v>
      </c>
      <c r="AD68" s="8">
        <f>IFERROR(AC68/AC444, "NA")</f>
        <v>0.26219043450988094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8184.4</v>
      </c>
      <c r="C73" s="15">
        <f>IFERROR(B73/B444, "NA")</f>
        <v>7.9979337726444361E-2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8184.4</v>
      </c>
      <c r="I73" s="15">
        <f>IFERROR(H73/H444, "NA")</f>
        <v>-0.39581340418678901</v>
      </c>
      <c r="J73" s="2"/>
      <c r="K73" s="14">
        <f>IFERROR(K64+K65+K66+K67+K68+K69+K70+K71+K72, "NA")</f>
        <v>0</v>
      </c>
      <c r="L73" s="15">
        <f>IFERROR(K73/K444, "NA")</f>
        <v>0</v>
      </c>
      <c r="M73" s="2"/>
      <c r="N73" s="14">
        <f t="shared" si="17"/>
        <v>8184.4</v>
      </c>
      <c r="O73" s="15">
        <f>IFERROR(N73/N444, "NA")</f>
        <v>-2.9184763616394473</v>
      </c>
      <c r="P73" s="2"/>
      <c r="Q73" s="14">
        <f>IFERROR(Q64+Q65+Q66+Q67+Q68+Q69+Q70+Q71+Q72, "NA")</f>
        <v>27084.409999999996</v>
      </c>
      <c r="R73" s="15">
        <f>IFERROR(Q73/Q444, "NA")</f>
        <v>5.2812557608085189E-2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27084.409999999996</v>
      </c>
      <c r="X73" s="15">
        <f>IFERROR(W73/W444, "NA")</f>
        <v>-0.64035332858584415</v>
      </c>
      <c r="Y73" s="2"/>
      <c r="Z73" s="14">
        <f>IFERROR(Z64+Z65+Z66+Z67+Z68+Z69+Z70+Z71+Z72, "NA")</f>
        <v>0</v>
      </c>
      <c r="AA73" s="15">
        <f>IFERROR(Z73/Z444, "NA")</f>
        <v>0</v>
      </c>
      <c r="AB73" s="2"/>
      <c r="AC73" s="14">
        <f t="shared" si="19"/>
        <v>27084.409999999996</v>
      </c>
      <c r="AD73" s="15">
        <f>IFERROR(AC73/AC444, "NA")</f>
        <v>1.6304525936409431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984.07</v>
      </c>
      <c r="F75" s="8">
        <f>IFERROR(E75/E444, "NA")</f>
        <v>7.9999934964029018E-3</v>
      </c>
      <c r="G75" s="9"/>
      <c r="H75" s="10">
        <f t="shared" ref="H75:H92" si="20">IFERROR(B75-E75, "NA")</f>
        <v>-984.07</v>
      </c>
      <c r="I75" s="8">
        <f>IFERROR(H75/H444, "NA")</f>
        <v>4.7591527376239368E-2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4441.1000000000004</v>
      </c>
      <c r="U75" s="8">
        <f>IFERROR(T75/T444, "NA")</f>
        <v>8.0000161401780224E-3</v>
      </c>
      <c r="V75" s="9"/>
      <c r="W75" s="10">
        <f t="shared" ref="W75:W92" si="22">IFERROR(Q75-T75, "NA")</f>
        <v>-4441.1000000000004</v>
      </c>
      <c r="X75" s="8">
        <f>IFERROR(W75/W444, "NA")</f>
        <v>0.10500037355743003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253.84</v>
      </c>
      <c r="C77" s="8">
        <f>IFERROR(B77/B444, "NA")</f>
        <v>2.4805673095743899E-3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253.84</v>
      </c>
      <c r="I77" s="8">
        <f>IFERROR(H77/H444, "NA")</f>
        <v>-1.2276193064705357E-2</v>
      </c>
      <c r="J77" s="9"/>
      <c r="K77" s="7">
        <v>92.69</v>
      </c>
      <c r="L77" s="8">
        <f>IFERROR(K77/K444, "NA")</f>
        <v>8.8162192563006855E-4</v>
      </c>
      <c r="M77" s="9"/>
      <c r="N77" s="10">
        <f t="shared" si="21"/>
        <v>161.15</v>
      </c>
      <c r="O77" s="8">
        <f>IFERROR(N77/N444, "NA")</f>
        <v>-5.7464501451321655E-2</v>
      </c>
      <c r="P77" s="9"/>
      <c r="Q77" s="7">
        <v>1268.74</v>
      </c>
      <c r="R77" s="8">
        <f>IFERROR(Q77/Q444, "NA")</f>
        <v>2.4739473497736157E-3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1268.74</v>
      </c>
      <c r="X77" s="8">
        <f>IFERROR(W77/W444, "NA")</f>
        <v>-2.9996661626005665E-2</v>
      </c>
      <c r="Y77" s="9"/>
      <c r="Z77" s="7">
        <v>430.56</v>
      </c>
      <c r="AA77" s="8">
        <f>IFERROR(Z77/Z444, "NA")</f>
        <v>8.6766435842340855E-4</v>
      </c>
      <c r="AB77" s="9"/>
      <c r="AC77" s="10">
        <f t="shared" si="23"/>
        <v>838.18000000000006</v>
      </c>
      <c r="AD77" s="8">
        <f>IFERROR(AC77/AC444, "NA")</f>
        <v>5.0457541993270891E-2</v>
      </c>
    </row>
    <row r="78" spans="1:30" ht="16.5" customHeight="1" x14ac:dyDescent="0.45">
      <c r="A78" s="12" t="s">
        <v>74</v>
      </c>
      <c r="B78" s="7">
        <v>50</v>
      </c>
      <c r="C78" s="8">
        <f>IFERROR(B78/B444, "NA")</f>
        <v>4.8860843633280612E-4</v>
      </c>
      <c r="D78" s="9"/>
      <c r="E78" s="7">
        <v>0</v>
      </c>
      <c r="F78" s="8">
        <f>IFERROR(E78/E444, "NA")</f>
        <v>0</v>
      </c>
      <c r="G78" s="9"/>
      <c r="H78" s="10">
        <f t="shared" si="20"/>
        <v>50</v>
      </c>
      <c r="I78" s="8">
        <f>IFERROR(H78/H444, "NA")</f>
        <v>-2.4180966484213199E-3</v>
      </c>
      <c r="J78" s="9"/>
      <c r="K78" s="7">
        <v>50</v>
      </c>
      <c r="L78" s="8">
        <f>IFERROR(K78/K444, "NA")</f>
        <v>4.7557553437807131E-4</v>
      </c>
      <c r="M78" s="9"/>
      <c r="N78" s="10">
        <f t="shared" si="21"/>
        <v>0</v>
      </c>
      <c r="O78" s="8">
        <f>IFERROR(N78/N444, "NA")</f>
        <v>0</v>
      </c>
      <c r="P78" s="9"/>
      <c r="Q78" s="7">
        <v>325</v>
      </c>
      <c r="R78" s="8">
        <f>IFERROR(Q78/Q444, "NA")</f>
        <v>6.3372549827106028E-4</v>
      </c>
      <c r="S78" s="9"/>
      <c r="T78" s="7">
        <v>0</v>
      </c>
      <c r="U78" s="8">
        <f>IFERROR(T78/T444, "NA")</f>
        <v>0</v>
      </c>
      <c r="V78" s="9"/>
      <c r="W78" s="10">
        <f t="shared" si="22"/>
        <v>325</v>
      </c>
      <c r="X78" s="8">
        <f>IFERROR(W78/W444, "NA")</f>
        <v>-7.6839344770810733E-3</v>
      </c>
      <c r="Y78" s="9"/>
      <c r="Z78" s="7">
        <v>250</v>
      </c>
      <c r="AA78" s="8">
        <f>IFERROR(Z78/Z444, "NA")</f>
        <v>5.0379991082741575E-4</v>
      </c>
      <c r="AB78" s="9"/>
      <c r="AC78" s="10">
        <f t="shared" si="23"/>
        <v>75</v>
      </c>
      <c r="AD78" s="8">
        <f>IFERROR(AC78/AC444, "NA")</f>
        <v>4.5149200046473506E-3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11.96</v>
      </c>
      <c r="L79" s="8">
        <f>IFERROR(K79/K444, "NA")</f>
        <v>1.1375766782323466E-4</v>
      </c>
      <c r="M79" s="9"/>
      <c r="N79" s="10">
        <f t="shared" si="21"/>
        <v>-11.96</v>
      </c>
      <c r="O79" s="8">
        <f>IFERROR(N79/N444, "NA")</f>
        <v>4.2648181033683339E-3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50.83</v>
      </c>
      <c r="AA79" s="8">
        <f>IFERROR(Z79/Z444, "NA")</f>
        <v>1.0243259786943018E-4</v>
      </c>
      <c r="AB79" s="9"/>
      <c r="AC79" s="10">
        <f t="shared" si="23"/>
        <v>-50.83</v>
      </c>
      <c r="AD79" s="8">
        <f>IFERROR(AC79/AC444, "NA")</f>
        <v>-3.0599117844829979E-3</v>
      </c>
    </row>
    <row r="80" spans="1:30" ht="16.5" customHeight="1" x14ac:dyDescent="0.45">
      <c r="A80" s="12" t="s">
        <v>76</v>
      </c>
      <c r="B80" s="7">
        <v>557.07000000000005</v>
      </c>
      <c r="C80" s="8">
        <f>IFERROR(B80/B444, "NA")</f>
        <v>5.4437820325583261E-3</v>
      </c>
      <c r="D80" s="9"/>
      <c r="E80" s="7">
        <v>0</v>
      </c>
      <c r="F80" s="8">
        <f>IFERROR(E80/E444, "NA")</f>
        <v>0</v>
      </c>
      <c r="G80" s="9"/>
      <c r="H80" s="10">
        <f t="shared" si="20"/>
        <v>557.07000000000005</v>
      </c>
      <c r="I80" s="8">
        <f>IFERROR(H80/H444, "NA")</f>
        <v>-2.6940981998721296E-2</v>
      </c>
      <c r="J80" s="9"/>
      <c r="K80" s="7">
        <v>1012.37</v>
      </c>
      <c r="L80" s="8">
        <f>IFERROR(K80/K444, "NA")</f>
        <v>9.6291680747665614E-3</v>
      </c>
      <c r="M80" s="9"/>
      <c r="N80" s="10">
        <f t="shared" si="21"/>
        <v>-455.29999999999995</v>
      </c>
      <c r="O80" s="8">
        <f>IFERROR(N80/N444, "NA")</f>
        <v>0.16235549184478279</v>
      </c>
      <c r="P80" s="9"/>
      <c r="Q80" s="7">
        <v>3349.11</v>
      </c>
      <c r="R80" s="8">
        <f>IFERROR(Q80/Q444, "NA")</f>
        <v>6.5305120108141261E-3</v>
      </c>
      <c r="S80" s="9"/>
      <c r="T80" s="7">
        <v>0</v>
      </c>
      <c r="U80" s="8">
        <f>IFERROR(T80/T444, "NA")</f>
        <v>0</v>
      </c>
      <c r="V80" s="9"/>
      <c r="W80" s="10">
        <f t="shared" si="22"/>
        <v>3349.11</v>
      </c>
      <c r="X80" s="8">
        <f>IFERROR(W80/W444, "NA")</f>
        <v>-7.9182590143190748E-2</v>
      </c>
      <c r="Y80" s="9"/>
      <c r="Z80" s="7">
        <v>3605.64</v>
      </c>
      <c r="AA80" s="8">
        <f>IFERROR(Z80/Z444, "NA")</f>
        <v>7.2660844419030531E-3</v>
      </c>
      <c r="AB80" s="9"/>
      <c r="AC80" s="10">
        <f t="shared" si="23"/>
        <v>-256.52999999999975</v>
      </c>
      <c r="AD80" s="8">
        <f>IFERROR(AC80/AC444, "NA")</f>
        <v>-1.5442832383895783E-2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25</v>
      </c>
      <c r="L82" s="8">
        <f>IFERROR(K82/K444, "NA")</f>
        <v>2.3778776718903565E-4</v>
      </c>
      <c r="M82" s="9"/>
      <c r="N82" s="10">
        <f t="shared" si="21"/>
        <v>-25</v>
      </c>
      <c r="O82" s="8">
        <f>IFERROR(N82/N444, "NA")</f>
        <v>8.9147535605525376E-3</v>
      </c>
      <c r="P82" s="9"/>
      <c r="Q82" s="7">
        <v>25</v>
      </c>
      <c r="R82" s="8">
        <f>IFERROR(Q82/Q444, "NA")</f>
        <v>4.8748115251620023E-5</v>
      </c>
      <c r="S82" s="9"/>
      <c r="T82" s="7">
        <v>0</v>
      </c>
      <c r="U82" s="8">
        <f>IFERROR(T82/T444, "NA")</f>
        <v>0</v>
      </c>
      <c r="V82" s="9"/>
      <c r="W82" s="10">
        <f t="shared" si="22"/>
        <v>25</v>
      </c>
      <c r="X82" s="8">
        <f>IFERROR(W82/W444, "NA")</f>
        <v>-5.9107188285239024E-4</v>
      </c>
      <c r="Y82" s="9"/>
      <c r="Z82" s="7">
        <v>75</v>
      </c>
      <c r="AA82" s="8">
        <f>IFERROR(Z82/Z444, "NA")</f>
        <v>1.5113997324822475E-4</v>
      </c>
      <c r="AB82" s="9"/>
      <c r="AC82" s="10">
        <f t="shared" si="23"/>
        <v>-50</v>
      </c>
      <c r="AD82" s="8">
        <f>IFERROR(AC82/AC444, "NA")</f>
        <v>-3.0099466697649005E-3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85.98</v>
      </c>
      <c r="L85" s="8">
        <f>IFERROR(K85/K444, "NA")</f>
        <v>8.1779968891653148E-4</v>
      </c>
      <c r="M85" s="9"/>
      <c r="N85" s="10">
        <f t="shared" si="21"/>
        <v>-85.98</v>
      </c>
      <c r="O85" s="8">
        <f>IFERROR(N85/N444, "NA")</f>
        <v>3.0659620445452285E-2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115.98</v>
      </c>
      <c r="AA85" s="8">
        <f>IFERROR(Z85/Z444, "NA")</f>
        <v>2.3372285463105474E-4</v>
      </c>
      <c r="AB85" s="9"/>
      <c r="AC85" s="10">
        <f t="shared" si="23"/>
        <v>-115.98</v>
      </c>
      <c r="AD85" s="8">
        <f>IFERROR(AC85/AC444, "NA")</f>
        <v>-6.9818722951866634E-3</v>
      </c>
    </row>
    <row r="86" spans="1:30" ht="16.5" customHeight="1" x14ac:dyDescent="0.45">
      <c r="A86" s="12" t="s">
        <v>82</v>
      </c>
      <c r="B86" s="7">
        <v>25</v>
      </c>
      <c r="C86" s="8">
        <f>IFERROR(B86/B444, "NA")</f>
        <v>2.4430421816640306E-4</v>
      </c>
      <c r="D86" s="9"/>
      <c r="E86" s="7">
        <v>0</v>
      </c>
      <c r="F86" s="8">
        <f>IFERROR(E86/E444, "NA")</f>
        <v>0</v>
      </c>
      <c r="G86" s="9"/>
      <c r="H86" s="10">
        <f t="shared" si="20"/>
        <v>25</v>
      </c>
      <c r="I86" s="8">
        <f>IFERROR(H86/H444, "NA")</f>
        <v>-1.2090483242106599E-3</v>
      </c>
      <c r="J86" s="9"/>
      <c r="K86" s="7">
        <v>0</v>
      </c>
      <c r="L86" s="8">
        <f>IFERROR(K86/K444, "NA")</f>
        <v>0</v>
      </c>
      <c r="M86" s="9"/>
      <c r="N86" s="10">
        <f t="shared" si="21"/>
        <v>25</v>
      </c>
      <c r="O86" s="8">
        <f>IFERROR(N86/N444, "NA")</f>
        <v>-8.9147535605525376E-3</v>
      </c>
      <c r="P86" s="9"/>
      <c r="Q86" s="7">
        <v>75</v>
      </c>
      <c r="R86" s="8">
        <f>IFERROR(Q86/Q444, "NA")</f>
        <v>1.4624434575486006E-4</v>
      </c>
      <c r="S86" s="9"/>
      <c r="T86" s="7">
        <v>0</v>
      </c>
      <c r="U86" s="8">
        <f>IFERROR(T86/T444, "NA")</f>
        <v>0</v>
      </c>
      <c r="V86" s="9"/>
      <c r="W86" s="10">
        <f t="shared" si="22"/>
        <v>75</v>
      </c>
      <c r="X86" s="8">
        <f>IFERROR(W86/W444, "NA")</f>
        <v>-1.7732156485571707E-3</v>
      </c>
      <c r="Y86" s="9"/>
      <c r="Z86" s="7">
        <v>820</v>
      </c>
      <c r="AA86" s="8">
        <f>IFERROR(Z86/Z444, "NA")</f>
        <v>1.6524637075139238E-3</v>
      </c>
      <c r="AB86" s="9"/>
      <c r="AC86" s="10">
        <f t="shared" si="23"/>
        <v>-745</v>
      </c>
      <c r="AD86" s="8">
        <f>IFERROR(AC86/AC444, "NA")</f>
        <v>-4.4848205379497019E-2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885.91000000000008</v>
      </c>
      <c r="C88" s="15">
        <f>IFERROR(B88/B444, "NA")</f>
        <v>8.6572619966319257E-3</v>
      </c>
      <c r="D88" s="2"/>
      <c r="E88" s="14">
        <f>IFERROR(E75+E76+E77+E78+E79+E80+E81+E82+E83+E84+E85+E86+E87, "NA")</f>
        <v>984.07</v>
      </c>
      <c r="F88" s="15">
        <f>IFERROR(E88/E444, "NA")</f>
        <v>7.9999934964029018E-3</v>
      </c>
      <c r="G88" s="2"/>
      <c r="H88" s="14">
        <f t="shared" si="20"/>
        <v>-98.159999999999968</v>
      </c>
      <c r="I88" s="15">
        <f>IFERROR(H88/H444, "NA")</f>
        <v>4.7472073401807341E-3</v>
      </c>
      <c r="J88" s="2"/>
      <c r="K88" s="14">
        <f>IFERROR(K75+K76+K77+K78+K79+K80+K81+K82+K83+K84+K85+K86+K87, "NA")</f>
        <v>1278</v>
      </c>
      <c r="L88" s="15">
        <f>IFERROR(K88/K444, "NA")</f>
        <v>1.2155710658703503E-2</v>
      </c>
      <c r="M88" s="2"/>
      <c r="N88" s="14">
        <f t="shared" si="21"/>
        <v>-392.08999999999992</v>
      </c>
      <c r="O88" s="15">
        <f>IFERROR(N88/N444, "NA")</f>
        <v>0.13981542894228174</v>
      </c>
      <c r="P88" s="2"/>
      <c r="Q88" s="14">
        <f>IFERROR(Q75+Q76+Q77+Q78+Q79+Q80+Q81+Q82+Q83+Q84+Q85+Q86+Q87, "NA")</f>
        <v>5042.8500000000004</v>
      </c>
      <c r="R88" s="15">
        <f>IFERROR(Q88/Q444, "NA")</f>
        <v>9.8331773198652821E-3</v>
      </c>
      <c r="S88" s="2"/>
      <c r="T88" s="14">
        <f>IFERROR(T75+T76+T77+T78+T79+T80+T81+T82+T83+T84+T85+T86+T87, "NA")</f>
        <v>4441.1000000000004</v>
      </c>
      <c r="U88" s="15">
        <f>IFERROR(T88/T444, "NA")</f>
        <v>8.0000161401780224E-3</v>
      </c>
      <c r="V88" s="2"/>
      <c r="W88" s="14">
        <f t="shared" si="22"/>
        <v>601.75</v>
      </c>
      <c r="X88" s="15">
        <f>IFERROR(W88/W444, "NA")</f>
        <v>-1.4227100220257034E-2</v>
      </c>
      <c r="Y88" s="2"/>
      <c r="Z88" s="14">
        <f>IFERROR(Z75+Z76+Z77+Z78+Z79+Z80+Z81+Z82+Z83+Z84+Z85+Z86+Z87, "NA")</f>
        <v>5348.0099999999993</v>
      </c>
      <c r="AA88" s="15">
        <f>IFERROR(Z88/Z444, "NA")</f>
        <v>1.0777307844416511E-2</v>
      </c>
      <c r="AB88" s="2"/>
      <c r="AC88" s="14">
        <f t="shared" si="23"/>
        <v>-305.15999999999894</v>
      </c>
      <c r="AD88" s="15">
        <f>IFERROR(AC88/AC444, "NA")</f>
        <v>-1.8370306514909077E-2</v>
      </c>
    </row>
    <row r="89" spans="1:30" ht="16.5" customHeight="1" x14ac:dyDescent="0.45">
      <c r="A89" s="6" t="s">
        <v>85</v>
      </c>
      <c r="B89" s="7">
        <v>-199.7</v>
      </c>
      <c r="C89" s="8">
        <f>IFERROR(B89/B444, "NA")</f>
        <v>-1.9515020947132274E-3</v>
      </c>
      <c r="D89" s="9"/>
      <c r="E89" s="7">
        <v>0</v>
      </c>
      <c r="F89" s="8">
        <f>IFERROR(E89/E444, "NA")</f>
        <v>0</v>
      </c>
      <c r="G89" s="9"/>
      <c r="H89" s="10">
        <f t="shared" si="20"/>
        <v>-199.7</v>
      </c>
      <c r="I89" s="8">
        <f>IFERROR(H89/H444, "NA")</f>
        <v>9.6578780137947517E-3</v>
      </c>
      <c r="J89" s="9"/>
      <c r="K89" s="7">
        <v>-438.64</v>
      </c>
      <c r="L89" s="8">
        <f>IFERROR(K89/K444, "NA")</f>
        <v>-4.1721290479919439E-3</v>
      </c>
      <c r="M89" s="9"/>
      <c r="N89" s="10">
        <f t="shared" si="21"/>
        <v>238.94</v>
      </c>
      <c r="O89" s="8">
        <f>IFERROR(N89/N444, "NA")</f>
        <v>-8.5203648630336928E-2</v>
      </c>
      <c r="P89" s="9"/>
      <c r="Q89" s="7">
        <v>-568.21</v>
      </c>
      <c r="R89" s="8">
        <f>IFERROR(Q89/Q444, "NA")</f>
        <v>-1.1079666626849206E-3</v>
      </c>
      <c r="S89" s="9"/>
      <c r="T89" s="7">
        <v>0</v>
      </c>
      <c r="U89" s="8">
        <f>IFERROR(T89/T444, "NA")</f>
        <v>0</v>
      </c>
      <c r="V89" s="9"/>
      <c r="W89" s="10">
        <f t="shared" si="22"/>
        <v>-568.21</v>
      </c>
      <c r="X89" s="8">
        <f>IFERROR(W89/W444, "NA")</f>
        <v>1.3434118182222267E-2</v>
      </c>
      <c r="Y89" s="9"/>
      <c r="Z89" s="7">
        <v>-2240.46</v>
      </c>
      <c r="AA89" s="8">
        <f>IFERROR(Z89/Z444, "NA")</f>
        <v>-4.5149741928495676E-3</v>
      </c>
      <c r="AB89" s="9"/>
      <c r="AC89" s="10">
        <f t="shared" si="23"/>
        <v>1672.25</v>
      </c>
      <c r="AD89" s="8">
        <f>IFERROR(AC89/AC444, "NA")</f>
        <v>0.1006676663702871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-4920.3500000000004</v>
      </c>
      <c r="F94" s="8">
        <f>IFERROR(E94/E444, "NA")</f>
        <v>-3.9999967482014509E-2</v>
      </c>
      <c r="G94" s="9"/>
      <c r="H94" s="10">
        <f t="shared" ref="H94:H124" si="24">IFERROR(B94-E94, "NA")</f>
        <v>4920.3500000000004</v>
      </c>
      <c r="I94" s="8">
        <f>IFERROR(H94/H444, "NA")</f>
        <v>-0.23795763688119684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-22205.46</v>
      </c>
      <c r="U94" s="8">
        <f>IFERROR(T94/T444, "NA")</f>
        <v>-4.0000008646523942E-2</v>
      </c>
      <c r="V94" s="9"/>
      <c r="W94" s="10">
        <f t="shared" ref="W94:W124" si="26">IFERROR(Q94-T94, "NA")</f>
        <v>22205.46</v>
      </c>
      <c r="X94" s="8">
        <f>IFERROR(W94/W444, "NA")</f>
        <v>-0.52500092207213744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-1113.4000000000001</v>
      </c>
      <c r="C96" s="8">
        <f>IFERROR(B96/B444, "NA")</f>
        <v>-1.0880332660258927E-2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-1113.4000000000001</v>
      </c>
      <c r="I96" s="8">
        <f>IFERROR(H96/H444, "NA")</f>
        <v>5.3846176167045956E-2</v>
      </c>
      <c r="J96" s="9"/>
      <c r="K96" s="7">
        <v>-729.35</v>
      </c>
      <c r="L96" s="8">
        <f>IFERROR(K96/K444, "NA")</f>
        <v>-6.9372203199729266E-3</v>
      </c>
      <c r="M96" s="9"/>
      <c r="N96" s="10">
        <f t="shared" si="25"/>
        <v>-384.05000000000007</v>
      </c>
      <c r="O96" s="8">
        <f>IFERROR(N96/N444, "NA")</f>
        <v>0.13694844419720809</v>
      </c>
      <c r="P96" s="9"/>
      <c r="Q96" s="7">
        <v>-7165.29</v>
      </c>
      <c r="R96" s="8">
        <f>IFERROR(Q96/Q444, "NA")</f>
        <v>-1.3971775309251217E-2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-7165.29</v>
      </c>
      <c r="X96" s="8">
        <f>IFERROR(W96/W444, "NA")</f>
        <v>0.16940805805933615</v>
      </c>
      <c r="Y96" s="9"/>
      <c r="Z96" s="7">
        <v>-6272.78</v>
      </c>
      <c r="AA96" s="8">
        <f>IFERROR(Z96/Z444, "NA")</f>
        <v>-1.2640904018559988E-2</v>
      </c>
      <c r="AB96" s="9"/>
      <c r="AC96" s="10">
        <f t="shared" si="27"/>
        <v>-892.51000000000022</v>
      </c>
      <c r="AD96" s="8">
        <f>IFERROR(AC96/AC444, "NA")</f>
        <v>-5.3728150044637442E-2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-2635.66</v>
      </c>
      <c r="C98" s="8">
        <f>IFERROR(B98/B444, "NA")</f>
        <v>-2.5756114226098473E-2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-2635.66</v>
      </c>
      <c r="I98" s="8">
        <f>IFERROR(H98/H444, "NA")</f>
        <v>0.12746561224756273</v>
      </c>
      <c r="J98" s="9"/>
      <c r="K98" s="7">
        <v>-2129.34</v>
      </c>
      <c r="L98" s="8">
        <f>IFERROR(K98/K444, "NA")</f>
        <v>-2.0253240167452047E-2</v>
      </c>
      <c r="M98" s="9"/>
      <c r="N98" s="10">
        <f t="shared" si="25"/>
        <v>-506.31999999999971</v>
      </c>
      <c r="O98" s="8">
        <f>IFERROR(N98/N444, "NA")</f>
        <v>0.18054872091115831</v>
      </c>
      <c r="P98" s="9"/>
      <c r="Q98" s="7">
        <v>-11351.11</v>
      </c>
      <c r="R98" s="8">
        <f>IFERROR(Q98/Q444, "NA")</f>
        <v>-2.2133808740552666E-2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-11351.11</v>
      </c>
      <c r="X98" s="8">
        <f>IFERROR(W98/W444, "NA")</f>
        <v>0.26837287840658386</v>
      </c>
      <c r="Y98" s="9"/>
      <c r="Z98" s="7">
        <v>-10584.57</v>
      </c>
      <c r="AA98" s="8">
        <f>IFERROR(Z98/Z444, "NA")</f>
        <v>-2.1330021688586161E-2</v>
      </c>
      <c r="AB98" s="9"/>
      <c r="AC98" s="10">
        <f t="shared" si="27"/>
        <v>-766.54000000000087</v>
      </c>
      <c r="AD98" s="8">
        <f>IFERROR(AC98/AC444, "NA")</f>
        <v>-4.6144890404831787E-2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-504.06</v>
      </c>
      <c r="C100" s="8">
        <f>IFERROR(B100/B444, "NA")</f>
        <v>-4.9257593683582849E-3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-504.06</v>
      </c>
      <c r="I100" s="8">
        <f>IFERROR(H100/H444, "NA")</f>
        <v>2.4377315932065012E-2</v>
      </c>
      <c r="J100" s="9"/>
      <c r="K100" s="7">
        <v>-7.55</v>
      </c>
      <c r="L100" s="8">
        <f>IFERROR(K100/K444, "NA")</f>
        <v>-7.1811905691088771E-5</v>
      </c>
      <c r="M100" s="9"/>
      <c r="N100" s="10">
        <f t="shared" si="25"/>
        <v>-496.51</v>
      </c>
      <c r="O100" s="8">
        <f>IFERROR(N100/N444, "NA")</f>
        <v>0.17705057161399759</v>
      </c>
      <c r="P100" s="9"/>
      <c r="Q100" s="7">
        <v>-1800.21</v>
      </c>
      <c r="R100" s="8">
        <f>IFERROR(Q100/Q444, "NA")</f>
        <v>-3.5102737822847556E-3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-1800.21</v>
      </c>
      <c r="X100" s="8">
        <f>IFERROR(W100/W444, "NA")</f>
        <v>4.2562140569188056E-2</v>
      </c>
      <c r="Y100" s="9"/>
      <c r="Z100" s="7">
        <v>-166.52</v>
      </c>
      <c r="AA100" s="8">
        <f>IFERROR(Z100/Z444, "NA")</f>
        <v>-3.355710446039251E-4</v>
      </c>
      <c r="AB100" s="9"/>
      <c r="AC100" s="10">
        <f t="shared" si="27"/>
        <v>-1633.69</v>
      </c>
      <c r="AD100" s="8">
        <f>IFERROR(AC100/AC444, "NA")</f>
        <v>-9.8346395498564401E-2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-973.25</v>
      </c>
      <c r="C102" s="8">
        <f>IFERROR(B102/B444, "NA")</f>
        <v>-9.5107632132180701E-3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-973.25</v>
      </c>
      <c r="I102" s="8">
        <f>IFERROR(H102/H444, "NA")</f>
        <v>4.7068251261520991E-2</v>
      </c>
      <c r="J102" s="9"/>
      <c r="K102" s="7">
        <v>-626.82000000000005</v>
      </c>
      <c r="L102" s="8">
        <f>IFERROR(K102/K444, "NA")</f>
        <v>-5.9620051291772534E-3</v>
      </c>
      <c r="M102" s="9"/>
      <c r="N102" s="10">
        <f t="shared" si="25"/>
        <v>-346.42999999999995</v>
      </c>
      <c r="O102" s="8">
        <f>IFERROR(N102/N444, "NA")</f>
        <v>0.12353352303928859</v>
      </c>
      <c r="P102" s="9"/>
      <c r="Q102" s="7">
        <v>-5485.58</v>
      </c>
      <c r="R102" s="8">
        <f>IFERROR(Q102/Q444, "NA")</f>
        <v>-1.0696467442479271E-2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-5485.58</v>
      </c>
      <c r="X102" s="8">
        <f>IFERROR(W102/W444, "NA")</f>
        <v>0.12969488396549658</v>
      </c>
      <c r="Y102" s="9"/>
      <c r="Z102" s="7">
        <v>-1362.54</v>
      </c>
      <c r="AA102" s="8">
        <f>IFERROR(Z102/Z444, "NA")</f>
        <v>-2.7457901219951485E-3</v>
      </c>
      <c r="AB102" s="9"/>
      <c r="AC102" s="10">
        <f t="shared" si="27"/>
        <v>-4123.04</v>
      </c>
      <c r="AD102" s="8">
        <f>IFERROR(AC102/AC444, "NA")</f>
        <v>-0.24820261034614952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-394.64</v>
      </c>
      <c r="C104" s="8">
        <f>IFERROR(B104/B444, "NA")</f>
        <v>-3.8564886662875719E-3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-394.64</v>
      </c>
      <c r="I104" s="8">
        <f>IFERROR(H104/H444, "NA")</f>
        <v>1.9085553226659793E-2</v>
      </c>
      <c r="J104" s="9"/>
      <c r="K104" s="7">
        <v>-631.64</v>
      </c>
      <c r="L104" s="8">
        <f>IFERROR(K104/K444, "NA")</f>
        <v>-6.0078506106912991E-3</v>
      </c>
      <c r="M104" s="9"/>
      <c r="N104" s="10">
        <f t="shared" si="25"/>
        <v>237</v>
      </c>
      <c r="O104" s="8">
        <f>IFERROR(N104/N444, "NA")</f>
        <v>-8.4511863754038047E-2</v>
      </c>
      <c r="P104" s="9"/>
      <c r="Q104" s="7">
        <v>-2693.62</v>
      </c>
      <c r="R104" s="8">
        <f>IFERROR(Q104/Q444, "NA")</f>
        <v>-5.2523559281627491E-3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-2693.62</v>
      </c>
      <c r="X104" s="8">
        <f>IFERROR(W104/W444, "NA")</f>
        <v>6.3684921803554215E-2</v>
      </c>
      <c r="Y104" s="9"/>
      <c r="Z104" s="7">
        <v>-2362.5</v>
      </c>
      <c r="AA104" s="8">
        <f>IFERROR(Z104/Z444, "NA")</f>
        <v>-4.7609091573190794E-3</v>
      </c>
      <c r="AB104" s="9"/>
      <c r="AC104" s="10">
        <f t="shared" si="27"/>
        <v>-331.11999999999989</v>
      </c>
      <c r="AD104" s="8">
        <f>IFERROR(AC104/AC444, "NA")</f>
        <v>-1.9933070825851069E-2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0</v>
      </c>
      <c r="L106" s="8">
        <f>IFERROR(K106/K444, "NA")</f>
        <v>0</v>
      </c>
      <c r="M106" s="9"/>
      <c r="N106" s="10">
        <f t="shared" si="25"/>
        <v>0</v>
      </c>
      <c r="O106" s="8">
        <f>IFERROR(N106/N444, "NA")</f>
        <v>0</v>
      </c>
      <c r="P106" s="9"/>
      <c r="Q106" s="7">
        <v>-768.09</v>
      </c>
      <c r="R106" s="8">
        <f>IFERROR(Q106/Q444, "NA")</f>
        <v>-1.497717593744673E-3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-768.09</v>
      </c>
      <c r="X106" s="8">
        <f>IFERROR(W106/W444, "NA")</f>
        <v>1.8159856100003698E-2</v>
      </c>
      <c r="Y106" s="9"/>
      <c r="Z106" s="7">
        <v>-5623.68</v>
      </c>
      <c r="AA106" s="8">
        <f>IFERROR(Z106/Z444, "NA")</f>
        <v>-1.1332837930087688E-2</v>
      </c>
      <c r="AB106" s="9"/>
      <c r="AC106" s="10">
        <f t="shared" si="27"/>
        <v>4855.59</v>
      </c>
      <c r="AD106" s="8">
        <f>IFERROR(AC106/AC444, "NA")</f>
        <v>0.29230133900487509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-25</v>
      </c>
      <c r="L108" s="8">
        <f>IFERROR(K108/K444, "NA")</f>
        <v>-2.3778776718903565E-4</v>
      </c>
      <c r="M108" s="9"/>
      <c r="N108" s="10">
        <f t="shared" si="25"/>
        <v>25</v>
      </c>
      <c r="O108" s="8">
        <f>IFERROR(N108/N444, "NA")</f>
        <v>-8.9147535605525376E-3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-141.13999999999999</v>
      </c>
      <c r="AA108" s="8">
        <f>IFERROR(Z108/Z444, "NA")</f>
        <v>-2.8442527765672583E-4</v>
      </c>
      <c r="AB108" s="9"/>
      <c r="AC108" s="10">
        <f t="shared" si="27"/>
        <v>141.13999999999999</v>
      </c>
      <c r="AD108" s="8">
        <f>IFERROR(AC108/AC444, "NA")</f>
        <v>8.4964774594123594E-3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-5621.01</v>
      </c>
      <c r="C118" s="15">
        <f>IFERROR(B118/B444, "NA")</f>
        <v>-5.4929458134221329E-2</v>
      </c>
      <c r="D118" s="2"/>
      <c r="E118" s="14">
        <f>IFERROR(E94+E95+E96+E97+E98+E99+E100+E101+E102+E103+E104+E105+E106+E107+E108+E109+E110+E111+E112+E113+E114+E115+E116+E117, "NA")</f>
        <v>-4920.3500000000004</v>
      </c>
      <c r="F118" s="15">
        <f>IFERROR(E118/E444, "NA")</f>
        <v>-3.9999967482014509E-2</v>
      </c>
      <c r="G118" s="2"/>
      <c r="H118" s="14">
        <f t="shared" si="24"/>
        <v>-700.65999999999985</v>
      </c>
      <c r="I118" s="15">
        <f>IFERROR(H118/H444, "NA")</f>
        <v>3.3885271953657634E-2</v>
      </c>
      <c r="J118" s="2"/>
      <c r="K118" s="14">
        <f>IFERROR(K94+K95+K96+K97+K98+K99+K100+K101+K102+K103+K104+K105+K106+K107+K108+K109+K110+K111+K112+K113+K114+K115+K116+K117, "NA")</f>
        <v>-4149.7000000000007</v>
      </c>
      <c r="L118" s="15">
        <f>IFERROR(K118/K444, "NA")</f>
        <v>-3.9469915900173659E-2</v>
      </c>
      <c r="M118" s="2"/>
      <c r="N118" s="14">
        <f t="shared" si="25"/>
        <v>-1471.3099999999995</v>
      </c>
      <c r="O118" s="15">
        <f>IFERROR(N118/N444, "NA")</f>
        <v>0.52465464244706195</v>
      </c>
      <c r="P118" s="2"/>
      <c r="Q118" s="14">
        <f>IFERROR(Q94+Q95+Q96+Q97+Q98+Q99+Q100+Q101+Q102+Q103+Q104+Q105+Q106+Q107+Q108+Q109+Q110+Q111+Q112+Q113+Q114+Q115+Q116+Q117, "NA")</f>
        <v>-29263.9</v>
      </c>
      <c r="R118" s="15">
        <f>IFERROR(Q118/Q444, "NA")</f>
        <v>-5.706239879647533E-2</v>
      </c>
      <c r="S118" s="2"/>
      <c r="T118" s="14">
        <f>IFERROR(T94+T95+T96+T97+T98+T99+T100+T101+T102+T103+T104+T105+T106+T107+T108+T109+T110+T111+T112+T113+T114+T115+T116+T117, "NA")</f>
        <v>-22205.46</v>
      </c>
      <c r="U118" s="15">
        <f>IFERROR(T118/T444, "NA")</f>
        <v>-4.0000008646523942E-2</v>
      </c>
      <c r="V118" s="2"/>
      <c r="W118" s="14">
        <f t="shared" si="26"/>
        <v>-7058.4400000000023</v>
      </c>
      <c r="X118" s="15">
        <f>IFERROR(W118/W444, "NA")</f>
        <v>0.16688181683202508</v>
      </c>
      <c r="Y118" s="2"/>
      <c r="Z118" s="14">
        <f>IFERROR(Z94+Z95+Z96+Z97+Z98+Z99+Z100+Z101+Z102+Z103+Z104+Z105+Z106+Z107+Z108+Z109+Z110+Z111+Z112+Z113+Z114+Z115+Z116+Z117, "NA")</f>
        <v>-26513.73</v>
      </c>
      <c r="AA118" s="15">
        <f>IFERROR(Z118/Z444, "NA")</f>
        <v>-5.3430459238808715E-2</v>
      </c>
      <c r="AB118" s="2"/>
      <c r="AC118" s="14">
        <f t="shared" si="27"/>
        <v>-2750.1700000000019</v>
      </c>
      <c r="AD118" s="15">
        <f>IFERROR(AC118/AC444, "NA")</f>
        <v>-0.16555730065574684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102331.43000000002</v>
      </c>
      <c r="C122" s="15">
        <f>IFERROR(B122/B444, "NA")</f>
        <v>1.0000000000000002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123008.85000000002</v>
      </c>
      <c r="F122" s="15">
        <f>IFERROR(E122/E444, "NA")</f>
        <v>1.0000000000000002</v>
      </c>
      <c r="G122" s="2"/>
      <c r="H122" s="14">
        <f t="shared" si="24"/>
        <v>-20677.419999999998</v>
      </c>
      <c r="I122" s="15">
        <f>IFERROR(H122/H444, "NA")</f>
        <v>0.99999999999999933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105135.76999999999</v>
      </c>
      <c r="L122" s="15">
        <f>IFERROR(K122/K444, "NA")</f>
        <v>0.99999999999999989</v>
      </c>
      <c r="M122" s="2"/>
      <c r="N122" s="14">
        <f t="shared" si="25"/>
        <v>-2804.3399999999674</v>
      </c>
      <c r="O122" s="15">
        <f>IFERROR(N122/N444, "NA")</f>
        <v>0.99999999999998446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512840.33999999991</v>
      </c>
      <c r="R122" s="15">
        <f>IFERROR(Q122/Q444, "NA")</f>
        <v>0.99999999999999978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555136.38</v>
      </c>
      <c r="U122" s="15">
        <f>IFERROR(T122/T444, "NA")</f>
        <v>1</v>
      </c>
      <c r="V122" s="2"/>
      <c r="W122" s="14">
        <f t="shared" si="26"/>
        <v>-42296.040000000095</v>
      </c>
      <c r="X122" s="15">
        <f>IFERROR(W122/W444, "NA")</f>
        <v>1.0000000000000027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496228.74999999988</v>
      </c>
      <c r="AA122" s="15">
        <f>IFERROR(Z122/Z444, "NA")</f>
        <v>0.99999999999999978</v>
      </c>
      <c r="AB122" s="2"/>
      <c r="AC122" s="14">
        <f t="shared" si="27"/>
        <v>16611.590000000026</v>
      </c>
      <c r="AD122" s="15">
        <f>IFERROR(AC122/AC444, "NA")</f>
        <v>1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102331.43000000002</v>
      </c>
      <c r="C124" s="15">
        <f>IFERROR(B124/B444, "NA")</f>
        <v>1.0000000000000002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123008.85000000002</v>
      </c>
      <c r="F124" s="15">
        <f>IFERROR(E124/E444, "NA")</f>
        <v>1.0000000000000002</v>
      </c>
      <c r="G124" s="2"/>
      <c r="H124" s="14">
        <f t="shared" si="24"/>
        <v>-20677.419999999998</v>
      </c>
      <c r="I124" s="15">
        <f>IFERROR(H124/H444, "NA")</f>
        <v>0.99999999999999933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105135.76999999999</v>
      </c>
      <c r="L124" s="15">
        <f>IFERROR(K124/K444, "NA")</f>
        <v>0.99999999999999989</v>
      </c>
      <c r="M124" s="2"/>
      <c r="N124" s="14">
        <f t="shared" si="25"/>
        <v>-2804.3399999999674</v>
      </c>
      <c r="O124" s="15">
        <f>IFERROR(N124/N444, "NA")</f>
        <v>0.99999999999998446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512840.33999999991</v>
      </c>
      <c r="R124" s="15">
        <f>IFERROR(Q124/Q444, "NA")</f>
        <v>0.99999999999999978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555136.38</v>
      </c>
      <c r="U124" s="15">
        <f>IFERROR(T124/T444, "NA")</f>
        <v>1</v>
      </c>
      <c r="V124" s="2"/>
      <c r="W124" s="14">
        <f t="shared" si="26"/>
        <v>-42296.040000000095</v>
      </c>
      <c r="X124" s="15">
        <f>IFERROR(W124/W444, "NA")</f>
        <v>1.0000000000000027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496228.74999999988</v>
      </c>
      <c r="AA124" s="15">
        <f>IFERROR(Z124/Z444, "NA")</f>
        <v>0.99999999999999978</v>
      </c>
      <c r="AB124" s="2"/>
      <c r="AC124" s="14">
        <f t="shared" si="27"/>
        <v>16611.590000000026</v>
      </c>
      <c r="AD124" s="15">
        <f>IFERROR(AC124/AC444, "NA")</f>
        <v>1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30506.2</v>
      </c>
      <c r="F129" s="8">
        <f>IFERROR(E129/E444, "NA")</f>
        <v>0.24800004227338113</v>
      </c>
      <c r="G129" s="9"/>
      <c r="H129" s="10">
        <f t="shared" ref="H129:H141" si="28">IFERROR(-(B129-E129), "NA")</f>
        <v>30506.2</v>
      </c>
      <c r="I129" s="8">
        <f>IFERROR(H129/H444, "NA")</f>
        <v>-1.4753387995214093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141382.07</v>
      </c>
      <c r="U129" s="8">
        <f>IFERROR(T129/T444, "NA")</f>
        <v>0.25467988604890207</v>
      </c>
      <c r="V129" s="9"/>
      <c r="W129" s="10">
        <f t="shared" ref="W129:W141" si="30">IFERROR(-(Q129-T129), "NA")</f>
        <v>141382.07</v>
      </c>
      <c r="X129" s="8">
        <f>IFERROR(W129/W444, "NA")</f>
        <v>-3.3426786526587375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5201.59</v>
      </c>
      <c r="C130" s="8">
        <f>IFERROR(B130/B444, "NA")</f>
        <v>5.0830815126887217E-2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-5201.59</v>
      </c>
      <c r="I130" s="8">
        <f>IFERROR(H130/H444, "NA")</f>
        <v>0.25155894690923708</v>
      </c>
      <c r="J130" s="9"/>
      <c r="K130" s="7">
        <v>7490.38</v>
      </c>
      <c r="L130" s="8">
        <f>IFERROR(K130/K444, "NA")</f>
        <v>7.1244829423896358E-2</v>
      </c>
      <c r="M130" s="9"/>
      <c r="N130" s="10">
        <f t="shared" si="29"/>
        <v>2288.79</v>
      </c>
      <c r="O130" s="8">
        <f>IFERROR(N130/N444, "NA")</f>
        <v>-0.8161599520742816</v>
      </c>
      <c r="P130" s="9"/>
      <c r="Q130" s="7">
        <v>28142.07</v>
      </c>
      <c r="R130" s="8">
        <f>IFERROR(Q130/Q444, "NA")</f>
        <v>5.487491487116633E-2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-28142.07</v>
      </c>
      <c r="X130" s="8">
        <f>IFERROR(W130/W444, "NA")</f>
        <v>0.6653594520905507</v>
      </c>
      <c r="Y130" s="9"/>
      <c r="Z130" s="7">
        <v>32078.38</v>
      </c>
      <c r="AA130" s="8">
        <f>IFERROR(Z130/Z444, "NA")</f>
        <v>6.4644339933951828E-2</v>
      </c>
      <c r="AB130" s="9"/>
      <c r="AC130" s="10">
        <f t="shared" si="31"/>
        <v>3936.3100000000013</v>
      </c>
      <c r="AD130" s="8">
        <f>IFERROR(AC130/AC444, "NA")</f>
        <v>0.23696166351324557</v>
      </c>
    </row>
    <row r="131" spans="1:30" ht="16.5" customHeight="1" x14ac:dyDescent="0.45">
      <c r="A131" s="12" t="s">
        <v>123</v>
      </c>
      <c r="B131" s="7">
        <v>3050.28</v>
      </c>
      <c r="C131" s="8">
        <f>IFERROR(B131/B444, "NA")</f>
        <v>2.9807850823544639E-2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-3050.28</v>
      </c>
      <c r="I131" s="8">
        <f>IFERROR(H131/H444, "NA")</f>
        <v>0.14751743689493169</v>
      </c>
      <c r="J131" s="9"/>
      <c r="K131" s="7">
        <v>3862.57</v>
      </c>
      <c r="L131" s="8">
        <f>IFERROR(K131/K444, "NA")</f>
        <v>3.6738875836454139E-2</v>
      </c>
      <c r="M131" s="9"/>
      <c r="N131" s="10">
        <f t="shared" si="29"/>
        <v>812.29</v>
      </c>
      <c r="O131" s="8">
        <f>IFERROR(N131/N444, "NA")</f>
        <v>-0.28965460678804877</v>
      </c>
      <c r="P131" s="9"/>
      <c r="Q131" s="7">
        <v>15823.23</v>
      </c>
      <c r="R131" s="8">
        <f>IFERROR(Q131/Q444, "NA")</f>
        <v>3.0854105587715661E-2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-15823.23</v>
      </c>
      <c r="X131" s="8">
        <f>IFERROR(W131/W444, "NA")</f>
        <v>0.37410665395625708</v>
      </c>
      <c r="Y131" s="9"/>
      <c r="Z131" s="7">
        <v>15680.49</v>
      </c>
      <c r="AA131" s="8">
        <f>IFERROR(Z131/Z444, "NA")</f>
        <v>3.159931785492074E-2</v>
      </c>
      <c r="AB131" s="9"/>
      <c r="AC131" s="10">
        <f t="shared" si="31"/>
        <v>-142.73999999999978</v>
      </c>
      <c r="AD131" s="8">
        <f>IFERROR(AC131/AC444, "NA")</f>
        <v>-8.592795752844825E-3</v>
      </c>
    </row>
    <row r="132" spans="1:30" ht="16.5" customHeight="1" x14ac:dyDescent="0.45">
      <c r="A132" s="12" t="s">
        <v>124</v>
      </c>
      <c r="B132" s="7">
        <v>5678.07</v>
      </c>
      <c r="C132" s="8">
        <f>IFERROR(B132/B444, "NA")</f>
        <v>5.5487058081764323E-2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-5678.07</v>
      </c>
      <c r="I132" s="8">
        <f>IFERROR(H132/H444, "NA")</f>
        <v>0.27460244073003287</v>
      </c>
      <c r="J132" s="9"/>
      <c r="K132" s="7">
        <v>4276</v>
      </c>
      <c r="L132" s="8">
        <f>IFERROR(K132/K444, "NA")</f>
        <v>4.067121970001266E-2</v>
      </c>
      <c r="M132" s="9"/>
      <c r="N132" s="10">
        <f t="shared" si="29"/>
        <v>-1402.0699999999997</v>
      </c>
      <c r="O132" s="8">
        <f>IFERROR(N132/N444, "NA")</f>
        <v>0.49996434098575571</v>
      </c>
      <c r="P132" s="9"/>
      <c r="Q132" s="7">
        <v>23516.21</v>
      </c>
      <c r="R132" s="8">
        <f>IFERROR(Q132/Q444, "NA")</f>
        <v>4.5854836614451971E-2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-23516.21</v>
      </c>
      <c r="X132" s="8">
        <f>IFERROR(W132/W444, "NA")</f>
        <v>0.55599082089008833</v>
      </c>
      <c r="Y132" s="9"/>
      <c r="Z132" s="7">
        <v>17910.57</v>
      </c>
      <c r="AA132" s="8">
        <f>IFERROR(Z132/Z444, "NA")</f>
        <v>3.6093374275472753E-2</v>
      </c>
      <c r="AB132" s="9"/>
      <c r="AC132" s="10">
        <f t="shared" si="31"/>
        <v>-5605.6399999999994</v>
      </c>
      <c r="AD132" s="8">
        <f>IFERROR(AC132/AC444, "NA")</f>
        <v>-0.33745354899801827</v>
      </c>
    </row>
    <row r="133" spans="1:30" ht="16.5" customHeight="1" x14ac:dyDescent="0.45">
      <c r="A133" s="12" t="s">
        <v>125</v>
      </c>
      <c r="B133" s="7">
        <v>2277.5500000000002</v>
      </c>
      <c r="C133" s="8">
        <f>IFERROR(B133/B444, "NA")</f>
        <v>2.2256602883395652E-2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-2277.5500000000002</v>
      </c>
      <c r="I133" s="8">
        <f>IFERROR(H133/H444, "NA")</f>
        <v>0.11014672043223955</v>
      </c>
      <c r="J133" s="9"/>
      <c r="K133" s="7">
        <v>1670.59</v>
      </c>
      <c r="L133" s="8">
        <f>IFERROR(K133/K444, "NA")</f>
        <v>1.5889834639533241E-2</v>
      </c>
      <c r="M133" s="9"/>
      <c r="N133" s="10">
        <f t="shared" si="29"/>
        <v>-606.96000000000026</v>
      </c>
      <c r="O133" s="8">
        <f>IFERROR(N133/N444, "NA")</f>
        <v>0.2164359528445188</v>
      </c>
      <c r="P133" s="9"/>
      <c r="Q133" s="7">
        <v>10864.56</v>
      </c>
      <c r="R133" s="8">
        <f>IFERROR(Q133/Q444, "NA")</f>
        <v>2.1185072921525633E-2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-10864.56</v>
      </c>
      <c r="X133" s="8">
        <f>IFERROR(W133/W444, "NA")</f>
        <v>0.25686943742251062</v>
      </c>
      <c r="Y133" s="9"/>
      <c r="Z133" s="7">
        <v>9797.26</v>
      </c>
      <c r="AA133" s="8">
        <f>IFERROR(Z133/Z444, "NA")</f>
        <v>1.9743434857412031E-2</v>
      </c>
      <c r="AB133" s="9"/>
      <c r="AC133" s="10">
        <f t="shared" si="31"/>
        <v>-1067.2999999999993</v>
      </c>
      <c r="AD133" s="8">
        <f>IFERROR(AC133/AC444, "NA")</f>
        <v>-6.4250321612801517E-2</v>
      </c>
    </row>
    <row r="134" spans="1:30" ht="16.5" customHeight="1" x14ac:dyDescent="0.45">
      <c r="A134" s="12" t="s">
        <v>126</v>
      </c>
      <c r="B134" s="7">
        <v>785.29</v>
      </c>
      <c r="C134" s="8">
        <f>IFERROR(B134/B444, "NA")</f>
        <v>7.6739863793557853E-3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-785.29</v>
      </c>
      <c r="I134" s="8">
        <f>IFERROR(H134/H444, "NA")</f>
        <v>3.7978142340775567E-2</v>
      </c>
      <c r="J134" s="9"/>
      <c r="K134" s="7">
        <v>862.94</v>
      </c>
      <c r="L134" s="8">
        <f>IFERROR(K134/K444, "NA")</f>
        <v>8.2078630327242583E-3</v>
      </c>
      <c r="M134" s="9"/>
      <c r="N134" s="10">
        <f t="shared" si="29"/>
        <v>77.650000000000091</v>
      </c>
      <c r="O134" s="8">
        <f>IFERROR(N134/N444, "NA")</f>
        <v>-2.7689224559076211E-2</v>
      </c>
      <c r="P134" s="9"/>
      <c r="Q134" s="7">
        <v>4197.04</v>
      </c>
      <c r="R134" s="8">
        <f>IFERROR(Q134/Q444, "NA")</f>
        <v>8.1839115854263726E-3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-4197.04</v>
      </c>
      <c r="X134" s="8">
        <f>IFERROR(W134/W444, "NA")</f>
        <v>9.9230093408271838E-2</v>
      </c>
      <c r="Y134" s="9"/>
      <c r="Z134" s="7">
        <v>5564.62</v>
      </c>
      <c r="AA134" s="8">
        <f>IFERROR(Z134/Z444, "NA")</f>
        <v>1.1213820239153818E-2</v>
      </c>
      <c r="AB134" s="9"/>
      <c r="AC134" s="10">
        <f t="shared" si="31"/>
        <v>1367.58</v>
      </c>
      <c r="AD134" s="8">
        <f>IFERROR(AC134/AC444, "NA")</f>
        <v>8.2326857332741643E-2</v>
      </c>
    </row>
    <row r="135" spans="1:30" ht="16.5" customHeight="1" x14ac:dyDescent="0.45">
      <c r="A135" s="12" t="s">
        <v>127</v>
      </c>
      <c r="B135" s="7">
        <v>779.97</v>
      </c>
      <c r="C135" s="8">
        <f>IFERROR(B135/B444, "NA")</f>
        <v>7.621998441729976E-3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-779.97</v>
      </c>
      <c r="I135" s="8">
        <f>IFERROR(H135/H444, "NA")</f>
        <v>3.7720856857383536E-2</v>
      </c>
      <c r="J135" s="9"/>
      <c r="K135" s="7">
        <v>853.33</v>
      </c>
      <c r="L135" s="8">
        <f>IFERROR(K135/K444, "NA")</f>
        <v>8.1164574150167923E-3</v>
      </c>
      <c r="M135" s="9"/>
      <c r="N135" s="10">
        <f t="shared" si="29"/>
        <v>73.360000000000014</v>
      </c>
      <c r="O135" s="8">
        <f>IFERROR(N135/N444, "NA")</f>
        <v>-2.6159452848085369E-2</v>
      </c>
      <c r="P135" s="9"/>
      <c r="Q135" s="7">
        <v>4103.7700000000004</v>
      </c>
      <c r="R135" s="8">
        <f>IFERROR(Q135/Q444, "NA")</f>
        <v>8.0020421170456293E-3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-4103.7700000000004</v>
      </c>
      <c r="X135" s="8">
        <f>IFERROR(W135/W444, "NA")</f>
        <v>9.702492242772616E-2</v>
      </c>
      <c r="Y135" s="9"/>
      <c r="Z135" s="7">
        <v>4695.8999999999996</v>
      </c>
      <c r="AA135" s="8">
        <f>IFERROR(Z135/Z444, "NA")</f>
        <v>9.4631760050178457E-3</v>
      </c>
      <c r="AB135" s="9"/>
      <c r="AC135" s="10">
        <f t="shared" si="31"/>
        <v>592.1299999999992</v>
      </c>
      <c r="AD135" s="8">
        <f>IFERROR(AC135/AC444, "NA")</f>
        <v>3.5645594431357765E-2</v>
      </c>
    </row>
    <row r="136" spans="1:30" ht="16.5" customHeight="1" x14ac:dyDescent="0.45">
      <c r="A136" s="12" t="s">
        <v>128</v>
      </c>
      <c r="B136" s="7">
        <v>-1.91</v>
      </c>
      <c r="C136" s="8">
        <f>IFERROR(B136/B444, "NA")</f>
        <v>-1.8664842267913194E-5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1.91</v>
      </c>
      <c r="I136" s="8">
        <f>IFERROR(H136/H444, "NA")</f>
        <v>-9.2371291969694421E-5</v>
      </c>
      <c r="J136" s="9"/>
      <c r="K136" s="7">
        <v>1081.1500000000001</v>
      </c>
      <c r="L136" s="8">
        <f>IFERROR(K136/K444, "NA")</f>
        <v>1.0283369779857037E-2</v>
      </c>
      <c r="M136" s="9"/>
      <c r="N136" s="10">
        <f t="shared" si="29"/>
        <v>1083.0600000000002</v>
      </c>
      <c r="O136" s="8">
        <f>IFERROR(N136/N444, "NA")</f>
        <v>-0.38620851965168129</v>
      </c>
      <c r="P136" s="9"/>
      <c r="Q136" s="7">
        <v>4801.55</v>
      </c>
      <c r="R136" s="8">
        <f>IFERROR(Q136/Q444, "NA")</f>
        <v>9.3626605114566462E-3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-4801.55</v>
      </c>
      <c r="X136" s="8">
        <f>IFERROR(W136/W444, "NA")</f>
        <v>0.11352244796439578</v>
      </c>
      <c r="Y136" s="9"/>
      <c r="Z136" s="7">
        <v>6683.66</v>
      </c>
      <c r="AA136" s="8">
        <f>IFERROR(Z136/Z444, "NA")</f>
        <v>1.3468909248003064E-2</v>
      </c>
      <c r="AB136" s="9"/>
      <c r="AC136" s="10">
        <f t="shared" si="31"/>
        <v>1882.1099999999997</v>
      </c>
      <c r="AD136" s="8">
        <f>IFERROR(AC136/AC444, "NA")</f>
        <v>0.11330101453262431</v>
      </c>
    </row>
    <row r="137" spans="1:30" ht="16.5" customHeight="1" x14ac:dyDescent="0.45">
      <c r="A137" s="12" t="s">
        <v>129</v>
      </c>
      <c r="B137" s="7">
        <v>630.14</v>
      </c>
      <c r="C137" s="8">
        <f>IFERROR(B137/B444, "NA")</f>
        <v>6.1578344014150887E-3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-630.14</v>
      </c>
      <c r="I137" s="8">
        <f>IFERROR(H137/H444, "NA")</f>
        <v>3.047478844072421E-2</v>
      </c>
      <c r="J137" s="9"/>
      <c r="K137" s="7">
        <v>625.05999999999995</v>
      </c>
      <c r="L137" s="8">
        <f>IFERROR(K137/K444, "NA")</f>
        <v>5.9452648703671443E-3</v>
      </c>
      <c r="M137" s="9"/>
      <c r="N137" s="10">
        <f t="shared" si="29"/>
        <v>-5.0800000000000409</v>
      </c>
      <c r="O137" s="8">
        <f>IFERROR(N137/N444, "NA")</f>
        <v>1.8114779235042901E-3</v>
      </c>
      <c r="P137" s="9"/>
      <c r="Q137" s="7">
        <v>2938.39</v>
      </c>
      <c r="R137" s="8">
        <f>IFERROR(Q137/Q444, "NA")</f>
        <v>5.7296389749683105E-3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-2938.39</v>
      </c>
      <c r="X137" s="8">
        <f>IFERROR(W137/W444, "NA")</f>
        <v>6.9471988394185391E-2</v>
      </c>
      <c r="Y137" s="9"/>
      <c r="Z137" s="7">
        <v>2795.12</v>
      </c>
      <c r="AA137" s="8">
        <f>IFERROR(Z137/Z444, "NA")</f>
        <v>5.6327248270077058E-3</v>
      </c>
      <c r="AB137" s="9"/>
      <c r="AC137" s="10">
        <f t="shared" si="31"/>
        <v>-143.26999999999998</v>
      </c>
      <c r="AD137" s="8">
        <f>IFERROR(AC137/AC444, "NA")</f>
        <v>-8.6247011875443449E-3</v>
      </c>
    </row>
    <row r="138" spans="1:30" ht="16.5" customHeight="1" x14ac:dyDescent="0.45">
      <c r="A138" s="12" t="s">
        <v>130</v>
      </c>
      <c r="B138" s="7">
        <v>6154.69</v>
      </c>
      <c r="C138" s="8">
        <f>IFERROR(B138/B444, "NA")</f>
        <v>6.014466914026316E-2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-6154.69</v>
      </c>
      <c r="I138" s="8">
        <f>IFERROR(H138/H444, "NA")</f>
        <v>0.29765270522144427</v>
      </c>
      <c r="J138" s="9"/>
      <c r="K138" s="7">
        <v>4796.17</v>
      </c>
      <c r="L138" s="8">
        <f>IFERROR(K138/K444, "NA")</f>
        <v>4.5618822214361483E-2</v>
      </c>
      <c r="M138" s="9"/>
      <c r="N138" s="10">
        <f t="shared" si="29"/>
        <v>-1358.5199999999995</v>
      </c>
      <c r="O138" s="8">
        <f>IFERROR(N138/N444, "NA")</f>
        <v>0.4844348402832731</v>
      </c>
      <c r="P138" s="9"/>
      <c r="Q138" s="7">
        <v>28910.74</v>
      </c>
      <c r="R138" s="8">
        <f>IFERROR(Q138/Q444, "NA")</f>
        <v>5.6373763421184844E-2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-28910.74</v>
      </c>
      <c r="X138" s="8">
        <f>IFERROR(W138/W444, "NA")</f>
        <v>0.68353302105823655</v>
      </c>
      <c r="Y138" s="9"/>
      <c r="Z138" s="7">
        <v>25257.49</v>
      </c>
      <c r="AA138" s="8">
        <f>IFERROR(Z138/Z444, "NA")</f>
        <v>5.0898884838897387E-2</v>
      </c>
      <c r="AB138" s="9"/>
      <c r="AC138" s="10">
        <f t="shared" si="31"/>
        <v>-3653.25</v>
      </c>
      <c r="AD138" s="8">
        <f>IFERROR(AC138/AC444, "NA")</f>
        <v>-0.21992175342637246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24555.670000000002</v>
      </c>
      <c r="C141" s="15">
        <f>IFERROR(B141/B444, "NA")</f>
        <v>0.23996215043608796</v>
      </c>
      <c r="D141" s="2"/>
      <c r="E141" s="14">
        <f>IFERROR(E129+E130+E131+E132+E133+E134+E135+E136+E137+E138+E139+E140, "NA")</f>
        <v>30506.2</v>
      </c>
      <c r="F141" s="15">
        <f>IFERROR(E141/E444, "NA")</f>
        <v>0.24800004227338113</v>
      </c>
      <c r="G141" s="2"/>
      <c r="H141" s="14">
        <f t="shared" si="28"/>
        <v>5950.5299999999988</v>
      </c>
      <c r="I141" s="15">
        <f>IFERROR(H141/H444, "NA")</f>
        <v>-0.28777913298661029</v>
      </c>
      <c r="J141" s="2"/>
      <c r="K141" s="14">
        <f>IFERROR(K129+K130+K131+K132+K133+K134+K135+K136+K137+K138+K139+K140, "NA")</f>
        <v>25518.190000000002</v>
      </c>
      <c r="L141" s="15">
        <f>IFERROR(K141/K444, "NA")</f>
        <v>0.24271653691222314</v>
      </c>
      <c r="M141" s="2"/>
      <c r="N141" s="14">
        <f t="shared" si="29"/>
        <v>962.52000000000044</v>
      </c>
      <c r="O141" s="15">
        <f>IFERROR(N141/N444, "NA")</f>
        <v>-0.34322514388412129</v>
      </c>
      <c r="P141" s="2"/>
      <c r="Q141" s="14">
        <f>IFERROR(Q129+Q130+Q131+Q132+Q133+Q134+Q135+Q136+Q137+Q138+Q139+Q140, "NA")</f>
        <v>123297.56000000001</v>
      </c>
      <c r="R141" s="15">
        <f>IFERROR(Q141/Q444, "NA")</f>
        <v>0.24042094660494143</v>
      </c>
      <c r="S141" s="2"/>
      <c r="T141" s="14">
        <f>IFERROR(T129+T130+T131+T132+T133+T134+T135+T136+T137+T138+T139+T140, "NA")</f>
        <v>141382.07</v>
      </c>
      <c r="U141" s="15">
        <f>IFERROR(T141/T444, "NA")</f>
        <v>0.25467988604890207</v>
      </c>
      <c r="V141" s="2"/>
      <c r="W141" s="14">
        <f t="shared" si="30"/>
        <v>18084.509999999995</v>
      </c>
      <c r="X141" s="15">
        <f>IFERROR(W141/W444, "NA")</f>
        <v>-0.42756981504651509</v>
      </c>
      <c r="Y141" s="2"/>
      <c r="Z141" s="14">
        <f>IFERROR(Z129+Z130+Z131+Z132+Z133+Z134+Z135+Z136+Z137+Z138+Z139+Z140, "NA")</f>
        <v>120463.48999999999</v>
      </c>
      <c r="AA141" s="15">
        <f>IFERROR(Z141/Z444, "NA")</f>
        <v>0.24275798207983715</v>
      </c>
      <c r="AB141" s="2"/>
      <c r="AC141" s="14">
        <f t="shared" si="31"/>
        <v>-2834.0700000000215</v>
      </c>
      <c r="AD141" s="15">
        <f>IFERROR(AC141/AC444, "NA")</f>
        <v>-0.17060799116761352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1691.52</v>
      </c>
      <c r="C144" s="8">
        <f>IFERROR(B144/B444, "NA")</f>
        <v>1.6529818844513364E-2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-1691.52</v>
      </c>
      <c r="I144" s="8">
        <f>IFERROR(H144/H444, "NA")</f>
        <v>8.1805176854752623E-2</v>
      </c>
      <c r="J144" s="9"/>
      <c r="K144" s="7">
        <v>1408.02</v>
      </c>
      <c r="L144" s="8">
        <f>IFERROR(K144/K444, "NA")</f>
        <v>1.3392397278300239E-2</v>
      </c>
      <c r="M144" s="9"/>
      <c r="N144" s="10">
        <f t="shared" si="33"/>
        <v>-283.5</v>
      </c>
      <c r="O144" s="8">
        <f>IFERROR(N144/N444, "NA")</f>
        <v>0.10109330537666576</v>
      </c>
      <c r="P144" s="9"/>
      <c r="Q144" s="7">
        <v>7294.38</v>
      </c>
      <c r="R144" s="8">
        <f>IFERROR(Q144/Q444, "NA")</f>
        <v>1.4223491077164483E-2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-7294.38</v>
      </c>
      <c r="X144" s="8">
        <f>IFERROR(W144/W444, "NA")</f>
        <v>0.17246011683363274</v>
      </c>
      <c r="Y144" s="9"/>
      <c r="Z144" s="7">
        <v>6283.72</v>
      </c>
      <c r="AA144" s="8">
        <f>IFERROR(Z144/Z444, "NA")</f>
        <v>1.2662950302657797E-2</v>
      </c>
      <c r="AB144" s="9"/>
      <c r="AC144" s="10">
        <f t="shared" si="35"/>
        <v>-1010.6599999999999</v>
      </c>
      <c r="AD144" s="8">
        <f>IFERROR(AC144/AC444, "NA")</f>
        <v>-6.0840654025291881E-2</v>
      </c>
    </row>
    <row r="145" spans="1:30" ht="16.5" customHeight="1" x14ac:dyDescent="0.45">
      <c r="A145" s="12" t="s">
        <v>136</v>
      </c>
      <c r="B145" s="7">
        <v>198.98</v>
      </c>
      <c r="C145" s="8">
        <f>IFERROR(B145/B444, "NA")</f>
        <v>1.944466133230035E-3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-198.98</v>
      </c>
      <c r="I145" s="8">
        <f>IFERROR(H145/H444, "NA")</f>
        <v>9.6230574220574835E-3</v>
      </c>
      <c r="J145" s="9"/>
      <c r="K145" s="7">
        <v>195.43</v>
      </c>
      <c r="L145" s="8">
        <f>IFERROR(K145/K444, "NA")</f>
        <v>1.8588345336701295E-3</v>
      </c>
      <c r="M145" s="9"/>
      <c r="N145" s="10">
        <f t="shared" si="33"/>
        <v>-3.5499999999999829</v>
      </c>
      <c r="O145" s="8">
        <f>IFERROR(N145/N444, "NA")</f>
        <v>1.2658950055984542E-3</v>
      </c>
      <c r="P145" s="9"/>
      <c r="Q145" s="7">
        <v>859.31</v>
      </c>
      <c r="R145" s="8">
        <f>IFERROR(Q145/Q444, "NA")</f>
        <v>1.6755897166747841E-3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-859.31</v>
      </c>
      <c r="X145" s="8">
        <f>IFERROR(W145/W444, "NA")</f>
        <v>2.0316559186155499E-2</v>
      </c>
      <c r="Y145" s="9"/>
      <c r="Z145" s="7">
        <v>819.98</v>
      </c>
      <c r="AA145" s="8">
        <f>IFERROR(Z145/Z444, "NA")</f>
        <v>1.6524234035210576E-3</v>
      </c>
      <c r="AB145" s="9"/>
      <c r="AC145" s="10">
        <f t="shared" si="35"/>
        <v>-39.329999999999927</v>
      </c>
      <c r="AD145" s="8">
        <f>IFERROR(AC145/AC444, "NA")</f>
        <v>-2.3676240504370664E-3</v>
      </c>
    </row>
    <row r="146" spans="1:30" ht="16.5" customHeight="1" x14ac:dyDescent="0.45">
      <c r="A146" s="12" t="s">
        <v>137</v>
      </c>
      <c r="B146" s="7">
        <v>34.74</v>
      </c>
      <c r="C146" s="8">
        <f>IFERROR(B146/B444, "NA")</f>
        <v>3.3948514156403371E-4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-34.74</v>
      </c>
      <c r="I146" s="8">
        <f>IFERROR(H146/H444, "NA")</f>
        <v>1.6800935513231331E-3</v>
      </c>
      <c r="J146" s="9"/>
      <c r="K146" s="7">
        <v>535.44000000000005</v>
      </c>
      <c r="L146" s="8">
        <f>IFERROR(K146/K444, "NA")</f>
        <v>5.0928432825478901E-3</v>
      </c>
      <c r="M146" s="9"/>
      <c r="N146" s="10">
        <f t="shared" si="33"/>
        <v>500.70000000000005</v>
      </c>
      <c r="O146" s="8">
        <f>IFERROR(N146/N444, "NA")</f>
        <v>-0.17854468431074622</v>
      </c>
      <c r="P146" s="9"/>
      <c r="Q146" s="7">
        <v>534.23</v>
      </c>
      <c r="R146" s="8">
        <f>IFERROR(Q146/Q444, "NA")</f>
        <v>1.0417082244349187E-3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-534.23</v>
      </c>
      <c r="X146" s="8">
        <f>IFERROR(W146/W444, "NA")</f>
        <v>1.2630733279049297E-2</v>
      </c>
      <c r="Y146" s="9"/>
      <c r="Z146" s="7">
        <v>2449.96</v>
      </c>
      <c r="AA146" s="8">
        <f>IFERROR(Z146/Z444, "NA")</f>
        <v>4.9371585181229426E-3</v>
      </c>
      <c r="AB146" s="9"/>
      <c r="AC146" s="10">
        <f t="shared" si="35"/>
        <v>1915.73</v>
      </c>
      <c r="AD146" s="8">
        <f>IFERROR(AC146/AC444, "NA")</f>
        <v>0.11532490267337425</v>
      </c>
    </row>
    <row r="147" spans="1:30" ht="16.5" customHeight="1" x14ac:dyDescent="0.45">
      <c r="A147" s="12" t="s">
        <v>138</v>
      </c>
      <c r="B147" s="7">
        <v>69.290000000000006</v>
      </c>
      <c r="C147" s="8">
        <f>IFERROR(B147/B444, "NA")</f>
        <v>6.7711357107000272E-4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-69.290000000000006</v>
      </c>
      <c r="I147" s="8">
        <f>IFERROR(H147/H444, "NA")</f>
        <v>3.3509983353822654E-3</v>
      </c>
      <c r="J147" s="9"/>
      <c r="K147" s="7">
        <v>39.24</v>
      </c>
      <c r="L147" s="8">
        <f>IFERROR(K147/K444, "NA")</f>
        <v>3.7323167937991037E-4</v>
      </c>
      <c r="M147" s="9"/>
      <c r="N147" s="10">
        <f t="shared" si="33"/>
        <v>-30.050000000000004</v>
      </c>
      <c r="O147" s="8">
        <f>IFERROR(N147/N444, "NA")</f>
        <v>1.0715533779784151E-2</v>
      </c>
      <c r="P147" s="9"/>
      <c r="Q147" s="7">
        <v>225.54</v>
      </c>
      <c r="R147" s="8">
        <f>IFERROR(Q147/Q444, "NA")</f>
        <v>4.3978599655401519E-4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-225.54</v>
      </c>
      <c r="X147" s="8">
        <f>IFERROR(W147/W444, "NA")</f>
        <v>5.332414098341124E-3</v>
      </c>
      <c r="Y147" s="9"/>
      <c r="Z147" s="7">
        <v>144.4</v>
      </c>
      <c r="AA147" s="8">
        <f>IFERROR(Z147/Z444, "NA")</f>
        <v>2.9099482849391539E-4</v>
      </c>
      <c r="AB147" s="9"/>
      <c r="AC147" s="10">
        <f t="shared" si="35"/>
        <v>-81.139999999999986</v>
      </c>
      <c r="AD147" s="8">
        <f>IFERROR(AC147/AC444, "NA")</f>
        <v>-4.8845414556944796E-3</v>
      </c>
    </row>
    <row r="148" spans="1:30" ht="16.5" customHeight="1" x14ac:dyDescent="0.45">
      <c r="A148" s="13" t="s">
        <v>139</v>
      </c>
      <c r="B148" s="14">
        <f>IFERROR(B143+B144+B145+B146+B147, "NA")</f>
        <v>1994.53</v>
      </c>
      <c r="C148" s="15">
        <f>IFERROR(B148/B444, "NA")</f>
        <v>1.9490883690377433E-2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-1994.53</v>
      </c>
      <c r="I148" s="15">
        <f>IFERROR(H148/H444, "NA")</f>
        <v>9.6459326163515505E-2</v>
      </c>
      <c r="J148" s="2"/>
      <c r="K148" s="14">
        <f>IFERROR(K143+K144+K145+K146+K147, "NA")</f>
        <v>2178.13</v>
      </c>
      <c r="L148" s="15">
        <f>IFERROR(K148/K444, "NA")</f>
        <v>2.0717306773898169E-2</v>
      </c>
      <c r="M148" s="2"/>
      <c r="N148" s="14">
        <f t="shared" si="33"/>
        <v>183.60000000000014</v>
      </c>
      <c r="O148" s="15">
        <f>IFERROR(N148/N444, "NA")</f>
        <v>-6.5469950148697886E-2</v>
      </c>
      <c r="P148" s="2"/>
      <c r="Q148" s="14">
        <f>IFERROR(Q143+Q144+Q145+Q146+Q147, "NA")</f>
        <v>8913.4600000000009</v>
      </c>
      <c r="R148" s="15">
        <f>IFERROR(Q148/Q444, "NA")</f>
        <v>1.7380575014828203E-2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-8913.4600000000009</v>
      </c>
      <c r="X148" s="15">
        <f>IFERROR(W148/W444, "NA")</f>
        <v>0.21073982339717867</v>
      </c>
      <c r="Y148" s="2"/>
      <c r="Z148" s="14">
        <f>IFERROR(Z143+Z144+Z145+Z146+Z147, "NA")</f>
        <v>9698.06</v>
      </c>
      <c r="AA148" s="15">
        <f>IFERROR(Z148/Z444, "NA")</f>
        <v>1.954352705279571E-2</v>
      </c>
      <c r="AB148" s="2"/>
      <c r="AC148" s="14">
        <f t="shared" si="35"/>
        <v>784.59999999999854</v>
      </c>
      <c r="AD148" s="15">
        <f>IFERROR(AC148/AC444, "NA")</f>
        <v>4.723208314195073E-2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26550.200000000004</v>
      </c>
      <c r="C149" s="15">
        <f>IFERROR(B149/B444, "NA")</f>
        <v>0.25945303412646542</v>
      </c>
      <c r="D149" s="2"/>
      <c r="E149" s="14">
        <f>IFERROR(E127+E129+E130+E131+E132+E133+E134+E135+E136+E137+E138+E139+E140+E143+E144+E145+E146+E147, "NA")</f>
        <v>30506.2</v>
      </c>
      <c r="F149" s="15">
        <f>IFERROR(E149/E444, "NA")</f>
        <v>0.24800004227338113</v>
      </c>
      <c r="G149" s="2"/>
      <c r="H149" s="14">
        <f t="shared" si="32"/>
        <v>3955.9999999999964</v>
      </c>
      <c r="I149" s="15">
        <f>IFERROR(H149/H444, "NA")</f>
        <v>-0.19131980682309466</v>
      </c>
      <c r="J149" s="2"/>
      <c r="K149" s="14">
        <f>IFERROR(K127+K129+K130+K131+K132+K133+K134+K135+K136+K137+K138+K139+K140+K143+K144+K145+K146+K147, "NA")</f>
        <v>27696.320000000003</v>
      </c>
      <c r="L149" s="15">
        <f>IFERROR(K149/K444, "NA")</f>
        <v>0.26343384368612133</v>
      </c>
      <c r="M149" s="2"/>
      <c r="N149" s="14">
        <f t="shared" si="33"/>
        <v>1146.119999999999</v>
      </c>
      <c r="O149" s="15">
        <f>IFERROR(N149/N444, "NA")</f>
        <v>-0.40869509403281856</v>
      </c>
      <c r="P149" s="2"/>
      <c r="Q149" s="14">
        <f>IFERROR(Q127+Q129+Q130+Q131+Q132+Q133+Q134+Q135+Q136+Q137+Q138+Q139+Q140+Q143+Q144+Q145+Q146+Q147, "NA")</f>
        <v>132211.02000000005</v>
      </c>
      <c r="R149" s="15">
        <f>IFERROR(Q149/Q444, "NA")</f>
        <v>0.25780152161976971</v>
      </c>
      <c r="S149" s="2"/>
      <c r="T149" s="14">
        <f>IFERROR(T127+T129+T130+T131+T132+T133+T134+T135+T136+T137+T138+T139+T140+T143+T144+T145+T146+T147, "NA")</f>
        <v>141382.07</v>
      </c>
      <c r="U149" s="15">
        <f>IFERROR(T149/T444, "NA")</f>
        <v>0.25467988604890207</v>
      </c>
      <c r="V149" s="2"/>
      <c r="W149" s="14">
        <f t="shared" si="34"/>
        <v>9171.0499999999593</v>
      </c>
      <c r="X149" s="15">
        <f>IFERROR(W149/W444, "NA")</f>
        <v>-0.21682999164933559</v>
      </c>
      <c r="Y149" s="2"/>
      <c r="Z149" s="14">
        <f>IFERROR(Z127+Z129+Z130+Z131+Z132+Z133+Z134+Z135+Z136+Z137+Z138+Z139+Z140+Z143+Z144+Z145+Z146+Z147, "NA")</f>
        <v>130161.54999999999</v>
      </c>
      <c r="AA149" s="15">
        <f>IFERROR(Z149/Z444, "NA")</f>
        <v>0.26230150913263284</v>
      </c>
      <c r="AB149" s="2"/>
      <c r="AC149" s="14">
        <f t="shared" si="35"/>
        <v>-2049.4700000000594</v>
      </c>
      <c r="AD149" s="15">
        <f>IFERROR(AC149/AC444, "NA")</f>
        <v>-0.12337590802566499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1845.13</v>
      </c>
      <c r="F153" s="8">
        <f>IFERROR(E153/E444, "NA")</f>
        <v>1.4999977643884973E-2</v>
      </c>
      <c r="G153" s="9"/>
      <c r="H153" s="10">
        <f t="shared" ref="H153:H158" si="36">IFERROR(-(B153-E153), "NA")</f>
        <v>1845.13</v>
      </c>
      <c r="I153" s="8">
        <f>IFERROR(H153/H444, "NA")</f>
        <v>-8.9234053378032613E-2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8894.4</v>
      </c>
      <c r="U153" s="8">
        <f>IFERROR(T153/T444, "NA")</f>
        <v>1.6022008862038549E-2</v>
      </c>
      <c r="V153" s="9"/>
      <c r="W153" s="10">
        <f t="shared" ref="W153:W158" si="38">IFERROR(-(Q153-T153), "NA")</f>
        <v>8894.4</v>
      </c>
      <c r="X153" s="8">
        <f>IFERROR(W153/W444, "NA")</f>
        <v>-0.21028919019369199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3500.54</v>
      </c>
      <c r="C154" s="8">
        <f>IFERROR(B154/B444, "NA")</f>
        <v>3.4207867514408817E-2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-3500.54</v>
      </c>
      <c r="I154" s="8">
        <f>IFERROR(H154/H444, "NA")</f>
        <v>0.16929288083329536</v>
      </c>
      <c r="J154" s="9"/>
      <c r="K154" s="7">
        <v>4076.92</v>
      </c>
      <c r="L154" s="8">
        <f>IFERROR(K154/K444, "NA")</f>
        <v>3.8777668152332932E-2</v>
      </c>
      <c r="M154" s="9"/>
      <c r="N154" s="10">
        <f t="shared" si="37"/>
        <v>576.38000000000011</v>
      </c>
      <c r="O154" s="8">
        <f>IFERROR(N154/N444, "NA")</f>
        <v>-0.20553142628925089</v>
      </c>
      <c r="P154" s="9"/>
      <c r="Q154" s="7">
        <v>17540.669999999998</v>
      </c>
      <c r="R154" s="8">
        <f>IFERROR(Q154/Q444, "NA")</f>
        <v>3.4202984110025349E-2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-17540.669999999998</v>
      </c>
      <c r="X154" s="8">
        <f>IFERROR(W154/W444, "NA")</f>
        <v>0.4147118737356974</v>
      </c>
      <c r="Y154" s="9"/>
      <c r="Z154" s="7">
        <v>19367.560000000001</v>
      </c>
      <c r="AA154" s="8">
        <f>IFERROR(Z154/Z444, "NA")</f>
        <v>3.90295000037785E-2</v>
      </c>
      <c r="AB154" s="9"/>
      <c r="AC154" s="10">
        <f t="shared" si="39"/>
        <v>1826.8900000000031</v>
      </c>
      <c r="AD154" s="8">
        <f>IFERROR(AC154/AC444, "NA")</f>
        <v>0.10997682943053616</v>
      </c>
    </row>
    <row r="155" spans="1:30" ht="16.5" customHeight="1" x14ac:dyDescent="0.45">
      <c r="A155" s="12" t="s">
        <v>144</v>
      </c>
      <c r="B155" s="7">
        <v>769.22</v>
      </c>
      <c r="C155" s="8">
        <f>IFERROR(B155/B444, "NA")</f>
        <v>7.5169476279184225E-3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-769.22</v>
      </c>
      <c r="I155" s="8">
        <f>IFERROR(H155/H444, "NA")</f>
        <v>3.7200966077972956E-2</v>
      </c>
      <c r="J155" s="9"/>
      <c r="K155" s="7">
        <v>744.1</v>
      </c>
      <c r="L155" s="8">
        <f>IFERROR(K155/K444, "NA")</f>
        <v>7.0775151026144572E-3</v>
      </c>
      <c r="M155" s="9"/>
      <c r="N155" s="10">
        <f t="shared" si="37"/>
        <v>-25.120000000000005</v>
      </c>
      <c r="O155" s="8">
        <f>IFERROR(N155/N444, "NA")</f>
        <v>8.9575443776431906E-3</v>
      </c>
      <c r="P155" s="9"/>
      <c r="Q155" s="7">
        <v>4024.31</v>
      </c>
      <c r="R155" s="8">
        <f>IFERROR(Q155/Q444, "NA")</f>
        <v>7.8471011075298795E-3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-4024.31</v>
      </c>
      <c r="X155" s="8">
        <f>IFERROR(W155/W444, "NA")</f>
        <v>9.5146259555268106E-2</v>
      </c>
      <c r="Y155" s="9"/>
      <c r="Z155" s="7">
        <v>3482.12</v>
      </c>
      <c r="AA155" s="8">
        <f>IFERROR(Z155/Z444, "NA")</f>
        <v>7.0171669819614436E-3</v>
      </c>
      <c r="AB155" s="9"/>
      <c r="AC155" s="10">
        <f t="shared" si="39"/>
        <v>-542.19000000000005</v>
      </c>
      <c r="AD155" s="8">
        <f>IFERROR(AC155/AC444, "NA")</f>
        <v>-3.263925969759663E-2</v>
      </c>
    </row>
    <row r="156" spans="1:30" ht="16.5" hidden="1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0</v>
      </c>
      <c r="AA156" s="8">
        <f>IFERROR(Z156/Z444, "NA")</f>
        <v>0</v>
      </c>
      <c r="AB156" s="9"/>
      <c r="AC156" s="10">
        <f t="shared" si="39"/>
        <v>0</v>
      </c>
      <c r="AD156" s="8">
        <f>IFERROR(AC156/AC444, "NA")</f>
        <v>0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4269.76</v>
      </c>
      <c r="C158" s="15">
        <f>IFERROR(B158/B444, "NA")</f>
        <v>4.1724815142327246E-2</v>
      </c>
      <c r="D158" s="2"/>
      <c r="E158" s="14">
        <f>IFERROR(E153+E154+E155+E156+E157, "NA")</f>
        <v>1845.13</v>
      </c>
      <c r="F158" s="15">
        <f>IFERROR(E158/E444, "NA")</f>
        <v>1.4999977643884973E-2</v>
      </c>
      <c r="G158" s="2"/>
      <c r="H158" s="14">
        <f t="shared" si="36"/>
        <v>-2424.63</v>
      </c>
      <c r="I158" s="15">
        <f>IFERROR(H158/H444, "NA")</f>
        <v>0.11725979353323571</v>
      </c>
      <c r="J158" s="2"/>
      <c r="K158" s="14">
        <f>IFERROR(K153+K154+K155+K156+K157, "NA")</f>
        <v>4821.0200000000004</v>
      </c>
      <c r="L158" s="15">
        <f>IFERROR(K158/K444, "NA")</f>
        <v>4.585518325494739E-2</v>
      </c>
      <c r="M158" s="2"/>
      <c r="N158" s="14">
        <f t="shared" si="37"/>
        <v>551.26000000000022</v>
      </c>
      <c r="O158" s="15">
        <f>IFERROR(N158/N444, "NA")</f>
        <v>-0.19657388191160774</v>
      </c>
      <c r="P158" s="2"/>
      <c r="Q158" s="14">
        <f>IFERROR(Q153+Q154+Q155+Q156+Q157, "NA")</f>
        <v>21564.98</v>
      </c>
      <c r="R158" s="15">
        <f>IFERROR(Q158/Q444, "NA")</f>
        <v>4.2050085217555232E-2</v>
      </c>
      <c r="S158" s="2"/>
      <c r="T158" s="14">
        <f>IFERROR(T153+T154+T155+T156+T157, "NA")</f>
        <v>8894.4</v>
      </c>
      <c r="U158" s="15">
        <f>IFERROR(T158/T444, "NA")</f>
        <v>1.6022008862038549E-2</v>
      </c>
      <c r="V158" s="2"/>
      <c r="W158" s="14">
        <f t="shared" si="38"/>
        <v>-12670.58</v>
      </c>
      <c r="X158" s="15">
        <f>IFERROR(W158/W444, "NA")</f>
        <v>0.29956894309727355</v>
      </c>
      <c r="Y158" s="2"/>
      <c r="Z158" s="14">
        <f>IFERROR(Z153+Z154+Z155+Z156+Z157, "NA")</f>
        <v>22849.68</v>
      </c>
      <c r="AA158" s="15">
        <f>IFERROR(Z158/Z444, "NA")</f>
        <v>4.6046666985739941E-2</v>
      </c>
      <c r="AB158" s="2"/>
      <c r="AC158" s="14">
        <f t="shared" si="39"/>
        <v>1284.7000000000007</v>
      </c>
      <c r="AD158" s="15">
        <f>IFERROR(AC158/AC444, "NA")</f>
        <v>7.7337569732939399E-2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217.48</v>
      </c>
      <c r="C161" s="8">
        <f>IFERROR(B161/B444, "NA")</f>
        <v>2.1252512546731735E-3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-217.48</v>
      </c>
      <c r="I161" s="8">
        <f>IFERROR(H161/H444, "NA")</f>
        <v>1.0517753181973373E-2</v>
      </c>
      <c r="J161" s="9"/>
      <c r="K161" s="7">
        <v>305.69</v>
      </c>
      <c r="L161" s="8">
        <f>IFERROR(K161/K444, "NA")</f>
        <v>2.9075737020806524E-3</v>
      </c>
      <c r="M161" s="9"/>
      <c r="N161" s="10">
        <f t="shared" si="41"/>
        <v>88.210000000000008</v>
      </c>
      <c r="O161" s="8">
        <f>IFERROR(N161/N444, "NA")</f>
        <v>-3.1454816463053571E-2</v>
      </c>
      <c r="P161" s="9"/>
      <c r="Q161" s="7">
        <v>1729.56</v>
      </c>
      <c r="R161" s="8">
        <f>IFERROR(Q161/Q444, "NA")</f>
        <v>3.3725116085836769E-3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-1729.56</v>
      </c>
      <c r="X161" s="8">
        <f>IFERROR(W161/W444, "NA")</f>
        <v>4.0891771428247202E-2</v>
      </c>
      <c r="Y161" s="9"/>
      <c r="Z161" s="7">
        <v>1200.3699999999999</v>
      </c>
      <c r="AA161" s="8">
        <f>IFERROR(Z161/Z444, "NA")</f>
        <v>2.4189851958396199E-3</v>
      </c>
      <c r="AB161" s="9"/>
      <c r="AC161" s="10">
        <f t="shared" si="43"/>
        <v>-529.19000000000005</v>
      </c>
      <c r="AD161" s="8">
        <f>IFERROR(AC161/AC444, "NA")</f>
        <v>-3.1856673563457755E-2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217.48</v>
      </c>
      <c r="C166" s="15">
        <f>IFERROR(B166/B444, "NA")</f>
        <v>2.1252512546731735E-3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-217.48</v>
      </c>
      <c r="I166" s="15">
        <f>IFERROR(H166/H444, "NA")</f>
        <v>1.0517753181973373E-2</v>
      </c>
      <c r="J166" s="2"/>
      <c r="K166" s="14">
        <f>IFERROR(K160+K161+K162+K163+K164+K165, "NA")</f>
        <v>305.69</v>
      </c>
      <c r="L166" s="15">
        <f>IFERROR(K166/K444, "NA")</f>
        <v>2.9075737020806524E-3</v>
      </c>
      <c r="M166" s="2"/>
      <c r="N166" s="14">
        <f t="shared" si="41"/>
        <v>88.210000000000008</v>
      </c>
      <c r="O166" s="15">
        <f>IFERROR(N166/N444, "NA")</f>
        <v>-3.1454816463053571E-2</v>
      </c>
      <c r="P166" s="2"/>
      <c r="Q166" s="14">
        <f>IFERROR(Q160+Q161+Q162+Q163+Q164+Q165, "NA")</f>
        <v>1729.56</v>
      </c>
      <c r="R166" s="15">
        <f>IFERROR(Q166/Q444, "NA")</f>
        <v>3.3725116085836769E-3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-1729.56</v>
      </c>
      <c r="X166" s="15">
        <f>IFERROR(W166/W444, "NA")</f>
        <v>4.0891771428247202E-2</v>
      </c>
      <c r="Y166" s="2"/>
      <c r="Z166" s="14">
        <f>IFERROR(Z160+Z161+Z162+Z163+Z164+Z165, "NA")</f>
        <v>1200.3699999999999</v>
      </c>
      <c r="AA166" s="15">
        <f>IFERROR(Z166/Z444, "NA")</f>
        <v>2.4189851958396199E-3</v>
      </c>
      <c r="AB166" s="2"/>
      <c r="AC166" s="14">
        <f t="shared" si="43"/>
        <v>-529.19000000000005</v>
      </c>
      <c r="AD166" s="15">
        <f>IFERROR(AC166/AC444, "NA")</f>
        <v>-3.1856673563457755E-2</v>
      </c>
    </row>
    <row r="167" spans="1:30" ht="16.5" customHeight="1" x14ac:dyDescent="0.45">
      <c r="A167" s="6" t="s">
        <v>155</v>
      </c>
      <c r="B167" s="7">
        <v>85.59</v>
      </c>
      <c r="C167" s="8">
        <f>IFERROR(B167/B444, "NA")</f>
        <v>8.363999213144975E-4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-85.59</v>
      </c>
      <c r="I167" s="8">
        <f>IFERROR(H167/H444, "NA")</f>
        <v>4.1392978427676154E-3</v>
      </c>
      <c r="J167" s="9"/>
      <c r="K167" s="7">
        <v>102.97</v>
      </c>
      <c r="L167" s="8">
        <f>IFERROR(K167/K444, "NA")</f>
        <v>9.7940025549820013E-4</v>
      </c>
      <c r="M167" s="9"/>
      <c r="N167" s="10">
        <f t="shared" si="41"/>
        <v>17.379999999999995</v>
      </c>
      <c r="O167" s="8">
        <f>IFERROR(N167/N444, "NA")</f>
        <v>-6.197536675296122E-3</v>
      </c>
      <c r="P167" s="9"/>
      <c r="Q167" s="7">
        <v>523.25</v>
      </c>
      <c r="R167" s="8">
        <f>IFERROR(Q167/Q444, "NA")</f>
        <v>1.0202980522164072E-3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-523.25</v>
      </c>
      <c r="X167" s="8">
        <f>IFERROR(W167/W444, "NA")</f>
        <v>1.2371134508100528E-2</v>
      </c>
      <c r="Y167" s="9"/>
      <c r="Z167" s="7">
        <v>765.46</v>
      </c>
      <c r="AA167" s="8">
        <f>IFERROR(Z167/Z444, "NA")</f>
        <v>1.5425547189678148E-3</v>
      </c>
      <c r="AB167" s="9"/>
      <c r="AC167" s="10">
        <f t="shared" si="43"/>
        <v>242.21000000000004</v>
      </c>
      <c r="AD167" s="8">
        <f>IFERROR(AC167/AC444, "NA")</f>
        <v>1.4580783657675133E-2</v>
      </c>
    </row>
    <row r="168" spans="1:30" ht="16.5" customHeight="1" x14ac:dyDescent="0.45">
      <c r="A168" s="6" t="s">
        <v>156</v>
      </c>
      <c r="B168" s="7">
        <v>26.6</v>
      </c>
      <c r="C168" s="8">
        <f>IFERROR(B168/B444, "NA")</f>
        <v>2.5993968812905286E-4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-26.6</v>
      </c>
      <c r="I168" s="8">
        <f>IFERROR(H168/H444, "NA")</f>
        <v>1.2864274169601423E-3</v>
      </c>
      <c r="J168" s="9"/>
      <c r="K168" s="7">
        <v>59.2</v>
      </c>
      <c r="L168" s="8">
        <f>IFERROR(K168/K444, "NA")</f>
        <v>5.6308143270363648E-4</v>
      </c>
      <c r="M168" s="9"/>
      <c r="N168" s="10">
        <f t="shared" si="41"/>
        <v>32.6</v>
      </c>
      <c r="O168" s="8">
        <f>IFERROR(N168/N444, "NA")</f>
        <v>-1.1624838642960508E-2</v>
      </c>
      <c r="P168" s="9"/>
      <c r="Q168" s="7">
        <v>160.4</v>
      </c>
      <c r="R168" s="8">
        <f>IFERROR(Q168/Q444, "NA")</f>
        <v>3.1276790745439411E-4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-160.4</v>
      </c>
      <c r="X168" s="8">
        <f>IFERROR(W168/W444, "NA")</f>
        <v>3.7923172003809361E-3</v>
      </c>
      <c r="Y168" s="9"/>
      <c r="Z168" s="7">
        <v>267.69</v>
      </c>
      <c r="AA168" s="8">
        <f>IFERROR(Z168/Z444, "NA")</f>
        <v>5.3944879251756372E-4</v>
      </c>
      <c r="AB168" s="9"/>
      <c r="AC168" s="10">
        <f t="shared" si="43"/>
        <v>107.28999999999999</v>
      </c>
      <c r="AD168" s="8">
        <f>IFERROR(AC168/AC444, "NA")</f>
        <v>6.4587435639815232E-3</v>
      </c>
    </row>
    <row r="169" spans="1:30" ht="16.5" customHeight="1" x14ac:dyDescent="0.45">
      <c r="A169" s="6" t="s">
        <v>157</v>
      </c>
      <c r="B169" s="7">
        <v>-1402.05</v>
      </c>
      <c r="C169" s="8">
        <f>IFERROR(B169/B444, "NA")</f>
        <v>-1.3701069163208216E-2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1402.05</v>
      </c>
      <c r="I169" s="8">
        <f>IFERROR(H169/H444, "NA")</f>
        <v>-6.7805848118382236E-2</v>
      </c>
      <c r="J169" s="9"/>
      <c r="K169" s="7">
        <v>-1997.06</v>
      </c>
      <c r="L169" s="8">
        <f>IFERROR(K169/K444, "NA")</f>
        <v>-1.8995057533701423E-2</v>
      </c>
      <c r="M169" s="9"/>
      <c r="N169" s="10">
        <f t="shared" si="41"/>
        <v>-595.01</v>
      </c>
      <c r="O169" s="8">
        <f>IFERROR(N169/N444, "NA")</f>
        <v>0.2121747006425746</v>
      </c>
      <c r="P169" s="9"/>
      <c r="Q169" s="7">
        <v>-10224.73</v>
      </c>
      <c r="R169" s="8">
        <f>IFERROR(Q169/Q444, "NA")</f>
        <v>-1.9937452658267872E-2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10224.73</v>
      </c>
      <c r="X169" s="8">
        <f>IFERROR(W169/W444, "NA")</f>
        <v>-0.24174201651029281</v>
      </c>
      <c r="Y169" s="9"/>
      <c r="Z169" s="7">
        <v>-11552.87</v>
      </c>
      <c r="AA169" s="8">
        <f>IFERROR(Z169/Z444, "NA")</f>
        <v>-2.3281339503202908E-2</v>
      </c>
      <c r="AB169" s="9"/>
      <c r="AC169" s="10">
        <f t="shared" si="43"/>
        <v>-1328.1400000000012</v>
      </c>
      <c r="AD169" s="8">
        <f>IFERROR(AC169/AC444, "NA")</f>
        <v>-7.9952611399631168E-2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3197.38</v>
      </c>
      <c r="C170" s="15">
        <f>IFERROR(B170/B444, "NA")</f>
        <v>3.1245336843235751E-2</v>
      </c>
      <c r="D170" s="2"/>
      <c r="E170" s="14">
        <f>IFERROR(E151+E153+E154+E155+E156+E157+E160+E161+E162+E163+E164+E165+E167+E168+E169, "NA")</f>
        <v>1845.13</v>
      </c>
      <c r="F170" s="15">
        <f>IFERROR(E170/E444, "NA")</f>
        <v>1.4999977643884973E-2</v>
      </c>
      <c r="G170" s="2"/>
      <c r="H170" s="14">
        <f t="shared" si="40"/>
        <v>-1352.25</v>
      </c>
      <c r="I170" s="15">
        <f>IFERROR(H170/H444, "NA")</f>
        <v>6.5397423856554601E-2</v>
      </c>
      <c r="J170" s="2"/>
      <c r="K170" s="14">
        <f>IFERROR(K151+K153+K154+K155+K156+K157+K160+K161+K162+K163+K164+K165+K167+K168+K169, "NA")</f>
        <v>3291.82</v>
      </c>
      <c r="L170" s="15">
        <f>IFERROR(K170/K444, "NA")</f>
        <v>3.1310181111528453E-2</v>
      </c>
      <c r="M170" s="2"/>
      <c r="N170" s="14">
        <f t="shared" si="41"/>
        <v>94.440000000000055</v>
      </c>
      <c r="O170" s="15">
        <f>IFERROR(N170/N444, "NA")</f>
        <v>-3.3676373050343281E-2</v>
      </c>
      <c r="P170" s="2"/>
      <c r="Q170" s="14">
        <f>IFERROR(Q151+Q153+Q154+Q155+Q156+Q157+Q160+Q161+Q162+Q163+Q164+Q165+Q167+Q168+Q169, "NA")</f>
        <v>13753.460000000003</v>
      </c>
      <c r="R170" s="15">
        <f>IFERROR(Q170/Q444, "NA")</f>
        <v>2.6818210127541844E-2</v>
      </c>
      <c r="S170" s="2"/>
      <c r="T170" s="14">
        <f>IFERROR(T151+T153+T154+T155+T156+T157+T160+T161+T162+T163+T164+T165+T167+T168+T169, "NA")</f>
        <v>8894.4</v>
      </c>
      <c r="U170" s="15">
        <f>IFERROR(T170/T444, "NA")</f>
        <v>1.6022008862038549E-2</v>
      </c>
      <c r="V170" s="2"/>
      <c r="W170" s="14">
        <f t="shared" si="42"/>
        <v>-4859.0600000000031</v>
      </c>
      <c r="X170" s="15">
        <f>IFERROR(W170/W444, "NA")</f>
        <v>0.11488214972370948</v>
      </c>
      <c r="Y170" s="2"/>
      <c r="Z170" s="14">
        <f>IFERROR(Z151+Z153+Z154+Z155+Z156+Z157+Z160+Z161+Z162+Z163+Z164+Z165+Z167+Z168+Z169, "NA")</f>
        <v>13530.329999999996</v>
      </c>
      <c r="AA170" s="15">
        <f>IFERROR(Z170/Z444, "NA")</f>
        <v>2.7266316189862028E-2</v>
      </c>
      <c r="AB170" s="2"/>
      <c r="AC170" s="14">
        <f t="shared" si="43"/>
        <v>-223.13000000000648</v>
      </c>
      <c r="AD170" s="15">
        <f>IFERROR(AC170/AC444, "NA")</f>
        <v>-1.3432188008493235E-2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29747.580000000005</v>
      </c>
      <c r="C171" s="15">
        <f>IFERROR(B171/B444, "NA")</f>
        <v>0.29069837096970119</v>
      </c>
      <c r="D171" s="2"/>
      <c r="E171" s="14">
        <f>IFERROR(E127+E129+E130+E131+E132+E133+E134+E135+E136+E137+E138+E139+E140+E143+E144+E145+E146+E147+E151+E153+E154+E155+E156+E157+E160+E161+E162+E163+E164+E165+E167+E168+E169, "NA")</f>
        <v>32351.33</v>
      </c>
      <c r="F171" s="15">
        <f>IFERROR(E171/E444, "NA")</f>
        <v>0.26300001991726613</v>
      </c>
      <c r="G171" s="2"/>
      <c r="H171" s="14">
        <f t="shared" si="40"/>
        <v>2603.7499999999964</v>
      </c>
      <c r="I171" s="15">
        <f>IFERROR(H171/H444, "NA")</f>
        <v>-0.12592238296654007</v>
      </c>
      <c r="J171" s="2"/>
      <c r="K171" s="14">
        <f>IFERROR(K127+K129+K130+K131+K132+K133+K134+K135+K136+K137+K138+K139+K140+K143+K144+K145+K146+K147+K151+K153+K154+K155+K156+K157+K160+K161+K162+K163+K164+K165+K167+K168+K169, "NA")</f>
        <v>30988.140000000003</v>
      </c>
      <c r="L171" s="15">
        <f>IFERROR(K171/K444, "NA")</f>
        <v>0.29474402479764977</v>
      </c>
      <c r="M171" s="2"/>
      <c r="N171" s="14">
        <f t="shared" si="41"/>
        <v>1240.5599999999977</v>
      </c>
      <c r="O171" s="15">
        <f>IFERROR(N171/N444, "NA")</f>
        <v>-0.44237146708316138</v>
      </c>
      <c r="P171" s="2"/>
      <c r="Q171" s="14">
        <f>IFERROR(Q127+Q129+Q130+Q131+Q132+Q133+Q134+Q135+Q136+Q137+Q138+Q139+Q140+Q143+Q144+Q145+Q146+Q147+Q151+Q153+Q154+Q155+Q156+Q157+Q160+Q161+Q162+Q163+Q164+Q165+Q167+Q168+Q169, "NA")</f>
        <v>145964.48000000004</v>
      </c>
      <c r="R171" s="15">
        <f>IFERROR(Q171/Q444, "NA")</f>
        <v>0.28461973174731153</v>
      </c>
      <c r="S171" s="2"/>
      <c r="T171" s="14">
        <f>IFERROR(T127+T129+T130+T131+T132+T133+T134+T135+T136+T137+T138+T139+T140+T143+T144+T145+T146+T147+T151+T153+T154+T155+T156+T157+T160+T161+T162+T163+T164+T165+T167+T168+T169, "NA")</f>
        <v>150276.47</v>
      </c>
      <c r="U171" s="15">
        <f>IFERROR(T171/T444, "NA")</f>
        <v>0.2707018949109406</v>
      </c>
      <c r="V171" s="2"/>
      <c r="W171" s="14">
        <f t="shared" si="42"/>
        <v>4311.9899999999616</v>
      </c>
      <c r="X171" s="15">
        <f>IFERROR(W171/W444, "NA")</f>
        <v>-0.10194784192562623</v>
      </c>
      <c r="Y171" s="2"/>
      <c r="Z171" s="14">
        <f>IFERROR(Z127+Z129+Z130+Z131+Z132+Z133+Z134+Z135+Z136+Z137+Z138+Z139+Z140+Z143+Z144+Z145+Z146+Z147+Z151+Z153+Z154+Z155+Z156+Z157+Z160+Z161+Z162+Z163+Z164+Z165+Z167+Z168+Z169, "NA")</f>
        <v>143691.87999999998</v>
      </c>
      <c r="AA171" s="15">
        <f>IFERROR(Z171/Z444, "NA")</f>
        <v>0.28956782532249487</v>
      </c>
      <c r="AB171" s="2"/>
      <c r="AC171" s="14">
        <f t="shared" si="43"/>
        <v>-2272.600000000064</v>
      </c>
      <c r="AD171" s="15">
        <f>IFERROR(AC171/AC444, "NA")</f>
        <v>-0.13680809603415811</v>
      </c>
    </row>
    <row r="172" spans="1:30" ht="16.5" customHeight="1" x14ac:dyDescent="0.45">
      <c r="A172" s="22" t="s">
        <v>160</v>
      </c>
      <c r="B172" s="23">
        <f>IFERROR(B124-B171, "NA")</f>
        <v>72583.85000000002</v>
      </c>
      <c r="C172" s="24">
        <f>IFERROR(B172/B444, "NA")</f>
        <v>0.70930162903029914</v>
      </c>
      <c r="D172" s="25"/>
      <c r="E172" s="23">
        <f>IFERROR(E124-E171, "NA")</f>
        <v>90657.520000000019</v>
      </c>
      <c r="F172" s="24">
        <f>IFERROR(E172/E444, "NA")</f>
        <v>0.73699998008273404</v>
      </c>
      <c r="G172" s="25"/>
      <c r="H172" s="23">
        <f>IFERROR(B172-E172, "NA")</f>
        <v>-18073.669999999998</v>
      </c>
      <c r="I172" s="24">
        <f>IFERROR(H172/H444, "NA")</f>
        <v>0.8740776170334591</v>
      </c>
      <c r="J172" s="25"/>
      <c r="K172" s="23">
        <f>IFERROR(K124-K171, "NA")</f>
        <v>74147.62999999999</v>
      </c>
      <c r="L172" s="24">
        <f>IFERROR(K172/K444, "NA")</f>
        <v>0.70525597520235017</v>
      </c>
      <c r="M172" s="25"/>
      <c r="N172" s="23">
        <f>IFERROR(B172-K172, "NA")</f>
        <v>-1563.7799999999697</v>
      </c>
      <c r="O172" s="24">
        <f>IFERROR(N172/N444, "NA")</f>
        <v>0.55762853291682302</v>
      </c>
      <c r="P172" s="25"/>
      <c r="Q172" s="23">
        <f>IFERROR(Q124-Q171, "NA")</f>
        <v>366875.85999999987</v>
      </c>
      <c r="R172" s="24">
        <f>IFERROR(Q172/Q444, "NA")</f>
        <v>0.7153802682526883</v>
      </c>
      <c r="S172" s="25"/>
      <c r="T172" s="23">
        <f>IFERROR(T124-T171, "NA")</f>
        <v>404859.91000000003</v>
      </c>
      <c r="U172" s="24">
        <f>IFERROR(T172/T444, "NA")</f>
        <v>0.72929810508905946</v>
      </c>
      <c r="V172" s="25"/>
      <c r="W172" s="23">
        <f>IFERROR(Q172-T172, "NA")</f>
        <v>-37984.050000000163</v>
      </c>
      <c r="X172" s="24">
        <f>IFERROR(W172/W444, "NA")</f>
        <v>0.89805215807437722</v>
      </c>
      <c r="Y172" s="25"/>
      <c r="Z172" s="23">
        <f>IFERROR(Z124-Z171, "NA")</f>
        <v>352536.86999999988</v>
      </c>
      <c r="AA172" s="24">
        <f>IFERROR(Z172/Z444, "NA")</f>
        <v>0.71043217467750486</v>
      </c>
      <c r="AB172" s="25"/>
      <c r="AC172" s="23">
        <f>IFERROR(Q172-Z172, "NA")</f>
        <v>14338.989999999991</v>
      </c>
      <c r="AD172" s="24">
        <f>IFERROR(AC172/AC444, "NA")</f>
        <v>0.86319190396584367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5494.25</v>
      </c>
      <c r="C178" s="8">
        <f>IFERROR(B178/B444, "NA")</f>
        <v>5.3690738026430394E-2</v>
      </c>
      <c r="D178" s="9"/>
      <c r="E178" s="7">
        <v>6250</v>
      </c>
      <c r="F178" s="8">
        <f>IFERROR(E178/E444, "NA")</f>
        <v>5.0809352335218154E-2</v>
      </c>
      <c r="G178" s="9"/>
      <c r="H178" s="10">
        <f t="shared" si="44"/>
        <v>755.75</v>
      </c>
      <c r="I178" s="8">
        <f>IFERROR(H178/H444, "NA")</f>
        <v>-3.6549530840888252E-2</v>
      </c>
      <c r="J178" s="9"/>
      <c r="K178" s="7">
        <v>6634.6</v>
      </c>
      <c r="L178" s="8">
        <f>IFERROR(K178/K444, "NA")</f>
        <v>6.3105068807695036E-2</v>
      </c>
      <c r="M178" s="9"/>
      <c r="N178" s="10">
        <f t="shared" si="45"/>
        <v>1140.3500000000004</v>
      </c>
      <c r="O178" s="8">
        <f>IFERROR(N178/N444, "NA")</f>
        <v>-0.40663756891104352</v>
      </c>
      <c r="P178" s="9"/>
      <c r="Q178" s="7">
        <v>29725.1</v>
      </c>
      <c r="R178" s="8">
        <f>IFERROR(Q178/Q444, "NA")</f>
        <v>5.7961704026637209E-2</v>
      </c>
      <c r="S178" s="9"/>
      <c r="T178" s="7">
        <v>32500</v>
      </c>
      <c r="U178" s="8">
        <f>IFERROR(T178/T444, "NA")</f>
        <v>5.8544172514869229E-2</v>
      </c>
      <c r="V178" s="9"/>
      <c r="W178" s="10">
        <f t="shared" si="46"/>
        <v>2774.9000000000015</v>
      </c>
      <c r="X178" s="8">
        <f>IFERROR(W178/W444, "NA")</f>
        <v>-6.5606614709083938E-2</v>
      </c>
      <c r="Y178" s="9"/>
      <c r="Z178" s="7">
        <v>34499.919999999998</v>
      </c>
      <c r="AA178" s="8">
        <f>IFERROR(Z178/Z444, "NA")</f>
        <v>6.9524226478211909E-2</v>
      </c>
      <c r="AB178" s="9"/>
      <c r="AC178" s="10">
        <f t="shared" si="47"/>
        <v>4774.82</v>
      </c>
      <c r="AD178" s="8">
        <f>IFERROR(AC178/AC444, "NA")</f>
        <v>0.28743907115453682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22280.43</v>
      </c>
      <c r="C180" s="8">
        <f>IFERROR(B180/B444, "NA")</f>
        <v>0.21772812126245086</v>
      </c>
      <c r="D180" s="9"/>
      <c r="E180" s="7">
        <v>21649.56</v>
      </c>
      <c r="F180" s="8">
        <f>IFERROR(E180/E444, "NA")</f>
        <v>0.17600001951079131</v>
      </c>
      <c r="G180" s="9"/>
      <c r="H180" s="10">
        <f t="shared" si="44"/>
        <v>-630.86999999999898</v>
      </c>
      <c r="I180" s="8">
        <f>IFERROR(H180/H444, "NA")</f>
        <v>3.0510092651791113E-2</v>
      </c>
      <c r="J180" s="9"/>
      <c r="K180" s="7">
        <v>20898.54</v>
      </c>
      <c r="L180" s="8">
        <f>IFERROR(K180/K444, "NA")</f>
        <v>0.19877668656442998</v>
      </c>
      <c r="M180" s="9"/>
      <c r="N180" s="10">
        <f t="shared" si="45"/>
        <v>-1381.8899999999994</v>
      </c>
      <c r="O180" s="8">
        <f>IFERROR(N180/N444, "NA")</f>
        <v>0.49276835191167762</v>
      </c>
      <c r="P180" s="9"/>
      <c r="Q180" s="7">
        <v>107135.71</v>
      </c>
      <c r="R180" s="8">
        <f>IFERROR(Q180/Q444, "NA")</f>
        <v>0.20890655754576562</v>
      </c>
      <c r="S180" s="9"/>
      <c r="T180" s="7">
        <v>106772.51</v>
      </c>
      <c r="U180" s="8">
        <f>IFERROR(T180/T444, "NA")</f>
        <v>0.19233563831647998</v>
      </c>
      <c r="V180" s="9"/>
      <c r="W180" s="10">
        <f t="shared" si="46"/>
        <v>-363.20000000001164</v>
      </c>
      <c r="X180" s="8">
        <f>IFERROR(W180/W444, "NA")</f>
        <v>8.5870923140798014E-3</v>
      </c>
      <c r="Y180" s="9"/>
      <c r="Z180" s="7">
        <v>97041.34</v>
      </c>
      <c r="AA180" s="8">
        <f>IFERROR(Z180/Z444, "NA")</f>
        <v>0.19555767375429173</v>
      </c>
      <c r="AB180" s="9"/>
      <c r="AC180" s="10">
        <f t="shared" si="47"/>
        <v>-10094.37000000001</v>
      </c>
      <c r="AD180" s="8">
        <f>IFERROR(AC180/AC444, "NA")</f>
        <v>-0.60767030729749494</v>
      </c>
    </row>
    <row r="181" spans="1:30" ht="16.5" customHeight="1" x14ac:dyDescent="0.45">
      <c r="A181" s="12" t="s">
        <v>166</v>
      </c>
      <c r="B181" s="7">
        <v>-270.88</v>
      </c>
      <c r="C181" s="8">
        <f>IFERROR(B181/B444, "NA")</f>
        <v>-2.6470850646766104E-3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270.88</v>
      </c>
      <c r="I181" s="8">
        <f>IFERROR(H181/H444, "NA")</f>
        <v>-1.3100280402487343E-2</v>
      </c>
      <c r="J181" s="9"/>
      <c r="K181" s="7">
        <v>70.33</v>
      </c>
      <c r="L181" s="8">
        <f>IFERROR(K181/K444, "NA")</f>
        <v>6.6894454665619512E-4</v>
      </c>
      <c r="M181" s="9"/>
      <c r="N181" s="10">
        <f t="shared" si="45"/>
        <v>341.21</v>
      </c>
      <c r="O181" s="8">
        <f>IFERROR(N181/N444, "NA")</f>
        <v>-0.12167212249584523</v>
      </c>
      <c r="P181" s="9"/>
      <c r="Q181" s="7">
        <v>-34.67</v>
      </c>
      <c r="R181" s="8">
        <f>IFERROR(Q181/Q444, "NA")</f>
        <v>-6.7603886230946657E-5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34.67</v>
      </c>
      <c r="X181" s="8">
        <f>IFERROR(W181/W444, "NA")</f>
        <v>-8.196984871396949E-4</v>
      </c>
      <c r="Y181" s="9"/>
      <c r="Z181" s="7">
        <v>352.84</v>
      </c>
      <c r="AA181" s="8">
        <f>IFERROR(Z181/Z444, "NA")</f>
        <v>7.1104304214538144E-4</v>
      </c>
      <c r="AB181" s="9"/>
      <c r="AC181" s="10">
        <f t="shared" si="47"/>
        <v>387.51</v>
      </c>
      <c r="AD181" s="8">
        <f>IFERROR(AC181/AC444, "NA")</f>
        <v>2.3327688680011931E-2</v>
      </c>
    </row>
    <row r="182" spans="1:30" ht="16.5" customHeight="1" x14ac:dyDescent="0.45">
      <c r="A182" s="13" t="s">
        <v>167</v>
      </c>
      <c r="B182" s="14">
        <f>IFERROR(B177+B178+B179+B180+B181, "NA")</f>
        <v>27503.8</v>
      </c>
      <c r="C182" s="15">
        <f>IFERROR(B182/B444, "NA")</f>
        <v>0.26877177422420462</v>
      </c>
      <c r="D182" s="2"/>
      <c r="E182" s="14">
        <f>IFERROR(E177+E178+E179+E180+E181, "NA")</f>
        <v>27899.56</v>
      </c>
      <c r="F182" s="15">
        <f>IFERROR(E182/E444, "NA")</f>
        <v>0.22680937184600947</v>
      </c>
      <c r="G182" s="2"/>
      <c r="H182" s="14">
        <f t="shared" si="44"/>
        <v>395.76000000000204</v>
      </c>
      <c r="I182" s="15">
        <f>IFERROR(H182/H444, "NA")</f>
        <v>-1.9139718591584531E-2</v>
      </c>
      <c r="J182" s="2"/>
      <c r="K182" s="14">
        <f>IFERROR(K177+K178+K179+K180+K181, "NA")</f>
        <v>27603.47</v>
      </c>
      <c r="L182" s="15">
        <f>IFERROR(K182/K444, "NA")</f>
        <v>0.26255069991878122</v>
      </c>
      <c r="M182" s="2"/>
      <c r="N182" s="14">
        <f t="shared" si="45"/>
        <v>99.670000000001892</v>
      </c>
      <c r="O182" s="15">
        <f>IFERROR(N182/N444, "NA")</f>
        <v>-3.554133949521153E-2</v>
      </c>
      <c r="P182" s="2"/>
      <c r="Q182" s="14">
        <f>IFERROR(Q177+Q178+Q179+Q180+Q181, "NA")</f>
        <v>136826.13999999998</v>
      </c>
      <c r="R182" s="15">
        <f>IFERROR(Q182/Q444, "NA")</f>
        <v>0.26680065768617184</v>
      </c>
      <c r="S182" s="2"/>
      <c r="T182" s="14">
        <f>IFERROR(T177+T178+T179+T180+T181, "NA")</f>
        <v>139272.51</v>
      </c>
      <c r="U182" s="15">
        <f>IFERROR(T182/T444, "NA")</f>
        <v>0.25087981083134925</v>
      </c>
      <c r="V182" s="2"/>
      <c r="W182" s="14">
        <f t="shared" si="46"/>
        <v>2446.3700000000244</v>
      </c>
      <c r="X182" s="15">
        <f>IFERROR(W182/W444, "NA")</f>
        <v>-5.7839220882144653E-2</v>
      </c>
      <c r="Y182" s="2"/>
      <c r="Z182" s="14">
        <f>IFERROR(Z177+Z178+Z179+Z180+Z181, "NA")</f>
        <v>131894.1</v>
      </c>
      <c r="AA182" s="15">
        <f>IFERROR(Z182/Z444, "NA")</f>
        <v>0.26579294327464903</v>
      </c>
      <c r="AB182" s="2"/>
      <c r="AC182" s="14">
        <f t="shared" si="47"/>
        <v>-4932.039999999979</v>
      </c>
      <c r="AD182" s="15">
        <f>IFERROR(AC182/AC444, "NA")</f>
        <v>-0.29690354746294434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200</v>
      </c>
      <c r="C184" s="8">
        <f>IFERROR(B184/B444, "NA")</f>
        <v>1.9544337453312245E-3</v>
      </c>
      <c r="D184" s="9"/>
      <c r="E184" s="7">
        <v>300</v>
      </c>
      <c r="F184" s="8">
        <f>IFERROR(E184/E444, "NA")</f>
        <v>2.4388489120904713E-3</v>
      </c>
      <c r="G184" s="9"/>
      <c r="H184" s="10">
        <f t="shared" si="44"/>
        <v>100</v>
      </c>
      <c r="I184" s="8">
        <f>IFERROR(H184/H444, "NA")</f>
        <v>-4.8361932968426398E-3</v>
      </c>
      <c r="J184" s="9"/>
      <c r="K184" s="7">
        <v>300</v>
      </c>
      <c r="L184" s="8">
        <f>IFERROR(K184/K444, "NA")</f>
        <v>2.8534532062684278E-3</v>
      </c>
      <c r="M184" s="9"/>
      <c r="N184" s="10">
        <f t="shared" si="45"/>
        <v>100</v>
      </c>
      <c r="O184" s="8">
        <f>IFERROR(N184/N444, "NA")</f>
        <v>-3.5659014242210151E-2</v>
      </c>
      <c r="P184" s="9"/>
      <c r="Q184" s="7">
        <v>1700</v>
      </c>
      <c r="R184" s="8">
        <f>IFERROR(Q184/Q444, "NA")</f>
        <v>3.3148718371101616E-3</v>
      </c>
      <c r="S184" s="9"/>
      <c r="T184" s="7">
        <v>1800</v>
      </c>
      <c r="U184" s="8">
        <f>IFERROR(T184/T444, "NA")</f>
        <v>3.2424464777466035E-3</v>
      </c>
      <c r="V184" s="9"/>
      <c r="W184" s="10">
        <f t="shared" si="46"/>
        <v>100</v>
      </c>
      <c r="X184" s="8">
        <f>IFERROR(W184/W444, "NA")</f>
        <v>-2.364287531409561E-3</v>
      </c>
      <c r="Y184" s="9"/>
      <c r="Z184" s="7">
        <v>1600</v>
      </c>
      <c r="AA184" s="8">
        <f>IFERROR(Z184/Z444, "NA")</f>
        <v>3.224319429295461E-3</v>
      </c>
      <c r="AB184" s="9"/>
      <c r="AC184" s="10">
        <f t="shared" si="47"/>
        <v>-100</v>
      </c>
      <c r="AD184" s="8">
        <f>IFERROR(AC184/AC444, "NA")</f>
        <v>-6.0198933395298011E-3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2764.95</v>
      </c>
      <c r="C186" s="8">
        <f>IFERROR(B186/B444, "NA")</f>
        <v>2.7019557920767844E-2</v>
      </c>
      <c r="D186" s="9"/>
      <c r="E186" s="7">
        <v>2880.14</v>
      </c>
      <c r="F186" s="8">
        <f>IFERROR(E186/E444, "NA")</f>
        <v>2.3414087685560834E-2</v>
      </c>
      <c r="G186" s="9"/>
      <c r="H186" s="10">
        <f t="shared" ref="H186:H197" si="48">IFERROR(-(B186-E186), "NA")</f>
        <v>115.19000000000005</v>
      </c>
      <c r="I186" s="8">
        <f>IFERROR(H186/H444, "NA")</f>
        <v>-5.5708110586330396E-3</v>
      </c>
      <c r="J186" s="9"/>
      <c r="K186" s="7">
        <v>3212.99</v>
      </c>
      <c r="L186" s="8">
        <f>IFERROR(K186/K444, "NA")</f>
        <v>3.0560388724027984E-2</v>
      </c>
      <c r="M186" s="9"/>
      <c r="N186" s="10">
        <f t="shared" ref="N186:N197" si="49">IFERROR(-(B186-K186), "NA")</f>
        <v>448.03999999999996</v>
      </c>
      <c r="O186" s="8">
        <f>IFERROR(N186/N444, "NA")</f>
        <v>-0.15976664741079832</v>
      </c>
      <c r="P186" s="9"/>
      <c r="Q186" s="7">
        <v>17012.38</v>
      </c>
      <c r="R186" s="8">
        <f>IFERROR(Q186/Q444, "NA")</f>
        <v>3.3172858437774219E-2</v>
      </c>
      <c r="S186" s="9"/>
      <c r="T186" s="7">
        <v>15954.73</v>
      </c>
      <c r="U186" s="8">
        <f>IFERROR(T186/T444, "NA")</f>
        <v>2.8740198939943368E-2</v>
      </c>
      <c r="V186" s="9"/>
      <c r="W186" s="10">
        <f t="shared" ref="W186:W197" si="50">IFERROR(-(Q186-T186), "NA")</f>
        <v>-1057.6500000000015</v>
      </c>
      <c r="X186" s="8">
        <f>IFERROR(W186/W444, "NA")</f>
        <v>2.5005887075953255E-2</v>
      </c>
      <c r="Y186" s="9"/>
      <c r="Z186" s="7">
        <v>16890.88</v>
      </c>
      <c r="AA186" s="8">
        <f>IFERROR(Z186/Z444, "NA")</f>
        <v>3.4038495351186325E-2</v>
      </c>
      <c r="AB186" s="9"/>
      <c r="AC186" s="10">
        <f t="shared" ref="AC186:AC197" si="51">IFERROR(-(Q186-Z186), "NA")</f>
        <v>-121.5</v>
      </c>
      <c r="AD186" s="8">
        <f>IFERROR(AC186/AC444, "NA")</f>
        <v>-7.3141704075287079E-3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0.05</v>
      </c>
      <c r="AA187" s="8">
        <f>IFERROR(Z187/Z444, "NA")</f>
        <v>1.0075998216548316E-7</v>
      </c>
      <c r="AB187" s="9"/>
      <c r="AC187" s="10">
        <f t="shared" si="51"/>
        <v>0.05</v>
      </c>
      <c r="AD187" s="8">
        <f>IFERROR(AC187/AC444, "NA")</f>
        <v>3.0099466697649008E-6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2764.95</v>
      </c>
      <c r="C193" s="15">
        <f>IFERROR(B193/B444, "NA")</f>
        <v>2.7019557920767844E-2</v>
      </c>
      <c r="D193" s="2"/>
      <c r="E193" s="14">
        <f>IFERROR(E186+E187+E188+E189+E190+E191+E192, "NA")</f>
        <v>2880.14</v>
      </c>
      <c r="F193" s="15">
        <f>IFERROR(E193/E444, "NA")</f>
        <v>2.3414087685560834E-2</v>
      </c>
      <c r="G193" s="2"/>
      <c r="H193" s="14">
        <f t="shared" si="48"/>
        <v>115.19000000000005</v>
      </c>
      <c r="I193" s="15">
        <f>IFERROR(H193/H444, "NA")</f>
        <v>-5.5708110586330396E-3</v>
      </c>
      <c r="J193" s="2"/>
      <c r="K193" s="14">
        <f>IFERROR(K186+K187+K188+K189+K190+K191+K192, "NA")</f>
        <v>3212.99</v>
      </c>
      <c r="L193" s="15">
        <f>IFERROR(K193/K444, "NA")</f>
        <v>3.0560388724027984E-2</v>
      </c>
      <c r="M193" s="2"/>
      <c r="N193" s="14">
        <f t="shared" si="49"/>
        <v>448.03999999999996</v>
      </c>
      <c r="O193" s="15">
        <f>IFERROR(N193/N444, "NA")</f>
        <v>-0.15976664741079832</v>
      </c>
      <c r="P193" s="2"/>
      <c r="Q193" s="14">
        <f>IFERROR(Q186+Q187+Q188+Q189+Q190+Q191+Q192, "NA")</f>
        <v>17012.38</v>
      </c>
      <c r="R193" s="15">
        <f>IFERROR(Q193/Q444, "NA")</f>
        <v>3.3172858437774219E-2</v>
      </c>
      <c r="S193" s="2"/>
      <c r="T193" s="14">
        <f>IFERROR(T186+T187+T188+T189+T190+T191+T192, "NA")</f>
        <v>15954.73</v>
      </c>
      <c r="U193" s="15">
        <f>IFERROR(T193/T444, "NA")</f>
        <v>2.8740198939943368E-2</v>
      </c>
      <c r="V193" s="2"/>
      <c r="W193" s="14">
        <f t="shared" si="50"/>
        <v>-1057.6500000000015</v>
      </c>
      <c r="X193" s="15">
        <f>IFERROR(W193/W444, "NA")</f>
        <v>2.5005887075953255E-2</v>
      </c>
      <c r="Y193" s="2"/>
      <c r="Z193" s="14">
        <f>IFERROR(Z186+Z187+Z188+Z189+Z190+Z191+Z192, "NA")</f>
        <v>16890.93</v>
      </c>
      <c r="AA193" s="15">
        <f>IFERROR(Z193/Z444, "NA")</f>
        <v>3.4038596111168488E-2</v>
      </c>
      <c r="AB193" s="2"/>
      <c r="AC193" s="14">
        <f t="shared" si="51"/>
        <v>-121.45000000000073</v>
      </c>
      <c r="AD193" s="15">
        <f>IFERROR(AC193/AC444, "NA")</f>
        <v>-7.311160460858987E-3</v>
      </c>
    </row>
    <row r="194" spans="1:30" ht="16.5" customHeight="1" x14ac:dyDescent="0.45">
      <c r="A194" s="6" t="s">
        <v>178</v>
      </c>
      <c r="B194" s="7">
        <v>224.72</v>
      </c>
      <c r="C194" s="8">
        <f>IFERROR(B194/B444, "NA")</f>
        <v>2.1960017562541638E-3</v>
      </c>
      <c r="D194" s="9"/>
      <c r="E194" s="7">
        <v>225.6</v>
      </c>
      <c r="F194" s="8">
        <f>IFERROR(E194/E444, "NA")</f>
        <v>1.8340143818920344E-3</v>
      </c>
      <c r="G194" s="9"/>
      <c r="H194" s="10">
        <f t="shared" si="48"/>
        <v>0.87999999999999545</v>
      </c>
      <c r="I194" s="8">
        <f>IFERROR(H194/H444, "NA")</f>
        <v>-4.2558501012215013E-5</v>
      </c>
      <c r="J194" s="9"/>
      <c r="K194" s="7">
        <v>474.88</v>
      </c>
      <c r="L194" s="8">
        <f>IFERROR(K194/K444, "NA")</f>
        <v>4.5168261953091697E-3</v>
      </c>
      <c r="M194" s="9"/>
      <c r="N194" s="10">
        <f t="shared" si="49"/>
        <v>250.16</v>
      </c>
      <c r="O194" s="8">
        <f>IFERROR(N194/N444, "NA")</f>
        <v>-8.9204590028312908E-2</v>
      </c>
      <c r="P194" s="9"/>
      <c r="Q194" s="7">
        <v>1412.98</v>
      </c>
      <c r="R194" s="8">
        <f>IFERROR(Q194/Q444, "NA")</f>
        <v>2.7552044755293627E-3</v>
      </c>
      <c r="S194" s="9"/>
      <c r="T194" s="7">
        <v>1128.5899999999999</v>
      </c>
      <c r="U194" s="8">
        <f>IFERROR(T194/T444, "NA")</f>
        <v>2.0329959279555771E-3</v>
      </c>
      <c r="V194" s="9"/>
      <c r="W194" s="10">
        <f t="shared" si="50"/>
        <v>-284.3900000000001</v>
      </c>
      <c r="X194" s="8">
        <f>IFERROR(W194/W444, "NA")</f>
        <v>6.723797310575653E-3</v>
      </c>
      <c r="Y194" s="9"/>
      <c r="Z194" s="7">
        <v>1396.02</v>
      </c>
      <c r="AA194" s="8">
        <f>IFERROR(Z194/Z444, "NA")</f>
        <v>2.8132590060531561E-3</v>
      </c>
      <c r="AB194" s="9"/>
      <c r="AC194" s="10">
        <f t="shared" si="51"/>
        <v>-16.960000000000036</v>
      </c>
      <c r="AD194" s="8">
        <f>IFERROR(AC194/AC444, "NA")</f>
        <v>-1.0209739103842564E-3</v>
      </c>
    </row>
    <row r="195" spans="1:30" ht="16.5" customHeight="1" x14ac:dyDescent="0.45">
      <c r="A195" s="6" t="s">
        <v>179</v>
      </c>
      <c r="B195" s="7">
        <v>-227.2</v>
      </c>
      <c r="C195" s="8">
        <f>IFERROR(B195/B444, "NA")</f>
        <v>-2.2202367346962708E-3</v>
      </c>
      <c r="D195" s="9"/>
      <c r="E195" s="7">
        <v>197.4</v>
      </c>
      <c r="F195" s="8">
        <f>IFERROR(E195/E444, "NA")</f>
        <v>1.6047625841555302E-3</v>
      </c>
      <c r="G195" s="9"/>
      <c r="H195" s="10">
        <f t="shared" si="48"/>
        <v>424.6</v>
      </c>
      <c r="I195" s="8">
        <f>IFERROR(H195/H444, "NA")</f>
        <v>-2.0534476738393849E-2</v>
      </c>
      <c r="J195" s="9"/>
      <c r="K195" s="7">
        <v>149.69</v>
      </c>
      <c r="L195" s="8">
        <f>IFERROR(K195/K444, "NA")</f>
        <v>1.42377803482107E-3</v>
      </c>
      <c r="M195" s="9"/>
      <c r="N195" s="10">
        <f t="shared" si="49"/>
        <v>376.89</v>
      </c>
      <c r="O195" s="8">
        <f>IFERROR(N195/N444, "NA")</f>
        <v>-0.13439525877746583</v>
      </c>
      <c r="P195" s="9"/>
      <c r="Q195" s="7">
        <v>-1145.52</v>
      </c>
      <c r="R195" s="8">
        <f>IFERROR(Q195/Q444, "NA")</f>
        <v>-2.2336776393214307E-3</v>
      </c>
      <c r="S195" s="9"/>
      <c r="T195" s="7">
        <v>987.5</v>
      </c>
      <c r="U195" s="8">
        <f>IFERROR(T195/T444, "NA")</f>
        <v>1.7788421648748727E-3</v>
      </c>
      <c r="V195" s="9"/>
      <c r="W195" s="10">
        <f t="shared" si="50"/>
        <v>2133.02</v>
      </c>
      <c r="X195" s="8">
        <f>IFERROR(W195/W444, "NA")</f>
        <v>-5.0430725902472218E-2</v>
      </c>
      <c r="Y195" s="9"/>
      <c r="Z195" s="7">
        <v>1110.3800000000001</v>
      </c>
      <c r="AA195" s="8">
        <f>IFERROR(Z195/Z444, "NA")</f>
        <v>2.237637379938184E-3</v>
      </c>
      <c r="AB195" s="9"/>
      <c r="AC195" s="10">
        <f t="shared" si="51"/>
        <v>2255.9</v>
      </c>
      <c r="AD195" s="8">
        <f>IFERROR(AC195/AC444, "NA")</f>
        <v>0.13580277384645278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30466.27</v>
      </c>
      <c r="C196" s="15">
        <f>IFERROR(B196/B444, "NA")</f>
        <v>0.2977215309118616</v>
      </c>
      <c r="D196" s="2"/>
      <c r="E196" s="14">
        <f>IFERROR(E175+E177+E178+E179+E180+E181+E183+E184+E186+E187+E188+E189+E190+E191+E192+E194+E195, "NA")</f>
        <v>31502.7</v>
      </c>
      <c r="F196" s="15">
        <f>IFERROR(E196/E444, "NA")</f>
        <v>0.25610108540970833</v>
      </c>
      <c r="G196" s="2"/>
      <c r="H196" s="14">
        <f t="shared" si="48"/>
        <v>1036.4300000000003</v>
      </c>
      <c r="I196" s="15">
        <f>IFERROR(H196/H444, "NA")</f>
        <v>-5.0123758186466187E-2</v>
      </c>
      <c r="J196" s="2"/>
      <c r="K196" s="14">
        <f>IFERROR(K175+K177+K178+K179+K180+K181+K183+K184+K186+K187+K188+K189+K190+K191+K192+K194+K195, "NA")</f>
        <v>31741.03</v>
      </c>
      <c r="L196" s="15">
        <f>IFERROR(K196/K444, "NA")</f>
        <v>0.30190514607920782</v>
      </c>
      <c r="M196" s="2"/>
      <c r="N196" s="14">
        <f t="shared" si="49"/>
        <v>1274.7599999999984</v>
      </c>
      <c r="O196" s="15">
        <f>IFERROR(N196/N444, "NA")</f>
        <v>-0.45456684995399749</v>
      </c>
      <c r="P196" s="2"/>
      <c r="Q196" s="14">
        <f>IFERROR(Q175+Q177+Q178+Q179+Q180+Q181+Q183+Q184+Q186+Q187+Q188+Q189+Q190+Q191+Q192+Q194+Q195, "NA")</f>
        <v>155805.98000000001</v>
      </c>
      <c r="R196" s="15">
        <f>IFERROR(Q196/Q444, "NA")</f>
        <v>0.30380991479726421</v>
      </c>
      <c r="S196" s="2"/>
      <c r="T196" s="14">
        <f>IFERROR(T175+T177+T178+T179+T180+T181+T183+T184+T186+T187+T188+T189+T190+T191+T192+T194+T195, "NA")</f>
        <v>159143.33000000002</v>
      </c>
      <c r="U196" s="15">
        <f>IFERROR(T196/T444, "NA")</f>
        <v>0.2866742943418697</v>
      </c>
      <c r="V196" s="2"/>
      <c r="W196" s="14">
        <f t="shared" si="50"/>
        <v>3337.3500000000058</v>
      </c>
      <c r="X196" s="15">
        <f>IFERROR(W196/W444, "NA")</f>
        <v>-7.8904549929497123E-2</v>
      </c>
      <c r="Y196" s="2"/>
      <c r="Z196" s="14">
        <f>IFERROR(Z175+Z177+Z178+Z179+Z180+Z181+Z183+Z184+Z186+Z187+Z188+Z189+Z190+Z191+Z192+Z194+Z195, "NA")</f>
        <v>152891.43</v>
      </c>
      <c r="AA196" s="15">
        <f>IFERROR(Z196/Z444, "NA")</f>
        <v>0.30810675520110431</v>
      </c>
      <c r="AB196" s="2"/>
      <c r="AC196" s="14">
        <f t="shared" si="51"/>
        <v>-2914.5500000000175</v>
      </c>
      <c r="AD196" s="15">
        <f>IFERROR(AC196/AC444, "NA")</f>
        <v>-0.17545280132726687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30466.27</v>
      </c>
      <c r="C197" s="15">
        <f>IFERROR(B197/B444, "NA")</f>
        <v>0.2977215309118616</v>
      </c>
      <c r="D197" s="2"/>
      <c r="E197" s="14">
        <f>IFERROR(E175+E177+E178+E179+E180+E181+E183+E184+E186+E187+E188+E189+E190+E191+E192+E194+E195, "NA")</f>
        <v>31502.7</v>
      </c>
      <c r="F197" s="15">
        <f>IFERROR(E197/E444, "NA")</f>
        <v>0.25610108540970833</v>
      </c>
      <c r="G197" s="2"/>
      <c r="H197" s="14">
        <f t="shared" si="48"/>
        <v>1036.4300000000003</v>
      </c>
      <c r="I197" s="15">
        <f>IFERROR(H197/H444, "NA")</f>
        <v>-5.0123758186466187E-2</v>
      </c>
      <c r="J197" s="2"/>
      <c r="K197" s="14">
        <f>IFERROR(K175+K177+K178+K179+K180+K181+K183+K184+K186+K187+K188+K189+K190+K191+K192+K194+K195, "NA")</f>
        <v>31741.03</v>
      </c>
      <c r="L197" s="15">
        <f>IFERROR(K197/K444, "NA")</f>
        <v>0.30190514607920782</v>
      </c>
      <c r="M197" s="2"/>
      <c r="N197" s="14">
        <f t="shared" si="49"/>
        <v>1274.7599999999984</v>
      </c>
      <c r="O197" s="15">
        <f>IFERROR(N197/N444, "NA")</f>
        <v>-0.45456684995399749</v>
      </c>
      <c r="P197" s="2"/>
      <c r="Q197" s="14">
        <f>IFERROR(Q175+Q177+Q178+Q179+Q180+Q181+Q183+Q184+Q186+Q187+Q188+Q189+Q190+Q191+Q192+Q194+Q195, "NA")</f>
        <v>155805.98000000001</v>
      </c>
      <c r="R197" s="15">
        <f>IFERROR(Q197/Q444, "NA")</f>
        <v>0.30380991479726421</v>
      </c>
      <c r="S197" s="2"/>
      <c r="T197" s="14">
        <f>IFERROR(T175+T177+T178+T179+T180+T181+T183+T184+T186+T187+T188+T189+T190+T191+T192+T194+T195, "NA")</f>
        <v>159143.33000000002</v>
      </c>
      <c r="U197" s="15">
        <f>IFERROR(T197/T444, "NA")</f>
        <v>0.2866742943418697</v>
      </c>
      <c r="V197" s="2"/>
      <c r="W197" s="14">
        <f t="shared" si="50"/>
        <v>3337.3500000000058</v>
      </c>
      <c r="X197" s="15">
        <f>IFERROR(W197/W444, "NA")</f>
        <v>-7.8904549929497123E-2</v>
      </c>
      <c r="Y197" s="2"/>
      <c r="Z197" s="14">
        <f>IFERROR(Z175+Z177+Z178+Z179+Z180+Z181+Z183+Z184+Z186+Z187+Z188+Z189+Z190+Z191+Z192+Z194+Z195, "NA")</f>
        <v>152891.43</v>
      </c>
      <c r="AA197" s="15">
        <f>IFERROR(Z197/Z444, "NA")</f>
        <v>0.30810675520110431</v>
      </c>
      <c r="AB197" s="2"/>
      <c r="AC197" s="14">
        <f t="shared" si="51"/>
        <v>-2914.5500000000175</v>
      </c>
      <c r="AD197" s="15">
        <f>IFERROR(AC197/AC444, "NA")</f>
        <v>-0.17545280132726687</v>
      </c>
    </row>
    <row r="198" spans="1:30" ht="16.5" customHeight="1" x14ac:dyDescent="0.45">
      <c r="A198" s="22" t="s">
        <v>181</v>
      </c>
      <c r="B198" s="23">
        <f>IFERROR(B172-B197, "NA")</f>
        <v>42117.580000000016</v>
      </c>
      <c r="C198" s="24">
        <f>IFERROR(B198/B444, "NA")</f>
        <v>0.41158009811843749</v>
      </c>
      <c r="D198" s="25"/>
      <c r="E198" s="23">
        <f>IFERROR(E172-E197, "NA")</f>
        <v>59154.820000000022</v>
      </c>
      <c r="F198" s="24">
        <f>IFERROR(E198/E444, "NA")</f>
        <v>0.48089889467302571</v>
      </c>
      <c r="G198" s="25"/>
      <c r="H198" s="23">
        <f>IFERROR(B198-E198, "NA")</f>
        <v>-17037.240000000005</v>
      </c>
      <c r="I198" s="24">
        <f>IFERROR(H198/H444, "NA")</f>
        <v>0.82395385884699324</v>
      </c>
      <c r="J198" s="25"/>
      <c r="K198" s="23">
        <f>IFERROR(K172-K197, "NA")</f>
        <v>42406.599999999991</v>
      </c>
      <c r="L198" s="24">
        <f>IFERROR(K198/K444, "NA")</f>
        <v>0.4033508291231423</v>
      </c>
      <c r="M198" s="25"/>
      <c r="N198" s="23">
        <f>IFERROR(B198-K198, "NA")</f>
        <v>-289.01999999997497</v>
      </c>
      <c r="O198" s="24">
        <f>IFERROR(N198/N444, "NA")</f>
        <v>0.10306168296282685</v>
      </c>
      <c r="P198" s="25"/>
      <c r="Q198" s="23">
        <f>IFERROR(Q172-Q197, "NA")</f>
        <v>211069.87999999986</v>
      </c>
      <c r="R198" s="24">
        <f>IFERROR(Q198/Q444, "NA")</f>
        <v>0.41157035345542403</v>
      </c>
      <c r="S198" s="25"/>
      <c r="T198" s="23">
        <f>IFERROR(T172-T197, "NA")</f>
        <v>245716.58000000002</v>
      </c>
      <c r="U198" s="24">
        <f>IFERROR(T198/T444, "NA")</f>
        <v>0.44262381074718976</v>
      </c>
      <c r="V198" s="25"/>
      <c r="W198" s="23">
        <f>IFERROR(Q198-T198, "NA")</f>
        <v>-34646.700000000157</v>
      </c>
      <c r="X198" s="24">
        <f>IFERROR(W198/W444, "NA")</f>
        <v>0.81914760814488008</v>
      </c>
      <c r="Y198" s="25"/>
      <c r="Z198" s="23">
        <f>IFERROR(Z172-Z197, "NA")</f>
        <v>199645.43999999989</v>
      </c>
      <c r="AA198" s="24">
        <f>IFERROR(Z198/Z444, "NA")</f>
        <v>0.40232541947640055</v>
      </c>
      <c r="AB198" s="25"/>
      <c r="AC198" s="23">
        <f>IFERROR(Q198-Z198, "NA")</f>
        <v>11424.439999999973</v>
      </c>
      <c r="AD198" s="24">
        <f>IFERROR(AC198/AC444, "NA")</f>
        <v>0.68773910263857674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2706.19</v>
      </c>
      <c r="F201" s="8">
        <f>IFERROR(E201/E444, "NA")</f>
        <v>2.1999961791367043E-2</v>
      </c>
      <c r="G201" s="9"/>
      <c r="H201" s="10">
        <f t="shared" ref="H201:H209" si="52">IFERROR(-(B201-E201), "NA")</f>
        <v>2706.19</v>
      </c>
      <c r="I201" s="8">
        <f>IFERROR(H201/H444, "NA")</f>
        <v>-0.13087657937982583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12439.93</v>
      </c>
      <c r="U201" s="8">
        <f>IFERROR(T201/T444, "NA")</f>
        <v>2.2408781784396835E-2</v>
      </c>
      <c r="V201" s="9"/>
      <c r="W201" s="10">
        <f t="shared" ref="W201:W209" si="54">IFERROR(-(Q201-T201), "NA")</f>
        <v>12439.93</v>
      </c>
      <c r="X201" s="8">
        <f>IFERROR(W201/W444, "NA")</f>
        <v>-0.29411571390607744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1103.92</v>
      </c>
      <c r="C202" s="8">
        <f>IFERROR(B202/B444, "NA")</f>
        <v>1.0787692500730226E-2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-1103.92</v>
      </c>
      <c r="I202" s="8">
        <f>IFERROR(H202/H444, "NA")</f>
        <v>5.3387705042505271E-2</v>
      </c>
      <c r="J202" s="9"/>
      <c r="K202" s="7">
        <v>849.51</v>
      </c>
      <c r="L202" s="8">
        <f>IFERROR(K202/K444, "NA")</f>
        <v>8.0801234441903076E-3</v>
      </c>
      <c r="M202" s="9"/>
      <c r="N202" s="10">
        <f t="shared" si="53"/>
        <v>-254.41000000000008</v>
      </c>
      <c r="O202" s="8">
        <f>IFERROR(N202/N444, "NA")</f>
        <v>9.0720098133606861E-2</v>
      </c>
      <c r="P202" s="9"/>
      <c r="Q202" s="7">
        <v>4495.9799999999996</v>
      </c>
      <c r="R202" s="8">
        <f>IFERROR(Q202/Q444, "NA")</f>
        <v>8.7668220483591436E-3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-4495.9799999999996</v>
      </c>
      <c r="X202" s="8">
        <f>IFERROR(W202/W444, "NA")</f>
        <v>0.10629789455466757</v>
      </c>
      <c r="Y202" s="9"/>
      <c r="Z202" s="7">
        <v>4767.8900000000003</v>
      </c>
      <c r="AA202" s="8">
        <f>IFERROR(Z202/Z444, "NA")</f>
        <v>9.60825022733971E-3</v>
      </c>
      <c r="AB202" s="9"/>
      <c r="AC202" s="10">
        <f t="shared" si="55"/>
        <v>271.91000000000076</v>
      </c>
      <c r="AD202" s="8">
        <f>IFERROR(AC202/AC444, "NA")</f>
        <v>1.6368691979515529E-2</v>
      </c>
    </row>
    <row r="203" spans="1:30" ht="16.5" customHeight="1" x14ac:dyDescent="0.45">
      <c r="A203" s="6" t="s">
        <v>185</v>
      </c>
      <c r="B203" s="7">
        <v>1888.51</v>
      </c>
      <c r="C203" s="8">
        <f>IFERROR(B203/B444, "NA")</f>
        <v>1.8454838361977352E-2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-1888.51</v>
      </c>
      <c r="I203" s="8">
        <f>IFERROR(H203/H444, "NA")</f>
        <v>9.1331994030202937E-2</v>
      </c>
      <c r="J203" s="9"/>
      <c r="K203" s="7">
        <v>473.09</v>
      </c>
      <c r="L203" s="8">
        <f>IFERROR(K203/K444, "NA")</f>
        <v>4.4998005911784352E-3</v>
      </c>
      <c r="M203" s="9"/>
      <c r="N203" s="10">
        <f t="shared" si="53"/>
        <v>-1415.42</v>
      </c>
      <c r="O203" s="8">
        <f>IFERROR(N203/N444, "NA")</f>
        <v>0.50472481938709091</v>
      </c>
      <c r="P203" s="9"/>
      <c r="Q203" s="7">
        <v>5597</v>
      </c>
      <c r="R203" s="8">
        <f>IFERROR(Q203/Q444, "NA")</f>
        <v>1.091372804253269E-2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-5597</v>
      </c>
      <c r="X203" s="8">
        <f>IFERROR(W203/W444, "NA")</f>
        <v>0.13232917313299314</v>
      </c>
      <c r="Y203" s="9"/>
      <c r="Z203" s="7">
        <v>3448.09</v>
      </c>
      <c r="AA203" s="8">
        <f>IFERROR(Z203/Z444, "NA")</f>
        <v>6.9485897380996168E-3</v>
      </c>
      <c r="AB203" s="9"/>
      <c r="AC203" s="10">
        <f t="shared" si="55"/>
        <v>-2148.91</v>
      </c>
      <c r="AD203" s="8">
        <f>IFERROR(AC203/AC444, "NA")</f>
        <v>-0.12936208996248982</v>
      </c>
    </row>
    <row r="204" spans="1:30" ht="16.5" customHeight="1" x14ac:dyDescent="0.45">
      <c r="A204" s="6" t="s">
        <v>186</v>
      </c>
      <c r="B204" s="7">
        <v>408.85</v>
      </c>
      <c r="C204" s="8">
        <f>IFERROR(B204/B444, "NA")</f>
        <v>3.9953511838933557E-3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-408.85</v>
      </c>
      <c r="I204" s="8">
        <f>IFERROR(H204/H444, "NA")</f>
        <v>1.9772776294141134E-2</v>
      </c>
      <c r="J204" s="9"/>
      <c r="K204" s="7">
        <v>369.97</v>
      </c>
      <c r="L204" s="8">
        <f>IFERROR(K204/K444, "NA")</f>
        <v>3.5189736090771011E-3</v>
      </c>
      <c r="M204" s="9"/>
      <c r="N204" s="10">
        <f t="shared" si="53"/>
        <v>-38.879999999999995</v>
      </c>
      <c r="O204" s="8">
        <f>IFERROR(N204/N444, "NA")</f>
        <v>1.3864224737371304E-2</v>
      </c>
      <c r="P204" s="9"/>
      <c r="Q204" s="7">
        <v>1248.32</v>
      </c>
      <c r="R204" s="8">
        <f>IFERROR(Q204/Q444, "NA")</f>
        <v>2.434129889236092E-3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-1248.32</v>
      </c>
      <c r="X204" s="8">
        <f>IFERROR(W204/W444, "NA")</f>
        <v>2.9513874112091831E-2</v>
      </c>
      <c r="Y204" s="9"/>
      <c r="Z204" s="7">
        <v>1512.62</v>
      </c>
      <c r="AA204" s="8">
        <f>IFERROR(Z204/Z444, "NA")</f>
        <v>3.0482312844630623E-3</v>
      </c>
      <c r="AB204" s="9"/>
      <c r="AC204" s="10">
        <f t="shared" si="55"/>
        <v>264.29999999999995</v>
      </c>
      <c r="AD204" s="8">
        <f>IFERROR(AC204/AC444, "NA")</f>
        <v>1.5910578096377262E-2</v>
      </c>
    </row>
    <row r="205" spans="1:30" ht="16.5" customHeight="1" x14ac:dyDescent="0.45">
      <c r="A205" s="6" t="s">
        <v>187</v>
      </c>
      <c r="B205" s="7">
        <v>432.05</v>
      </c>
      <c r="C205" s="8">
        <f>IFERROR(B205/B444, "NA")</f>
        <v>4.2220654983517779E-3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-432.05</v>
      </c>
      <c r="I205" s="8">
        <f>IFERROR(H205/H444, "NA")</f>
        <v>2.0894773139008626E-2</v>
      </c>
      <c r="J205" s="9"/>
      <c r="K205" s="7">
        <v>490.5</v>
      </c>
      <c r="L205" s="8">
        <f>IFERROR(K205/K444, "NA")</f>
        <v>4.6653959922488795E-3</v>
      </c>
      <c r="M205" s="9"/>
      <c r="N205" s="10">
        <f t="shared" si="53"/>
        <v>58.449999999999989</v>
      </c>
      <c r="O205" s="8">
        <f>IFERROR(N205/N444, "NA")</f>
        <v>-2.0842693824571826E-2</v>
      </c>
      <c r="P205" s="9"/>
      <c r="Q205" s="7">
        <v>2239.67</v>
      </c>
      <c r="R205" s="8">
        <f>IFERROR(Q205/Q444, "NA")</f>
        <v>4.3671876514238331E-3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-2239.67</v>
      </c>
      <c r="X205" s="8">
        <f>IFERROR(W205/W444, "NA")</f>
        <v>5.2952238554720518E-2</v>
      </c>
      <c r="Y205" s="9"/>
      <c r="Z205" s="7">
        <v>2780.81</v>
      </c>
      <c r="AA205" s="8">
        <f>IFERROR(Z205/Z444, "NA")</f>
        <v>5.603887320111944E-3</v>
      </c>
      <c r="AB205" s="9"/>
      <c r="AC205" s="10">
        <f t="shared" si="55"/>
        <v>541.13999999999987</v>
      </c>
      <c r="AD205" s="8">
        <f>IFERROR(AC205/AC444, "NA")</f>
        <v>3.2576050817531559E-2</v>
      </c>
    </row>
    <row r="206" spans="1:30" ht="16.5" customHeight="1" x14ac:dyDescent="0.45">
      <c r="A206" s="6" t="s">
        <v>188</v>
      </c>
      <c r="B206" s="7">
        <v>241.11</v>
      </c>
      <c r="C206" s="8">
        <f>IFERROR(B206/B444, "NA")</f>
        <v>2.3561676016840578E-3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-241.11</v>
      </c>
      <c r="I206" s="8">
        <f>IFERROR(H206/H444, "NA")</f>
        <v>1.166054565801729E-2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-241.11</v>
      </c>
      <c r="O206" s="8">
        <f>IFERROR(N206/N444, "NA")</f>
        <v>8.5977449239392892E-2</v>
      </c>
      <c r="P206" s="9"/>
      <c r="Q206" s="7">
        <v>490.44</v>
      </c>
      <c r="R206" s="8">
        <f>IFERROR(Q206/Q444, "NA")</f>
        <v>9.5632102576018098E-4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-490.44</v>
      </c>
      <c r="X206" s="8">
        <f>IFERROR(W206/W444, "NA")</f>
        <v>1.1595411769045052E-2</v>
      </c>
      <c r="Y206" s="9"/>
      <c r="Z206" s="7">
        <v>372.82</v>
      </c>
      <c r="AA206" s="8">
        <f>IFERROR(Z206/Z444, "NA")</f>
        <v>7.5130673101870854E-4</v>
      </c>
      <c r="AB206" s="9"/>
      <c r="AC206" s="10">
        <f t="shared" si="55"/>
        <v>-117.62</v>
      </c>
      <c r="AD206" s="8">
        <f>IFERROR(AC206/AC444, "NA")</f>
        <v>-7.0805985459549518E-3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0</v>
      </c>
      <c r="I207" s="8">
        <f>IFERROR(H207/H444, "NA")</f>
        <v>0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0</v>
      </c>
      <c r="O207" s="8">
        <f>IFERROR(N207/N444, "NA")</f>
        <v>0</v>
      </c>
      <c r="P207" s="9"/>
      <c r="Q207" s="7">
        <v>588.25</v>
      </c>
      <c r="R207" s="8">
        <f>IFERROR(Q207/Q444, "NA")</f>
        <v>1.1470431518706191E-3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-588.25</v>
      </c>
      <c r="X207" s="8">
        <f>IFERROR(W207/W444, "NA")</f>
        <v>1.3907921403516743E-2</v>
      </c>
      <c r="Y207" s="9"/>
      <c r="Z207" s="7">
        <v>308.3</v>
      </c>
      <c r="AA207" s="8">
        <f>IFERROR(Z207/Z444, "NA")</f>
        <v>6.2128605003236917E-4</v>
      </c>
      <c r="AB207" s="9"/>
      <c r="AC207" s="10">
        <f t="shared" si="55"/>
        <v>-279.95</v>
      </c>
      <c r="AD207" s="8">
        <f>IFERROR(AC207/AC444, "NA")</f>
        <v>-1.6852691404013676E-2</v>
      </c>
    </row>
    <row r="208" spans="1:30" ht="16.5" customHeight="1" x14ac:dyDescent="0.45">
      <c r="A208" s="6" t="s">
        <v>190</v>
      </c>
      <c r="B208" s="7">
        <v>97.91</v>
      </c>
      <c r="C208" s="8">
        <f>IFERROR(B208/B444, "NA")</f>
        <v>9.567930400269009E-4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-97.91</v>
      </c>
      <c r="I208" s="8">
        <f>IFERROR(H208/H444, "NA")</f>
        <v>4.7351168569386287E-3</v>
      </c>
      <c r="J208" s="9"/>
      <c r="K208" s="7">
        <v>252.26</v>
      </c>
      <c r="L208" s="8">
        <f>IFERROR(K208/K444, "NA")</f>
        <v>2.3993736860442451E-3</v>
      </c>
      <c r="M208" s="9"/>
      <c r="N208" s="10">
        <f t="shared" si="53"/>
        <v>154.35</v>
      </c>
      <c r="O208" s="8">
        <f>IFERROR(N208/N444, "NA")</f>
        <v>-5.5039688482851359E-2</v>
      </c>
      <c r="P208" s="9"/>
      <c r="Q208" s="7">
        <v>1041.82</v>
      </c>
      <c r="R208" s="8">
        <f>IFERROR(Q208/Q444, "NA")</f>
        <v>2.0314704572577109E-3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-1041.82</v>
      </c>
      <c r="X208" s="8">
        <f>IFERROR(W208/W444, "NA")</f>
        <v>2.4631620359731089E-2</v>
      </c>
      <c r="Y208" s="9"/>
      <c r="Z208" s="7">
        <v>406.19</v>
      </c>
      <c r="AA208" s="8">
        <f>IFERROR(Z208/Z444, "NA")</f>
        <v>8.1855394311595206E-4</v>
      </c>
      <c r="AB208" s="9"/>
      <c r="AC208" s="10">
        <f t="shared" si="55"/>
        <v>-635.62999999999988</v>
      </c>
      <c r="AD208" s="8">
        <f>IFERROR(AC208/AC444, "NA")</f>
        <v>-3.8264248034053268E-2</v>
      </c>
    </row>
    <row r="209" spans="1:30" ht="16.5" customHeight="1" x14ac:dyDescent="0.45">
      <c r="A209" s="19" t="s">
        <v>191</v>
      </c>
      <c r="B209" s="14">
        <f>IFERROR(B201+B202+B203+B204+B205+B206+B207+B208, "NA")</f>
        <v>4172.3500000000004</v>
      </c>
      <c r="C209" s="15">
        <f>IFERROR(B209/B444, "NA")</f>
        <v>4.0772908186663674E-2</v>
      </c>
      <c r="D209" s="2"/>
      <c r="E209" s="14">
        <f>IFERROR(E201+E202+E203+E204+E205+E206+E207+E208, "NA")</f>
        <v>2706.19</v>
      </c>
      <c r="F209" s="15">
        <f>IFERROR(E209/E444, "NA")</f>
        <v>2.1999961791367043E-2</v>
      </c>
      <c r="G209" s="2"/>
      <c r="H209" s="14">
        <f t="shared" si="52"/>
        <v>-1466.1600000000003</v>
      </c>
      <c r="I209" s="15">
        <f>IFERROR(H209/H444, "NA")</f>
        <v>7.0906331640988057E-2</v>
      </c>
      <c r="J209" s="2"/>
      <c r="K209" s="14">
        <f>IFERROR(K201+K202+K203+K204+K205+K206+K207+K208, "NA")</f>
        <v>2435.33</v>
      </c>
      <c r="L209" s="15">
        <f>IFERROR(K209/K444, "NA")</f>
        <v>2.3163667322738966E-2</v>
      </c>
      <c r="M209" s="2"/>
      <c r="N209" s="14">
        <f t="shared" si="53"/>
        <v>-1737.0200000000004</v>
      </c>
      <c r="O209" s="15">
        <f>IFERROR(N209/N444, "NA")</f>
        <v>0.61940420919003891</v>
      </c>
      <c r="P209" s="2"/>
      <c r="Q209" s="14">
        <f>IFERROR(Q201+Q202+Q203+Q204+Q205+Q206+Q207+Q208, "NA")</f>
        <v>15701.48</v>
      </c>
      <c r="R209" s="15">
        <f>IFERROR(Q209/Q444, "NA")</f>
        <v>3.0616702266440272E-2</v>
      </c>
      <c r="S209" s="2"/>
      <c r="T209" s="14">
        <f>IFERROR(T201+T202+T203+T204+T205+T206+T207+T208, "NA")</f>
        <v>12439.93</v>
      </c>
      <c r="U209" s="15">
        <f>IFERROR(T209/T444, "NA")</f>
        <v>2.2408781784396835E-2</v>
      </c>
      <c r="V209" s="2"/>
      <c r="W209" s="14">
        <f t="shared" si="54"/>
        <v>-3261.5499999999993</v>
      </c>
      <c r="X209" s="15">
        <f>IFERROR(W209/W444, "NA")</f>
        <v>7.7112419980688518E-2</v>
      </c>
      <c r="Y209" s="2"/>
      <c r="Z209" s="14">
        <f>IFERROR(Z201+Z202+Z203+Z204+Z205+Z206+Z207+Z208, "NA")</f>
        <v>13596.719999999998</v>
      </c>
      <c r="AA209" s="15">
        <f>IFERROR(Z209/Z444, "NA")</f>
        <v>2.7400105294181357E-2</v>
      </c>
      <c r="AB209" s="2"/>
      <c r="AC209" s="14">
        <f t="shared" si="55"/>
        <v>-2104.760000000002</v>
      </c>
      <c r="AD209" s="15">
        <f>IFERROR(AC209/AC444, "NA")</f>
        <v>-0.12670430705308755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3954.95</v>
      </c>
      <c r="F213" s="8">
        <f>IFERROR(E213/E444, "NA")</f>
        <v>3.2151751682907362E-2</v>
      </c>
      <c r="G213" s="9"/>
      <c r="H213" s="10">
        <f t="shared" ref="H213:H227" si="56">IFERROR(-(B213-E213), "NA")</f>
        <v>3954.95</v>
      </c>
      <c r="I213" s="8">
        <f>IFERROR(H213/H444, "NA")</f>
        <v>-0.19126902679347799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18666.93</v>
      </c>
      <c r="U213" s="8">
        <f>IFERROR(T213/T444, "NA")</f>
        <v>3.3625845238245779E-2</v>
      </c>
      <c r="V213" s="9"/>
      <c r="W213" s="10">
        <f t="shared" ref="W213:W227" si="58">IFERROR(-(Q213-T213), "NA")</f>
        <v>18666.93</v>
      </c>
      <c r="X213" s="8">
        <f>IFERROR(W213/W444, "NA")</f>
        <v>-0.44133989848695077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1541.14</v>
      </c>
      <c r="C214" s="8">
        <f>IFERROR(B214/B444, "NA")</f>
        <v>1.5060280111398816E-2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-1541.14</v>
      </c>
      <c r="I214" s="8">
        <f>IFERROR(H214/H444, "NA")</f>
        <v>7.453250937496067E-2</v>
      </c>
      <c r="J214" s="9"/>
      <c r="K214" s="7">
        <v>400</v>
      </c>
      <c r="L214" s="8">
        <f>IFERROR(K214/K444, "NA")</f>
        <v>3.8046042750245705E-3</v>
      </c>
      <c r="M214" s="9"/>
      <c r="N214" s="10">
        <f t="shared" si="57"/>
        <v>-1141.1400000000001</v>
      </c>
      <c r="O214" s="8">
        <f>IFERROR(N214/N444, "NA")</f>
        <v>0.40691927512355691</v>
      </c>
      <c r="P214" s="9"/>
      <c r="Q214" s="7">
        <v>7623.61</v>
      </c>
      <c r="R214" s="8">
        <f>IFERROR(Q214/Q444, "NA")</f>
        <v>1.4865464756536117E-2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-7623.61</v>
      </c>
      <c r="X214" s="8">
        <f>IFERROR(W214/W444, "NA")</f>
        <v>0.18024406067329243</v>
      </c>
      <c r="Y214" s="9"/>
      <c r="Z214" s="7">
        <v>1991</v>
      </c>
      <c r="AA214" s="8">
        <f>IFERROR(Z214/Z444, "NA")</f>
        <v>4.0122624898295397E-3</v>
      </c>
      <c r="AB214" s="9"/>
      <c r="AC214" s="10">
        <f t="shared" si="59"/>
        <v>-5632.61</v>
      </c>
      <c r="AD214" s="8">
        <f>IFERROR(AC214/AC444, "NA")</f>
        <v>-0.33907711423168951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IFERROR(B215/B444, "NA")</f>
        <v>0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0</v>
      </c>
      <c r="I215" s="8">
        <f>IFERROR(H215/H444, "NA")</f>
        <v>0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0</v>
      </c>
      <c r="O215" s="8">
        <f>IFERROR(N215/N444, "NA")</f>
        <v>0</v>
      </c>
      <c r="P215" s="9"/>
      <c r="Q215" s="7">
        <v>0</v>
      </c>
      <c r="R215" s="8">
        <f>IFERROR(Q215/Q444, "NA")</f>
        <v>0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0</v>
      </c>
      <c r="X215" s="8">
        <f>IFERROR(W215/W444, "NA")</f>
        <v>0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0</v>
      </c>
      <c r="AD215" s="8">
        <f>IFERROR(AC215/AC444, "NA")</f>
        <v>0</v>
      </c>
    </row>
    <row r="216" spans="1:30" ht="16.5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0</v>
      </c>
      <c r="O216" s="8">
        <f>IFERROR(N216/N444, "NA")</f>
        <v>0</v>
      </c>
      <c r="P216" s="9"/>
      <c r="Q216" s="7">
        <v>61.09</v>
      </c>
      <c r="R216" s="8">
        <f>IFERROR(Q216/Q444, "NA")</f>
        <v>1.1912089442885869E-4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-61.09</v>
      </c>
      <c r="X216" s="8">
        <f>IFERROR(W216/W444, "NA")</f>
        <v>1.4443432529381009E-3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-61.09</v>
      </c>
      <c r="AD216" s="8">
        <f>IFERROR(AC216/AC444, "NA")</f>
        <v>-3.6775528411187555E-3</v>
      </c>
    </row>
    <row r="217" spans="1:30" ht="16.5" customHeight="1" x14ac:dyDescent="0.45">
      <c r="A217" s="12" t="s">
        <v>197</v>
      </c>
      <c r="B217" s="7">
        <v>1751.03</v>
      </c>
      <c r="C217" s="8">
        <f>IFERROR(B217/B444, "NA")</f>
        <v>1.7111360605436669E-2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-1751.03</v>
      </c>
      <c r="I217" s="8">
        <f>IFERROR(H217/H444, "NA")</f>
        <v>8.4683195485703674E-2</v>
      </c>
      <c r="J217" s="9"/>
      <c r="K217" s="7">
        <v>272</v>
      </c>
      <c r="L217" s="8">
        <f>IFERROR(K217/K444, "NA")</f>
        <v>2.5871309070167078E-3</v>
      </c>
      <c r="M217" s="9"/>
      <c r="N217" s="10">
        <f t="shared" si="57"/>
        <v>-1479.03</v>
      </c>
      <c r="O217" s="8">
        <f>IFERROR(N217/N444, "NA")</f>
        <v>0.52740751834656074</v>
      </c>
      <c r="P217" s="9"/>
      <c r="Q217" s="7">
        <v>12369.97</v>
      </c>
      <c r="R217" s="8">
        <f>IFERROR(Q217/Q444, "NA")</f>
        <v>2.4120508928763284E-2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-12369.97</v>
      </c>
      <c r="X217" s="8">
        <f>IFERROR(W217/W444, "NA")</f>
        <v>0.29246165834910326</v>
      </c>
      <c r="Y217" s="9"/>
      <c r="Z217" s="7">
        <v>1509.94</v>
      </c>
      <c r="AA217" s="8">
        <f>IFERROR(Z217/Z444, "NA")</f>
        <v>3.0428305494189928E-3</v>
      </c>
      <c r="AB217" s="9"/>
      <c r="AC217" s="10">
        <f t="shared" si="59"/>
        <v>-10860.029999999999</v>
      </c>
      <c r="AD217" s="8">
        <f>IFERROR(AC217/AC444, "NA")</f>
        <v>-0.6537622226409382</v>
      </c>
    </row>
    <row r="218" spans="1:30" ht="16.5" customHeight="1" x14ac:dyDescent="0.45">
      <c r="A218" s="13" t="s">
        <v>198</v>
      </c>
      <c r="B218" s="14">
        <f>IFERROR(B213+B214+B215+B216+B217, "NA")</f>
        <v>3292.17</v>
      </c>
      <c r="C218" s="15">
        <f>IFERROR(B218/B444, "NA")</f>
        <v>3.2171640716835488E-2</v>
      </c>
      <c r="D218" s="2"/>
      <c r="E218" s="14">
        <f>IFERROR(E213+E214+E215+E216+E217, "NA")</f>
        <v>3954.95</v>
      </c>
      <c r="F218" s="15">
        <f>IFERROR(E218/E444, "NA")</f>
        <v>3.2151751682907362E-2</v>
      </c>
      <c r="G218" s="2"/>
      <c r="H218" s="14">
        <f t="shared" si="56"/>
        <v>662.77999999999975</v>
      </c>
      <c r="I218" s="15">
        <f>IFERROR(H218/H444, "NA")</f>
        <v>-3.2053321932813635E-2</v>
      </c>
      <c r="J218" s="2"/>
      <c r="K218" s="14">
        <f>IFERROR(K213+K214+K215+K216+K217, "NA")</f>
        <v>672</v>
      </c>
      <c r="L218" s="15">
        <f>IFERROR(K218/K444, "NA")</f>
        <v>6.3917351820412787E-3</v>
      </c>
      <c r="M218" s="2"/>
      <c r="N218" s="14">
        <f t="shared" si="57"/>
        <v>-2620.17</v>
      </c>
      <c r="O218" s="15">
        <f>IFERROR(N218/N444, "NA")</f>
        <v>0.9343267934701176</v>
      </c>
      <c r="P218" s="2"/>
      <c r="Q218" s="14">
        <f>IFERROR(Q213+Q214+Q215+Q216+Q217, "NA")</f>
        <v>20054.669999999998</v>
      </c>
      <c r="R218" s="15">
        <f>IFERROR(Q218/Q444, "NA")</f>
        <v>3.9105094579728258E-2</v>
      </c>
      <c r="S218" s="2"/>
      <c r="T218" s="14">
        <f>IFERROR(T213+T214+T215+T216+T217, "NA")</f>
        <v>18666.93</v>
      </c>
      <c r="U218" s="15">
        <f>IFERROR(T218/T444, "NA")</f>
        <v>3.3625845238245779E-2</v>
      </c>
      <c r="V218" s="2"/>
      <c r="W218" s="14">
        <f t="shared" si="58"/>
        <v>-1387.739999999998</v>
      </c>
      <c r="X218" s="15">
        <f>IFERROR(W218/W444, "NA")</f>
        <v>3.2810163788382994E-2</v>
      </c>
      <c r="Y218" s="2"/>
      <c r="Z218" s="14">
        <f>IFERROR(Z213+Z214+Z215+Z216+Z217, "NA")</f>
        <v>3500.94</v>
      </c>
      <c r="AA218" s="15">
        <f>IFERROR(Z218/Z444, "NA")</f>
        <v>7.0550930392485325E-3</v>
      </c>
      <c r="AB218" s="2"/>
      <c r="AC218" s="14">
        <f t="shared" si="59"/>
        <v>-16553.73</v>
      </c>
      <c r="AD218" s="15">
        <f>IFERROR(AC218/AC444, "NA")</f>
        <v>-0.99651688971374652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253.07</v>
      </c>
      <c r="C222" s="8">
        <f>IFERROR(B222/B444, "NA")</f>
        <v>2.4730427396548646E-3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-253.07</v>
      </c>
      <c r="I222" s="8">
        <f>IFERROR(H222/H444, "NA")</f>
        <v>1.2238954376319668E-2</v>
      </c>
      <c r="J222" s="9"/>
      <c r="K222" s="7">
        <v>62.5</v>
      </c>
      <c r="L222" s="8">
        <f>IFERROR(K222/K444, "NA")</f>
        <v>5.9446941797258919E-4</v>
      </c>
      <c r="M222" s="9"/>
      <c r="N222" s="10">
        <f t="shared" si="57"/>
        <v>-190.57</v>
      </c>
      <c r="O222" s="8">
        <f>IFERROR(N222/N444, "NA")</f>
        <v>6.7955383441379871E-2</v>
      </c>
      <c r="P222" s="9"/>
      <c r="Q222" s="7">
        <v>946.52</v>
      </c>
      <c r="R222" s="8">
        <f>IFERROR(Q222/Q444, "NA")</f>
        <v>1.8456426419185355E-3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-946.52</v>
      </c>
      <c r="X222" s="8">
        <f>IFERROR(W222/W444, "NA")</f>
        <v>2.2378454342297776E-2</v>
      </c>
      <c r="Y222" s="9"/>
      <c r="Z222" s="7">
        <v>375</v>
      </c>
      <c r="AA222" s="8">
        <f>IFERROR(Z222/Z444, "NA")</f>
        <v>7.5569986624112373E-4</v>
      </c>
      <c r="AB222" s="9"/>
      <c r="AC222" s="10">
        <f t="shared" si="59"/>
        <v>-571.52</v>
      </c>
      <c r="AD222" s="8">
        <f>IFERROR(AC222/AC444, "NA")</f>
        <v>-3.4404894414080719E-2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123.01</v>
      </c>
      <c r="F226" s="8">
        <f>IFERROR(E226/E444, "NA")</f>
        <v>1.0000093489208296E-3</v>
      </c>
      <c r="G226" s="9"/>
      <c r="H226" s="10">
        <f t="shared" si="56"/>
        <v>123.01</v>
      </c>
      <c r="I226" s="8">
        <f>IFERROR(H226/H444, "NA")</f>
        <v>-5.9490013744461319E-3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555.13</v>
      </c>
      <c r="U226" s="8">
        <f>IFERROR(T226/T444, "NA")</f>
        <v>9.9998850732859563E-4</v>
      </c>
      <c r="V226" s="9"/>
      <c r="W226" s="10">
        <f t="shared" si="58"/>
        <v>555.13</v>
      </c>
      <c r="X226" s="8">
        <f>IFERROR(W226/W444, "NA")</f>
        <v>-1.3124869373113896E-2</v>
      </c>
      <c r="Y226" s="9"/>
      <c r="Z226" s="7">
        <v>1554.17</v>
      </c>
      <c r="AA226" s="8">
        <f>IFERROR(Z226/Z444, "NA")</f>
        <v>3.1319628296425793E-3</v>
      </c>
      <c r="AB226" s="9"/>
      <c r="AC226" s="10">
        <f t="shared" si="59"/>
        <v>1554.17</v>
      </c>
      <c r="AD226" s="8">
        <f>IFERROR(AC226/AC444, "NA")</f>
        <v>9.3559376314970313E-2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3545.2400000000002</v>
      </c>
      <c r="C227" s="15">
        <f>IFERROR(B227/B444, "NA")</f>
        <v>3.4644683456490355E-2</v>
      </c>
      <c r="D227" s="2"/>
      <c r="E227" s="14">
        <f>IFERROR(E211+E213+E214+E215+E216+E217+E219+E220+E221+E222+E223+E224+E225+E226, "NA")</f>
        <v>4077.96</v>
      </c>
      <c r="F227" s="15">
        <f>IFERROR(E227/E444, "NA")</f>
        <v>3.3151761031828195E-2</v>
      </c>
      <c r="G227" s="2"/>
      <c r="H227" s="14">
        <f t="shared" si="56"/>
        <v>532.7199999999998</v>
      </c>
      <c r="I227" s="15">
        <f>IFERROR(H227/H444, "NA")</f>
        <v>-2.5763368930940101E-2</v>
      </c>
      <c r="J227" s="2"/>
      <c r="K227" s="14">
        <f>IFERROR(K211+K213+K214+K215+K216+K217+K219+K220+K221+K222+K223+K224+K225+K226, "NA")</f>
        <v>734.5</v>
      </c>
      <c r="L227" s="15">
        <f>IFERROR(K227/K444, "NA")</f>
        <v>6.9862046000138678E-3</v>
      </c>
      <c r="M227" s="2"/>
      <c r="N227" s="14">
        <f t="shared" si="57"/>
        <v>-2810.7400000000002</v>
      </c>
      <c r="O227" s="15">
        <f>IFERROR(N227/N444, "NA")</f>
        <v>1.0022821769114976</v>
      </c>
      <c r="P227" s="2"/>
      <c r="Q227" s="14">
        <f>IFERROR(Q211+Q213+Q214+Q215+Q216+Q217+Q219+Q220+Q221+Q222+Q223+Q224+Q225+Q226, "NA")</f>
        <v>21001.19</v>
      </c>
      <c r="R227" s="15">
        <f>IFERROR(Q227/Q444, "NA")</f>
        <v>4.0950737221646792E-2</v>
      </c>
      <c r="S227" s="2"/>
      <c r="T227" s="14">
        <f>IFERROR(T211+T213+T214+T215+T216+T217+T219+T220+T221+T222+T223+T224+T225+T226, "NA")</f>
        <v>19222.060000000001</v>
      </c>
      <c r="U227" s="15">
        <f>IFERROR(T227/T444, "NA")</f>
        <v>3.4625833745574375E-2</v>
      </c>
      <c r="V227" s="2"/>
      <c r="W227" s="14">
        <f t="shared" si="58"/>
        <v>-1779.1299999999974</v>
      </c>
      <c r="X227" s="15">
        <f>IFERROR(W227/W444, "NA")</f>
        <v>4.2063748757566861E-2</v>
      </c>
      <c r="Y227" s="2"/>
      <c r="Z227" s="14">
        <f>IFERROR(Z211+Z213+Z214+Z215+Z216+Z217+Z219+Z220+Z221+Z222+Z223+Z224+Z225+Z226, "NA")</f>
        <v>5430.1100000000006</v>
      </c>
      <c r="AA227" s="15">
        <f>IFERROR(Z227/Z444, "NA")</f>
        <v>1.0942755735132237E-2</v>
      </c>
      <c r="AB227" s="2"/>
      <c r="AC227" s="14">
        <f t="shared" si="59"/>
        <v>-15571.079999999998</v>
      </c>
      <c r="AD227" s="15">
        <f>IFERROR(AC227/AC444, "NA")</f>
        <v>-0.93736240781285685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1007.44</v>
      </c>
      <c r="F229" s="8">
        <f>IFERROR(E229/E444, "NA")</f>
        <v>8.1899798266547481E-3</v>
      </c>
      <c r="G229" s="9"/>
      <c r="H229" s="10">
        <f t="shared" ref="H229:H236" si="60">IFERROR(-(B229-E229), "NA")</f>
        <v>1007.44</v>
      </c>
      <c r="I229" s="8">
        <f>IFERROR(H229/H444, "NA")</f>
        <v>-4.8721745749711491E-2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4546.57</v>
      </c>
      <c r="U229" s="8">
        <f>IFERROR(T229/T444, "NA")</f>
        <v>8.1900054901824296E-3</v>
      </c>
      <c r="V229" s="9"/>
      <c r="W229" s="10">
        <f t="shared" ref="W229:W236" si="62">IFERROR(-(Q229-T229), "NA")</f>
        <v>4546.57</v>
      </c>
      <c r="X229" s="8">
        <f>IFERROR(W229/W444, "NA")</f>
        <v>-0.10749398761680767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83.95</v>
      </c>
      <c r="R230" s="8">
        <f>IFERROR(Q230/Q444, "NA")</f>
        <v>1.6369617101494004E-4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-83.95</v>
      </c>
      <c r="X230" s="8">
        <f>IFERROR(W230/W444, "NA")</f>
        <v>1.9848193826183264E-3</v>
      </c>
      <c r="Y230" s="9"/>
      <c r="Z230" s="7">
        <v>730</v>
      </c>
      <c r="AA230" s="8">
        <f>IFERROR(Z230/Z444, "NA")</f>
        <v>1.4710957396160541E-3</v>
      </c>
      <c r="AB230" s="9"/>
      <c r="AC230" s="10">
        <f t="shared" si="63"/>
        <v>646.04999999999995</v>
      </c>
      <c r="AD230" s="8">
        <f>IFERROR(AC230/AC444, "NA")</f>
        <v>3.8891520920032278E-2</v>
      </c>
    </row>
    <row r="231" spans="1:30" ht="16.5" customHeight="1" x14ac:dyDescent="0.45">
      <c r="A231" s="6" t="s">
        <v>210</v>
      </c>
      <c r="B231" s="7">
        <v>126</v>
      </c>
      <c r="C231" s="8">
        <f>IFERROR(B231/B444, "NA")</f>
        <v>1.2312932595586713E-3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-126</v>
      </c>
      <c r="I231" s="8">
        <f>IFERROR(H231/H444, "NA")</f>
        <v>6.0936035540217265E-3</v>
      </c>
      <c r="J231" s="9"/>
      <c r="K231" s="7">
        <v>262.37</v>
      </c>
      <c r="L231" s="8">
        <f>IFERROR(K231/K444, "NA")</f>
        <v>2.4955350590954916E-3</v>
      </c>
      <c r="M231" s="9"/>
      <c r="N231" s="10">
        <f t="shared" si="61"/>
        <v>136.37</v>
      </c>
      <c r="O231" s="8">
        <f>IFERROR(N231/N444, "NA")</f>
        <v>-4.862819772210198E-2</v>
      </c>
      <c r="P231" s="9"/>
      <c r="Q231" s="7">
        <v>734.05</v>
      </c>
      <c r="R231" s="8">
        <f>IFERROR(Q231/Q444, "NA")</f>
        <v>1.4313421600180671E-3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-734.05</v>
      </c>
      <c r="X231" s="8">
        <f>IFERROR(W231/W444, "NA")</f>
        <v>1.7355052624311883E-2</v>
      </c>
      <c r="Y231" s="9"/>
      <c r="Z231" s="7">
        <v>1398.02</v>
      </c>
      <c r="AA231" s="8">
        <f>IFERROR(Z231/Z444, "NA")</f>
        <v>2.8172894053397754E-3</v>
      </c>
      <c r="AB231" s="9"/>
      <c r="AC231" s="10">
        <f t="shared" si="63"/>
        <v>663.97</v>
      </c>
      <c r="AD231" s="8">
        <f>IFERROR(AC231/AC444, "NA")</f>
        <v>3.9970285806476019E-2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17</v>
      </c>
      <c r="AA233" s="8">
        <f>IFERROR(Z233/Z444, "NA")</f>
        <v>3.4258393936264275E-5</v>
      </c>
      <c r="AB233" s="9"/>
      <c r="AC233" s="10">
        <f t="shared" si="63"/>
        <v>17</v>
      </c>
      <c r="AD233" s="8">
        <f>IFERROR(AC233/AC444, "NA")</f>
        <v>1.0233818677200662E-3</v>
      </c>
    </row>
    <row r="234" spans="1:30" ht="16.5" customHeight="1" x14ac:dyDescent="0.45">
      <c r="A234" s="6" t="s">
        <v>213</v>
      </c>
      <c r="B234" s="7">
        <v>352.04</v>
      </c>
      <c r="C234" s="8">
        <f>IFERROR(B234/B444, "NA")</f>
        <v>3.4401942785320214E-3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-352.04</v>
      </c>
      <c r="I234" s="8">
        <f>IFERROR(H234/H444, "NA")</f>
        <v>1.702533488220483E-2</v>
      </c>
      <c r="J234" s="9"/>
      <c r="K234" s="7">
        <v>1016.95</v>
      </c>
      <c r="L234" s="8">
        <f>IFERROR(K234/K444, "NA")</f>
        <v>9.6727307937155924E-3</v>
      </c>
      <c r="M234" s="9"/>
      <c r="N234" s="10">
        <f t="shared" si="61"/>
        <v>664.91000000000008</v>
      </c>
      <c r="O234" s="8">
        <f>IFERROR(N234/N444, "NA")</f>
        <v>-0.23710035159787951</v>
      </c>
      <c r="P234" s="9"/>
      <c r="Q234" s="7">
        <v>3866.5</v>
      </c>
      <c r="R234" s="8">
        <f>IFERROR(Q234/Q444, "NA")</f>
        <v>7.5393835048155533E-3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-3866.5</v>
      </c>
      <c r="X234" s="8">
        <f>IFERROR(W234/W444, "NA")</f>
        <v>9.1415177401950681E-2</v>
      </c>
      <c r="Y234" s="9"/>
      <c r="Z234" s="7">
        <v>4343.08</v>
      </c>
      <c r="AA234" s="8">
        <f>IFERROR(Z234/Z444, "NA")</f>
        <v>8.7521732668653322E-3</v>
      </c>
      <c r="AB234" s="9"/>
      <c r="AC234" s="10">
        <f t="shared" si="63"/>
        <v>476.57999999999993</v>
      </c>
      <c r="AD234" s="8">
        <f>IFERROR(AC234/AC444, "NA")</f>
        <v>2.868960767753112E-2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478.04</v>
      </c>
      <c r="C236" s="15">
        <f>IFERROR(B236/B444, "NA")</f>
        <v>4.6714875380906929E-3</v>
      </c>
      <c r="D236" s="2"/>
      <c r="E236" s="14">
        <f>IFERROR(E229+E230+E231+E232+E233+E234+E235, "NA")</f>
        <v>1007.44</v>
      </c>
      <c r="F236" s="15">
        <f>IFERROR(E236/E444, "NA")</f>
        <v>8.1899798266547481E-3</v>
      </c>
      <c r="G236" s="2"/>
      <c r="H236" s="14">
        <f t="shared" si="60"/>
        <v>529.40000000000009</v>
      </c>
      <c r="I236" s="15">
        <f>IFERROR(H236/H444, "NA")</f>
        <v>-2.5602807313484941E-2</v>
      </c>
      <c r="J236" s="2"/>
      <c r="K236" s="14">
        <f>IFERROR(K229+K230+K231+K232+K233+K234+K235, "NA")</f>
        <v>1279.3200000000002</v>
      </c>
      <c r="L236" s="15">
        <f>IFERROR(K236/K444, "NA")</f>
        <v>1.2168265852811085E-2</v>
      </c>
      <c r="M236" s="2"/>
      <c r="N236" s="14">
        <f t="shared" si="61"/>
        <v>801.2800000000002</v>
      </c>
      <c r="O236" s="15">
        <f>IFERROR(N236/N444, "NA")</f>
        <v>-0.28572854931998154</v>
      </c>
      <c r="P236" s="2"/>
      <c r="Q236" s="14">
        <f>IFERROR(Q229+Q230+Q231+Q232+Q233+Q234+Q235, "NA")</f>
        <v>4684.5</v>
      </c>
      <c r="R236" s="15">
        <f>IFERROR(Q236/Q444, "NA")</f>
        <v>9.1344218358485607E-3</v>
      </c>
      <c r="S236" s="2"/>
      <c r="T236" s="14">
        <f>IFERROR(T229+T230+T231+T232+T233+T234+T235, "NA")</f>
        <v>4546.57</v>
      </c>
      <c r="U236" s="15">
        <f>IFERROR(T236/T444, "NA")</f>
        <v>8.1900054901824296E-3</v>
      </c>
      <c r="V236" s="2"/>
      <c r="W236" s="14">
        <f t="shared" si="62"/>
        <v>-137.93000000000029</v>
      </c>
      <c r="X236" s="15">
        <f>IFERROR(W236/W444, "NA")</f>
        <v>3.2610617920732143E-3</v>
      </c>
      <c r="Y236" s="2"/>
      <c r="Z236" s="14">
        <f>IFERROR(Z229+Z230+Z231+Z232+Z233+Z234+Z235, "NA")</f>
        <v>6488.1</v>
      </c>
      <c r="AA236" s="15">
        <f>IFERROR(Z236/Z444, "NA")</f>
        <v>1.3074816805757426E-2</v>
      </c>
      <c r="AB236" s="2"/>
      <c r="AC236" s="14">
        <f t="shared" si="63"/>
        <v>1803.6000000000004</v>
      </c>
      <c r="AD236" s="15">
        <f>IFERROR(AC236/AC444, "NA")</f>
        <v>0.1085747962717595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6157.33</v>
      </c>
      <c r="F240" s="8">
        <f>IFERROR(E240/E444, "NA")</f>
        <v>5.0055991906273405E-2</v>
      </c>
      <c r="G240" s="9"/>
      <c r="H240" s="10">
        <f t="shared" ref="H240:H263" si="64">IFERROR(-(B240-E240), "NA")</f>
        <v>6157.33</v>
      </c>
      <c r="I240" s="8">
        <f>IFERROR(H240/H444, "NA")</f>
        <v>-0.29778038072448093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27926</v>
      </c>
      <c r="U240" s="8">
        <f>IFERROR(T240/T444, "NA")</f>
        <v>5.0304755743084247E-2</v>
      </c>
      <c r="V240" s="9"/>
      <c r="W240" s="10">
        <f t="shared" ref="W240:W263" si="66">IFERROR(-(Q240-T240), "NA")</f>
        <v>27926</v>
      </c>
      <c r="X240" s="8">
        <f>IFERROR(W240/W444, "NA")</f>
        <v>-0.66025093602143403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customHeight="1" x14ac:dyDescent="0.45">
      <c r="A241" s="12" t="s">
        <v>218</v>
      </c>
      <c r="B241" s="7">
        <v>102.87</v>
      </c>
      <c r="C241" s="8">
        <f>IFERROR(B241/B444, "NA")</f>
        <v>1.0052629969111153E-3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-102.87</v>
      </c>
      <c r="I241" s="8">
        <f>IFERROR(H241/H444, "NA")</f>
        <v>4.9749920444620236E-3</v>
      </c>
      <c r="J241" s="9"/>
      <c r="K241" s="7">
        <v>123.44</v>
      </c>
      <c r="L241" s="8">
        <f>IFERROR(K241/K444, "NA")</f>
        <v>1.1741008792725824E-3</v>
      </c>
      <c r="M241" s="9"/>
      <c r="N241" s="10">
        <f t="shared" si="65"/>
        <v>20.569999999999993</v>
      </c>
      <c r="O241" s="8">
        <f>IFERROR(N241/N444, "NA")</f>
        <v>-7.3350592296226253E-3</v>
      </c>
      <c r="P241" s="9"/>
      <c r="Q241" s="7">
        <v>879.01</v>
      </c>
      <c r="R241" s="8">
        <f>IFERROR(Q241/Q444, "NA")</f>
        <v>1.7140032314930606E-3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-879.01</v>
      </c>
      <c r="X241" s="8">
        <f>IFERROR(W241/W444, "NA")</f>
        <v>2.0782323829843182E-2</v>
      </c>
      <c r="Y241" s="9"/>
      <c r="Z241" s="7">
        <v>470.89</v>
      </c>
      <c r="AA241" s="8">
        <f>IFERROR(Z241/Z444, "NA")</f>
        <v>9.4893736003808719E-4</v>
      </c>
      <c r="AB241" s="9"/>
      <c r="AC241" s="10">
        <f t="shared" si="67"/>
        <v>-408.12</v>
      </c>
      <c r="AD241" s="8">
        <f>IFERROR(AC241/AC444, "NA")</f>
        <v>-2.4568388697289025E-2</v>
      </c>
    </row>
    <row r="242" spans="1:30" ht="16.5" customHeight="1" x14ac:dyDescent="0.45">
      <c r="A242" s="12" t="s">
        <v>219</v>
      </c>
      <c r="B242" s="7">
        <v>856.45</v>
      </c>
      <c r="C242" s="8">
        <f>IFERROR(B242/B444, "NA")</f>
        <v>8.3693739059446364E-3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-856.45</v>
      </c>
      <c r="I242" s="8">
        <f>IFERROR(H242/H444, "NA")</f>
        <v>4.1419577490808789E-2</v>
      </c>
      <c r="J242" s="9"/>
      <c r="K242" s="7">
        <v>558.04</v>
      </c>
      <c r="L242" s="8">
        <f>IFERROR(K242/K444, "NA")</f>
        <v>5.3078034240867777E-3</v>
      </c>
      <c r="M242" s="9"/>
      <c r="N242" s="10">
        <f t="shared" si="65"/>
        <v>-298.41000000000008</v>
      </c>
      <c r="O242" s="8">
        <f>IFERROR(N242/N444, "NA")</f>
        <v>0.10641006440017933</v>
      </c>
      <c r="P242" s="9"/>
      <c r="Q242" s="7">
        <v>3663.8</v>
      </c>
      <c r="R242" s="8">
        <f>IFERROR(Q242/Q444, "NA")</f>
        <v>7.1441337863554178E-3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-3663.8</v>
      </c>
      <c r="X242" s="8">
        <f>IFERROR(W242/W444, "NA")</f>
        <v>8.6622766575783508E-2</v>
      </c>
      <c r="Y242" s="9"/>
      <c r="Z242" s="7">
        <v>3193.38</v>
      </c>
      <c r="AA242" s="8">
        <f>IFERROR(Z242/Z444, "NA")</f>
        <v>6.4352982369522121E-3</v>
      </c>
      <c r="AB242" s="9"/>
      <c r="AC242" s="10">
        <f t="shared" si="67"/>
        <v>-470.42000000000007</v>
      </c>
      <c r="AD242" s="8">
        <f>IFERROR(AC242/AC444, "NA")</f>
        <v>-2.8318782247816095E-2</v>
      </c>
    </row>
    <row r="243" spans="1:30" ht="16.5" customHeight="1" x14ac:dyDescent="0.45">
      <c r="A243" s="12" t="s">
        <v>220</v>
      </c>
      <c r="B243" s="7">
        <v>902.53</v>
      </c>
      <c r="C243" s="8">
        <f>IFERROR(B243/B444, "NA")</f>
        <v>8.8196754408689498E-3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-902.53</v>
      </c>
      <c r="I243" s="8">
        <f>IFERROR(H243/H444, "NA")</f>
        <v>4.3648095361993877E-2</v>
      </c>
      <c r="J243" s="9"/>
      <c r="K243" s="7">
        <v>1380.82</v>
      </c>
      <c r="L243" s="8">
        <f>IFERROR(K243/K444, "NA")</f>
        <v>1.3133684187598568E-2</v>
      </c>
      <c r="M243" s="9"/>
      <c r="N243" s="10">
        <f t="shared" si="65"/>
        <v>478.28999999999996</v>
      </c>
      <c r="O243" s="8">
        <f>IFERROR(N243/N444, "NA")</f>
        <v>-0.1705534992190669</v>
      </c>
      <c r="P243" s="9"/>
      <c r="Q243" s="7">
        <v>5730.82</v>
      </c>
      <c r="R243" s="8">
        <f>IFERROR(Q243/Q444, "NA")</f>
        <v>1.1174666953851562E-2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-5730.82</v>
      </c>
      <c r="X243" s="8">
        <f>IFERROR(W243/W444, "NA")</f>
        <v>0.1354930627075254</v>
      </c>
      <c r="Y243" s="9"/>
      <c r="Z243" s="7">
        <v>5268.45</v>
      </c>
      <c r="AA243" s="8">
        <f>IFERROR(Z243/Z444, "NA")</f>
        <v>1.0616978560794795E-2</v>
      </c>
      <c r="AB243" s="9"/>
      <c r="AC243" s="10">
        <f t="shared" si="67"/>
        <v>-462.36999999999989</v>
      </c>
      <c r="AD243" s="8">
        <f>IFERROR(AC243/AC444, "NA")</f>
        <v>-2.7834180833983934E-2</v>
      </c>
    </row>
    <row r="244" spans="1:30" ht="16.5" customHeight="1" x14ac:dyDescent="0.45">
      <c r="A244" s="12" t="s">
        <v>221</v>
      </c>
      <c r="B244" s="7">
        <v>1062.22</v>
      </c>
      <c r="C244" s="8">
        <f>IFERROR(B244/B444, "NA")</f>
        <v>1.0380193064828666E-2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-1062.22</v>
      </c>
      <c r="I244" s="8">
        <f>IFERROR(H244/H444, "NA")</f>
        <v>5.1371012437721887E-2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-1062.22</v>
      </c>
      <c r="O244" s="8">
        <f>IFERROR(N244/N444, "NA")</f>
        <v>0.37877718108360464</v>
      </c>
      <c r="P244" s="9"/>
      <c r="Q244" s="7">
        <v>3243.58</v>
      </c>
      <c r="R244" s="8">
        <f>IFERROR(Q244/Q444, "NA")</f>
        <v>6.324736466713987E-3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-3243.58</v>
      </c>
      <c r="X244" s="8">
        <f>IFERROR(W244/W444, "NA")</f>
        <v>7.6687557511294233E-2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-3243.58</v>
      </c>
      <c r="AD244" s="8">
        <f>IFERROR(AC244/AC444, "NA")</f>
        <v>-0.19526005638232072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206.05</v>
      </c>
      <c r="C246" s="8">
        <f>IFERROR(B246/B444, "NA")</f>
        <v>2.013555366127494E-3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-206.05</v>
      </c>
      <c r="I246" s="8">
        <f>IFERROR(H246/H444, "NA")</f>
        <v>9.9649762881442606E-3</v>
      </c>
      <c r="J246" s="9"/>
      <c r="K246" s="7">
        <v>0</v>
      </c>
      <c r="L246" s="8">
        <f>IFERROR(K246/K444, "NA")</f>
        <v>0</v>
      </c>
      <c r="M246" s="9"/>
      <c r="N246" s="10">
        <f t="shared" si="65"/>
        <v>-206.05</v>
      </c>
      <c r="O246" s="8">
        <f>IFERROR(N246/N444, "NA")</f>
        <v>7.3475398846074014E-2</v>
      </c>
      <c r="P246" s="9"/>
      <c r="Q246" s="7">
        <v>934.63</v>
      </c>
      <c r="R246" s="8">
        <f>IFERROR(Q246/Q444, "NA")</f>
        <v>1.8224580383048648E-3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-934.63</v>
      </c>
      <c r="X246" s="8">
        <f>IFERROR(W246/W444, "NA")</f>
        <v>2.2097340554813182E-2</v>
      </c>
      <c r="Y246" s="9"/>
      <c r="Z246" s="7">
        <v>0</v>
      </c>
      <c r="AA246" s="8">
        <f>IFERROR(Z246/Z444, "NA")</f>
        <v>0</v>
      </c>
      <c r="AB246" s="9"/>
      <c r="AC246" s="10">
        <f t="shared" si="67"/>
        <v>-934.63</v>
      </c>
      <c r="AD246" s="8">
        <f>IFERROR(AC246/AC444, "NA")</f>
        <v>-5.6263729119247381E-2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40.25</v>
      </c>
      <c r="L247" s="8">
        <f>IFERROR(K247/K444, "NA")</f>
        <v>3.8283830517434742E-4</v>
      </c>
      <c r="M247" s="9"/>
      <c r="N247" s="10">
        <f t="shared" si="65"/>
        <v>40.25</v>
      </c>
      <c r="O247" s="8">
        <f>IFERROR(N247/N444, "NA")</f>
        <v>-1.4352753232489584E-2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239.57</v>
      </c>
      <c r="AA247" s="8">
        <f>IFERROR(Z247/Z444, "NA")</f>
        <v>4.8278137854769601E-4</v>
      </c>
      <c r="AB247" s="9"/>
      <c r="AC247" s="10">
        <f t="shared" si="67"/>
        <v>239.57</v>
      </c>
      <c r="AD247" s="8">
        <f>IFERROR(AC247/AC444, "NA")</f>
        <v>1.4421858473511543E-2</v>
      </c>
    </row>
    <row r="248" spans="1:30" ht="16.5" customHeight="1" x14ac:dyDescent="0.45">
      <c r="A248" s="12" t="s">
        <v>225</v>
      </c>
      <c r="B248" s="7">
        <v>198.77</v>
      </c>
      <c r="C248" s="8">
        <f>IFERROR(B248/B444, "NA")</f>
        <v>1.9424139777974375E-3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-198.77</v>
      </c>
      <c r="I248" s="8">
        <f>IFERROR(H248/H444, "NA")</f>
        <v>9.6129014161341151E-3</v>
      </c>
      <c r="J248" s="9"/>
      <c r="K248" s="7">
        <v>205.72</v>
      </c>
      <c r="L248" s="8">
        <f>IFERROR(K248/K444, "NA")</f>
        <v>1.9567079786451365E-3</v>
      </c>
      <c r="M248" s="9"/>
      <c r="N248" s="10">
        <f t="shared" si="65"/>
        <v>6.9499999999999886</v>
      </c>
      <c r="O248" s="8">
        <f>IFERROR(N248/N444, "NA")</f>
        <v>-2.4783014898336012E-3</v>
      </c>
      <c r="P248" s="9"/>
      <c r="Q248" s="7">
        <v>1215.48</v>
      </c>
      <c r="R248" s="8">
        <f>IFERROR(Q248/Q444, "NA")</f>
        <v>2.3700943650415644E-3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-1215.48</v>
      </c>
      <c r="X248" s="8">
        <f>IFERROR(W248/W444, "NA")</f>
        <v>2.8737442086776931E-2</v>
      </c>
      <c r="Y248" s="9"/>
      <c r="Z248" s="7">
        <v>1228.67</v>
      </c>
      <c r="AA248" s="8">
        <f>IFERROR(Z248/Z444, "NA")</f>
        <v>2.4760153457452838E-3</v>
      </c>
      <c r="AB248" s="9"/>
      <c r="AC248" s="10">
        <f t="shared" si="67"/>
        <v>13.190000000000055</v>
      </c>
      <c r="AD248" s="8">
        <f>IFERROR(AC248/AC444, "NA")</f>
        <v>7.9402393148398406E-4</v>
      </c>
    </row>
    <row r="249" spans="1:30" ht="16.5" customHeight="1" x14ac:dyDescent="0.45">
      <c r="A249" s="12" t="s">
        <v>226</v>
      </c>
      <c r="B249" s="7">
        <v>1560.84</v>
      </c>
      <c r="C249" s="8">
        <f>IFERROR(B249/B444, "NA")</f>
        <v>1.5252791835313941E-2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-1560.84</v>
      </c>
      <c r="I249" s="8">
        <f>IFERROR(H249/H444, "NA")</f>
        <v>7.5485239454438649E-2</v>
      </c>
      <c r="J249" s="9"/>
      <c r="K249" s="7">
        <v>2127.65</v>
      </c>
      <c r="L249" s="8">
        <f>IFERROR(K249/K444, "NA")</f>
        <v>2.0237165714390069E-2</v>
      </c>
      <c r="M249" s="9"/>
      <c r="N249" s="10">
        <f t="shared" si="65"/>
        <v>566.81000000000017</v>
      </c>
      <c r="O249" s="8">
        <f>IFERROR(N249/N444, "NA")</f>
        <v>-0.20211885862627141</v>
      </c>
      <c r="P249" s="9"/>
      <c r="Q249" s="7">
        <v>8990.11</v>
      </c>
      <c r="R249" s="8">
        <f>IFERROR(Q249/Q444, "NA")</f>
        <v>1.7530036736189671E-2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-8990.11</v>
      </c>
      <c r="X249" s="8">
        <f>IFERROR(W249/W444, "NA")</f>
        <v>0.21255204979000411</v>
      </c>
      <c r="Y249" s="9"/>
      <c r="Z249" s="7">
        <v>9071.9500000000007</v>
      </c>
      <c r="AA249" s="8">
        <f>IFERROR(Z249/Z444, "NA")</f>
        <v>1.8281790404123099E-2</v>
      </c>
      <c r="AB249" s="9"/>
      <c r="AC249" s="10">
        <f t="shared" si="67"/>
        <v>81.840000000000146</v>
      </c>
      <c r="AD249" s="8">
        <f>IFERROR(AC249/AC444, "NA")</f>
        <v>4.9266807090711977E-3</v>
      </c>
    </row>
    <row r="250" spans="1:30" ht="16.5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4.53</v>
      </c>
      <c r="AA250" s="8">
        <f>IFERROR(Z250/Z444, "NA")</f>
        <v>9.128854384192775E-6</v>
      </c>
      <c r="AB250" s="9"/>
      <c r="AC250" s="10">
        <f t="shared" si="67"/>
        <v>4.53</v>
      </c>
      <c r="AD250" s="8">
        <f>IFERROR(AC250/AC444, "NA")</f>
        <v>2.7270116828070001E-4</v>
      </c>
    </row>
    <row r="251" spans="1:30" ht="16.5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130.58000000000001</v>
      </c>
      <c r="L251" s="8">
        <f>IFERROR(K251/K444, "NA")</f>
        <v>1.2420130655817711E-3</v>
      </c>
      <c r="M251" s="9"/>
      <c r="N251" s="10">
        <f t="shared" si="65"/>
        <v>130.58000000000001</v>
      </c>
      <c r="O251" s="8">
        <f>IFERROR(N251/N444, "NA")</f>
        <v>-4.6563540797478015E-2</v>
      </c>
      <c r="P251" s="9"/>
      <c r="Q251" s="7">
        <v>29.09</v>
      </c>
      <c r="R251" s="8">
        <f>IFERROR(Q251/Q444, "NA")</f>
        <v>5.672330690678506E-5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-29.09</v>
      </c>
      <c r="X251" s="8">
        <f>IFERROR(W251/W444, "NA")</f>
        <v>6.8777124288704132E-4</v>
      </c>
      <c r="Y251" s="9"/>
      <c r="Z251" s="7">
        <v>175.77</v>
      </c>
      <c r="AA251" s="8">
        <f>IFERROR(Z251/Z444, "NA")</f>
        <v>3.5421164130453953E-4</v>
      </c>
      <c r="AB251" s="9"/>
      <c r="AC251" s="10">
        <f t="shared" si="67"/>
        <v>146.68</v>
      </c>
      <c r="AD251" s="8">
        <f>IFERROR(AC251/AC444, "NA")</f>
        <v>8.8299795504223118E-3</v>
      </c>
    </row>
    <row r="252" spans="1:30" ht="16.5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45.19</v>
      </c>
      <c r="L252" s="8">
        <f>IFERROR(K252/K444, "NA")</f>
        <v>4.298251679709008E-4</v>
      </c>
      <c r="M252" s="9"/>
      <c r="N252" s="10">
        <f t="shared" si="65"/>
        <v>45.19</v>
      </c>
      <c r="O252" s="8">
        <f>IFERROR(N252/N444, "NA")</f>
        <v>-1.6114308536054764E-2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117.59</v>
      </c>
      <c r="AA252" s="8">
        <f>IFERROR(Z252/Z444, "NA")</f>
        <v>2.3696732605678331E-4</v>
      </c>
      <c r="AB252" s="9"/>
      <c r="AC252" s="10">
        <f t="shared" si="67"/>
        <v>117.59</v>
      </c>
      <c r="AD252" s="8">
        <f>IFERROR(AC252/AC444, "NA")</f>
        <v>7.0787925779530929E-3</v>
      </c>
    </row>
    <row r="253" spans="1:30" ht="16.5" customHeight="1" x14ac:dyDescent="0.45">
      <c r="A253" s="12" t="s">
        <v>230</v>
      </c>
      <c r="B253" s="7">
        <v>342.71</v>
      </c>
      <c r="C253" s="8">
        <f>IFERROR(B253/B444, "NA")</f>
        <v>3.3490199443123193E-3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-342.71</v>
      </c>
      <c r="I253" s="8">
        <f>IFERROR(H253/H444, "NA")</f>
        <v>1.6574118047609412E-2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-342.71</v>
      </c>
      <c r="O253" s="8">
        <f>IFERROR(N253/N444, "NA")</f>
        <v>0.12220700770947839</v>
      </c>
      <c r="P253" s="9"/>
      <c r="Q253" s="7">
        <v>1124.68</v>
      </c>
      <c r="R253" s="8">
        <f>IFERROR(Q253/Q444, "NA")</f>
        <v>2.1930412104476803E-3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-1124.68</v>
      </c>
      <c r="X253" s="8">
        <f>IFERROR(W253/W444, "NA")</f>
        <v>2.6590669008257052E-2</v>
      </c>
      <c r="Y253" s="9"/>
      <c r="Z253" s="7">
        <v>3664.95</v>
      </c>
      <c r="AA253" s="8">
        <f>IFERROR(Z253/Z444, "NA")</f>
        <v>7.3856059327477496E-3</v>
      </c>
      <c r="AB253" s="9"/>
      <c r="AC253" s="10">
        <f t="shared" si="67"/>
        <v>2540.2699999999995</v>
      </c>
      <c r="AD253" s="8">
        <f>IFERROR(AC253/AC444, "NA")</f>
        <v>0.15292154453607365</v>
      </c>
    </row>
    <row r="254" spans="1:30" ht="16.5" customHeight="1" x14ac:dyDescent="0.45">
      <c r="A254" s="12" t="s">
        <v>231</v>
      </c>
      <c r="B254" s="7">
        <v>72.569999999999993</v>
      </c>
      <c r="C254" s="8">
        <f>IFERROR(B254/B444, "NA")</f>
        <v>7.0916628449343468E-4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-72.569999999999993</v>
      </c>
      <c r="I254" s="8">
        <f>IFERROR(H254/H444, "NA")</f>
        <v>3.5096254755187036E-3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-72.569999999999993</v>
      </c>
      <c r="O254" s="8">
        <f>IFERROR(N254/N444, "NA")</f>
        <v>2.5877746635571901E-2</v>
      </c>
      <c r="P254" s="9"/>
      <c r="Q254" s="7">
        <v>721.84</v>
      </c>
      <c r="R254" s="8">
        <f>IFERROR(Q254/Q444, "NA")</f>
        <v>1.407533580529176E-3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-721.84</v>
      </c>
      <c r="X254" s="8">
        <f>IFERROR(W254/W444, "NA")</f>
        <v>1.7066373116726777E-2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-721.84</v>
      </c>
      <c r="AD254" s="8">
        <f>IFERROR(AC254/AC444, "NA")</f>
        <v>-4.345399808206192E-2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customHeight="1" x14ac:dyDescent="0.45">
      <c r="A258" s="12" t="s">
        <v>235</v>
      </c>
      <c r="B258" s="7">
        <v>518.62</v>
      </c>
      <c r="C258" s="8">
        <f>IFERROR(B258/B444, "NA")</f>
        <v>5.0680421450183984E-3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-518.62</v>
      </c>
      <c r="I258" s="8">
        <f>IFERROR(H258/H444, "NA")</f>
        <v>2.50814656760853E-2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-518.62</v>
      </c>
      <c r="O258" s="8">
        <f>IFERROR(N258/N444, "NA")</f>
        <v>0.18493477966295027</v>
      </c>
      <c r="P258" s="9"/>
      <c r="Q258" s="7">
        <v>1063.04</v>
      </c>
      <c r="R258" s="8">
        <f>IFERROR(Q258/Q444, "NA")</f>
        <v>2.0728478574832858E-3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-1063.04</v>
      </c>
      <c r="X258" s="8">
        <f>IFERROR(W258/W444, "NA")</f>
        <v>2.5133322173896196E-2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-1063.04</v>
      </c>
      <c r="AD258" s="8">
        <f>IFERROR(AC258/AC444, "NA")</f>
        <v>-6.3993874156537595E-2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5823.6299999999992</v>
      </c>
      <c r="C262" s="15">
        <f>IFERROR(B262/B444, "NA")</f>
        <v>5.6909494961616382E-2</v>
      </c>
      <c r="D262" s="2"/>
      <c r="E262" s="14">
        <f>IFERROR(E240+E241+E242+E243+E244+E245+E246+E247+E248+E249+E250+E251+E252+E253+E254+E255+E256+E257+E258+E259+E260+E261, "NA")</f>
        <v>6157.33</v>
      </c>
      <c r="F262" s="15">
        <f>IFERROR(E262/E444, "NA")</f>
        <v>5.0055991906273405E-2</v>
      </c>
      <c r="G262" s="2"/>
      <c r="H262" s="14">
        <f t="shared" si="64"/>
        <v>333.70000000000073</v>
      </c>
      <c r="I262" s="15">
        <f>IFERROR(H262/H444, "NA")</f>
        <v>-1.6138377031563924E-2</v>
      </c>
      <c r="J262" s="2"/>
      <c r="K262" s="14">
        <f>IFERROR(K240+K241+K242+K243+K244+K245+K246+K247+K248+K249+K250+K251+K252+K253+K254+K255+K256+K257+K258+K259+K260+K261, "NA")</f>
        <v>4611.6899999999996</v>
      </c>
      <c r="L262" s="15">
        <f>IFERROR(K262/K444, "NA")</f>
        <v>4.3864138722720152E-2</v>
      </c>
      <c r="M262" s="2"/>
      <c r="N262" s="14">
        <f t="shared" si="65"/>
        <v>-1211.9399999999996</v>
      </c>
      <c r="O262" s="15">
        <f>IFERROR(N262/N444, "NA")</f>
        <v>0.43216585720704154</v>
      </c>
      <c r="P262" s="2"/>
      <c r="Q262" s="14">
        <f>IFERROR(Q240+Q241+Q242+Q243+Q244+Q245+Q246+Q247+Q248+Q249+Q250+Q251+Q252+Q253+Q254+Q255+Q256+Q257+Q258+Q259+Q260+Q261, "NA")</f>
        <v>27596.080000000002</v>
      </c>
      <c r="R262" s="15">
        <f>IFERROR(Q262/Q444, "NA")</f>
        <v>5.3810275533317055E-2</v>
      </c>
      <c r="S262" s="2"/>
      <c r="T262" s="14">
        <f>IFERROR(T240+T241+T242+T243+T244+T245+T246+T247+T248+T249+T250+T251+T252+T253+T254+T255+T256+T257+T258+T259+T260+T261, "NA")</f>
        <v>27926</v>
      </c>
      <c r="U262" s="15">
        <f>IFERROR(T262/T444, "NA")</f>
        <v>5.0304755743084247E-2</v>
      </c>
      <c r="V262" s="2"/>
      <c r="W262" s="14">
        <f t="shared" si="66"/>
        <v>329.91999999999825</v>
      </c>
      <c r="X262" s="15">
        <f>IFERROR(W262/W444, "NA")</f>
        <v>-7.8002574236263828E-3</v>
      </c>
      <c r="Y262" s="2"/>
      <c r="Z262" s="14">
        <f>IFERROR(Z240+Z241+Z242+Z243+Z244+Z245+Z246+Z247+Z248+Z249+Z250+Z251+Z252+Z253+Z254+Z255+Z256+Z257+Z258+Z259+Z260+Z261, "NA")</f>
        <v>23435.75</v>
      </c>
      <c r="AA262" s="15">
        <f>IFERROR(Z262/Z444, "NA")</f>
        <v>4.7227715040694437E-2</v>
      </c>
      <c r="AB262" s="2"/>
      <c r="AC262" s="14">
        <f t="shared" si="67"/>
        <v>-4160.3300000000017</v>
      </c>
      <c r="AD262" s="15">
        <f>IFERROR(AC262/AC444, "NA")</f>
        <v>-0.25044742857246027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5823.6299999999992</v>
      </c>
      <c r="C263" s="15">
        <f>IFERROR(B263/B444, "NA")</f>
        <v>5.6909494961616382E-2</v>
      </c>
      <c r="D263" s="2"/>
      <c r="E263" s="14">
        <f>IFERROR(E238+E240+E241+E242+E243+E244+E245+E246+E247+E248+E249+E250+E251+E252+E253+E254+E255+E256+E257+E258+E259+E260+E261, "NA")</f>
        <v>6157.33</v>
      </c>
      <c r="F263" s="15">
        <f>IFERROR(E263/E444, "NA")</f>
        <v>5.0055991906273405E-2</v>
      </c>
      <c r="G263" s="2"/>
      <c r="H263" s="14">
        <f t="shared" si="64"/>
        <v>333.70000000000073</v>
      </c>
      <c r="I263" s="15">
        <f>IFERROR(H263/H444, "NA")</f>
        <v>-1.6138377031563924E-2</v>
      </c>
      <c r="J263" s="2"/>
      <c r="K263" s="14">
        <f>IFERROR(K238+K240+K241+K242+K243+K244+K245+K246+K247+K248+K249+K250+K251+K252+K253+K254+K255+K256+K257+K258+K259+K260+K261, "NA")</f>
        <v>4611.6899999999996</v>
      </c>
      <c r="L263" s="15">
        <f>IFERROR(K263/K444, "NA")</f>
        <v>4.3864138722720152E-2</v>
      </c>
      <c r="M263" s="2"/>
      <c r="N263" s="14">
        <f t="shared" si="65"/>
        <v>-1211.9399999999996</v>
      </c>
      <c r="O263" s="15">
        <f>IFERROR(N263/N444, "NA")</f>
        <v>0.43216585720704154</v>
      </c>
      <c r="P263" s="2"/>
      <c r="Q263" s="14">
        <f>IFERROR(Q238+Q240+Q241+Q242+Q243+Q244+Q245+Q246+Q247+Q248+Q249+Q250+Q251+Q252+Q253+Q254+Q255+Q256+Q257+Q258+Q259+Q260+Q261, "NA")</f>
        <v>27596.080000000002</v>
      </c>
      <c r="R263" s="15">
        <f>IFERROR(Q263/Q444, "NA")</f>
        <v>5.3810275533317055E-2</v>
      </c>
      <c r="S263" s="2"/>
      <c r="T263" s="14">
        <f>IFERROR(T238+T240+T241+T242+T243+T244+T245+T246+T247+T248+T249+T250+T251+T252+T253+T254+T255+T256+T257+T258+T259+T260+T261, "NA")</f>
        <v>27926</v>
      </c>
      <c r="U263" s="15">
        <f>IFERROR(T263/T444, "NA")</f>
        <v>5.0304755743084247E-2</v>
      </c>
      <c r="V263" s="2"/>
      <c r="W263" s="14">
        <f t="shared" si="66"/>
        <v>329.91999999999825</v>
      </c>
      <c r="X263" s="15">
        <f>IFERROR(W263/W444, "NA")</f>
        <v>-7.8002574236263828E-3</v>
      </c>
      <c r="Y263" s="2"/>
      <c r="Z263" s="14">
        <f>IFERROR(Z238+Z240+Z241+Z242+Z243+Z244+Z245+Z246+Z247+Z248+Z249+Z250+Z251+Z252+Z253+Z254+Z255+Z256+Z257+Z258+Z259+Z260+Z261, "NA")</f>
        <v>23435.75</v>
      </c>
      <c r="AA263" s="15">
        <f>IFERROR(Z263/Z444, "NA")</f>
        <v>4.7227715040694437E-2</v>
      </c>
      <c r="AB263" s="2"/>
      <c r="AC263" s="14">
        <f t="shared" si="67"/>
        <v>-4160.3300000000017</v>
      </c>
      <c r="AD263" s="15">
        <f>IFERROR(AC263/AC444, "NA")</f>
        <v>-0.25044742857246027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2744.34</v>
      </c>
      <c r="C265" s="8">
        <f>IFERROR(B265/B444, "NA")</f>
        <v>2.6818153523311464E-2</v>
      </c>
      <c r="D265" s="9"/>
      <c r="E265" s="7">
        <v>3444.25</v>
      </c>
      <c r="F265" s="8">
        <f>IFERROR(E265/E444, "NA")</f>
        <v>2.8000017884892019E-2</v>
      </c>
      <c r="G265" s="9"/>
      <c r="H265" s="10">
        <f>IFERROR(-(B265-E265), "NA")</f>
        <v>699.90999999999985</v>
      </c>
      <c r="I265" s="8">
        <f>IFERROR(H265/H444, "NA")</f>
        <v>-3.384900050393131E-2</v>
      </c>
      <c r="J265" s="9"/>
      <c r="K265" s="7">
        <v>3147.96</v>
      </c>
      <c r="L265" s="8">
        <f>IFERROR(K265/K444, "NA")</f>
        <v>2.9941855184015868E-2</v>
      </c>
      <c r="M265" s="9"/>
      <c r="N265" s="10">
        <f>IFERROR(-(B265-K265), "NA")</f>
        <v>403.61999999999989</v>
      </c>
      <c r="O265" s="8">
        <f>IFERROR(N265/N444, "NA")</f>
        <v>-0.14392691328440857</v>
      </c>
      <c r="P265" s="9"/>
      <c r="Q265" s="7">
        <v>14005.44</v>
      </c>
      <c r="R265" s="8">
        <f>IFERROR(Q265/Q444, "NA")</f>
        <v>2.7309552130785966E-2</v>
      </c>
      <c r="S265" s="9"/>
      <c r="T265" s="7">
        <v>15657.3</v>
      </c>
      <c r="U265" s="8">
        <f>IFERROR(T265/T444, "NA")</f>
        <v>2.8204420686678829E-2</v>
      </c>
      <c r="V265" s="9"/>
      <c r="W265" s="10">
        <f>IFERROR(-(Q265-T265), "NA")</f>
        <v>1651.8599999999988</v>
      </c>
      <c r="X265" s="8">
        <f>IFERROR(W265/W444, "NA")</f>
        <v>-3.9054720016341943E-2</v>
      </c>
      <c r="Y265" s="9"/>
      <c r="Z265" s="7">
        <v>14100.94</v>
      </c>
      <c r="AA265" s="8">
        <f>IFERROR(Z265/Z444, "NA")</f>
        <v>2.8416209258330962E-2</v>
      </c>
      <c r="AB265" s="9"/>
      <c r="AC265" s="10">
        <f>IFERROR(-(Q265-Z265), "NA")</f>
        <v>95.5</v>
      </c>
      <c r="AD265" s="8">
        <f>IFERROR(AC265/AC444, "NA")</f>
        <v>5.7489981392509597E-3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398.48</v>
      </c>
      <c r="R266" s="8">
        <f>IFERROR(Q266/Q444, "NA")</f>
        <v>7.7700595861862197E-4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-398.48</v>
      </c>
      <c r="X266" s="8">
        <f>IFERROR(W266/W444, "NA")</f>
        <v>9.4212129551608185E-3</v>
      </c>
      <c r="Y266" s="9"/>
      <c r="Z266" s="7">
        <v>328.93</v>
      </c>
      <c r="AA266" s="8">
        <f>IFERROR(Z266/Z444, "NA")</f>
        <v>6.6285961867384752E-4</v>
      </c>
      <c r="AB266" s="9"/>
      <c r="AC266" s="10">
        <f>IFERROR(-(Q266-Z266), "NA")</f>
        <v>-69.550000000000011</v>
      </c>
      <c r="AD266" s="8">
        <f>IFERROR(AC266/AC444, "NA")</f>
        <v>-4.1868358176429775E-3</v>
      </c>
    </row>
    <row r="267" spans="1:30" ht="16.5" customHeight="1" x14ac:dyDescent="0.45">
      <c r="A267" s="19" t="s">
        <v>243</v>
      </c>
      <c r="B267" s="14">
        <f>IFERROR(B265+B266, "NA")</f>
        <v>2744.34</v>
      </c>
      <c r="C267" s="15">
        <f>IFERROR(B267/B444, "NA")</f>
        <v>2.6818153523311464E-2</v>
      </c>
      <c r="D267" s="2"/>
      <c r="E267" s="14">
        <f>IFERROR(E265+E266, "NA")</f>
        <v>3444.25</v>
      </c>
      <c r="F267" s="15">
        <f>IFERROR(E267/E444, "NA")</f>
        <v>2.8000017884892019E-2</v>
      </c>
      <c r="G267" s="2"/>
      <c r="H267" s="14">
        <f>IFERROR(-(B267-E267), "NA")</f>
        <v>699.90999999999985</v>
      </c>
      <c r="I267" s="15">
        <f>IFERROR(H267/H444, "NA")</f>
        <v>-3.384900050393131E-2</v>
      </c>
      <c r="J267" s="2"/>
      <c r="K267" s="14">
        <f>IFERROR(K265+K266, "NA")</f>
        <v>3147.96</v>
      </c>
      <c r="L267" s="15">
        <f>IFERROR(K267/K444, "NA")</f>
        <v>2.9941855184015868E-2</v>
      </c>
      <c r="M267" s="2"/>
      <c r="N267" s="14">
        <f>IFERROR(-(B267-K267), "NA")</f>
        <v>403.61999999999989</v>
      </c>
      <c r="O267" s="15">
        <f>IFERROR(N267/N444, "NA")</f>
        <v>-0.14392691328440857</v>
      </c>
      <c r="P267" s="2"/>
      <c r="Q267" s="14">
        <f>IFERROR(Q265+Q266, "NA")</f>
        <v>14403.92</v>
      </c>
      <c r="R267" s="15">
        <f>IFERROR(Q267/Q444, "NA")</f>
        <v>2.8086558089404589E-2</v>
      </c>
      <c r="S267" s="2"/>
      <c r="T267" s="14">
        <f>IFERROR(T265+T266, "NA")</f>
        <v>15657.3</v>
      </c>
      <c r="U267" s="15">
        <f>IFERROR(T267/T444, "NA")</f>
        <v>2.8204420686678829E-2</v>
      </c>
      <c r="V267" s="2"/>
      <c r="W267" s="14">
        <f>IFERROR(-(Q267-T267), "NA")</f>
        <v>1253.3799999999992</v>
      </c>
      <c r="X267" s="15">
        <f>IFERROR(W267/W444, "NA")</f>
        <v>-2.9633507061181136E-2</v>
      </c>
      <c r="Y267" s="2"/>
      <c r="Z267" s="14">
        <f>IFERROR(Z265+Z266, "NA")</f>
        <v>14429.87</v>
      </c>
      <c r="AA267" s="15">
        <f>IFERROR(Z267/Z444, "NA")</f>
        <v>2.9079068877004812E-2</v>
      </c>
      <c r="AB267" s="2"/>
      <c r="AC267" s="14">
        <f>IFERROR(-(Q267-Z267), "NA")</f>
        <v>25.950000000000728</v>
      </c>
      <c r="AD267" s="15">
        <f>IFERROR(AC267/AC444, "NA")</f>
        <v>1.5621623216080271E-3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218.47</v>
      </c>
      <c r="C270" s="8">
        <f>IFERROR(B270/B444, "NA")</f>
        <v>2.1349257017125628E-3</v>
      </c>
      <c r="D270" s="9"/>
      <c r="E270" s="7">
        <v>169.2</v>
      </c>
      <c r="F270" s="8">
        <f>IFERROR(E270/E444, "NA")</f>
        <v>1.3755107864190257E-3</v>
      </c>
      <c r="G270" s="9"/>
      <c r="H270" s="10">
        <f>IFERROR(-(B270-E270), "NA")</f>
        <v>-49.27000000000001</v>
      </c>
      <c r="I270" s="8">
        <f>IFERROR(H270/H444, "NA")</f>
        <v>2.3827924373543692E-3</v>
      </c>
      <c r="J270" s="9"/>
      <c r="K270" s="7">
        <v>182.93</v>
      </c>
      <c r="L270" s="8">
        <f>IFERROR(K270/K444, "NA")</f>
        <v>1.7399406500756118E-3</v>
      </c>
      <c r="M270" s="9"/>
      <c r="N270" s="10">
        <f>IFERROR(-(B270-K270), "NA")</f>
        <v>-35.539999999999992</v>
      </c>
      <c r="O270" s="8">
        <f>IFERROR(N270/N444, "NA")</f>
        <v>1.2673213661681483E-2</v>
      </c>
      <c r="P270" s="9"/>
      <c r="Q270" s="7">
        <v>1310.82</v>
      </c>
      <c r="R270" s="8">
        <f>IFERROR(Q270/Q444, "NA")</f>
        <v>2.5560001773651422E-3</v>
      </c>
      <c r="S270" s="9"/>
      <c r="T270" s="7">
        <v>977.49</v>
      </c>
      <c r="U270" s="8">
        <f>IFERROR(T270/T444, "NA")</f>
        <v>1.760810559740293E-3</v>
      </c>
      <c r="V270" s="9"/>
      <c r="W270" s="10">
        <f>IFERROR(-(Q270-T270), "NA")</f>
        <v>-333.32999999999993</v>
      </c>
      <c r="X270" s="8">
        <f>IFERROR(W270/W444, "NA")</f>
        <v>7.8808796284474888E-3</v>
      </c>
      <c r="Y270" s="9"/>
      <c r="Z270" s="7">
        <v>1097.58</v>
      </c>
      <c r="AA270" s="8">
        <f>IFERROR(Z270/Z444, "NA")</f>
        <v>2.2118428245038197E-3</v>
      </c>
      <c r="AB270" s="9"/>
      <c r="AC270" s="10">
        <f>IFERROR(-(Q270-Z270), "NA")</f>
        <v>-213.24</v>
      </c>
      <c r="AD270" s="8">
        <f>IFERROR(AC270/AC444, "NA")</f>
        <v>-1.2836820557213349E-2</v>
      </c>
    </row>
    <row r="271" spans="1:30" ht="16.5" customHeight="1" x14ac:dyDescent="0.45">
      <c r="A271" s="6" t="s">
        <v>246</v>
      </c>
      <c r="B271" s="7">
        <v>1196.07</v>
      </c>
      <c r="C271" s="8">
        <f>IFERROR(B271/B444, "NA")</f>
        <v>1.1688197848891586E-2</v>
      </c>
      <c r="D271" s="9"/>
      <c r="E271" s="7">
        <v>1476.11</v>
      </c>
      <c r="F271" s="8">
        <f>IFERROR(E271/E444, "NA")</f>
        <v>1.2000030892086219E-2</v>
      </c>
      <c r="G271" s="9"/>
      <c r="H271" s="10">
        <f>IFERROR(-(B271-E271), "NA")</f>
        <v>280.03999999999996</v>
      </c>
      <c r="I271" s="8">
        <f>IFERROR(H271/H444, "NA")</f>
        <v>-1.3543275708478127E-2</v>
      </c>
      <c r="J271" s="9"/>
      <c r="K271" s="7">
        <v>1086.1400000000001</v>
      </c>
      <c r="L271" s="8">
        <f>IFERROR(K271/K444, "NA")</f>
        <v>1.0330832218187968E-2</v>
      </c>
      <c r="M271" s="9"/>
      <c r="N271" s="10">
        <f>IFERROR(-(B271-K271), "NA")</f>
        <v>-109.92999999999984</v>
      </c>
      <c r="O271" s="8">
        <f>IFERROR(N271/N444, "NA")</f>
        <v>3.9199954356461557E-2</v>
      </c>
      <c r="P271" s="9"/>
      <c r="Q271" s="7">
        <v>7220.68</v>
      </c>
      <c r="R271" s="8">
        <f>IFERROR(Q271/Q444, "NA")</f>
        <v>1.4079781633402708E-2</v>
      </c>
      <c r="S271" s="9"/>
      <c r="T271" s="7">
        <v>6661.64</v>
      </c>
      <c r="U271" s="8">
        <f>IFERROR(T271/T444, "NA")</f>
        <v>1.2000006196675491E-2</v>
      </c>
      <c r="V271" s="9"/>
      <c r="W271" s="10">
        <f>IFERROR(-(Q271-T271), "NA")</f>
        <v>-559.04</v>
      </c>
      <c r="X271" s="8">
        <f>IFERROR(W271/W444, "NA")</f>
        <v>1.321731301559201E-2</v>
      </c>
      <c r="Y271" s="9"/>
      <c r="Z271" s="7">
        <v>6516.84</v>
      </c>
      <c r="AA271" s="8">
        <f>IFERROR(Z271/Z444, "NA")</f>
        <v>1.3132733643506145E-2</v>
      </c>
      <c r="AB271" s="9"/>
      <c r="AC271" s="10">
        <f>IFERROR(-(Q271-Z271), "NA")</f>
        <v>-703.84000000000015</v>
      </c>
      <c r="AD271" s="8">
        <f>IFERROR(AC271/AC444, "NA")</f>
        <v>-4.2370417280946558E-2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1414.54</v>
      </c>
      <c r="C273" s="15">
        <f>IFERROR(B273/B444, "NA")</f>
        <v>1.382312355060415E-2</v>
      </c>
      <c r="D273" s="2"/>
      <c r="E273" s="14">
        <f>IFERROR(E269+E270+E271+E272, "NA")</f>
        <v>1645.31</v>
      </c>
      <c r="F273" s="15">
        <f>IFERROR(E273/E444, "NA")</f>
        <v>1.3375541678505245E-2</v>
      </c>
      <c r="G273" s="2"/>
      <c r="H273" s="14">
        <f>IFERROR(-(B273-E273), "NA")</f>
        <v>230.76999999999998</v>
      </c>
      <c r="I273" s="15">
        <f>IFERROR(H273/H444, "NA")</f>
        <v>-1.1160483271123759E-2</v>
      </c>
      <c r="J273" s="2"/>
      <c r="K273" s="14">
        <f>IFERROR(K269+K270+K271+K272, "NA")</f>
        <v>1269.0700000000002</v>
      </c>
      <c r="L273" s="15">
        <f>IFERROR(K273/K444, "NA")</f>
        <v>1.2070772868263581E-2</v>
      </c>
      <c r="M273" s="2"/>
      <c r="N273" s="14">
        <f>IFERROR(-(B273-K273), "NA")</f>
        <v>-145.4699999999998</v>
      </c>
      <c r="O273" s="15">
        <f>IFERROR(N273/N444, "NA")</f>
        <v>5.1873168018143033E-2</v>
      </c>
      <c r="P273" s="2"/>
      <c r="Q273" s="14">
        <f>IFERROR(Q269+Q270+Q271+Q272, "NA")</f>
        <v>8531.5</v>
      </c>
      <c r="R273" s="15">
        <f>IFERROR(Q273/Q444, "NA")</f>
        <v>1.6635781810767851E-2</v>
      </c>
      <c r="S273" s="2"/>
      <c r="T273" s="14">
        <f>IFERROR(T269+T270+T271+T272, "NA")</f>
        <v>7639.13</v>
      </c>
      <c r="U273" s="15">
        <f>IFERROR(T273/T444, "NA")</f>
        <v>1.3760816756415785E-2</v>
      </c>
      <c r="V273" s="2"/>
      <c r="W273" s="14">
        <f>IFERROR(-(Q273-T273), "NA")</f>
        <v>-892.36999999999989</v>
      </c>
      <c r="X273" s="15">
        <f>IFERROR(W273/W444, "NA")</f>
        <v>2.1098192644039497E-2</v>
      </c>
      <c r="Y273" s="2"/>
      <c r="Z273" s="14">
        <f>IFERROR(Z269+Z270+Z271+Z272, "NA")</f>
        <v>7614.42</v>
      </c>
      <c r="AA273" s="15">
        <f>IFERROR(Z273/Z444, "NA")</f>
        <v>1.5344576468009965E-2</v>
      </c>
      <c r="AB273" s="2"/>
      <c r="AC273" s="14">
        <f>IFERROR(-(Q273-Z273), "NA")</f>
        <v>-917.07999999999993</v>
      </c>
      <c r="AD273" s="15">
        <f>IFERROR(AC273/AC444, "NA")</f>
        <v>-5.5207237838159895E-2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970.53</v>
      </c>
      <c r="C287" s="8">
        <f>IFERROR(B287/B444, "NA")</f>
        <v>9.4841829142815661E-3</v>
      </c>
      <c r="D287" s="9"/>
      <c r="E287" s="7">
        <v>1350</v>
      </c>
      <c r="F287" s="8">
        <f>IFERROR(E287/E444, "NA")</f>
        <v>1.0974820104407122E-2</v>
      </c>
      <c r="G287" s="9"/>
      <c r="H287" s="10">
        <f t="shared" si="72"/>
        <v>379.47</v>
      </c>
      <c r="I287" s="8">
        <f>IFERROR(H287/H444, "NA")</f>
        <v>-1.8351902703528766E-2</v>
      </c>
      <c r="J287" s="9"/>
      <c r="K287" s="7">
        <v>970.53</v>
      </c>
      <c r="L287" s="8">
        <f>IFERROR(K287/K444, "NA")</f>
        <v>9.2312064675989913E-3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5823.18</v>
      </c>
      <c r="R287" s="8">
        <f>IFERROR(Q287/Q444, "NA")</f>
        <v>1.1354761990837148E-2</v>
      </c>
      <c r="S287" s="9"/>
      <c r="T287" s="7">
        <v>8100</v>
      </c>
      <c r="U287" s="8">
        <f>IFERROR(T287/T444, "NA")</f>
        <v>1.4591009149859715E-2</v>
      </c>
      <c r="V287" s="9"/>
      <c r="W287" s="10">
        <f t="shared" si="74"/>
        <v>2276.8199999999997</v>
      </c>
      <c r="X287" s="8">
        <f>IFERROR(W287/W444, "NA")</f>
        <v>-5.3830571372639163E-2</v>
      </c>
      <c r="Y287" s="9"/>
      <c r="Z287" s="7">
        <v>5823.18</v>
      </c>
      <c r="AA287" s="8">
        <f>IFERROR(Z287/Z444, "NA")</f>
        <v>1.1734870258927966E-2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185.81</v>
      </c>
      <c r="C288" s="8">
        <f>IFERROR(B288/B444, "NA")</f>
        <v>1.8157666710999741E-3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-185.81</v>
      </c>
      <c r="I288" s="8">
        <f>IFERROR(H288/H444, "NA")</f>
        <v>8.98613076486331E-3</v>
      </c>
      <c r="J288" s="9"/>
      <c r="K288" s="7">
        <v>100.13</v>
      </c>
      <c r="L288" s="8">
        <f>IFERROR(K288/K444, "NA")</f>
        <v>9.5238756514552561E-4</v>
      </c>
      <c r="M288" s="9"/>
      <c r="N288" s="10">
        <f t="shared" si="73"/>
        <v>-85.68</v>
      </c>
      <c r="O288" s="8">
        <f>IFERROR(N288/N444, "NA")</f>
        <v>3.0552643402725656E-2</v>
      </c>
      <c r="P288" s="9"/>
      <c r="Q288" s="7">
        <v>2045.56</v>
      </c>
      <c r="R288" s="8">
        <f>IFERROR(Q288/Q444, "NA")</f>
        <v>3.9886877853641542E-3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-2045.56</v>
      </c>
      <c r="X288" s="8">
        <f>IFERROR(W288/W444, "NA")</f>
        <v>4.8362920027501415E-2</v>
      </c>
      <c r="Y288" s="9"/>
      <c r="Z288" s="7">
        <v>600.78</v>
      </c>
      <c r="AA288" s="8">
        <f>IFERROR(Z288/Z444, "NA")</f>
        <v>1.2106916417075793E-3</v>
      </c>
      <c r="AB288" s="9"/>
      <c r="AC288" s="10">
        <f t="shared" si="75"/>
        <v>-1444.78</v>
      </c>
      <c r="AD288" s="8">
        <f>IFERROR(AC288/AC444, "NA")</f>
        <v>-8.6974214990858653E-2</v>
      </c>
    </row>
    <row r="289" spans="1:30" ht="16.5" customHeight="1" x14ac:dyDescent="0.45">
      <c r="A289" s="6" t="s">
        <v>262</v>
      </c>
      <c r="B289" s="7">
        <v>218.66</v>
      </c>
      <c r="C289" s="8">
        <f>IFERROR(B289/B444, "NA")</f>
        <v>2.1367824137706274E-3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-218.66</v>
      </c>
      <c r="I289" s="8">
        <f>IFERROR(H289/H444, "NA")</f>
        <v>1.0574820262876115E-2</v>
      </c>
      <c r="J289" s="9"/>
      <c r="K289" s="7">
        <v>201.24</v>
      </c>
      <c r="L289" s="8">
        <f>IFERROR(K289/K444, "NA")</f>
        <v>1.9140964107648615E-3</v>
      </c>
      <c r="M289" s="9"/>
      <c r="N289" s="10">
        <f t="shared" si="73"/>
        <v>-17.419999999999987</v>
      </c>
      <c r="O289" s="8">
        <f>IFERROR(N289/N444, "NA")</f>
        <v>6.2118002809930031E-3</v>
      </c>
      <c r="P289" s="9"/>
      <c r="Q289" s="7">
        <v>1446.84</v>
      </c>
      <c r="R289" s="8">
        <f>IFERROR(Q289/Q444, "NA")</f>
        <v>2.8212289228261565E-3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-1446.84</v>
      </c>
      <c r="X289" s="8">
        <f>IFERROR(W289/W444, "NA")</f>
        <v>3.420745771944609E-2</v>
      </c>
      <c r="Y289" s="9"/>
      <c r="Z289" s="7">
        <v>1488.12</v>
      </c>
      <c r="AA289" s="8">
        <f>IFERROR(Z289/Z444, "NA")</f>
        <v>2.9988588932019756E-3</v>
      </c>
      <c r="AB289" s="9"/>
      <c r="AC289" s="10">
        <f t="shared" si="75"/>
        <v>41.279999999999973</v>
      </c>
      <c r="AD289" s="8">
        <f>IFERROR(AC289/AC444, "NA")</f>
        <v>2.4850119705579002E-3</v>
      </c>
    </row>
    <row r="290" spans="1:30" ht="16.5" customHeight="1" x14ac:dyDescent="0.45">
      <c r="A290" s="6" t="s">
        <v>263</v>
      </c>
      <c r="B290" s="7">
        <v>1799.41</v>
      </c>
      <c r="C290" s="8">
        <f>IFERROR(B290/B444, "NA")</f>
        <v>1.7584138128432292E-2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-1799.41</v>
      </c>
      <c r="I290" s="8">
        <f>IFERROR(H290/H444, "NA")</f>
        <v>8.7022945802716148E-2</v>
      </c>
      <c r="J290" s="9"/>
      <c r="K290" s="7">
        <v>555.9</v>
      </c>
      <c r="L290" s="8">
        <f>IFERROR(K290/K444, "NA")</f>
        <v>5.2874487912153963E-3</v>
      </c>
      <c r="M290" s="9"/>
      <c r="N290" s="10">
        <f t="shared" si="73"/>
        <v>-1243.5100000000002</v>
      </c>
      <c r="O290" s="8">
        <f>IFERROR(N290/N444, "NA")</f>
        <v>0.44342340800330748</v>
      </c>
      <c r="P290" s="9"/>
      <c r="Q290" s="7">
        <v>3153.08</v>
      </c>
      <c r="R290" s="8">
        <f>IFERROR(Q290/Q444, "NA")</f>
        <v>6.1482682895031221E-3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-3153.08</v>
      </c>
      <c r="X290" s="8">
        <f>IFERROR(W290/W444, "NA")</f>
        <v>7.4547877295368589E-2</v>
      </c>
      <c r="Y290" s="9"/>
      <c r="Z290" s="7">
        <v>6091.79</v>
      </c>
      <c r="AA290" s="8">
        <f>IFERROR(Z290/Z444, "NA")</f>
        <v>1.2276173035117372E-2</v>
      </c>
      <c r="AB290" s="9"/>
      <c r="AC290" s="10">
        <f t="shared" si="75"/>
        <v>2938.71</v>
      </c>
      <c r="AD290" s="8">
        <f>IFERROR(AC290/AC444, "NA")</f>
        <v>0.17690720755809622</v>
      </c>
    </row>
    <row r="291" spans="1:30" ht="16.5" customHeight="1" x14ac:dyDescent="0.45">
      <c r="A291" s="6" t="s">
        <v>264</v>
      </c>
      <c r="B291" s="7">
        <v>1157.9000000000001</v>
      </c>
      <c r="C291" s="8">
        <f>IFERROR(B291/B444, "NA")</f>
        <v>1.1315194168595125E-2</v>
      </c>
      <c r="D291" s="9"/>
      <c r="E291" s="7">
        <v>1845.13</v>
      </c>
      <c r="F291" s="8">
        <f>IFERROR(E291/E444, "NA")</f>
        <v>1.4999977643884973E-2</v>
      </c>
      <c r="G291" s="9"/>
      <c r="H291" s="10">
        <f t="shared" si="72"/>
        <v>687.23</v>
      </c>
      <c r="I291" s="8">
        <f>IFERROR(H291/H444, "NA")</f>
        <v>-3.3235771193891678E-2</v>
      </c>
      <c r="J291" s="9"/>
      <c r="K291" s="7">
        <v>1496.35</v>
      </c>
      <c r="L291" s="8">
        <f>IFERROR(K291/K444, "NA")</f>
        <v>1.4232549017332539E-2</v>
      </c>
      <c r="M291" s="9"/>
      <c r="N291" s="10">
        <f t="shared" si="73"/>
        <v>338.44999999999982</v>
      </c>
      <c r="O291" s="8">
        <f>IFERROR(N291/N444, "NA")</f>
        <v>-0.12068793370276018</v>
      </c>
      <c r="P291" s="9"/>
      <c r="Q291" s="7">
        <v>2842.73</v>
      </c>
      <c r="R291" s="8">
        <f>IFERROR(Q291/Q444, "NA")</f>
        <v>5.5431091867695114E-3</v>
      </c>
      <c r="S291" s="9"/>
      <c r="T291" s="7">
        <v>8327.0400000000009</v>
      </c>
      <c r="U291" s="8">
        <f>IFERROR(T291/T444, "NA")</f>
        <v>1.4999989732252823E-2</v>
      </c>
      <c r="V291" s="9"/>
      <c r="W291" s="10">
        <f t="shared" si="74"/>
        <v>5484.3100000000013</v>
      </c>
      <c r="X291" s="8">
        <f>IFERROR(W291/W444, "NA")</f>
        <v>-0.12966485751384774</v>
      </c>
      <c r="Y291" s="9"/>
      <c r="Z291" s="7">
        <v>4410.32</v>
      </c>
      <c r="AA291" s="8">
        <f>IFERROR(Z291/Z444, "NA")</f>
        <v>8.8876752908814728E-3</v>
      </c>
      <c r="AB291" s="9"/>
      <c r="AC291" s="10">
        <f t="shared" si="75"/>
        <v>1567.5899999999997</v>
      </c>
      <c r="AD291" s="8">
        <f>IFERROR(AC291/AC444, "NA")</f>
        <v>9.4367246001135191E-2</v>
      </c>
    </row>
    <row r="292" spans="1:30" ht="16.5" customHeight="1" x14ac:dyDescent="0.45">
      <c r="A292" s="6" t="s">
        <v>265</v>
      </c>
      <c r="B292" s="7">
        <v>626.97</v>
      </c>
      <c r="C292" s="8">
        <f>IFERROR(B292/B444, "NA")</f>
        <v>6.1268566265515892E-3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-626.97</v>
      </c>
      <c r="I292" s="8">
        <f>IFERROR(H292/H444, "NA")</f>
        <v>3.03214811132143E-2</v>
      </c>
      <c r="J292" s="9"/>
      <c r="K292" s="7">
        <v>673.18</v>
      </c>
      <c r="L292" s="8">
        <f>IFERROR(K292/K444, "NA")</f>
        <v>6.4029587646526002E-3</v>
      </c>
      <c r="M292" s="9"/>
      <c r="N292" s="10">
        <f t="shared" si="73"/>
        <v>46.209999999999923</v>
      </c>
      <c r="O292" s="8">
        <f>IFERROR(N292/N444, "NA")</f>
        <v>-1.6478030481325283E-2</v>
      </c>
      <c r="P292" s="9"/>
      <c r="Q292" s="7">
        <v>2330.66</v>
      </c>
      <c r="R292" s="8">
        <f>IFERROR(Q292/Q444, "NA")</f>
        <v>4.5446112916936289E-3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-2330.66</v>
      </c>
      <c r="X292" s="8">
        <f>IFERROR(W292/W444, "NA")</f>
        <v>5.5103503779550068E-2</v>
      </c>
      <c r="Y292" s="9"/>
      <c r="Z292" s="7">
        <v>2394.27</v>
      </c>
      <c r="AA292" s="8">
        <f>IFERROR(Z292/Z444, "NA")</f>
        <v>4.8249320499870272E-3</v>
      </c>
      <c r="AB292" s="9"/>
      <c r="AC292" s="10">
        <f t="shared" si="75"/>
        <v>63.610000000000127</v>
      </c>
      <c r="AD292" s="8">
        <f>IFERROR(AC292/AC444, "NA")</f>
        <v>3.8292541532749138E-3</v>
      </c>
    </row>
    <row r="293" spans="1:30" ht="16.5" hidden="1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0</v>
      </c>
      <c r="R293" s="8">
        <f>IFERROR(Q293/Q444, "NA")</f>
        <v>0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0</v>
      </c>
      <c r="X293" s="8">
        <f>IFERROR(W293/W444, "NA")</f>
        <v>0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0</v>
      </c>
      <c r="AD293" s="8">
        <f>IFERROR(AC293/AC444, "NA")</f>
        <v>0</v>
      </c>
    </row>
    <row r="294" spans="1:30" ht="16.5" customHeight="1" x14ac:dyDescent="0.45">
      <c r="A294" s="6" t="s">
        <v>267</v>
      </c>
      <c r="B294" s="7">
        <v>324.99</v>
      </c>
      <c r="C294" s="8">
        <f>IFERROR(B294/B444, "NA")</f>
        <v>3.1758571144759732E-3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-324.99</v>
      </c>
      <c r="I294" s="8">
        <f>IFERROR(H294/H444, "NA")</f>
        <v>1.5717144595408895E-2</v>
      </c>
      <c r="J294" s="9"/>
      <c r="K294" s="7">
        <v>385.83</v>
      </c>
      <c r="L294" s="8">
        <f>IFERROR(K294/K444, "NA")</f>
        <v>3.6698261685818249E-3</v>
      </c>
      <c r="M294" s="9"/>
      <c r="N294" s="10">
        <f t="shared" si="73"/>
        <v>60.839999999999975</v>
      </c>
      <c r="O294" s="8">
        <f>IFERROR(N294/N444, "NA")</f>
        <v>-2.1694944264960644E-2</v>
      </c>
      <c r="P294" s="9"/>
      <c r="Q294" s="7">
        <v>2205.6</v>
      </c>
      <c r="R294" s="8">
        <f>IFERROR(Q294/Q444, "NA")</f>
        <v>4.300753719958925E-3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-2205.6</v>
      </c>
      <c r="X294" s="8">
        <f>IFERROR(W294/W444, "NA")</f>
        <v>5.2146725792769279E-2</v>
      </c>
      <c r="Y294" s="9"/>
      <c r="Z294" s="7">
        <v>2314.98</v>
      </c>
      <c r="AA294" s="8">
        <f>IFERROR(Z294/Z444, "NA")</f>
        <v>4.6651468702690038E-3</v>
      </c>
      <c r="AB294" s="9"/>
      <c r="AC294" s="10">
        <f t="shared" si="75"/>
        <v>109.38000000000011</v>
      </c>
      <c r="AD294" s="8">
        <f>IFERROR(AC294/AC444, "NA")</f>
        <v>6.5845593347777032E-3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5284.2699999999995</v>
      </c>
      <c r="C295" s="15">
        <f>IFERROR(B295/B444, "NA")</f>
        <v>5.1638778037207143E-2</v>
      </c>
      <c r="D295" s="2"/>
      <c r="E295" s="14">
        <f>IFERROR(E286+E287+E288+E289+E290+E291+E292+E293+E294, "NA")</f>
        <v>3195.13</v>
      </c>
      <c r="F295" s="15">
        <f>IFERROR(E295/E444, "NA")</f>
        <v>2.5974797748292096E-2</v>
      </c>
      <c r="G295" s="2"/>
      <c r="H295" s="14">
        <f t="shared" si="72"/>
        <v>-2089.1399999999994</v>
      </c>
      <c r="I295" s="15">
        <f>IFERROR(H295/H444, "NA")</f>
        <v>0.10103484864165829</v>
      </c>
      <c r="J295" s="2"/>
      <c r="K295" s="14">
        <f>IFERROR(K286+K287+K288+K289+K290+K291+K292+K293+K294, "NA")</f>
        <v>4383.16</v>
      </c>
      <c r="L295" s="15">
        <f>IFERROR(K295/K444, "NA")</f>
        <v>4.1690473185291739E-2</v>
      </c>
      <c r="M295" s="2"/>
      <c r="N295" s="14">
        <f t="shared" si="73"/>
        <v>-901.10999999999967</v>
      </c>
      <c r="O295" s="15">
        <f>IFERROR(N295/N444, "NA")</f>
        <v>0.32132694323797972</v>
      </c>
      <c r="P295" s="2"/>
      <c r="Q295" s="14">
        <f>IFERROR(Q286+Q287+Q288+Q289+Q290+Q291+Q292+Q293+Q294, "NA")</f>
        <v>19847.649999999998</v>
      </c>
      <c r="R295" s="15">
        <f>IFERROR(Q295/Q444, "NA")</f>
        <v>3.8701421186952641E-2</v>
      </c>
      <c r="S295" s="2"/>
      <c r="T295" s="14">
        <f>IFERROR(T286+T287+T288+T289+T290+T291+T292+T293+T294, "NA")</f>
        <v>16427.04</v>
      </c>
      <c r="U295" s="15">
        <f>IFERROR(T295/T444, "NA")</f>
        <v>2.9590998882112536E-2</v>
      </c>
      <c r="V295" s="2"/>
      <c r="W295" s="14">
        <f t="shared" si="74"/>
        <v>-3420.6099999999969</v>
      </c>
      <c r="X295" s="15">
        <f>IFERROR(W295/W444, "NA")</f>
        <v>8.0873055728148513E-2</v>
      </c>
      <c r="Y295" s="2"/>
      <c r="Z295" s="14">
        <f>IFERROR(Z286+Z287+Z288+Z289+Z290+Z291+Z292+Z293+Z294, "NA")</f>
        <v>23123.439999999999</v>
      </c>
      <c r="AA295" s="15">
        <f>IFERROR(Z295/Z444, "NA")</f>
        <v>4.6598348040092392E-2</v>
      </c>
      <c r="AB295" s="2"/>
      <c r="AC295" s="14">
        <f t="shared" si="75"/>
        <v>3275.7900000000009</v>
      </c>
      <c r="AD295" s="15">
        <f>IFERROR(AC295/AC444, "NA")</f>
        <v>0.19719906402698331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1599.12</v>
      </c>
      <c r="F297" s="8">
        <f>IFERROR(E297/E444, "NA")</f>
        <v>1.3000040241007049E-2</v>
      </c>
      <c r="G297" s="9"/>
      <c r="H297" s="10">
        <f t="shared" ref="H297:H325" si="76">IFERROR(-(B297-E297), "NA")</f>
        <v>1599.12</v>
      </c>
      <c r="I297" s="8">
        <f>IFERROR(H297/H444, "NA")</f>
        <v>-7.7336534248470021E-2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7216.77</v>
      </c>
      <c r="U297" s="8">
        <f>IFERROR(T297/T444, "NA")</f>
        <v>1.2999994704004087E-2</v>
      </c>
      <c r="V297" s="9"/>
      <c r="W297" s="10">
        <f t="shared" ref="W297:W325" si="78">IFERROR(-(Q297-T297), "NA")</f>
        <v>7216.77</v>
      </c>
      <c r="X297" s="8">
        <f>IFERROR(W297/W444, "NA")</f>
        <v>-0.17062519328050579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525.52</v>
      </c>
      <c r="C299" s="8">
        <f>IFERROR(B299/B444, "NA")</f>
        <v>5.1354701092323251E-3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-525.52</v>
      </c>
      <c r="I299" s="8">
        <f>IFERROR(H299/H444, "NA")</f>
        <v>2.541516301356744E-2</v>
      </c>
      <c r="J299" s="9"/>
      <c r="K299" s="7">
        <v>500.77</v>
      </c>
      <c r="L299" s="8">
        <f>IFERROR(K299/K444, "NA")</f>
        <v>4.7630792070101355E-3</v>
      </c>
      <c r="M299" s="9"/>
      <c r="N299" s="10">
        <f t="shared" si="77"/>
        <v>-24.75</v>
      </c>
      <c r="O299" s="8">
        <f>IFERROR(N299/N444, "NA")</f>
        <v>8.8256060249470112E-3</v>
      </c>
      <c r="P299" s="9"/>
      <c r="Q299" s="7">
        <v>4160</v>
      </c>
      <c r="R299" s="8">
        <f>IFERROR(Q299/Q444, "NA")</f>
        <v>8.1116863778695723E-3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-4160</v>
      </c>
      <c r="X299" s="8">
        <f>IFERROR(W299/W444, "NA")</f>
        <v>9.8354361306637744E-2</v>
      </c>
      <c r="Y299" s="9"/>
      <c r="Z299" s="7">
        <v>3004.62</v>
      </c>
      <c r="AA299" s="8">
        <f>IFERROR(Z299/Z444, "NA")</f>
        <v>6.0549091522810799E-3</v>
      </c>
      <c r="AB299" s="9"/>
      <c r="AC299" s="10">
        <f t="shared" si="79"/>
        <v>-1155.3800000000001</v>
      </c>
      <c r="AD299" s="8">
        <f>IFERROR(AC299/AC444, "NA")</f>
        <v>-6.955264366625942E-2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0</v>
      </c>
      <c r="AD304" s="8">
        <f>IFERROR(AC304/AC444, "NA")</f>
        <v>0</v>
      </c>
    </row>
    <row r="305" spans="1:30" ht="16.5" customHeight="1" x14ac:dyDescent="0.45">
      <c r="A305" s="6" t="s">
        <v>277</v>
      </c>
      <c r="B305" s="7">
        <v>45.42</v>
      </c>
      <c r="C305" s="8">
        <f>IFERROR(B305/B444, "NA")</f>
        <v>4.4385190356472108E-4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-45.42</v>
      </c>
      <c r="I305" s="8">
        <f>IFERROR(H305/H444, "NA")</f>
        <v>2.1965989954259271E-3</v>
      </c>
      <c r="J305" s="9"/>
      <c r="K305" s="7">
        <v>73.33</v>
      </c>
      <c r="L305" s="8">
        <f>IFERROR(K305/K444, "NA")</f>
        <v>6.9747907871887938E-4</v>
      </c>
      <c r="M305" s="9"/>
      <c r="N305" s="10">
        <f t="shared" si="77"/>
        <v>27.909999999999997</v>
      </c>
      <c r="O305" s="8">
        <f>IFERROR(N305/N444, "NA")</f>
        <v>-9.9524308750008512E-3</v>
      </c>
      <c r="P305" s="9"/>
      <c r="Q305" s="7">
        <v>-11.58</v>
      </c>
      <c r="R305" s="8">
        <f>IFERROR(Q305/Q444, "NA")</f>
        <v>-2.2580126984550395E-5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11.58</v>
      </c>
      <c r="X305" s="8">
        <f>IFERROR(W305/W444, "NA")</f>
        <v>-2.7378449613722717E-4</v>
      </c>
      <c r="Y305" s="9"/>
      <c r="Z305" s="7">
        <v>349.54</v>
      </c>
      <c r="AA305" s="8">
        <f>IFERROR(Z305/Z444, "NA")</f>
        <v>7.0439288332245975E-4</v>
      </c>
      <c r="AB305" s="9"/>
      <c r="AC305" s="10">
        <f t="shared" si="79"/>
        <v>361.12</v>
      </c>
      <c r="AD305" s="8">
        <f>IFERROR(AC305/AC444, "NA")</f>
        <v>2.1739038827710017E-2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152.62</v>
      </c>
      <c r="C310" s="8">
        <f>IFERROR(B310/B444, "NA")</f>
        <v>1.4914283910622574E-3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-152.62</v>
      </c>
      <c r="I310" s="8">
        <f>IFERROR(H310/H444, "NA")</f>
        <v>7.3809982096412373E-3</v>
      </c>
      <c r="J310" s="9"/>
      <c r="K310" s="7">
        <v>0</v>
      </c>
      <c r="L310" s="8">
        <f>IFERROR(K310/K444, "NA")</f>
        <v>0</v>
      </c>
      <c r="M310" s="9"/>
      <c r="N310" s="10">
        <f t="shared" si="77"/>
        <v>-152.62</v>
      </c>
      <c r="O310" s="8">
        <f>IFERROR(N310/N444, "NA")</f>
        <v>5.4422787536461126E-2</v>
      </c>
      <c r="P310" s="9"/>
      <c r="Q310" s="7">
        <v>677.63</v>
      </c>
      <c r="R310" s="8">
        <f>IFERROR(Q310/Q444, "NA")</f>
        <v>1.3213274135182112E-3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-677.63</v>
      </c>
      <c r="X310" s="8">
        <f>IFERROR(W310/W444, "NA")</f>
        <v>1.602112159909061E-2</v>
      </c>
      <c r="Y310" s="9"/>
      <c r="Z310" s="7">
        <v>0</v>
      </c>
      <c r="AA310" s="8">
        <f>IFERROR(Z310/Z444, "NA")</f>
        <v>0</v>
      </c>
      <c r="AB310" s="9"/>
      <c r="AC310" s="10">
        <f t="shared" si="79"/>
        <v>-677.63</v>
      </c>
      <c r="AD310" s="8">
        <f>IFERROR(AC310/AC444, "NA")</f>
        <v>-4.0792603236655789E-2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26.73</v>
      </c>
      <c r="R311" s="8">
        <f>IFERROR(Q311/Q444, "NA")</f>
        <v>5.212148482703213E-5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-26.73</v>
      </c>
      <c r="X311" s="8">
        <f>IFERROR(W311/W444, "NA")</f>
        <v>6.3197405714577562E-4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-26.73</v>
      </c>
      <c r="AD311" s="8">
        <f>IFERROR(AC311/AC444, "NA")</f>
        <v>-1.6091174896563159E-3</v>
      </c>
    </row>
    <row r="312" spans="1:30" ht="16.5" customHeight="1" x14ac:dyDescent="0.45">
      <c r="A312" s="6" t="s">
        <v>284</v>
      </c>
      <c r="B312" s="7">
        <v>310.79000000000002</v>
      </c>
      <c r="C312" s="8">
        <f>IFERROR(B312/B444, "NA")</f>
        <v>3.0370923185574564E-3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-310.79000000000002</v>
      </c>
      <c r="I312" s="8">
        <f>IFERROR(H312/H444, "NA")</f>
        <v>1.5030405147257241E-2</v>
      </c>
      <c r="J312" s="9"/>
      <c r="K312" s="7">
        <v>0</v>
      </c>
      <c r="L312" s="8">
        <f>IFERROR(K312/K444, "NA")</f>
        <v>0</v>
      </c>
      <c r="M312" s="9"/>
      <c r="N312" s="10">
        <f t="shared" si="77"/>
        <v>-310.79000000000002</v>
      </c>
      <c r="O312" s="8">
        <f>IFERROR(N312/N444, "NA")</f>
        <v>0.11082465036336493</v>
      </c>
      <c r="P312" s="9"/>
      <c r="Q312" s="7">
        <v>724.99</v>
      </c>
      <c r="R312" s="8">
        <f>IFERROR(Q312/Q444, "NA")</f>
        <v>1.4136758430508801E-3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-724.99</v>
      </c>
      <c r="X312" s="8">
        <f>IFERROR(W312/W444, "NA")</f>
        <v>1.7140848173966175E-2</v>
      </c>
      <c r="Y312" s="9"/>
      <c r="Z312" s="7">
        <v>242</v>
      </c>
      <c r="AA312" s="8">
        <f>IFERROR(Z312/Z444, "NA")</f>
        <v>4.876783136809385E-4</v>
      </c>
      <c r="AB312" s="9"/>
      <c r="AC312" s="10">
        <f t="shared" si="79"/>
        <v>-482.99</v>
      </c>
      <c r="AD312" s="8">
        <f>IFERROR(AC312/AC444, "NA")</f>
        <v>-2.9075482840594986E-2</v>
      </c>
    </row>
    <row r="313" spans="1:30" ht="16.5" customHeight="1" x14ac:dyDescent="0.45">
      <c r="A313" s="6" t="s">
        <v>285</v>
      </c>
      <c r="B313" s="7">
        <v>18</v>
      </c>
      <c r="C313" s="8">
        <f>IFERROR(B313/B444, "NA")</f>
        <v>1.758990370798102E-4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-18</v>
      </c>
      <c r="I313" s="8">
        <f>IFERROR(H313/H444, "NA")</f>
        <v>8.7051479343167515E-4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-18</v>
      </c>
      <c r="O313" s="8">
        <f>IFERROR(N313/N444, "NA")</f>
        <v>6.418622563597827E-3</v>
      </c>
      <c r="P313" s="9"/>
      <c r="Q313" s="7">
        <v>121.05</v>
      </c>
      <c r="R313" s="8">
        <f>IFERROR(Q313/Q444, "NA")</f>
        <v>2.3603837404834416E-4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-121.05</v>
      </c>
      <c r="X313" s="8">
        <f>IFERROR(W313/W444, "NA")</f>
        <v>2.8619700567712736E-3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-121.05</v>
      </c>
      <c r="AD313" s="8">
        <f>IFERROR(AC313/AC444, "NA")</f>
        <v>-7.2870808875008242E-3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hidden="1" customHeight="1" x14ac:dyDescent="0.45">
      <c r="A315" s="6" t="s">
        <v>287</v>
      </c>
      <c r="B315" s="7">
        <v>0</v>
      </c>
      <c r="C315" s="8">
        <f>IFERROR(B315/B444, "NA")</f>
        <v>0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0</v>
      </c>
      <c r="I315" s="8">
        <f>IFERROR(H315/H444, "NA")</f>
        <v>0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0</v>
      </c>
      <c r="O315" s="8">
        <f>IFERROR(N315/N444, "NA")</f>
        <v>0</v>
      </c>
      <c r="P315" s="9"/>
      <c r="Q315" s="7">
        <v>0</v>
      </c>
      <c r="R315" s="8">
        <f>IFERROR(Q315/Q444, "NA")</f>
        <v>0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0</v>
      </c>
      <c r="X315" s="8">
        <f>IFERROR(W315/W444, "NA")</f>
        <v>0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0</v>
      </c>
      <c r="AD315" s="8">
        <f>IFERROR(AC315/AC444, "NA")</f>
        <v>0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414.57</v>
      </c>
      <c r="C318" s="8">
        <f>IFERROR(B318/B444, "NA")</f>
        <v>4.051247989009828E-3</v>
      </c>
      <c r="D318" s="9"/>
      <c r="E318" s="7">
        <v>915</v>
      </c>
      <c r="F318" s="8">
        <f>IFERROR(E318/E444, "NA")</f>
        <v>7.4384891818759374E-3</v>
      </c>
      <c r="G318" s="9"/>
      <c r="H318" s="10">
        <f t="shared" si="76"/>
        <v>500.43</v>
      </c>
      <c r="I318" s="8">
        <f>IFERROR(H318/H444, "NA")</f>
        <v>-2.4201762115389623E-2</v>
      </c>
      <c r="J318" s="9"/>
      <c r="K318" s="7">
        <v>414.57</v>
      </c>
      <c r="L318" s="8">
        <f>IFERROR(K318/K444, "NA")</f>
        <v>3.9431869857423406E-3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2487.42</v>
      </c>
      <c r="R318" s="8">
        <f>IFERROR(Q318/Q444, "NA")</f>
        <v>4.8502814735673873E-3</v>
      </c>
      <c r="S318" s="9"/>
      <c r="T318" s="7">
        <v>5490</v>
      </c>
      <c r="U318" s="8">
        <f>IFERROR(T318/T444, "NA")</f>
        <v>9.8894617571271409E-3</v>
      </c>
      <c r="V318" s="9"/>
      <c r="W318" s="10">
        <f t="shared" si="78"/>
        <v>3002.58</v>
      </c>
      <c r="X318" s="8">
        <f>IFERROR(W318/W444, "NA")</f>
        <v>-7.0989624560597195E-2</v>
      </c>
      <c r="Y318" s="9"/>
      <c r="Z318" s="7">
        <v>2487.42</v>
      </c>
      <c r="AA318" s="8">
        <f>IFERROR(Z318/Z444, "NA")</f>
        <v>5.0126478967613226E-3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149.55000000000001</v>
      </c>
      <c r="C319" s="8">
        <f>IFERROR(B319/B444, "NA")</f>
        <v>1.4614278330714232E-3</v>
      </c>
      <c r="D319" s="9"/>
      <c r="E319" s="7">
        <v>149</v>
      </c>
      <c r="F319" s="8">
        <f>IFERROR(E319/E444, "NA")</f>
        <v>1.2112949596716008E-3</v>
      </c>
      <c r="G319" s="9"/>
      <c r="H319" s="10">
        <f t="shared" si="76"/>
        <v>-0.55000000000001137</v>
      </c>
      <c r="I319" s="8">
        <f>IFERROR(H319/H444, "NA")</f>
        <v>2.6599063132635069E-5</v>
      </c>
      <c r="J319" s="9"/>
      <c r="K319" s="7">
        <v>149.34</v>
      </c>
      <c r="L319" s="8">
        <f>IFERROR(K319/K444, "NA")</f>
        <v>1.4204490060804233E-3</v>
      </c>
      <c r="M319" s="9"/>
      <c r="N319" s="10">
        <f t="shared" si="77"/>
        <v>-0.21000000000000796</v>
      </c>
      <c r="O319" s="8">
        <f>IFERROR(N319/N444, "NA")</f>
        <v>7.4883929908644154E-5</v>
      </c>
      <c r="P319" s="9"/>
      <c r="Q319" s="7">
        <v>897.38</v>
      </c>
      <c r="R319" s="8">
        <f>IFERROR(Q319/Q444, "NA")</f>
        <v>1.7498233465799511E-3</v>
      </c>
      <c r="S319" s="9"/>
      <c r="T319" s="7">
        <v>894</v>
      </c>
      <c r="U319" s="8">
        <f>IFERROR(T319/T444, "NA")</f>
        <v>1.6104150839474796E-3</v>
      </c>
      <c r="V319" s="9"/>
      <c r="W319" s="10">
        <f t="shared" si="78"/>
        <v>-3.3799999999999955</v>
      </c>
      <c r="X319" s="8">
        <f>IFERROR(W319/W444, "NA")</f>
        <v>7.9912918561643052E-5</v>
      </c>
      <c r="Y319" s="9"/>
      <c r="Z319" s="7">
        <v>896.83</v>
      </c>
      <c r="AA319" s="8">
        <f>IFERROR(Z319/Z444, "NA")</f>
        <v>1.8072914961094052E-3</v>
      </c>
      <c r="AB319" s="9"/>
      <c r="AC319" s="10">
        <f t="shared" si="79"/>
        <v>-0.54999999999995453</v>
      </c>
      <c r="AD319" s="8">
        <f>IFERROR(AC319/AC444, "NA")</f>
        <v>-3.3109413367411167E-5</v>
      </c>
    </row>
    <row r="320" spans="1:30" ht="16.5" customHeight="1" x14ac:dyDescent="0.45">
      <c r="A320" s="6" t="s">
        <v>292</v>
      </c>
      <c r="B320" s="7">
        <v>1171</v>
      </c>
      <c r="C320" s="8">
        <f>IFERROR(B320/B444, "NA")</f>
        <v>1.1443209578914319E-2</v>
      </c>
      <c r="D320" s="9"/>
      <c r="E320" s="7">
        <v>800</v>
      </c>
      <c r="F320" s="8">
        <f>IFERROR(E320/E444, "NA")</f>
        <v>6.5035970989079234E-3</v>
      </c>
      <c r="G320" s="9"/>
      <c r="H320" s="10">
        <f t="shared" si="76"/>
        <v>-371</v>
      </c>
      <c r="I320" s="8">
        <f>IFERROR(H320/H444, "NA")</f>
        <v>1.7942277131286193E-2</v>
      </c>
      <c r="J320" s="9"/>
      <c r="K320" s="7">
        <v>639.75</v>
      </c>
      <c r="L320" s="8">
        <f>IFERROR(K320/K444, "NA")</f>
        <v>6.0849889623674222E-3</v>
      </c>
      <c r="M320" s="9"/>
      <c r="N320" s="10">
        <f t="shared" si="77"/>
        <v>-531.25</v>
      </c>
      <c r="O320" s="8">
        <f>IFERROR(N320/N444, "NA")</f>
        <v>0.1894385131617414</v>
      </c>
      <c r="P320" s="9"/>
      <c r="Q320" s="7">
        <v>6506.51</v>
      </c>
      <c r="R320" s="8">
        <f>IFERROR(Q320/Q444, "NA")</f>
        <v>1.2687203974632728E-2</v>
      </c>
      <c r="S320" s="9"/>
      <c r="T320" s="7">
        <v>4800</v>
      </c>
      <c r="U320" s="8">
        <f>IFERROR(T320/T444, "NA")</f>
        <v>8.6465239406576088E-3</v>
      </c>
      <c r="V320" s="9"/>
      <c r="W320" s="10">
        <f t="shared" si="78"/>
        <v>-1706.5100000000002</v>
      </c>
      <c r="X320" s="8">
        <f>IFERROR(W320/W444, "NA")</f>
        <v>4.0346803152257305E-2</v>
      </c>
      <c r="Y320" s="9"/>
      <c r="Z320" s="7">
        <v>4276.2</v>
      </c>
      <c r="AA320" s="8">
        <f>IFERROR(Z320/Z444, "NA")</f>
        <v>8.6173967147207819E-3</v>
      </c>
      <c r="AB320" s="9"/>
      <c r="AC320" s="10">
        <f t="shared" si="79"/>
        <v>-2230.3100000000004</v>
      </c>
      <c r="AD320" s="8">
        <f>IFERROR(AC320/AC444, "NA")</f>
        <v>-0.13426228314086713</v>
      </c>
    </row>
    <row r="321" spans="1:30" ht="16.5" customHeight="1" x14ac:dyDescent="0.45">
      <c r="A321" s="6" t="s">
        <v>293</v>
      </c>
      <c r="B321" s="7">
        <v>1402.05</v>
      </c>
      <c r="C321" s="8">
        <f>IFERROR(B321/B444, "NA")</f>
        <v>1.3701069163208216E-2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-1402.05</v>
      </c>
      <c r="I321" s="8">
        <f>IFERROR(H321/H444, "NA")</f>
        <v>6.7805848118382236E-2</v>
      </c>
      <c r="J321" s="9"/>
      <c r="K321" s="7">
        <v>1997.06</v>
      </c>
      <c r="L321" s="8">
        <f>IFERROR(K321/K444, "NA")</f>
        <v>1.8995057533701423E-2</v>
      </c>
      <c r="M321" s="9"/>
      <c r="N321" s="10">
        <f t="shared" si="77"/>
        <v>595.01</v>
      </c>
      <c r="O321" s="8">
        <f>IFERROR(N321/N444, "NA")</f>
        <v>-0.2121747006425746</v>
      </c>
      <c r="P321" s="9"/>
      <c r="Q321" s="7">
        <v>10224.73</v>
      </c>
      <c r="R321" s="8">
        <f>IFERROR(Q321/Q444, "NA")</f>
        <v>1.9937452658267872E-2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-10224.73</v>
      </c>
      <c r="X321" s="8">
        <f>IFERROR(W321/W444, "NA")</f>
        <v>0.24174201651029281</v>
      </c>
      <c r="Y321" s="9"/>
      <c r="Z321" s="7">
        <v>10170.15</v>
      </c>
      <c r="AA321" s="8">
        <f>IFERROR(Z321/Z444, "NA")</f>
        <v>2.0494882652405771E-2</v>
      </c>
      <c r="AB321" s="9"/>
      <c r="AC321" s="10">
        <f t="shared" si="79"/>
        <v>-54.579999999999927</v>
      </c>
      <c r="AD321" s="8">
        <f>IFERROR(AC321/AC444, "NA")</f>
        <v>-3.2856577847153608E-3</v>
      </c>
    </row>
    <row r="322" spans="1:30" ht="16.5" customHeight="1" x14ac:dyDescent="0.45">
      <c r="A322" s="6" t="s">
        <v>294</v>
      </c>
      <c r="B322" s="7">
        <v>162.27000000000001</v>
      </c>
      <c r="C322" s="8">
        <f>IFERROR(B322/B444, "NA")</f>
        <v>1.5857298192744891E-3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-162.27000000000001</v>
      </c>
      <c r="I322" s="8">
        <f>IFERROR(H322/H444, "NA")</f>
        <v>7.8476908627865515E-3</v>
      </c>
      <c r="J322" s="9"/>
      <c r="K322" s="7">
        <v>212.27</v>
      </c>
      <c r="L322" s="8">
        <f>IFERROR(K322/K444, "NA")</f>
        <v>2.0190083736486642E-3</v>
      </c>
      <c r="M322" s="9"/>
      <c r="N322" s="10">
        <f t="shared" si="77"/>
        <v>50</v>
      </c>
      <c r="O322" s="8">
        <f>IFERROR(N322/N444, "NA")</f>
        <v>-1.7829507121105075E-2</v>
      </c>
      <c r="P322" s="9"/>
      <c r="Q322" s="7">
        <v>1753.74</v>
      </c>
      <c r="R322" s="8">
        <f>IFERROR(Q322/Q444, "NA")</f>
        <v>3.4196607856550442E-3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-1753.74</v>
      </c>
      <c r="X322" s="8">
        <f>IFERROR(W322/W444, "NA")</f>
        <v>4.1463456153342036E-2</v>
      </c>
      <c r="Y322" s="9"/>
      <c r="Z322" s="7">
        <v>952.15</v>
      </c>
      <c r="AA322" s="8">
        <f>IFERROR(Z322/Z444, "NA")</f>
        <v>1.9187723403772958E-3</v>
      </c>
      <c r="AB322" s="9"/>
      <c r="AC322" s="10">
        <f t="shared" si="79"/>
        <v>-801.59</v>
      </c>
      <c r="AD322" s="8">
        <f>IFERROR(AC322/AC444, "NA")</f>
        <v>-4.8254863020336936E-2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4351.79</v>
      </c>
      <c r="C324" s="15">
        <f>IFERROR(B324/B444, "NA")</f>
        <v>4.2526426142974846E-2</v>
      </c>
      <c r="D324" s="2"/>
      <c r="E324" s="14">
        <f>IFERROR(E297+E298+E299+E300+E301+E302+E303+E304+E305+E306+E307+E308+E309+E310+E311+E312+E313+E314+E315+E316+E317+E318+E319+E320+E321+E322+E323, "NA")</f>
        <v>3463.12</v>
      </c>
      <c r="F324" s="15">
        <f>IFERROR(E324/E444, "NA")</f>
        <v>2.815342148146251E-2</v>
      </c>
      <c r="G324" s="2"/>
      <c r="H324" s="14">
        <f t="shared" si="76"/>
        <v>-888.67000000000007</v>
      </c>
      <c r="I324" s="15">
        <f>IFERROR(H324/H444, "NA")</f>
        <v>4.2977798971051494E-2</v>
      </c>
      <c r="J324" s="2"/>
      <c r="K324" s="14">
        <f>IFERROR(K297+K298+K299+K300+K301+K302+K303+K304+K305+K306+K307+K308+K309+K310+K311+K312+K313+K314+K315+K316+K317+K318+K319+K320+K321+K322+K323, "NA")</f>
        <v>3987.0899999999997</v>
      </c>
      <c r="L324" s="15">
        <f>IFERROR(K324/K444, "NA")</f>
        <v>3.7923249147269286E-2</v>
      </c>
      <c r="M324" s="2"/>
      <c r="N324" s="14">
        <f t="shared" si="77"/>
        <v>-364.70000000000027</v>
      </c>
      <c r="O324" s="15">
        <f>IFERROR(N324/N444, "NA")</f>
        <v>0.1300484249413405</v>
      </c>
      <c r="P324" s="2"/>
      <c r="Q324" s="14">
        <f>IFERROR(Q297+Q298+Q299+Q300+Q301+Q302+Q303+Q304+Q305+Q306+Q307+Q308+Q309+Q310+Q311+Q312+Q313+Q314+Q315+Q316+Q317+Q318+Q319+Q320+Q321+Q322+Q323, "NA")</f>
        <v>27568.600000000002</v>
      </c>
      <c r="R324" s="15">
        <f>IFERROR(Q324/Q444, "NA")</f>
        <v>5.3756691605032478E-2</v>
      </c>
      <c r="S324" s="2"/>
      <c r="T324" s="14">
        <f>IFERROR(T297+T298+T299+T300+T301+T302+T303+T304+T305+T306+T307+T308+T309+T310+T311+T312+T313+T314+T315+T316+T317+T318+T319+T320+T321+T322+T323, "NA")</f>
        <v>18400.77</v>
      </c>
      <c r="U324" s="15">
        <f>IFERROR(T324/T444, "NA")</f>
        <v>3.3146395485736314E-2</v>
      </c>
      <c r="V324" s="2"/>
      <c r="W324" s="14">
        <f t="shared" si="78"/>
        <v>-9167.8300000000017</v>
      </c>
      <c r="X324" s="15">
        <f>IFERROR(W324/W444, "NA")</f>
        <v>0.21675386159082519</v>
      </c>
      <c r="Y324" s="2"/>
      <c r="Z324" s="14">
        <f>IFERROR(Z297+Z298+Z299+Z300+Z301+Z302+Z303+Z304+Z305+Z306+Z307+Z308+Z309+Z310+Z311+Z312+Z313+Z314+Z315+Z316+Z317+Z318+Z319+Z320+Z321+Z322+Z323, "NA")</f>
        <v>22378.910000000003</v>
      </c>
      <c r="AA324" s="15">
        <f>IFERROR(Z324/Z444, "NA")</f>
        <v>4.5097971449659061E-2</v>
      </c>
      <c r="AB324" s="2"/>
      <c r="AC324" s="14">
        <f t="shared" si="79"/>
        <v>-5189.6899999999987</v>
      </c>
      <c r="AD324" s="15">
        <f>IFERROR(AC324/AC444, "NA")</f>
        <v>-0.31241380265224405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27814.200000000004</v>
      </c>
      <c r="C325" s="15">
        <f>IFERROR(B325/B444, "NA")</f>
        <v>0.27180505539695876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25696.73</v>
      </c>
      <c r="F325" s="15">
        <f>IFERROR(E325/E444, "NA")</f>
        <v>0.20890147334927525</v>
      </c>
      <c r="G325" s="2"/>
      <c r="H325" s="14">
        <f t="shared" si="76"/>
        <v>-2117.4700000000048</v>
      </c>
      <c r="I325" s="15">
        <f>IFERROR(H325/H444, "NA")</f>
        <v>0.10240494220265407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21848.120000000003</v>
      </c>
      <c r="L325" s="15">
        <f>IFERROR(K325/K444, "NA")</f>
        <v>0.20780862688312457</v>
      </c>
      <c r="M325" s="2"/>
      <c r="N325" s="14">
        <f t="shared" si="77"/>
        <v>-5966.0800000000017</v>
      </c>
      <c r="O325" s="15">
        <f>IFERROR(N325/N444, "NA")</f>
        <v>2.1274453169016518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139334.91999999998</v>
      </c>
      <c r="R325" s="15">
        <f>IFERROR(Q325/Q444, "NA")</f>
        <v>0.27169258954941022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122258.8</v>
      </c>
      <c r="U325" s="15">
        <f>IFERROR(T325/T444, "NA")</f>
        <v>0.22023200857418135</v>
      </c>
      <c r="V325" s="2"/>
      <c r="W325" s="14">
        <f t="shared" si="78"/>
        <v>-17076.119999999981</v>
      </c>
      <c r="X325" s="15">
        <f>IFERROR(W325/W444, "NA")</f>
        <v>0.4037285760085339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116497.31999999995</v>
      </c>
      <c r="AA325" s="15">
        <f>IFERROR(Z325/Z444, "NA")</f>
        <v>0.23476535771053159</v>
      </c>
      <c r="AB325" s="2"/>
      <c r="AC325" s="14">
        <f t="shared" si="79"/>
        <v>-22837.600000000035</v>
      </c>
      <c r="AD325" s="15">
        <f>IFERROR(AC325/AC444, "NA")</f>
        <v>-1.37479916130846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4597.76</v>
      </c>
      <c r="C329" s="8">
        <f>IFERROR(B329/B444, "NA")</f>
        <v>4.4930086484670451E-2</v>
      </c>
      <c r="D329" s="9"/>
      <c r="E329" s="7">
        <v>5904.42</v>
      </c>
      <c r="F329" s="8">
        <f>IFERROR(E329/E444, "NA")</f>
        <v>4.7999960978417404E-2</v>
      </c>
      <c r="G329" s="9"/>
      <c r="H329" s="10">
        <f t="shared" si="80"/>
        <v>1306.6599999999999</v>
      </c>
      <c r="I329" s="8">
        <f>IFERROR(H329/H444, "NA")</f>
        <v>-6.3192603332524036E-2</v>
      </c>
      <c r="J329" s="9"/>
      <c r="K329" s="7">
        <v>6377.92</v>
      </c>
      <c r="L329" s="8">
        <f>IFERROR(K329/K444, "NA")</f>
        <v>6.0663654244411773E-2</v>
      </c>
      <c r="M329" s="9"/>
      <c r="N329" s="10">
        <f t="shared" si="81"/>
        <v>1780.1599999999999</v>
      </c>
      <c r="O329" s="8">
        <f>IFERROR(N329/N444, "NA")</f>
        <v>-0.63478750793412808</v>
      </c>
      <c r="P329" s="9"/>
      <c r="Q329" s="7">
        <v>27586.560000000001</v>
      </c>
      <c r="R329" s="8">
        <f>IFERROR(Q329/Q444, "NA")</f>
        <v>5.3791712251029238E-2</v>
      </c>
      <c r="S329" s="9"/>
      <c r="T329" s="7">
        <v>29691.72</v>
      </c>
      <c r="U329" s="8">
        <f>IFERROR(T329/T444, "NA")</f>
        <v>5.3485451629021324E-2</v>
      </c>
      <c r="V329" s="9"/>
      <c r="W329" s="10">
        <f t="shared" si="82"/>
        <v>2105.16</v>
      </c>
      <c r="X329" s="8">
        <f>IFERROR(W329/W444, "NA")</f>
        <v>-4.9772035396221513E-2</v>
      </c>
      <c r="Y329" s="9"/>
      <c r="Z329" s="7">
        <v>38267.519999999997</v>
      </c>
      <c r="AA329" s="8">
        <f>IFERROR(Z329/Z444, "NA")</f>
        <v>7.7116692654345398E-2</v>
      </c>
      <c r="AB329" s="9"/>
      <c r="AC329" s="10">
        <f t="shared" si="83"/>
        <v>10680.959999999995</v>
      </c>
      <c r="AD329" s="8">
        <f>IFERROR(AC329/AC444, "NA")</f>
        <v>0.64298239963784198</v>
      </c>
    </row>
    <row r="330" spans="1:30" ht="16.5" customHeight="1" x14ac:dyDescent="0.45">
      <c r="A330" s="6" t="s">
        <v>301</v>
      </c>
      <c r="B330" s="7">
        <v>1686.02</v>
      </c>
      <c r="C330" s="8">
        <f>IFERROR(B330/B444, "NA")</f>
        <v>1.6476071916516753E-2</v>
      </c>
      <c r="D330" s="9"/>
      <c r="E330" s="7">
        <v>1686</v>
      </c>
      <c r="F330" s="8">
        <f>IFERROR(E330/E444, "NA")</f>
        <v>1.3706330885948449E-2</v>
      </c>
      <c r="G330" s="9"/>
      <c r="H330" s="10">
        <f t="shared" si="80"/>
        <v>-1.999999999998181E-2</v>
      </c>
      <c r="I330" s="8">
        <f>IFERROR(H330/H444, "NA")</f>
        <v>9.6723865936764828E-7</v>
      </c>
      <c r="J330" s="9"/>
      <c r="K330" s="7">
        <v>1636.91</v>
      </c>
      <c r="L330" s="8">
        <f>IFERROR(K330/K444, "NA")</f>
        <v>1.5569486959576174E-2</v>
      </c>
      <c r="M330" s="9"/>
      <c r="N330" s="10">
        <f t="shared" si="81"/>
        <v>-49.1099999999999</v>
      </c>
      <c r="O330" s="8">
        <f>IFERROR(N330/N444, "NA")</f>
        <v>1.7512141894349367E-2</v>
      </c>
      <c r="P330" s="9"/>
      <c r="Q330" s="7">
        <v>11367.23</v>
      </c>
      <c r="R330" s="8">
        <f>IFERROR(Q330/Q444, "NA")</f>
        <v>2.2165241525266905E-2</v>
      </c>
      <c r="S330" s="9"/>
      <c r="T330" s="7">
        <v>10116</v>
      </c>
      <c r="U330" s="8">
        <f>IFERROR(T330/T444, "NA")</f>
        <v>1.822254920493591E-2</v>
      </c>
      <c r="V330" s="9"/>
      <c r="W330" s="10">
        <f t="shared" si="82"/>
        <v>-1251.2299999999996</v>
      </c>
      <c r="X330" s="8">
        <f>IFERROR(W330/W444, "NA")</f>
        <v>2.9582674879255842E-2</v>
      </c>
      <c r="Y330" s="9"/>
      <c r="Z330" s="7">
        <v>8320.2800000000007</v>
      </c>
      <c r="AA330" s="8">
        <f>IFERROR(Z330/Z444, "NA")</f>
        <v>1.6767025288236526E-2</v>
      </c>
      <c r="AB330" s="9"/>
      <c r="AC330" s="10">
        <f t="shared" si="83"/>
        <v>-3046.9499999999989</v>
      </c>
      <c r="AD330" s="8">
        <f>IFERROR(AC330/AC444, "NA")</f>
        <v>-0.1834231401088032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1913.97</v>
      </c>
      <c r="C333" s="8">
        <f>IFERROR(B333/B444, "NA")</f>
        <v>1.8703637777758016E-2</v>
      </c>
      <c r="D333" s="9"/>
      <c r="E333" s="7">
        <v>1686</v>
      </c>
      <c r="F333" s="8">
        <f>IFERROR(E333/E444, "NA")</f>
        <v>1.3706330885948449E-2</v>
      </c>
      <c r="G333" s="9"/>
      <c r="H333" s="10">
        <f t="shared" si="80"/>
        <v>-227.97000000000003</v>
      </c>
      <c r="I333" s="8">
        <f>IFERROR(H333/H444, "NA")</f>
        <v>1.1025069858812167E-2</v>
      </c>
      <c r="J333" s="9"/>
      <c r="K333" s="7">
        <v>1853.78</v>
      </c>
      <c r="L333" s="8">
        <f>IFERROR(K333/K444, "NA")</f>
        <v>1.763224828238762E-2</v>
      </c>
      <c r="M333" s="9"/>
      <c r="N333" s="10">
        <f t="shared" si="81"/>
        <v>-60.190000000000055</v>
      </c>
      <c r="O333" s="8">
        <f>IFERROR(N333/N444, "NA")</f>
        <v>2.1463160672386308E-2</v>
      </c>
      <c r="P333" s="9"/>
      <c r="Q333" s="7">
        <v>10725.08</v>
      </c>
      <c r="R333" s="8">
        <f>IFERROR(Q333/Q444, "NA")</f>
        <v>2.0913097436913795E-2</v>
      </c>
      <c r="S333" s="9"/>
      <c r="T333" s="7">
        <v>10116</v>
      </c>
      <c r="U333" s="8">
        <f>IFERROR(T333/T444, "NA")</f>
        <v>1.822254920493591E-2</v>
      </c>
      <c r="V333" s="9"/>
      <c r="W333" s="10">
        <f t="shared" si="82"/>
        <v>-609.07999999999993</v>
      </c>
      <c r="X333" s="8">
        <f>IFERROR(W333/W444, "NA")</f>
        <v>1.4400402496309353E-2</v>
      </c>
      <c r="Y333" s="9"/>
      <c r="Z333" s="7">
        <v>11333.5</v>
      </c>
      <c r="AA333" s="8">
        <f>IFERROR(Z333/Z444, "NA")</f>
        <v>2.2839265157450068E-2</v>
      </c>
      <c r="AB333" s="9"/>
      <c r="AC333" s="10">
        <f t="shared" si="83"/>
        <v>608.42000000000007</v>
      </c>
      <c r="AD333" s="8">
        <f>IFERROR(AC333/AC444, "NA")</f>
        <v>3.6626235056367216E-2</v>
      </c>
    </row>
    <row r="334" spans="1:30" ht="16.5" customHeight="1" x14ac:dyDescent="0.45">
      <c r="A334" s="6" t="s">
        <v>305</v>
      </c>
      <c r="B334" s="7">
        <v>708.06</v>
      </c>
      <c r="C334" s="8">
        <f>IFERROR(B334/B444, "NA")</f>
        <v>6.9192817885961331E-3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-708.06</v>
      </c>
      <c r="I334" s="8">
        <f>IFERROR(H334/H444, "NA")</f>
        <v>3.4243150257623992E-2</v>
      </c>
      <c r="J334" s="9"/>
      <c r="K334" s="7">
        <v>982.2</v>
      </c>
      <c r="L334" s="8">
        <f>IFERROR(K334/K444, "NA")</f>
        <v>9.3422057973228338E-3</v>
      </c>
      <c r="M334" s="9"/>
      <c r="N334" s="10">
        <f t="shared" si="81"/>
        <v>274.1400000000001</v>
      </c>
      <c r="O334" s="8">
        <f>IFERROR(N334/N444, "NA")</f>
        <v>-9.7755621643594928E-2</v>
      </c>
      <c r="P334" s="9"/>
      <c r="Q334" s="7">
        <v>0</v>
      </c>
      <c r="R334" s="8">
        <f>IFERROR(Q334/Q444, "NA")</f>
        <v>0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0</v>
      </c>
      <c r="AA334" s="8">
        <f>IFERROR(Z334/Z444, "NA")</f>
        <v>0</v>
      </c>
      <c r="AB334" s="9"/>
      <c r="AC334" s="10">
        <f t="shared" si="83"/>
        <v>0</v>
      </c>
      <c r="AD334" s="8">
        <f>IFERROR(AC334/AC444, "NA")</f>
        <v>0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3035.89</v>
      </c>
      <c r="F337" s="8">
        <f>IFERROR(E337/E444, "NA")</f>
        <v>2.468025674575447E-2</v>
      </c>
      <c r="G337" s="9"/>
      <c r="H337" s="10">
        <f t="shared" ref="H337:H344" si="84">IFERROR(-(B337-E337), "NA")</f>
        <v>3035.89</v>
      </c>
      <c r="I337" s="8">
        <f>IFERROR(H337/H444, "NA")</f>
        <v>-0.14682150867951602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17334.439999999999</v>
      </c>
      <c r="U337" s="8">
        <f>IFERROR(T337/T444, "NA")</f>
        <v>3.1225552178727682E-2</v>
      </c>
      <c r="V337" s="9"/>
      <c r="W337" s="10">
        <f t="shared" ref="W337:W344" si="86">IFERROR(-(Q337-T337), "NA")</f>
        <v>17334.439999999999</v>
      </c>
      <c r="X337" s="8">
        <f>IFERROR(W337/W444, "NA")</f>
        <v>-0.40983600355967148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2725.3</v>
      </c>
      <c r="C338" s="8">
        <f>IFERROR(B338/B444, "NA")</f>
        <v>2.6632091430755931E-2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-2725.3</v>
      </c>
      <c r="I338" s="8">
        <f>IFERROR(H338/H444, "NA")</f>
        <v>0.13180077591885248</v>
      </c>
      <c r="J338" s="9"/>
      <c r="K338" s="7">
        <v>2352.4899999999998</v>
      </c>
      <c r="L338" s="8">
        <f>IFERROR(K338/K444, "NA")</f>
        <v>2.2375733777381376E-2</v>
      </c>
      <c r="M338" s="9"/>
      <c r="N338" s="10">
        <f t="shared" si="85"/>
        <v>-372.8100000000004</v>
      </c>
      <c r="O338" s="8">
        <f>IFERROR(N338/N444, "NA")</f>
        <v>0.13294037099638378</v>
      </c>
      <c r="P338" s="9"/>
      <c r="Q338" s="7">
        <v>14728.51</v>
      </c>
      <c r="R338" s="8">
        <f>IFERROR(Q338/Q444, "NA")</f>
        <v>2.8719484118585523E-2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-14728.51</v>
      </c>
      <c r="X338" s="8">
        <f>IFERROR(W338/W444, "NA")</f>
        <v>0.34822432549241034</v>
      </c>
      <c r="Y338" s="9"/>
      <c r="Z338" s="7">
        <v>12506.93</v>
      </c>
      <c r="AA338" s="8">
        <f>IFERROR(Z338/Z444, "NA")</f>
        <v>2.5203960874898925E-2</v>
      </c>
      <c r="AB338" s="9"/>
      <c r="AC338" s="10">
        <f t="shared" si="87"/>
        <v>-2221.58</v>
      </c>
      <c r="AD338" s="8">
        <f>IFERROR(AC338/AC444, "NA")</f>
        <v>-0.13373674645232614</v>
      </c>
    </row>
    <row r="339" spans="1:30" ht="16.5" customHeight="1" x14ac:dyDescent="0.45">
      <c r="A339" s="12" t="s">
        <v>309</v>
      </c>
      <c r="B339" s="7">
        <v>328.77</v>
      </c>
      <c r="C339" s="8">
        <f>IFERROR(B339/B444, "NA")</f>
        <v>3.2127959122627329E-3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-328.77</v>
      </c>
      <c r="I339" s="8">
        <f>IFERROR(H339/H444, "NA")</f>
        <v>1.5899952702029548E-2</v>
      </c>
      <c r="J339" s="9"/>
      <c r="K339" s="7">
        <v>337.87</v>
      </c>
      <c r="L339" s="8">
        <f>IFERROR(K339/K444, "NA")</f>
        <v>3.2136541160063792E-3</v>
      </c>
      <c r="M339" s="9"/>
      <c r="N339" s="10">
        <f t="shared" si="85"/>
        <v>9.1000000000000227</v>
      </c>
      <c r="O339" s="8">
        <f>IFERROR(N339/N444, "NA")</f>
        <v>-3.2449702960411315E-3</v>
      </c>
      <c r="P339" s="9"/>
      <c r="Q339" s="7">
        <v>1949.25</v>
      </c>
      <c r="R339" s="8">
        <f>IFERROR(Q339/Q444, "NA")</f>
        <v>3.8008905461688132E-3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-1949.25</v>
      </c>
      <c r="X339" s="8">
        <f>IFERROR(W339/W444, "NA")</f>
        <v>4.6085874706000868E-2</v>
      </c>
      <c r="Y339" s="9"/>
      <c r="Z339" s="7">
        <v>1881.62</v>
      </c>
      <c r="AA339" s="8">
        <f>IFERROR(Z339/Z444, "NA")</f>
        <v>3.7918399528443282E-3</v>
      </c>
      <c r="AB339" s="9"/>
      <c r="AC339" s="10">
        <f t="shared" si="87"/>
        <v>-67.630000000000109</v>
      </c>
      <c r="AD339" s="8">
        <f>IFERROR(AC339/AC444, "NA")</f>
        <v>-4.0712538655240113E-3</v>
      </c>
    </row>
    <row r="340" spans="1:30" ht="16.5" customHeight="1" x14ac:dyDescent="0.45">
      <c r="A340" s="12" t="s">
        <v>310</v>
      </c>
      <c r="B340" s="7">
        <v>365.99</v>
      </c>
      <c r="C340" s="8">
        <f>IFERROR(B340/B444, "NA")</f>
        <v>3.5765160322688743E-3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-365.99</v>
      </c>
      <c r="I340" s="8">
        <f>IFERROR(H340/H444, "NA")</f>
        <v>1.7699983847114378E-2</v>
      </c>
      <c r="J340" s="9"/>
      <c r="K340" s="7">
        <v>395.07</v>
      </c>
      <c r="L340" s="8">
        <f>IFERROR(K340/K444, "NA")</f>
        <v>3.7577125273348926E-3</v>
      </c>
      <c r="M340" s="9"/>
      <c r="N340" s="10">
        <f t="shared" si="85"/>
        <v>29.079999999999984</v>
      </c>
      <c r="O340" s="8">
        <f>IFERROR(N340/N444, "NA")</f>
        <v>-1.0369641341634706E-2</v>
      </c>
      <c r="P340" s="9"/>
      <c r="Q340" s="7">
        <v>2530.1999999999998</v>
      </c>
      <c r="R340" s="8">
        <f>IFERROR(Q340/Q444, "NA")</f>
        <v>4.9336992483859591E-3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-2530.1999999999998</v>
      </c>
      <c r="X340" s="8">
        <f>IFERROR(W340/W444, "NA")</f>
        <v>5.9821203119724706E-2</v>
      </c>
      <c r="Y340" s="9"/>
      <c r="Z340" s="7">
        <v>2606.61</v>
      </c>
      <c r="AA340" s="8">
        <f>IFERROR(Z340/Z444, "NA")</f>
        <v>5.2528395422474011E-3</v>
      </c>
      <c r="AB340" s="9"/>
      <c r="AC340" s="10">
        <f t="shared" si="87"/>
        <v>76.410000000000309</v>
      </c>
      <c r="AD340" s="8">
        <f>IFERROR(AC340/AC444, "NA")</f>
        <v>4.5998005007347395E-3</v>
      </c>
    </row>
    <row r="341" spans="1:30" ht="16.5" hidden="1" customHeight="1" x14ac:dyDescent="0.45">
      <c r="A341" s="12" t="s">
        <v>311</v>
      </c>
      <c r="B341" s="7">
        <v>0</v>
      </c>
      <c r="C341" s="8">
        <f>IFERROR(B341/B444, "NA")</f>
        <v>0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0</v>
      </c>
      <c r="I341" s="8">
        <f>IFERROR(H341/H444, "NA")</f>
        <v>0</v>
      </c>
      <c r="J341" s="9"/>
      <c r="K341" s="7">
        <v>0</v>
      </c>
      <c r="L341" s="8">
        <f>IFERROR(K341/K444, "NA")</f>
        <v>0</v>
      </c>
      <c r="M341" s="9"/>
      <c r="N341" s="10">
        <f t="shared" si="85"/>
        <v>0</v>
      </c>
      <c r="O341" s="8">
        <f>IFERROR(N341/N444, "NA")</f>
        <v>0</v>
      </c>
      <c r="P341" s="9"/>
      <c r="Q341" s="7">
        <v>0</v>
      </c>
      <c r="R341" s="8">
        <f>IFERROR(Q341/Q444, "NA")</f>
        <v>0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0</v>
      </c>
      <c r="X341" s="8">
        <f>IFERROR(W341/W444, "NA")</f>
        <v>0</v>
      </c>
      <c r="Y341" s="9"/>
      <c r="Z341" s="7">
        <v>0</v>
      </c>
      <c r="AA341" s="8">
        <f>IFERROR(Z341/Z444, "NA")</f>
        <v>0</v>
      </c>
      <c r="AB341" s="9"/>
      <c r="AC341" s="10">
        <f t="shared" si="87"/>
        <v>0</v>
      </c>
      <c r="AD341" s="8">
        <f>IFERROR(AC341/AC444, "NA")</f>
        <v>0</v>
      </c>
    </row>
    <row r="342" spans="1:30" ht="16.5" customHeight="1" x14ac:dyDescent="0.45">
      <c r="A342" s="13" t="s">
        <v>312</v>
      </c>
      <c r="B342" s="14">
        <f>IFERROR(B337+B338+B339+B340+B341, "NA")</f>
        <v>3420.0600000000004</v>
      </c>
      <c r="C342" s="15">
        <f>IFERROR(B342/B444, "NA")</f>
        <v>3.3421403375287539E-2</v>
      </c>
      <c r="D342" s="2"/>
      <c r="E342" s="14">
        <f>IFERROR(E337+E338+E339+E340+E341, "NA")</f>
        <v>3035.89</v>
      </c>
      <c r="F342" s="15">
        <f>IFERROR(E342/E444, "NA")</f>
        <v>2.468025674575447E-2</v>
      </c>
      <c r="G342" s="2"/>
      <c r="H342" s="14">
        <f t="shared" si="84"/>
        <v>-384.17000000000053</v>
      </c>
      <c r="I342" s="15">
        <f>IFERROR(H342/H444, "NA")</f>
        <v>1.8579203788480395E-2</v>
      </c>
      <c r="J342" s="2"/>
      <c r="K342" s="14">
        <f>IFERROR(K337+K338+K339+K340+K341, "NA")</f>
        <v>3085.43</v>
      </c>
      <c r="L342" s="15">
        <f>IFERROR(K342/K444, "NA")</f>
        <v>2.9347100420722649E-2</v>
      </c>
      <c r="M342" s="2"/>
      <c r="N342" s="14">
        <f t="shared" si="85"/>
        <v>-334.63000000000056</v>
      </c>
      <c r="O342" s="15">
        <f>IFERROR(N342/N444, "NA")</f>
        <v>0.11932575935870803</v>
      </c>
      <c r="P342" s="2"/>
      <c r="Q342" s="14">
        <f>IFERROR(Q337+Q338+Q339+Q340+Q341, "NA")</f>
        <v>19207.960000000003</v>
      </c>
      <c r="R342" s="15">
        <f>IFERROR(Q342/Q444, "NA")</f>
        <v>3.7454073913140297E-2</v>
      </c>
      <c r="S342" s="2"/>
      <c r="T342" s="14">
        <f>IFERROR(T337+T338+T339+T340+T341, "NA")</f>
        <v>17334.439999999999</v>
      </c>
      <c r="U342" s="15">
        <f>IFERROR(T342/T444, "NA")</f>
        <v>3.1225552178727682E-2</v>
      </c>
      <c r="V342" s="2"/>
      <c r="W342" s="14">
        <f t="shared" si="86"/>
        <v>-1873.5200000000041</v>
      </c>
      <c r="X342" s="15">
        <f>IFERROR(W342/W444, "NA")</f>
        <v>4.4295399758464506E-2</v>
      </c>
      <c r="Y342" s="2"/>
      <c r="Z342" s="14">
        <f>IFERROR(Z337+Z338+Z339+Z340+Z341, "NA")</f>
        <v>16995.16</v>
      </c>
      <c r="AA342" s="15">
        <f>IFERROR(Z342/Z444, "NA")</f>
        <v>3.4248640369990653E-2</v>
      </c>
      <c r="AB342" s="2"/>
      <c r="AC342" s="14">
        <f t="shared" si="87"/>
        <v>-2212.8000000000029</v>
      </c>
      <c r="AD342" s="15">
        <f>IFERROR(AC342/AC444, "NA")</f>
        <v>-0.1332081998171156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12325.87</v>
      </c>
      <c r="C343" s="15">
        <f>IFERROR(B343/B444, "NA")</f>
        <v>0.1204504813428289</v>
      </c>
      <c r="D343" s="2"/>
      <c r="E343" s="14">
        <f>IFERROR(E328+E329+E330+E331+E332+E333+E334+E335+E337+E338+E339+E340+E341, "NA")</f>
        <v>12312.31</v>
      </c>
      <c r="F343" s="15">
        <f>IFERROR(E343/E444, "NA")</f>
        <v>0.10009287949606877</v>
      </c>
      <c r="G343" s="2"/>
      <c r="H343" s="14">
        <f t="shared" si="84"/>
        <v>-13.56000000000131</v>
      </c>
      <c r="I343" s="15">
        <f>IFERROR(H343/H444, "NA")</f>
        <v>6.5578781105192529E-4</v>
      </c>
      <c r="J343" s="2"/>
      <c r="K343" s="14">
        <f>IFERROR(K328+K329+K330+K331+K332+K333+K334+K335+K337+K338+K339+K340+K341, "NA")</f>
        <v>13936.240000000002</v>
      </c>
      <c r="L343" s="15">
        <f>IFERROR(K343/K444, "NA")</f>
        <v>0.13255469570442108</v>
      </c>
      <c r="M343" s="2"/>
      <c r="N343" s="14">
        <f t="shared" si="85"/>
        <v>1610.3700000000008</v>
      </c>
      <c r="O343" s="15">
        <f>IFERROR(N343/N444, "NA")</f>
        <v>-0.57424206765227981</v>
      </c>
      <c r="P343" s="2"/>
      <c r="Q343" s="14">
        <f>IFERROR(Q328+Q329+Q330+Q331+Q332+Q333+Q334+Q335+Q337+Q338+Q339+Q340+Q341, "NA")</f>
        <v>68886.83</v>
      </c>
      <c r="R343" s="15">
        <f>IFERROR(Q343/Q444, "NA")</f>
        <v>0.13432412512635022</v>
      </c>
      <c r="S343" s="2"/>
      <c r="T343" s="14">
        <f>IFERROR(T328+T329+T330+T331+T332+T333+T334+T335+T337+T338+T339+T340+T341, "NA")</f>
        <v>67258.16</v>
      </c>
      <c r="U343" s="15">
        <f>IFERROR(T343/T444, "NA")</f>
        <v>0.12115610221762084</v>
      </c>
      <c r="V343" s="2"/>
      <c r="W343" s="14">
        <f t="shared" si="86"/>
        <v>-1628.6699999999983</v>
      </c>
      <c r="X343" s="15">
        <f>IFERROR(W343/W444, "NA")</f>
        <v>3.8506441737808053E-2</v>
      </c>
      <c r="Y343" s="2"/>
      <c r="Z343" s="14">
        <f>IFERROR(Z328+Z329+Z330+Z331+Z332+Z333+Z334+Z335+Z337+Z338+Z339+Z340+Z341, "NA")</f>
        <v>74916.459999999992</v>
      </c>
      <c r="AA343" s="15">
        <f>IFERROR(Z343/Z444, "NA")</f>
        <v>0.15097162347002263</v>
      </c>
      <c r="AB343" s="2"/>
      <c r="AC343" s="14">
        <f t="shared" si="87"/>
        <v>6029.6299999999901</v>
      </c>
      <c r="AD343" s="15">
        <f>IFERROR(AC343/AC444, "NA")</f>
        <v>0.36297729476829016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12325.87</v>
      </c>
      <c r="C344" s="15">
        <f>IFERROR(B344/B444, "NA")</f>
        <v>0.1204504813428289</v>
      </c>
      <c r="D344" s="2"/>
      <c r="E344" s="14">
        <f>IFERROR(E328+E329+E330+E331+E332+E333+E334+E335+E337+E338+E339+E340+E341, "NA")</f>
        <v>12312.31</v>
      </c>
      <c r="F344" s="15">
        <f>IFERROR(E344/E444, "NA")</f>
        <v>0.10009287949606877</v>
      </c>
      <c r="G344" s="2"/>
      <c r="H344" s="14">
        <f t="shared" si="84"/>
        <v>-13.56000000000131</v>
      </c>
      <c r="I344" s="15">
        <f>IFERROR(H344/H444, "NA")</f>
        <v>6.5578781105192529E-4</v>
      </c>
      <c r="J344" s="2"/>
      <c r="K344" s="14">
        <f>IFERROR(K328+K329+K330+K331+K332+K333+K334+K335+K337+K338+K339+K340+K341, "NA")</f>
        <v>13936.240000000002</v>
      </c>
      <c r="L344" s="15">
        <f>IFERROR(K344/K444, "NA")</f>
        <v>0.13255469570442108</v>
      </c>
      <c r="M344" s="2"/>
      <c r="N344" s="14">
        <f t="shared" si="85"/>
        <v>1610.3700000000008</v>
      </c>
      <c r="O344" s="15">
        <f>IFERROR(N344/N444, "NA")</f>
        <v>-0.57424206765227981</v>
      </c>
      <c r="P344" s="2"/>
      <c r="Q344" s="14">
        <f>IFERROR(Q328+Q329+Q330+Q331+Q332+Q333+Q334+Q335+Q337+Q338+Q339+Q340+Q341, "NA")</f>
        <v>68886.83</v>
      </c>
      <c r="R344" s="15">
        <f>IFERROR(Q344/Q444, "NA")</f>
        <v>0.13432412512635022</v>
      </c>
      <c r="S344" s="2"/>
      <c r="T344" s="14">
        <f>IFERROR(T328+T329+T330+T331+T332+T333+T334+T335+T337+T338+T339+T340+T341, "NA")</f>
        <v>67258.16</v>
      </c>
      <c r="U344" s="15">
        <f>IFERROR(T344/T444, "NA")</f>
        <v>0.12115610221762084</v>
      </c>
      <c r="V344" s="2"/>
      <c r="W344" s="14">
        <f t="shared" si="86"/>
        <v>-1628.6699999999983</v>
      </c>
      <c r="X344" s="15">
        <f>IFERROR(W344/W444, "NA")</f>
        <v>3.8506441737808053E-2</v>
      </c>
      <c r="Y344" s="2"/>
      <c r="Z344" s="14">
        <f>IFERROR(Z328+Z329+Z330+Z331+Z332+Z333+Z334+Z335+Z337+Z338+Z339+Z340+Z341, "NA")</f>
        <v>74916.459999999992</v>
      </c>
      <c r="AA344" s="15">
        <f>IFERROR(Z344/Z444, "NA")</f>
        <v>0.15097162347002263</v>
      </c>
      <c r="AB344" s="2"/>
      <c r="AC344" s="14">
        <f t="shared" si="87"/>
        <v>6029.6299999999901</v>
      </c>
      <c r="AD344" s="15">
        <f>IFERROR(AC344/AC444, "NA")</f>
        <v>0.36297729476829016</v>
      </c>
    </row>
    <row r="345" spans="1:30" ht="16.5" customHeight="1" x14ac:dyDescent="0.45">
      <c r="A345" s="22" t="s">
        <v>315</v>
      </c>
      <c r="B345" s="23">
        <f>IFERROR(B198-B325-B344, "NA")</f>
        <v>1977.5100000000111</v>
      </c>
      <c r="C345" s="24">
        <f>IFERROR(B345/B444, "NA")</f>
        <v>1.9324561378649855E-2</v>
      </c>
      <c r="D345" s="25"/>
      <c r="E345" s="23">
        <f>IFERROR(E198-E325-E344, "NA")</f>
        <v>21145.780000000028</v>
      </c>
      <c r="F345" s="24">
        <f>IFERROR(E345/E444, "NA")</f>
        <v>0.17190454182768172</v>
      </c>
      <c r="G345" s="25"/>
      <c r="H345" s="23">
        <f>IFERROR(B345-E345, "NA")</f>
        <v>-19168.270000000019</v>
      </c>
      <c r="I345" s="24">
        <f>IFERROR(H345/H444, "NA")</f>
        <v>0.92701458886069954</v>
      </c>
      <c r="J345" s="25"/>
      <c r="K345" s="23">
        <f>IFERROR(K198-K325-K344, "NA")</f>
        <v>6622.239999999987</v>
      </c>
      <c r="L345" s="24">
        <f>IFERROR(K345/K444, "NA")</f>
        <v>6.2987506535596649E-2</v>
      </c>
      <c r="M345" s="25"/>
      <c r="N345" s="23">
        <f>IFERROR(B345-K345, "NA")</f>
        <v>-4644.7299999999759</v>
      </c>
      <c r="O345" s="24">
        <f>IFERROR(N345/N444, "NA")</f>
        <v>1.6562649322121987</v>
      </c>
      <c r="P345" s="25"/>
      <c r="Q345" s="23">
        <f>IFERROR(Q198-Q325-Q344, "NA")</f>
        <v>2848.1299999998737</v>
      </c>
      <c r="R345" s="24">
        <f>IFERROR(Q345/Q444, "NA")</f>
        <v>5.5536387796636154E-3</v>
      </c>
      <c r="S345" s="25"/>
      <c r="T345" s="23">
        <f>IFERROR(T198-T325-T344, "NA")</f>
        <v>56199.62000000001</v>
      </c>
      <c r="U345" s="24">
        <f>IFERROR(T345/T444, "NA")</f>
        <v>0.10123569995538756</v>
      </c>
      <c r="V345" s="25"/>
      <c r="W345" s="23">
        <f>IFERROR(Q345-T345, "NA")</f>
        <v>-53351.490000000136</v>
      </c>
      <c r="X345" s="24">
        <f>IFERROR(W345/W444, "NA")</f>
        <v>1.261382625891222</v>
      </c>
      <c r="Y345" s="25"/>
      <c r="Z345" s="23">
        <f>IFERROR(Z198-Z325-Z344, "NA")</f>
        <v>8231.6599999999453</v>
      </c>
      <c r="AA345" s="24">
        <f>IFERROR(Z345/Z444, "NA")</f>
        <v>1.658843829584631E-2</v>
      </c>
      <c r="AB345" s="25"/>
      <c r="AC345" s="23">
        <f>IFERROR(Q345-Z345, "NA")</f>
        <v>-5383.5300000000716</v>
      </c>
      <c r="AD345" s="24">
        <f>IFERROR(AC345/AC444, "NA")</f>
        <v>-0.32408276390159302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1977.5100000000111</v>
      </c>
      <c r="C404" s="24">
        <f>IFERROR(B404/B444, "NA")</f>
        <v>1.9324561378649855E-2</v>
      </c>
      <c r="D404" s="25"/>
      <c r="E404" s="23">
        <f>IFERROR(E345-E403, "NA")</f>
        <v>21145.780000000028</v>
      </c>
      <c r="F404" s="24">
        <f>IFERROR(E404/E444, "NA")</f>
        <v>0.17190454182768172</v>
      </c>
      <c r="G404" s="25"/>
      <c r="H404" s="23">
        <f>IFERROR(B404-E404, "NA")</f>
        <v>-19168.270000000019</v>
      </c>
      <c r="I404" s="24">
        <f>IFERROR(H404/H444, "NA")</f>
        <v>0.92701458886069954</v>
      </c>
      <c r="J404" s="25"/>
      <c r="K404" s="23">
        <f>IFERROR(K345-K403, "NA")</f>
        <v>6622.239999999987</v>
      </c>
      <c r="L404" s="24">
        <f>IFERROR(K404/K444, "NA")</f>
        <v>6.2987506535596649E-2</v>
      </c>
      <c r="M404" s="25"/>
      <c r="N404" s="23">
        <f>IFERROR(B404-K404, "NA")</f>
        <v>-4644.7299999999759</v>
      </c>
      <c r="O404" s="24">
        <f>IFERROR(N404/N444, "NA")</f>
        <v>1.6562649322121987</v>
      </c>
      <c r="P404" s="25"/>
      <c r="Q404" s="23">
        <f>IFERROR(Q345-Q403, "NA")</f>
        <v>2848.1299999998737</v>
      </c>
      <c r="R404" s="24">
        <f>IFERROR(Q404/Q444, "NA")</f>
        <v>5.5536387796636154E-3</v>
      </c>
      <c r="S404" s="25"/>
      <c r="T404" s="23">
        <f>IFERROR(T345-T403, "NA")</f>
        <v>56199.62000000001</v>
      </c>
      <c r="U404" s="24">
        <f>IFERROR(T404/T444, "NA")</f>
        <v>0.10123569995538756</v>
      </c>
      <c r="V404" s="25"/>
      <c r="W404" s="23">
        <f>IFERROR(Q404-T404, "NA")</f>
        <v>-53351.490000000136</v>
      </c>
      <c r="X404" s="24">
        <f>IFERROR(W404/W444, "NA")</f>
        <v>1.261382625891222</v>
      </c>
      <c r="Y404" s="25"/>
      <c r="Z404" s="23">
        <f>IFERROR(Z345-Z403, "NA")</f>
        <v>8231.6599999999453</v>
      </c>
      <c r="AA404" s="24">
        <f>IFERROR(Z404/Z444, "NA")</f>
        <v>1.658843829584631E-2</v>
      </c>
      <c r="AB404" s="25"/>
      <c r="AC404" s="23">
        <f>IFERROR(Q404-Z404, "NA")</f>
        <v>-5383.5300000000716</v>
      </c>
      <c r="AD404" s="24">
        <f>IFERROR(AC404/AC444, "NA")</f>
        <v>-0.32408276390159302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-58898.32</v>
      </c>
      <c r="AA407" s="8">
        <f>IFERROR(Z407/Z444, "NA")</f>
        <v>-0.1186918734555384</v>
      </c>
      <c r="AB407" s="9"/>
      <c r="AC407" s="10">
        <f t="shared" ref="AC407:AC429" si="103">IFERROR(-(Q407-Z407), "NA")</f>
        <v>-58898.32</v>
      </c>
      <c r="AD407" s="8">
        <f>IFERROR(AC407/AC444, "NA")</f>
        <v>-3.5456160427749488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331.69</v>
      </c>
      <c r="AA408" s="8">
        <f>IFERROR(Z408/Z444, "NA")</f>
        <v>6.6842156968938214E-4</v>
      </c>
      <c r="AB408" s="9"/>
      <c r="AC408" s="10">
        <f t="shared" si="103"/>
        <v>331.69</v>
      </c>
      <c r="AD408" s="8">
        <f>IFERROR(AC408/AC444, "NA")</f>
        <v>1.9967384217886398E-2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4059.05</v>
      </c>
      <c r="C410" s="8">
        <f>IFERROR(B410/B444, "NA")</f>
        <v>3.9665721469933531E-2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-4059.05</v>
      </c>
      <c r="I410" s="8">
        <f>IFERROR(H410/H444, "NA")</f>
        <v>0.19630350401549118</v>
      </c>
      <c r="J410" s="9"/>
      <c r="K410" s="7">
        <v>3633.26</v>
      </c>
      <c r="L410" s="8">
        <f>IFERROR(K410/K444, "NA")</f>
        <v>3.4557791320689431E-2</v>
      </c>
      <c r="M410" s="9"/>
      <c r="N410" s="10">
        <f t="shared" si="101"/>
        <v>-425.78999999999996</v>
      </c>
      <c r="O410" s="8">
        <f>IFERROR(N410/N444, "NA")</f>
        <v>0.15183251674190656</v>
      </c>
      <c r="P410" s="9"/>
      <c r="Q410" s="7">
        <v>23362.799999999999</v>
      </c>
      <c r="R410" s="8">
        <f>IFERROR(Q410/Q444, "NA")</f>
        <v>4.5555698680021933E-2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-23362.799999999999</v>
      </c>
      <c r="X410" s="8">
        <f>IFERROR(W410/W444, "NA")</f>
        <v>0.55236376738815296</v>
      </c>
      <c r="Y410" s="9"/>
      <c r="Z410" s="7">
        <v>21124.5</v>
      </c>
      <c r="AA410" s="8">
        <f>IFERROR(Z410/Z444, "NA")</f>
        <v>4.2570084865094976E-2</v>
      </c>
      <c r="AB410" s="9"/>
      <c r="AC410" s="10">
        <f t="shared" si="103"/>
        <v>-2238.2999999999993</v>
      </c>
      <c r="AD410" s="8">
        <f>IFERROR(AC410/AC444, "NA")</f>
        <v>-0.13474327261869548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hidden="1" customHeight="1" x14ac:dyDescent="0.45">
      <c r="A416" s="6" t="s">
        <v>381</v>
      </c>
      <c r="B416" s="7">
        <v>0</v>
      </c>
      <c r="C416" s="8">
        <f>IFERROR(B416/B444, "NA")</f>
        <v>0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0</v>
      </c>
      <c r="I416" s="8">
        <f>IFERROR(H416/H444, "NA")</f>
        <v>0</v>
      </c>
      <c r="J416" s="9"/>
      <c r="K416" s="7">
        <v>0</v>
      </c>
      <c r="L416" s="8">
        <f>IFERROR(K416/K444, "NA")</f>
        <v>0</v>
      </c>
      <c r="M416" s="9"/>
      <c r="N416" s="10">
        <f t="shared" si="101"/>
        <v>0</v>
      </c>
      <c r="O416" s="8">
        <f>IFERROR(N416/N444, "NA")</f>
        <v>0</v>
      </c>
      <c r="P416" s="9"/>
      <c r="Q416" s="7">
        <v>0</v>
      </c>
      <c r="R416" s="8">
        <f>IFERROR(Q416/Q444, "NA")</f>
        <v>0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0</v>
      </c>
      <c r="X416" s="8">
        <f>IFERROR(W416/W444, "NA")</f>
        <v>0</v>
      </c>
      <c r="Y416" s="9"/>
      <c r="Z416" s="7">
        <v>0</v>
      </c>
      <c r="AA416" s="8">
        <f>IFERROR(Z416/Z444, "NA")</f>
        <v>0</v>
      </c>
      <c r="AB416" s="9"/>
      <c r="AC416" s="10">
        <f t="shared" si="103"/>
        <v>0</v>
      </c>
      <c r="AD416" s="8">
        <f>IFERROR(AC416/AC444, "NA")</f>
        <v>0</v>
      </c>
    </row>
    <row r="417" spans="1:30" ht="16.5" customHeight="1" x14ac:dyDescent="0.45">
      <c r="A417" s="6" t="s">
        <v>382</v>
      </c>
      <c r="B417" s="7">
        <v>-90.96</v>
      </c>
      <c r="C417" s="8">
        <f>IFERROR(B417/B444, "NA")</f>
        <v>-8.8887646737664079E-4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90.96</v>
      </c>
      <c r="I417" s="8">
        <f>IFERROR(H417/H444, "NA")</f>
        <v>-4.3990014228080651E-3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90.96</v>
      </c>
      <c r="O417" s="8">
        <f>IFERROR(N417/N444, "NA")</f>
        <v>-3.2435439354714352E-2</v>
      </c>
      <c r="P417" s="9"/>
      <c r="Q417" s="7">
        <v>21.23</v>
      </c>
      <c r="R417" s="8">
        <f>IFERROR(Q417/Q444, "NA")</f>
        <v>4.1396899471675725E-5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-21.23</v>
      </c>
      <c r="X417" s="8">
        <f>IFERROR(W417/W444, "NA")</f>
        <v>5.0193824291824981E-4</v>
      </c>
      <c r="Y417" s="9"/>
      <c r="Z417" s="7">
        <v>0.14000000000000001</v>
      </c>
      <c r="AA417" s="8">
        <f>IFERROR(Z417/Z444, "NA")</f>
        <v>2.8212795006335285E-7</v>
      </c>
      <c r="AB417" s="9"/>
      <c r="AC417" s="10">
        <f t="shared" si="103"/>
        <v>-21.09</v>
      </c>
      <c r="AD417" s="8">
        <f>IFERROR(AC417/AC444, "NA")</f>
        <v>-1.2695955053068351E-3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328.57</v>
      </c>
      <c r="L424" s="8">
        <f>IFERROR(K424/K444, "NA")</f>
        <v>3.1251970666120576E-3</v>
      </c>
      <c r="M424" s="9"/>
      <c r="N424" s="10">
        <f t="shared" si="101"/>
        <v>328.57</v>
      </c>
      <c r="O424" s="8">
        <f>IFERROR(N424/N444, "NA")</f>
        <v>-0.11716482309562988</v>
      </c>
      <c r="P424" s="9"/>
      <c r="Q424" s="7">
        <v>239.6</v>
      </c>
      <c r="R424" s="8">
        <f>IFERROR(Q424/Q444, "NA")</f>
        <v>4.6720193657152632E-4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-239.6</v>
      </c>
      <c r="X424" s="8">
        <f>IFERROR(W424/W444, "NA")</f>
        <v>5.6648329252573081E-3</v>
      </c>
      <c r="Y424" s="9"/>
      <c r="Z424" s="7">
        <v>328.57</v>
      </c>
      <c r="AA424" s="8">
        <f>IFERROR(Z424/Z444, "NA")</f>
        <v>6.6213414680225599E-4</v>
      </c>
      <c r="AB424" s="9"/>
      <c r="AC424" s="10">
        <f t="shared" si="103"/>
        <v>88.97</v>
      </c>
      <c r="AD424" s="8">
        <f>IFERROR(AC424/AC444, "NA")</f>
        <v>5.3558991041796639E-3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customHeight="1" x14ac:dyDescent="0.45">
      <c r="A426" s="6" t="s">
        <v>391</v>
      </c>
      <c r="B426" s="7">
        <v>-135.94</v>
      </c>
      <c r="C426" s="8">
        <f>IFERROR(B426/B444, "NA")</f>
        <v>-1.3284286167016331E-3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135.94</v>
      </c>
      <c r="I426" s="8">
        <f>IFERROR(H426/H444, "NA")</f>
        <v>-6.5743211677278847E-3</v>
      </c>
      <c r="J426" s="9"/>
      <c r="K426" s="7">
        <v>-382.99</v>
      </c>
      <c r="L426" s="8">
        <f>IFERROR(K426/K444, "NA")</f>
        <v>-3.6428134782291507E-3</v>
      </c>
      <c r="M426" s="9"/>
      <c r="N426" s="10">
        <f t="shared" si="101"/>
        <v>-247.05</v>
      </c>
      <c r="O426" s="8">
        <f>IFERROR(N426/N444, "NA")</f>
        <v>8.8095594685380169E-2</v>
      </c>
      <c r="P426" s="9"/>
      <c r="Q426" s="7">
        <v>-802.77</v>
      </c>
      <c r="R426" s="8">
        <f>IFERROR(Q426/Q444, "NA")</f>
        <v>-1.5653409792217203E-3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802.77</v>
      </c>
      <c r="X426" s="8">
        <f>IFERROR(W426/W444, "NA")</f>
        <v>-1.8979791015896533E-2</v>
      </c>
      <c r="Y426" s="9"/>
      <c r="Z426" s="7">
        <v>-1136.19</v>
      </c>
      <c r="AA426" s="8">
        <f>IFERROR(Z426/Z444, "NA")</f>
        <v>-2.2896496827320063E-3</v>
      </c>
      <c r="AB426" s="9"/>
      <c r="AC426" s="10">
        <f t="shared" si="103"/>
        <v>-333.42000000000007</v>
      </c>
      <c r="AD426" s="8">
        <f>IFERROR(AC426/AC444, "NA")</f>
        <v>-2.0071528372660265E-2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3832.15</v>
      </c>
      <c r="C428" s="15">
        <f>IFERROR(B428/B444, "NA")</f>
        <v>3.7448416385855256E-2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-3832.15</v>
      </c>
      <c r="I428" s="15">
        <f>IFERROR(H428/H444, "NA")</f>
        <v>0.18533018142495522</v>
      </c>
      <c r="J428" s="2"/>
      <c r="K428" s="14">
        <f>IFERROR(K407+K408+K409+K410+K411+K412+K413+K414+K415+K416+K417+K418+K419+K420+K421+K422+K423+K424+K425+K426+K427, "NA")</f>
        <v>3578.84</v>
      </c>
      <c r="L428" s="15">
        <f>IFERROR(K428/K444, "NA")</f>
        <v>3.4040174909072338E-2</v>
      </c>
      <c r="M428" s="2"/>
      <c r="N428" s="14">
        <f t="shared" si="101"/>
        <v>-253.30999999999995</v>
      </c>
      <c r="O428" s="15">
        <f>IFERROR(N428/N444, "NA")</f>
        <v>9.0327848976942501E-2</v>
      </c>
      <c r="P428" s="2"/>
      <c r="Q428" s="14">
        <f>IFERROR(Q407+Q408+Q409+Q410+Q411+Q412+Q413+Q414+Q415+Q416+Q417+Q418+Q419+Q420+Q421+Q422+Q423+Q424+Q425+Q426+Q427, "NA")</f>
        <v>22820.859999999997</v>
      </c>
      <c r="R428" s="15">
        <f>IFERROR(Q428/Q444, "NA")</f>
        <v>4.4498956536843409E-2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-22820.859999999997</v>
      </c>
      <c r="X428" s="15">
        <f>IFERROR(W428/W444, "NA")</f>
        <v>0.53955074754043186</v>
      </c>
      <c r="Y428" s="2"/>
      <c r="Z428" s="14">
        <f>IFERROR(Z407+Z408+Z409+Z410+Z411+Z412+Z413+Z414+Z415+Z416+Z417+Z418+Z419+Z420+Z421+Z422+Z423+Z424+Z425+Z426+Z427, "NA")</f>
        <v>-38249.61</v>
      </c>
      <c r="AA428" s="15">
        <f>IFERROR(Z428/Z444, "NA")</f>
        <v>-7.7080600428733728E-2</v>
      </c>
      <c r="AB428" s="2"/>
      <c r="AC428" s="14">
        <f t="shared" si="103"/>
        <v>-61070.47</v>
      </c>
      <c r="AD428" s="15">
        <f>IFERROR(AC428/AC444, "NA")</f>
        <v>-3.6763771559495453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3832.15</v>
      </c>
      <c r="C429" s="15">
        <f>IFERROR(B429/B444, "NA")</f>
        <v>3.7448416385855256E-2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-3832.15</v>
      </c>
      <c r="I429" s="15">
        <f>IFERROR(H429/H444, "NA")</f>
        <v>0.18533018142495522</v>
      </c>
      <c r="J429" s="2"/>
      <c r="K429" s="14">
        <f>IFERROR(K407+K408+K409+K410+K411+K412+K413+K414+K415+K416+K417+K418+K419+K420+K421+K422+K423+K424+K425+K426+K427, "NA")</f>
        <v>3578.84</v>
      </c>
      <c r="L429" s="15">
        <f>IFERROR(K429/K444, "NA")</f>
        <v>3.4040174909072338E-2</v>
      </c>
      <c r="M429" s="2"/>
      <c r="N429" s="14">
        <f t="shared" si="101"/>
        <v>-253.30999999999995</v>
      </c>
      <c r="O429" s="15">
        <f>IFERROR(N429/N444, "NA")</f>
        <v>9.0327848976942501E-2</v>
      </c>
      <c r="P429" s="2"/>
      <c r="Q429" s="14">
        <f>IFERROR(Q407+Q408+Q409+Q410+Q411+Q412+Q413+Q414+Q415+Q416+Q417+Q418+Q419+Q420+Q421+Q422+Q423+Q424+Q425+Q426+Q427, "NA")</f>
        <v>22820.859999999997</v>
      </c>
      <c r="R429" s="15">
        <f>IFERROR(Q429/Q444, "NA")</f>
        <v>4.4498956536843409E-2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-22820.859999999997</v>
      </c>
      <c r="X429" s="15">
        <f>IFERROR(W429/W444, "NA")</f>
        <v>0.53955074754043186</v>
      </c>
      <c r="Y429" s="2"/>
      <c r="Z429" s="14">
        <f>IFERROR(Z407+Z408+Z409+Z410+Z411+Z412+Z413+Z414+Z415+Z416+Z417+Z418+Z419+Z420+Z421+Z422+Z423+Z424+Z425+Z426+Z427, "NA")</f>
        <v>-38249.61</v>
      </c>
      <c r="AA429" s="15">
        <f>IFERROR(Z429/Z444, "NA")</f>
        <v>-7.7080600428733728E-2</v>
      </c>
      <c r="AB429" s="2"/>
      <c r="AC429" s="14">
        <f t="shared" si="103"/>
        <v>-61070.47</v>
      </c>
      <c r="AD429" s="15">
        <f>IFERROR(AC429/AC444, "NA")</f>
        <v>-3.6763771559495453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-1854.639999999989</v>
      </c>
      <c r="C443" s="24">
        <f>IFERROR(B443/B444, "NA")</f>
        <v>-1.8123855007205401E-2</v>
      </c>
      <c r="D443" s="25"/>
      <c r="E443" s="23">
        <f>IFERROR(E404-E429-E442, "NA")</f>
        <v>21145.780000000028</v>
      </c>
      <c r="F443" s="24">
        <f>IFERROR(E443/E444, "NA")</f>
        <v>0.17190454182768172</v>
      </c>
      <c r="G443" s="25"/>
      <c r="H443" s="23">
        <f>IFERROR(B443-E443, "NA")</f>
        <v>-23000.420000000016</v>
      </c>
      <c r="I443" s="24">
        <f>IFERROR(H443/H444, "NA")</f>
        <v>1.1123447702856546</v>
      </c>
      <c r="J443" s="25"/>
      <c r="K443" s="23">
        <f>IFERROR(K404-K429-K442, "NA")</f>
        <v>3043.3999999999869</v>
      </c>
      <c r="L443" s="24">
        <f>IFERROR(K443/K444, "NA")</f>
        <v>2.8947331626524318E-2</v>
      </c>
      <c r="M443" s="25"/>
      <c r="N443" s="23">
        <f>IFERROR(B443-K443, "NA")</f>
        <v>-4898.0399999999754</v>
      </c>
      <c r="O443" s="24">
        <f>IFERROR(N443/N444, "NA")</f>
        <v>1.7465927811891411</v>
      </c>
      <c r="P443" s="25"/>
      <c r="Q443" s="23">
        <f>IFERROR(Q404-Q429-Q442, "NA")</f>
        <v>-19972.730000000123</v>
      </c>
      <c r="R443" s="24">
        <f>IFERROR(Q443/Q444, "NA")</f>
        <v>-3.8945317757179791E-2</v>
      </c>
      <c r="S443" s="25"/>
      <c r="T443" s="23">
        <f>IFERROR(T404-T429-T442, "NA")</f>
        <v>56199.62000000001</v>
      </c>
      <c r="U443" s="24">
        <f>IFERROR(T443/T444, "NA")</f>
        <v>0.10123569995538756</v>
      </c>
      <c r="V443" s="25"/>
      <c r="W443" s="23">
        <f>IFERROR(Q443-T443, "NA")</f>
        <v>-76172.350000000137</v>
      </c>
      <c r="X443" s="24">
        <f>IFERROR(W443/W444, "NA")</f>
        <v>1.8009333734316539</v>
      </c>
      <c r="Y443" s="25"/>
      <c r="Z443" s="23">
        <f>IFERROR(Z404-Z429-Z442, "NA")</f>
        <v>46481.269999999946</v>
      </c>
      <c r="AA443" s="24">
        <f>IFERROR(Z443/Z444, "NA")</f>
        <v>9.3669038724580031E-2</v>
      </c>
      <c r="AB443" s="25"/>
      <c r="AC443" s="23">
        <f>IFERROR(Q443-Z443, "NA")</f>
        <v>-66454.000000000073</v>
      </c>
      <c r="AD443" s="24">
        <f>IFERROR(AC443/AC444, "NA")</f>
        <v>-4.0004599198511386</v>
      </c>
    </row>
    <row r="444" spans="1:30" ht="15.75" hidden="1" x14ac:dyDescent="0.45">
      <c r="A444" s="26" t="s">
        <v>117</v>
      </c>
      <c r="B444" s="7">
        <v>102331.43</v>
      </c>
      <c r="C444" s="27"/>
      <c r="D444" s="9"/>
      <c r="E444" s="7">
        <v>123008.85</v>
      </c>
      <c r="F444" s="27"/>
      <c r="G444" s="9"/>
      <c r="H444" s="10">
        <f>IFERROR(B444-E444, "NA")</f>
        <v>-20677.420000000013</v>
      </c>
      <c r="I444" s="27"/>
      <c r="J444" s="9"/>
      <c r="K444" s="7">
        <v>105135.77</v>
      </c>
      <c r="L444" s="27"/>
      <c r="M444" s="9"/>
      <c r="N444" s="10">
        <f>IFERROR(B444-K444, "NA")</f>
        <v>-2804.3400000000111</v>
      </c>
      <c r="O444" s="27"/>
      <c r="P444" s="9"/>
      <c r="Q444" s="7">
        <v>512840.34</v>
      </c>
      <c r="R444" s="27"/>
      <c r="S444" s="9"/>
      <c r="T444" s="7">
        <v>555136.38</v>
      </c>
      <c r="U444" s="27"/>
      <c r="V444" s="9"/>
      <c r="W444" s="10">
        <f>IFERROR(Q444-T444, "NA")</f>
        <v>-42296.039999999979</v>
      </c>
      <c r="X444" s="27"/>
      <c r="Y444" s="9"/>
      <c r="Z444" s="7">
        <v>496228.75</v>
      </c>
      <c r="AA444" s="27"/>
      <c r="AB444" s="9"/>
      <c r="AC444" s="10">
        <f>IFERROR(Q444-Z444, "NA")</f>
        <v>16611.590000000026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413</v>
      </c>
      <c r="B3" s="31" t="s">
        <v>413</v>
      </c>
      <c r="C3" s="31" t="s">
        <v>413</v>
      </c>
      <c r="D3" s="31" t="s">
        <v>413</v>
      </c>
      <c r="E3" s="31" t="s">
        <v>413</v>
      </c>
      <c r="F3" s="31" t="s">
        <v>413</v>
      </c>
      <c r="G3" s="31" t="s">
        <v>413</v>
      </c>
      <c r="H3" s="31" t="s">
        <v>413</v>
      </c>
      <c r="I3" s="31" t="s">
        <v>413</v>
      </c>
      <c r="J3" s="31" t="s">
        <v>413</v>
      </c>
      <c r="K3" s="31" t="s">
        <v>413</v>
      </c>
      <c r="L3" s="31" t="s">
        <v>413</v>
      </c>
      <c r="M3" s="31" t="s">
        <v>413</v>
      </c>
      <c r="N3" s="31" t="s">
        <v>413</v>
      </c>
      <c r="O3" s="31" t="s">
        <v>413</v>
      </c>
      <c r="P3" s="31" t="s">
        <v>413</v>
      </c>
      <c r="Q3" s="31" t="s">
        <v>413</v>
      </c>
      <c r="R3" s="31" t="s">
        <v>413</v>
      </c>
      <c r="S3" s="31" t="s">
        <v>413</v>
      </c>
      <c r="T3" s="31" t="s">
        <v>413</v>
      </c>
      <c r="U3" s="31" t="s">
        <v>413</v>
      </c>
      <c r="V3" s="31" t="s">
        <v>413</v>
      </c>
      <c r="W3" s="31" t="s">
        <v>413</v>
      </c>
      <c r="X3" s="31" t="s">
        <v>413</v>
      </c>
      <c r="Y3" s="31" t="s">
        <v>413</v>
      </c>
      <c r="Z3" s="31" t="s">
        <v>413</v>
      </c>
      <c r="AA3" s="31" t="s">
        <v>413</v>
      </c>
      <c r="AB3" s="31" t="s">
        <v>413</v>
      </c>
      <c r="AC3" s="31" t="s">
        <v>413</v>
      </c>
      <c r="AD3" s="31" t="s">
        <v>413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48156.06</v>
      </c>
      <c r="F10" s="8">
        <f>IFERROR(E10/E444, "NA")</f>
        <v>0.24000001196111204</v>
      </c>
      <c r="G10" s="9"/>
      <c r="H10" s="10">
        <f t="shared" ref="H10:H19" si="0">IFERROR(B10-E10, "NA")</f>
        <v>-48156.06</v>
      </c>
      <c r="I10" s="8">
        <f>IFERROR(H10/H444, "NA")</f>
        <v>-1.9170619736207248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239894.74</v>
      </c>
      <c r="U10" s="8">
        <f>IFERROR(T10/T444, "NA")</f>
        <v>0.23999999199649005</v>
      </c>
      <c r="V10" s="9"/>
      <c r="W10" s="10">
        <f t="shared" ref="W10:W19" si="2">IFERROR(Q10-T10, "NA")</f>
        <v>-239894.74</v>
      </c>
      <c r="X10" s="8">
        <f>IFERROR(W10/W444, "NA")</f>
        <v>-2.0266712061492513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64600.31</v>
      </c>
      <c r="C11" s="8">
        <f>IFERROR(B11/B444, "NA")</f>
        <v>0.28613332792369722</v>
      </c>
      <c r="D11" s="9"/>
      <c r="E11" s="7">
        <v>0</v>
      </c>
      <c r="F11" s="8">
        <f>IFERROR(E11/E444, "NA")</f>
        <v>0</v>
      </c>
      <c r="G11" s="9"/>
      <c r="H11" s="10">
        <f t="shared" si="0"/>
        <v>64600.31</v>
      </c>
      <c r="I11" s="8">
        <f>IFERROR(H11/H444, "NA")</f>
        <v>2.5716970571328024</v>
      </c>
      <c r="J11" s="9"/>
      <c r="K11" s="7">
        <v>51572.68</v>
      </c>
      <c r="L11" s="8">
        <f>IFERROR(K11/K444, "NA")</f>
        <v>0.28787108153969815</v>
      </c>
      <c r="M11" s="9"/>
      <c r="N11" s="10">
        <f t="shared" si="1"/>
        <v>13027.629999999997</v>
      </c>
      <c r="O11" s="8">
        <f>IFERROR(N11/N444, "NA")</f>
        <v>0.2794551713545595</v>
      </c>
      <c r="P11" s="9"/>
      <c r="Q11" s="7">
        <v>289647.87</v>
      </c>
      <c r="R11" s="8">
        <f>IFERROR(Q11/Q444, "NA")</f>
        <v>0.25909295955212946</v>
      </c>
      <c r="S11" s="9"/>
      <c r="T11" s="7">
        <v>0</v>
      </c>
      <c r="U11" s="8">
        <f>IFERROR(T11/T444, "NA")</f>
        <v>0</v>
      </c>
      <c r="V11" s="9"/>
      <c r="W11" s="10">
        <f t="shared" si="2"/>
        <v>289647.87</v>
      </c>
      <c r="X11" s="8">
        <f>IFERROR(W11/W444, "NA")</f>
        <v>2.4469940360153855</v>
      </c>
      <c r="Y11" s="9"/>
      <c r="Z11" s="7">
        <v>243811.72</v>
      </c>
      <c r="AA11" s="8">
        <f>IFERROR(Z11/Z444, "NA")</f>
        <v>0.27110765471027076</v>
      </c>
      <c r="AB11" s="9"/>
      <c r="AC11" s="10">
        <f t="shared" si="3"/>
        <v>45836.149999999994</v>
      </c>
      <c r="AD11" s="8">
        <f>IFERROR(AC11/AC444, "NA")</f>
        <v>0.2096677004707535</v>
      </c>
    </row>
    <row r="12" spans="1:30" ht="16.5" customHeight="1" x14ac:dyDescent="0.45">
      <c r="A12" s="12" t="s">
        <v>14</v>
      </c>
      <c r="B12" s="7">
        <v>7108.7</v>
      </c>
      <c r="C12" s="8">
        <f>IFERROR(B12/B444, "NA")</f>
        <v>3.1486474108424346E-2</v>
      </c>
      <c r="D12" s="9"/>
      <c r="E12" s="7">
        <v>0</v>
      </c>
      <c r="F12" s="8">
        <f>IFERROR(E12/E444, "NA")</f>
        <v>0</v>
      </c>
      <c r="G12" s="9"/>
      <c r="H12" s="10">
        <f t="shared" si="0"/>
        <v>7108.7</v>
      </c>
      <c r="I12" s="8">
        <f>IFERROR(H12/H444, "NA")</f>
        <v>0.28299280405991784</v>
      </c>
      <c r="J12" s="9"/>
      <c r="K12" s="7">
        <v>5213.8</v>
      </c>
      <c r="L12" s="8">
        <f>IFERROR(K12/K444, "NA")</f>
        <v>2.9102661427167994E-2</v>
      </c>
      <c r="M12" s="9"/>
      <c r="N12" s="10">
        <f t="shared" si="1"/>
        <v>1894.8999999999996</v>
      </c>
      <c r="O12" s="8">
        <f>IFERROR(N12/N444, "NA")</f>
        <v>4.0647424297416704E-2</v>
      </c>
      <c r="P12" s="9"/>
      <c r="Q12" s="7">
        <v>28160.19</v>
      </c>
      <c r="R12" s="8">
        <f>IFERROR(Q12/Q444, "NA")</f>
        <v>2.5189575772299935E-2</v>
      </c>
      <c r="S12" s="9"/>
      <c r="T12" s="7">
        <v>0</v>
      </c>
      <c r="U12" s="8">
        <f>IFERROR(T12/T444, "NA")</f>
        <v>0</v>
      </c>
      <c r="V12" s="9"/>
      <c r="W12" s="10">
        <f t="shared" si="2"/>
        <v>28160.19</v>
      </c>
      <c r="X12" s="8">
        <f>IFERROR(W12/W444, "NA")</f>
        <v>0.2379020325026388</v>
      </c>
      <c r="Y12" s="9"/>
      <c r="Z12" s="7">
        <v>21649.9</v>
      </c>
      <c r="AA12" s="8">
        <f>IFERROR(Z12/Z444, "NA")</f>
        <v>2.4073713985988413E-2</v>
      </c>
      <c r="AB12" s="9"/>
      <c r="AC12" s="10">
        <f t="shared" si="3"/>
        <v>6510.2899999999972</v>
      </c>
      <c r="AD12" s="8">
        <f>IFERROR(AC12/AC444, "NA")</f>
        <v>2.9779934259263518E-2</v>
      </c>
    </row>
    <row r="13" spans="1:30" ht="16.5" customHeight="1" x14ac:dyDescent="0.45">
      <c r="A13" s="12" t="s">
        <v>15</v>
      </c>
      <c r="B13" s="7">
        <v>458</v>
      </c>
      <c r="C13" s="8">
        <f>IFERROR(B13/B444, "NA")</f>
        <v>2.0286135498274438E-3</v>
      </c>
      <c r="D13" s="9"/>
      <c r="E13" s="7">
        <v>0</v>
      </c>
      <c r="F13" s="8">
        <f>IFERROR(E13/E444, "NA")</f>
        <v>0</v>
      </c>
      <c r="G13" s="9"/>
      <c r="H13" s="10">
        <f t="shared" si="0"/>
        <v>458</v>
      </c>
      <c r="I13" s="8">
        <f>IFERROR(H13/H444, "NA")</f>
        <v>1.8232687307024122E-2</v>
      </c>
      <c r="J13" s="9"/>
      <c r="K13" s="7">
        <v>396</v>
      </c>
      <c r="L13" s="8">
        <f>IFERROR(K13/K444, "NA")</f>
        <v>2.2104135036170405E-3</v>
      </c>
      <c r="M13" s="9"/>
      <c r="N13" s="10">
        <f t="shared" si="1"/>
        <v>62</v>
      </c>
      <c r="O13" s="8">
        <f>IFERROR(N13/N444, "NA")</f>
        <v>1.3299595263284796E-3</v>
      </c>
      <c r="P13" s="9"/>
      <c r="Q13" s="7">
        <v>2086</v>
      </c>
      <c r="R13" s="8">
        <f>IFERROR(Q13/Q444, "NA")</f>
        <v>1.8659481722608287E-3</v>
      </c>
      <c r="S13" s="9"/>
      <c r="T13" s="7">
        <v>0</v>
      </c>
      <c r="U13" s="8">
        <f>IFERROR(T13/T444, "NA")</f>
        <v>0</v>
      </c>
      <c r="V13" s="9"/>
      <c r="W13" s="10">
        <f t="shared" si="2"/>
        <v>2086</v>
      </c>
      <c r="X13" s="8">
        <f>IFERROR(W13/W444, "NA")</f>
        <v>1.7622879668088339E-2</v>
      </c>
      <c r="Y13" s="9"/>
      <c r="Z13" s="7">
        <v>1707</v>
      </c>
      <c r="AA13" s="8">
        <f>IFERROR(Z13/Z444, "NA")</f>
        <v>1.8981071401753457E-3</v>
      </c>
      <c r="AB13" s="9"/>
      <c r="AC13" s="10">
        <f t="shared" si="3"/>
        <v>379</v>
      </c>
      <c r="AD13" s="8">
        <f>IFERROR(AC13/AC444, "NA")</f>
        <v>1.7336547349289936E-3</v>
      </c>
    </row>
    <row r="14" spans="1:30" ht="16.5" customHeight="1" x14ac:dyDescent="0.45">
      <c r="A14" s="12" t="s">
        <v>16</v>
      </c>
      <c r="B14" s="7">
        <v>475</v>
      </c>
      <c r="C14" s="8">
        <f>IFERROR(B14/B444, "NA")</f>
        <v>2.1039114326813009E-3</v>
      </c>
      <c r="D14" s="9"/>
      <c r="E14" s="7">
        <v>0</v>
      </c>
      <c r="F14" s="8">
        <f>IFERROR(E14/E444, "NA")</f>
        <v>0</v>
      </c>
      <c r="G14" s="9"/>
      <c r="H14" s="10">
        <f t="shared" si="0"/>
        <v>475</v>
      </c>
      <c r="I14" s="8">
        <f>IFERROR(H14/H444, "NA")</f>
        <v>1.8909446442874362E-2</v>
      </c>
      <c r="J14" s="9"/>
      <c r="K14" s="7">
        <v>985</v>
      </c>
      <c r="L14" s="8">
        <f>IFERROR(K14/K444, "NA")</f>
        <v>5.4981244976332949E-3</v>
      </c>
      <c r="M14" s="9"/>
      <c r="N14" s="10">
        <f t="shared" si="1"/>
        <v>-510</v>
      </c>
      <c r="O14" s="8">
        <f>IFERROR(N14/N444, "NA")</f>
        <v>-1.0939989652056848E-2</v>
      </c>
      <c r="P14" s="9"/>
      <c r="Q14" s="7">
        <v>2760</v>
      </c>
      <c r="R14" s="8">
        <f>IFERROR(Q14/Q444, "NA")</f>
        <v>2.4688480131543084E-3</v>
      </c>
      <c r="S14" s="9"/>
      <c r="T14" s="7">
        <v>0</v>
      </c>
      <c r="U14" s="8">
        <f>IFERROR(T14/T444, "NA")</f>
        <v>0</v>
      </c>
      <c r="V14" s="9"/>
      <c r="W14" s="10">
        <f t="shared" si="2"/>
        <v>2760</v>
      </c>
      <c r="X14" s="8">
        <f>IFERROR(W14/W444, "NA")</f>
        <v>2.331694529430672E-2</v>
      </c>
      <c r="Y14" s="9"/>
      <c r="Z14" s="7">
        <v>4142</v>
      </c>
      <c r="AA14" s="8">
        <f>IFERROR(Z14/Z444, "NA")</f>
        <v>4.605717501233909E-3</v>
      </c>
      <c r="AB14" s="9"/>
      <c r="AC14" s="10">
        <f t="shared" si="3"/>
        <v>-1382</v>
      </c>
      <c r="AD14" s="8">
        <f>IFERROR(AC14/AC444, "NA")</f>
        <v>-6.3216644951764357E-3</v>
      </c>
    </row>
    <row r="15" spans="1:30" ht="16.5" customHeight="1" x14ac:dyDescent="0.45">
      <c r="A15" s="12" t="s">
        <v>17</v>
      </c>
      <c r="B15" s="7">
        <v>118</v>
      </c>
      <c r="C15" s="8">
        <f>IFERROR(B15/B444, "NA")</f>
        <v>5.2265589275030219E-4</v>
      </c>
      <c r="D15" s="9"/>
      <c r="E15" s="7">
        <v>0</v>
      </c>
      <c r="F15" s="8">
        <f>IFERROR(E15/E444, "NA")</f>
        <v>0</v>
      </c>
      <c r="G15" s="9"/>
      <c r="H15" s="10">
        <f t="shared" si="0"/>
        <v>118</v>
      </c>
      <c r="I15" s="8">
        <f>IFERROR(H15/H444, "NA")</f>
        <v>4.6975045900193154E-3</v>
      </c>
      <c r="J15" s="9"/>
      <c r="K15" s="7">
        <v>140</v>
      </c>
      <c r="L15" s="8">
        <f>IFERROR(K15/K444, "NA")</f>
        <v>7.8145931946056984E-4</v>
      </c>
      <c r="M15" s="9"/>
      <c r="N15" s="10">
        <f t="shared" si="1"/>
        <v>-22</v>
      </c>
      <c r="O15" s="8">
        <f>IFERROR(N15/N444, "NA")</f>
        <v>-4.7192112224558956E-4</v>
      </c>
      <c r="P15" s="9"/>
      <c r="Q15" s="7">
        <v>624</v>
      </c>
      <c r="R15" s="8">
        <f>IFERROR(Q15/Q444, "NA")</f>
        <v>5.5817433340880017E-4</v>
      </c>
      <c r="S15" s="9"/>
      <c r="T15" s="7">
        <v>0</v>
      </c>
      <c r="U15" s="8">
        <f>IFERROR(T15/T444, "NA")</f>
        <v>0</v>
      </c>
      <c r="V15" s="9"/>
      <c r="W15" s="10">
        <f t="shared" si="2"/>
        <v>624</v>
      </c>
      <c r="X15" s="8">
        <f>IFERROR(W15/W444, "NA")</f>
        <v>5.2716571969736925E-3</v>
      </c>
      <c r="Y15" s="9"/>
      <c r="Z15" s="7">
        <v>621</v>
      </c>
      <c r="AA15" s="8">
        <f>IFERROR(Z15/Z444, "NA")</f>
        <v>6.9052403869296407E-4</v>
      </c>
      <c r="AB15" s="9"/>
      <c r="AC15" s="10">
        <f t="shared" si="3"/>
        <v>3</v>
      </c>
      <c r="AD15" s="8">
        <f>IFERROR(AC15/AC444, "NA")</f>
        <v>1.3722860698646388E-5</v>
      </c>
    </row>
    <row r="16" spans="1:30" ht="16.5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0.6</v>
      </c>
      <c r="R16" s="8">
        <f>IFERROR(Q16/Q444, "NA")</f>
        <v>5.3670608981615398E-7</v>
      </c>
      <c r="S16" s="9"/>
      <c r="T16" s="7">
        <v>0</v>
      </c>
      <c r="U16" s="8">
        <f>IFERROR(T16/T444, "NA")</f>
        <v>0</v>
      </c>
      <c r="V16" s="9"/>
      <c r="W16" s="10">
        <f t="shared" si="2"/>
        <v>0.6</v>
      </c>
      <c r="X16" s="8">
        <f>IFERROR(W16/W444, "NA")</f>
        <v>5.0689011509362433E-6</v>
      </c>
      <c r="Y16" s="9"/>
      <c r="Z16" s="7">
        <v>0</v>
      </c>
      <c r="AA16" s="8">
        <f>IFERROR(Z16/Z444, "NA")</f>
        <v>0</v>
      </c>
      <c r="AB16" s="9"/>
      <c r="AC16" s="10">
        <f t="shared" si="3"/>
        <v>0.6</v>
      </c>
      <c r="AD16" s="8">
        <f>IFERROR(AC16/AC444, "NA")</f>
        <v>2.7445721397292774E-6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72760.009999999995</v>
      </c>
      <c r="C18" s="15">
        <f>IFERROR(B18/B444, "NA")</f>
        <v>0.3222749829073806</v>
      </c>
      <c r="D18" s="2"/>
      <c r="E18" s="14">
        <f>IFERROR(E10+E11+E12+E13+E14+E15+E16+E17, "NA")</f>
        <v>48156.06</v>
      </c>
      <c r="F18" s="15">
        <f>IFERROR(E18/E444, "NA")</f>
        <v>0.24000001196111204</v>
      </c>
      <c r="G18" s="2"/>
      <c r="H18" s="14">
        <f t="shared" si="0"/>
        <v>24603.949999999997</v>
      </c>
      <c r="I18" s="15">
        <f>IFERROR(H18/H444, "NA")</f>
        <v>0.97946752591191288</v>
      </c>
      <c r="J18" s="2"/>
      <c r="K18" s="14">
        <f>IFERROR(K10+K11+K12+K13+K14+K15+K16+K17, "NA")</f>
        <v>58307.48</v>
      </c>
      <c r="L18" s="15">
        <f>IFERROR(K18/K444, "NA")</f>
        <v>0.32546374028757707</v>
      </c>
      <c r="M18" s="2"/>
      <c r="N18" s="14">
        <f t="shared" si="1"/>
        <v>14452.529999999992</v>
      </c>
      <c r="O18" s="15">
        <f>IFERROR(N18/N444, "NA")</f>
        <v>0.31002064440400212</v>
      </c>
      <c r="P18" s="2"/>
      <c r="Q18" s="14">
        <f>IFERROR(Q10+Q11+Q12+Q13+Q14+Q15+Q16+Q17, "NA")</f>
        <v>323278.65999999997</v>
      </c>
      <c r="R18" s="15">
        <f>IFERROR(Q18/Q444, "NA")</f>
        <v>0.28917604254934315</v>
      </c>
      <c r="S18" s="2"/>
      <c r="T18" s="14">
        <f>IFERROR(T10+T11+T12+T13+T14+T15+T16+T17, "NA")</f>
        <v>239894.74</v>
      </c>
      <c r="U18" s="15">
        <f>IFERROR(T18/T444, "NA")</f>
        <v>0.23999999199649005</v>
      </c>
      <c r="V18" s="2"/>
      <c r="W18" s="14">
        <f t="shared" si="2"/>
        <v>83383.919999999984</v>
      </c>
      <c r="X18" s="15">
        <f>IFERROR(W18/W444, "NA")</f>
        <v>0.70444141342929256</v>
      </c>
      <c r="Y18" s="2"/>
      <c r="Z18" s="14">
        <f>IFERROR(Z10+Z11+Z12+Z13+Z14+Z15+Z16+Z17, "NA")</f>
        <v>271931.62</v>
      </c>
      <c r="AA18" s="15">
        <f>IFERROR(Z18/Z444, "NA")</f>
        <v>0.30237571737636137</v>
      </c>
      <c r="AB18" s="2"/>
      <c r="AC18" s="14">
        <f t="shared" si="3"/>
        <v>51347.039999999979</v>
      </c>
      <c r="AD18" s="15">
        <f>IFERROR(AC18/AC444, "NA")</f>
        <v>0.2348760924026079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11236.41</v>
      </c>
      <c r="F21" s="8">
        <f>IFERROR(E21/E444, "NA")</f>
        <v>5.5999982855739421E-2</v>
      </c>
      <c r="G21" s="9"/>
      <c r="H21" s="10">
        <f t="shared" ref="H21:H29" si="4">IFERROR(B21-E21, "NA")</f>
        <v>-11236.41</v>
      </c>
      <c r="I21" s="8">
        <f>IFERROR(H21/H444, "NA")</f>
        <v>-0.44731430127405875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55975.44</v>
      </c>
      <c r="U21" s="8">
        <f>IFERROR(T21/T444, "NA")</f>
        <v>5.5999998799473517E-2</v>
      </c>
      <c r="V21" s="9"/>
      <c r="W21" s="10">
        <f t="shared" ref="W21:W29" si="6">IFERROR(Q21-T21, "NA")</f>
        <v>-55975.44</v>
      </c>
      <c r="X21" s="8">
        <f>IFERROR(W21/W444, "NA")</f>
        <v>-0.47288995373360437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10940.35</v>
      </c>
      <c r="C22" s="8">
        <f>IFERROR(B22/B444, "NA")</f>
        <v>4.8457952510599728E-2</v>
      </c>
      <c r="D22" s="9"/>
      <c r="E22" s="7">
        <v>0</v>
      </c>
      <c r="F22" s="8">
        <f>IFERROR(E22/E444, "NA")</f>
        <v>0</v>
      </c>
      <c r="G22" s="9"/>
      <c r="H22" s="10">
        <f t="shared" si="4"/>
        <v>10940.35</v>
      </c>
      <c r="I22" s="8">
        <f>IFERROR(H22/H444, "NA")</f>
        <v>0.4355283418764222</v>
      </c>
      <c r="J22" s="9"/>
      <c r="K22" s="7">
        <v>9315.5400000000009</v>
      </c>
      <c r="L22" s="8">
        <f>IFERROR(K22/K444, "NA")</f>
        <v>5.1997968205769407E-2</v>
      </c>
      <c r="M22" s="9"/>
      <c r="N22" s="10">
        <f t="shared" si="5"/>
        <v>1624.8099999999995</v>
      </c>
      <c r="O22" s="8">
        <f>IFERROR(N22/N444, "NA")</f>
        <v>3.4853734483448008E-2</v>
      </c>
      <c r="P22" s="9"/>
      <c r="Q22" s="7">
        <v>46135.65</v>
      </c>
      <c r="R22" s="8">
        <f>IFERROR(Q22/Q444, "NA")</f>
        <v>4.1268807187711073E-2</v>
      </c>
      <c r="S22" s="9"/>
      <c r="T22" s="7">
        <v>0</v>
      </c>
      <c r="U22" s="8">
        <f>IFERROR(T22/T444, "NA")</f>
        <v>0</v>
      </c>
      <c r="V22" s="9"/>
      <c r="W22" s="10">
        <f t="shared" si="6"/>
        <v>46135.65</v>
      </c>
      <c r="X22" s="8">
        <f>IFERROR(W22/W444, "NA")</f>
        <v>0.38976174897365284</v>
      </c>
      <c r="Y22" s="9"/>
      <c r="Z22" s="7">
        <v>40188.6</v>
      </c>
      <c r="AA22" s="8">
        <f>IFERROR(Z22/Z444, "NA")</f>
        <v>4.4687913657674806E-2</v>
      </c>
      <c r="AB22" s="9"/>
      <c r="AC22" s="10">
        <f t="shared" si="7"/>
        <v>5947.0500000000029</v>
      </c>
      <c r="AD22" s="8">
        <f>IFERROR(AC22/AC444, "NA")</f>
        <v>2.720351290596168E-2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3014.62</v>
      </c>
      <c r="C24" s="8">
        <f>IFERROR(B24/B444, "NA")</f>
        <v>1.3352617859346744E-2</v>
      </c>
      <c r="D24" s="9"/>
      <c r="E24" s="7">
        <v>0</v>
      </c>
      <c r="F24" s="8">
        <f>IFERROR(E24/E444, "NA")</f>
        <v>0</v>
      </c>
      <c r="G24" s="9"/>
      <c r="H24" s="10">
        <f t="shared" si="4"/>
        <v>3014.62</v>
      </c>
      <c r="I24" s="8">
        <f>IFERROR(H24/H444, "NA")</f>
        <v>0.12001009565393243</v>
      </c>
      <c r="J24" s="9"/>
      <c r="K24" s="7">
        <v>932.97</v>
      </c>
      <c r="L24" s="8">
        <f>IFERROR(K24/K444, "NA")</f>
        <v>5.2077007234080557E-3</v>
      </c>
      <c r="M24" s="9"/>
      <c r="N24" s="10">
        <f t="shared" si="5"/>
        <v>2081.6499999999996</v>
      </c>
      <c r="O24" s="8">
        <f>IFERROR(N24/N444, "NA")</f>
        <v>4.4653391096478694E-2</v>
      </c>
      <c r="P24" s="9"/>
      <c r="Q24" s="7">
        <v>10822.36</v>
      </c>
      <c r="R24" s="8">
        <f>IFERROR(Q24/Q444, "NA")</f>
        <v>9.6807108636379202E-3</v>
      </c>
      <c r="S24" s="9"/>
      <c r="T24" s="7">
        <v>0</v>
      </c>
      <c r="U24" s="8">
        <f>IFERROR(T24/T444, "NA")</f>
        <v>0</v>
      </c>
      <c r="V24" s="9"/>
      <c r="W24" s="10">
        <f t="shared" si="6"/>
        <v>10822.36</v>
      </c>
      <c r="X24" s="8">
        <f>IFERROR(W24/W444, "NA")</f>
        <v>9.1429121766410604E-2</v>
      </c>
      <c r="Y24" s="9"/>
      <c r="Z24" s="7">
        <v>2884.96</v>
      </c>
      <c r="AA24" s="8">
        <f>IFERROR(Z24/Z444, "NA")</f>
        <v>3.2079456210429205E-3</v>
      </c>
      <c r="AB24" s="9"/>
      <c r="AC24" s="10">
        <f t="shared" si="7"/>
        <v>7937.4000000000005</v>
      </c>
      <c r="AD24" s="8">
        <f>IFERROR(AC24/AC444, "NA")</f>
        <v>3.6307944836478617E-2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customHeight="1" x14ac:dyDescent="0.45">
      <c r="A26" s="12" t="s">
        <v>27</v>
      </c>
      <c r="B26" s="7">
        <v>2078.14</v>
      </c>
      <c r="C26" s="8">
        <f>IFERROR(B26/B444, "NA")</f>
        <v>9.2046789572890909E-3</v>
      </c>
      <c r="D26" s="9"/>
      <c r="E26" s="7">
        <v>0</v>
      </c>
      <c r="F26" s="8">
        <f>IFERROR(E26/E444, "NA")</f>
        <v>0</v>
      </c>
      <c r="G26" s="9"/>
      <c r="H26" s="10">
        <f t="shared" si="4"/>
        <v>2078.14</v>
      </c>
      <c r="I26" s="8">
        <f>IFERROR(H26/H444, "NA")</f>
        <v>8.2729425327989312E-2</v>
      </c>
      <c r="J26" s="9"/>
      <c r="K26" s="7">
        <v>612.36</v>
      </c>
      <c r="L26" s="8">
        <f>IFERROR(K26/K444, "NA")</f>
        <v>3.4181030633205324E-3</v>
      </c>
      <c r="M26" s="9"/>
      <c r="N26" s="10">
        <f t="shared" si="5"/>
        <v>1465.7799999999997</v>
      </c>
      <c r="O26" s="8">
        <f>IFERROR(N26/N444, "NA")</f>
        <v>3.1442388298415461E-2</v>
      </c>
      <c r="P26" s="9"/>
      <c r="Q26" s="7">
        <v>15860.48</v>
      </c>
      <c r="R26" s="8">
        <f>IFERROR(Q26/Q444, "NA")</f>
        <v>1.4187360339012189E-2</v>
      </c>
      <c r="S26" s="9"/>
      <c r="T26" s="7">
        <v>0</v>
      </c>
      <c r="U26" s="8">
        <f>IFERROR(T26/T444, "NA")</f>
        <v>0</v>
      </c>
      <c r="V26" s="9"/>
      <c r="W26" s="10">
        <f t="shared" si="6"/>
        <v>15860.48</v>
      </c>
      <c r="X26" s="8">
        <f>IFERROR(W26/W444, "NA")</f>
        <v>0.13399200887733545</v>
      </c>
      <c r="Y26" s="9"/>
      <c r="Z26" s="7">
        <v>3690.32</v>
      </c>
      <c r="AA26" s="8">
        <f>IFERROR(Z26/Z444, "NA")</f>
        <v>4.103469678694717E-3</v>
      </c>
      <c r="AB26" s="9"/>
      <c r="AC26" s="10">
        <f t="shared" si="7"/>
        <v>12170.16</v>
      </c>
      <c r="AD26" s="8">
        <f>IFERROR(AC26/AC444, "NA")</f>
        <v>5.5669803453412769E-2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90.35</v>
      </c>
      <c r="AA27" s="8">
        <f>IFERROR(Z27/Z444, "NA")</f>
        <v>1.0046513187747069E-4</v>
      </c>
      <c r="AB27" s="9"/>
      <c r="AC27" s="10">
        <f t="shared" si="7"/>
        <v>-90.35</v>
      </c>
      <c r="AD27" s="8">
        <f>IFERROR(AC27/AC444, "NA")</f>
        <v>-4.1328682137423367E-4</v>
      </c>
    </row>
    <row r="28" spans="1:30" ht="16.5" customHeight="1" x14ac:dyDescent="0.45">
      <c r="A28" s="12" t="s">
        <v>29</v>
      </c>
      <c r="B28" s="7">
        <v>874.54</v>
      </c>
      <c r="C28" s="8">
        <f>IFERROR(B28/B444, "NA")</f>
        <v>3.8735888512360104E-3</v>
      </c>
      <c r="D28" s="9"/>
      <c r="E28" s="7">
        <v>0</v>
      </c>
      <c r="F28" s="8">
        <f>IFERROR(E28/E444, "NA")</f>
        <v>0</v>
      </c>
      <c r="G28" s="9"/>
      <c r="H28" s="10">
        <f t="shared" si="4"/>
        <v>874.54</v>
      </c>
      <c r="I28" s="8">
        <f>IFERROR(H28/H444, "NA")</f>
        <v>3.4814878509792306E-2</v>
      </c>
      <c r="J28" s="9"/>
      <c r="K28" s="7">
        <v>700.94</v>
      </c>
      <c r="L28" s="8">
        <f>IFERROR(K28/K444, "NA")</f>
        <v>3.9125435384477986E-3</v>
      </c>
      <c r="M28" s="9"/>
      <c r="N28" s="10">
        <f t="shared" si="5"/>
        <v>173.59999999999991</v>
      </c>
      <c r="O28" s="8">
        <f>IFERROR(N28/N444, "NA")</f>
        <v>3.7238866737197411E-3</v>
      </c>
      <c r="P28" s="9"/>
      <c r="Q28" s="7">
        <v>4827.9399999999996</v>
      </c>
      <c r="R28" s="8">
        <f>IFERROR(Q28/Q444, "NA")</f>
        <v>4.3186413321116704E-3</v>
      </c>
      <c r="S28" s="9"/>
      <c r="T28" s="7">
        <v>0</v>
      </c>
      <c r="U28" s="8">
        <f>IFERROR(T28/T444, "NA")</f>
        <v>0</v>
      </c>
      <c r="V28" s="9"/>
      <c r="W28" s="10">
        <f t="shared" si="6"/>
        <v>4827.9399999999996</v>
      </c>
      <c r="X28" s="8">
        <f>IFERROR(W28/W444, "NA")</f>
        <v>4.0787251037751875E-2</v>
      </c>
      <c r="Y28" s="9"/>
      <c r="Z28" s="7">
        <v>4810.71</v>
      </c>
      <c r="AA28" s="8">
        <f>IFERROR(Z28/Z444, "NA")</f>
        <v>5.3492929117240412E-3</v>
      </c>
      <c r="AB28" s="9"/>
      <c r="AC28" s="10">
        <f t="shared" si="7"/>
        <v>17.229999999999563</v>
      </c>
      <c r="AD28" s="8">
        <f>IFERROR(AC28/AC444, "NA")</f>
        <v>7.8814963279223756E-5</v>
      </c>
    </row>
    <row r="29" spans="1:30" ht="16.5" customHeight="1" x14ac:dyDescent="0.45">
      <c r="A29" s="13" t="s">
        <v>30</v>
      </c>
      <c r="B29" s="14">
        <f>IFERROR(B21+B22+B23+B24+B25+B26+B27+B28, "NA")</f>
        <v>16907.650000000001</v>
      </c>
      <c r="C29" s="15">
        <f>IFERROR(B29/B444, "NA")</f>
        <v>7.4888838178471584E-2</v>
      </c>
      <c r="D29" s="2"/>
      <c r="E29" s="14">
        <f>IFERROR(E21+E22+E23+E24+E25+E26+E27+E28, "NA")</f>
        <v>11236.41</v>
      </c>
      <c r="F29" s="15">
        <f>IFERROR(E29/E444, "NA")</f>
        <v>5.5999982855739421E-2</v>
      </c>
      <c r="G29" s="2"/>
      <c r="H29" s="14">
        <f t="shared" si="4"/>
        <v>5671.2400000000016</v>
      </c>
      <c r="I29" s="15">
        <f>IFERROR(H29/H444, "NA")</f>
        <v>0.22576844009407754</v>
      </c>
      <c r="J29" s="2"/>
      <c r="K29" s="14">
        <f>IFERROR(K21+K22+K23+K24+K25+K26+K27+K28, "NA")</f>
        <v>11561.810000000001</v>
      </c>
      <c r="L29" s="15">
        <f>IFERROR(K29/K444, "NA")</f>
        <v>6.4536315530945798E-2</v>
      </c>
      <c r="M29" s="2"/>
      <c r="N29" s="14">
        <f t="shared" si="5"/>
        <v>5345.84</v>
      </c>
      <c r="O29" s="15">
        <f>IFERROR(N29/N444, "NA")</f>
        <v>0.11467340055206193</v>
      </c>
      <c r="P29" s="2"/>
      <c r="Q29" s="14">
        <f>IFERROR(Q21+Q22+Q23+Q24+Q25+Q26+Q27+Q28, "NA")</f>
        <v>77646.430000000008</v>
      </c>
      <c r="R29" s="15">
        <f>IFERROR(Q29/Q444, "NA")</f>
        <v>6.9455519722472867E-2</v>
      </c>
      <c r="S29" s="2"/>
      <c r="T29" s="14">
        <f>IFERROR(T21+T22+T23+T24+T25+T26+T27+T28, "NA")</f>
        <v>55975.44</v>
      </c>
      <c r="U29" s="15">
        <f>IFERROR(T29/T444, "NA")</f>
        <v>5.5999998799473517E-2</v>
      </c>
      <c r="V29" s="2"/>
      <c r="W29" s="14">
        <f t="shared" si="6"/>
        <v>21670.990000000005</v>
      </c>
      <c r="X29" s="15">
        <f>IFERROR(W29/W444, "NA")</f>
        <v>0.18308017692154641</v>
      </c>
      <c r="Y29" s="2"/>
      <c r="Z29" s="14">
        <f>IFERROR(Z21+Z22+Z23+Z24+Z25+Z26+Z27+Z28, "NA")</f>
        <v>51664.939999999995</v>
      </c>
      <c r="AA29" s="15">
        <f>IFERROR(Z29/Z444, "NA")</f>
        <v>5.7449087001013956E-2</v>
      </c>
      <c r="AB29" s="2"/>
      <c r="AC29" s="14">
        <f t="shared" si="7"/>
        <v>25981.490000000013</v>
      </c>
      <c r="AD29" s="15">
        <f>IFERROR(AC29/AC444, "NA")</f>
        <v>0.11884678933775809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53974.91</v>
      </c>
      <c r="F31" s="8">
        <f>IFERROR(E31/E444, "NA")</f>
        <v>0.26899997727388719</v>
      </c>
      <c r="G31" s="9"/>
      <c r="H31" s="10">
        <f t="shared" ref="H31:H40" si="8">IFERROR(B31-E31, "NA")</f>
        <v>-53974.91</v>
      </c>
      <c r="I31" s="8">
        <f>IFERROR(H31/H444, "NA")</f>
        <v>-2.1487066734820295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268882.03000000003</v>
      </c>
      <c r="U31" s="8">
        <f>IFERROR(T31/T444, "NA")</f>
        <v>0.26899999994997809</v>
      </c>
      <c r="V31" s="9"/>
      <c r="W31" s="10">
        <f t="shared" ref="W31:W40" si="10">IFERROR(Q31-T31, "NA")</f>
        <v>-268882.03000000003</v>
      </c>
      <c r="X31" s="8">
        <f>IFERROR(W31/W444, "NA")</f>
        <v>-2.2715607188884559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30928.29</v>
      </c>
      <c r="C33" s="8">
        <f>IFERROR(B33/B444, "NA")</f>
        <v>0.13699027984059528</v>
      </c>
      <c r="D33" s="9"/>
      <c r="E33" s="7">
        <v>0</v>
      </c>
      <c r="F33" s="8">
        <f>IFERROR(E33/E444, "NA")</f>
        <v>0</v>
      </c>
      <c r="G33" s="9"/>
      <c r="H33" s="10">
        <f t="shared" si="8"/>
        <v>30928.29</v>
      </c>
      <c r="I33" s="8">
        <f>IFERROR(H33/H444, "NA")</f>
        <v>1.2312354596309194</v>
      </c>
      <c r="J33" s="9"/>
      <c r="K33" s="7">
        <v>17022.13</v>
      </c>
      <c r="L33" s="8">
        <f>IFERROR(K33/K444, "NA")</f>
        <v>9.5015015182638218E-2</v>
      </c>
      <c r="M33" s="9"/>
      <c r="N33" s="10">
        <f t="shared" si="9"/>
        <v>13906.16</v>
      </c>
      <c r="O33" s="8">
        <f>IFERROR(N33/N444, "NA")</f>
        <v>0.29830048333303305</v>
      </c>
      <c r="P33" s="9"/>
      <c r="Q33" s="7">
        <v>125071.27</v>
      </c>
      <c r="R33" s="8">
        <f>IFERROR(Q33/Q444, "NA")</f>
        <v>0.11187752045006741</v>
      </c>
      <c r="S33" s="9"/>
      <c r="T33" s="7">
        <v>0</v>
      </c>
      <c r="U33" s="8">
        <f>IFERROR(T33/T444, "NA")</f>
        <v>0</v>
      </c>
      <c r="V33" s="9"/>
      <c r="W33" s="10">
        <f t="shared" si="10"/>
        <v>125071.27</v>
      </c>
      <c r="X33" s="8">
        <f>IFERROR(W33/W444, "NA")</f>
        <v>1.0566231740867627</v>
      </c>
      <c r="Y33" s="9"/>
      <c r="Z33" s="7">
        <v>76238.100000000006</v>
      </c>
      <c r="AA33" s="8">
        <f>IFERROR(Z33/Z444, "NA")</f>
        <v>8.4773334483539561E-2</v>
      </c>
      <c r="AB33" s="9"/>
      <c r="AC33" s="10">
        <f t="shared" si="11"/>
        <v>48833.17</v>
      </c>
      <c r="AD33" s="8">
        <f>IFERROR(AC33/AC444, "NA")</f>
        <v>0.22337692979443927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2163.67</v>
      </c>
      <c r="C35" s="8">
        <f>IFERROR(B35/B444, "NA")</f>
        <v>9.5835158937885283E-3</v>
      </c>
      <c r="D35" s="9"/>
      <c r="E35" s="7">
        <v>0</v>
      </c>
      <c r="F35" s="8">
        <f>IFERROR(E35/E444, "NA")</f>
        <v>0</v>
      </c>
      <c r="G35" s="9"/>
      <c r="H35" s="10">
        <f t="shared" si="8"/>
        <v>2163.67</v>
      </c>
      <c r="I35" s="8">
        <f>IFERROR(H35/H444, "NA")</f>
        <v>8.6134319968534684E-2</v>
      </c>
      <c r="J35" s="9"/>
      <c r="K35" s="7">
        <v>0</v>
      </c>
      <c r="L35" s="8">
        <f>IFERROR(K35/K444, "NA")</f>
        <v>0</v>
      </c>
      <c r="M35" s="9"/>
      <c r="N35" s="10">
        <f t="shared" si="9"/>
        <v>2163.67</v>
      </c>
      <c r="O35" s="8">
        <f>IFERROR(N35/N444, "NA")</f>
        <v>4.6412798844050675E-2</v>
      </c>
      <c r="P35" s="9"/>
      <c r="Q35" s="7">
        <v>14115.23</v>
      </c>
      <c r="R35" s="8">
        <f>IFERROR(Q35/Q444, "NA")</f>
        <v>1.2626216500259451E-2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14115.23</v>
      </c>
      <c r="X35" s="8">
        <f>IFERROR(W35/W444, "NA")</f>
        <v>0.11924784265454964</v>
      </c>
      <c r="Y35" s="9"/>
      <c r="Z35" s="7">
        <v>0</v>
      </c>
      <c r="AA35" s="8">
        <f>IFERROR(Z35/Z444, "NA")</f>
        <v>0</v>
      </c>
      <c r="AB35" s="9"/>
      <c r="AC35" s="10">
        <f t="shared" si="11"/>
        <v>14115.23</v>
      </c>
      <c r="AD35" s="8">
        <f>IFERROR(AC35/AC444, "NA")</f>
        <v>6.4567111673118141E-2</v>
      </c>
    </row>
    <row r="36" spans="1:30" ht="16.5" customHeight="1" x14ac:dyDescent="0.45">
      <c r="A36" s="12" t="s">
        <v>36</v>
      </c>
      <c r="B36" s="7">
        <v>18714.12</v>
      </c>
      <c r="C36" s="8">
        <f>IFERROR(B36/B444, "NA")</f>
        <v>8.2890212674883765E-2</v>
      </c>
      <c r="D36" s="9"/>
      <c r="E36" s="7">
        <v>0</v>
      </c>
      <c r="F36" s="8">
        <f>IFERROR(E36/E444, "NA")</f>
        <v>0</v>
      </c>
      <c r="G36" s="9"/>
      <c r="H36" s="10">
        <f t="shared" si="8"/>
        <v>18714.12</v>
      </c>
      <c r="I36" s="8">
        <f>IFERROR(H36/H444, "NA")</f>
        <v>0.74499715761162932</v>
      </c>
      <c r="J36" s="9"/>
      <c r="K36" s="7">
        <v>18623.36</v>
      </c>
      <c r="L36" s="8">
        <f>IFERROR(K36/K444, "NA")</f>
        <v>0.10395284451192284</v>
      </c>
      <c r="M36" s="9"/>
      <c r="N36" s="10">
        <f t="shared" si="9"/>
        <v>90.759999999998399</v>
      </c>
      <c r="O36" s="8">
        <f>IFERROR(N36/N444, "NA")</f>
        <v>1.9468891388640434E-3</v>
      </c>
      <c r="P36" s="9"/>
      <c r="Q36" s="7">
        <v>129939.43</v>
      </c>
      <c r="R36" s="8">
        <f>IFERROR(Q36/Q444, "NA")</f>
        <v>0.11623213898039975</v>
      </c>
      <c r="S36" s="9"/>
      <c r="T36" s="7">
        <v>0</v>
      </c>
      <c r="U36" s="8">
        <f>IFERROR(T36/T444, "NA")</f>
        <v>0</v>
      </c>
      <c r="V36" s="9"/>
      <c r="W36" s="10">
        <f t="shared" si="10"/>
        <v>129939.43</v>
      </c>
      <c r="X36" s="8">
        <f>IFERROR(W36/W444, "NA")</f>
        <v>1.097750210464999</v>
      </c>
      <c r="Y36" s="9"/>
      <c r="Z36" s="7">
        <v>94372.74</v>
      </c>
      <c r="AA36" s="8">
        <f>IFERROR(Z36/Z444, "NA")</f>
        <v>0.10493823762853631</v>
      </c>
      <c r="AB36" s="9"/>
      <c r="AC36" s="10">
        <f t="shared" si="11"/>
        <v>35566.689999999988</v>
      </c>
      <c r="AD36" s="8">
        <f>IFERROR(AC36/AC444, "NA")</f>
        <v>0.16269224412731309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2973.94</v>
      </c>
      <c r="C39" s="8">
        <f>IFERROR(B39/B444, "NA")</f>
        <v>1.3172434454964691E-2</v>
      </c>
      <c r="D39" s="9"/>
      <c r="E39" s="7">
        <v>0</v>
      </c>
      <c r="F39" s="8">
        <f>IFERROR(E39/E444, "NA")</f>
        <v>0</v>
      </c>
      <c r="G39" s="9"/>
      <c r="H39" s="10">
        <f t="shared" si="8"/>
        <v>2973.94</v>
      </c>
      <c r="I39" s="8">
        <f>IFERROR(H39/H444, "NA")</f>
        <v>0.11839065085120375</v>
      </c>
      <c r="J39" s="9"/>
      <c r="K39" s="7">
        <v>2457.98</v>
      </c>
      <c r="L39" s="8">
        <f>IFERROR(K39/K444, "NA")</f>
        <v>1.3720081271769224E-2</v>
      </c>
      <c r="M39" s="9"/>
      <c r="N39" s="10">
        <f t="shared" si="9"/>
        <v>515.96</v>
      </c>
      <c r="O39" s="8">
        <f>IFERROR(N39/N444, "NA")</f>
        <v>1.1067837374265201E-2</v>
      </c>
      <c r="P39" s="9"/>
      <c r="Q39" s="7">
        <v>14848.69</v>
      </c>
      <c r="R39" s="8">
        <f>IFERROR(Q39/Q444, "NA")</f>
        <v>1.3282303914653713E-2</v>
      </c>
      <c r="S39" s="9"/>
      <c r="T39" s="7">
        <v>0</v>
      </c>
      <c r="U39" s="8">
        <f>IFERROR(T39/T444, "NA")</f>
        <v>0</v>
      </c>
      <c r="V39" s="9"/>
      <c r="W39" s="10">
        <f t="shared" si="10"/>
        <v>14848.69</v>
      </c>
      <c r="X39" s="8">
        <f>IFERROR(W39/W444, "NA")</f>
        <v>0.12544423638482582</v>
      </c>
      <c r="Y39" s="9"/>
      <c r="Z39" s="7">
        <v>12055.52</v>
      </c>
      <c r="AA39" s="8">
        <f>IFERROR(Z39/Z444, "NA")</f>
        <v>1.3405195425030278E-2</v>
      </c>
      <c r="AB39" s="9"/>
      <c r="AC39" s="10">
        <f t="shared" si="11"/>
        <v>2793.17</v>
      </c>
      <c r="AD39" s="8">
        <f>IFERROR(AC39/AC444, "NA")</f>
        <v>1.2776760939212711E-2</v>
      </c>
    </row>
    <row r="40" spans="1:30" ht="16.5" customHeight="1" x14ac:dyDescent="0.45">
      <c r="A40" s="13" t="s">
        <v>40</v>
      </c>
      <c r="B40" s="14">
        <f>IFERROR(B31+B32+B33+B34+B35+B36+B37+B38+B39, "NA")</f>
        <v>54780.020000000004</v>
      </c>
      <c r="C40" s="15">
        <f>IFERROR(B40/B444, "NA")</f>
        <v>0.24263644286423228</v>
      </c>
      <c r="D40" s="2"/>
      <c r="E40" s="14">
        <f>IFERROR(E31+E32+E33+E34+E35+E36+E37+E38+E39, "NA")</f>
        <v>53974.91</v>
      </c>
      <c r="F40" s="15">
        <f>IFERROR(E40/E444, "NA")</f>
        <v>0.26899997727388719</v>
      </c>
      <c r="G40" s="2"/>
      <c r="H40" s="14">
        <f t="shared" si="8"/>
        <v>805.11000000000058</v>
      </c>
      <c r="I40" s="15">
        <f>IFERROR(H40/H444, "NA")</f>
        <v>3.2050914580258084E-2</v>
      </c>
      <c r="J40" s="2"/>
      <c r="K40" s="14">
        <f>IFERROR(K31+K32+K33+K34+K35+K36+K37+K38+K39, "NA")</f>
        <v>38103.470000000008</v>
      </c>
      <c r="L40" s="15">
        <f>IFERROR(K40/K444, "NA")</f>
        <v>0.21268794096633031</v>
      </c>
      <c r="M40" s="2"/>
      <c r="N40" s="14">
        <f t="shared" si="9"/>
        <v>16676.549999999996</v>
      </c>
      <c r="O40" s="15">
        <f>IFERROR(N40/N444, "NA")</f>
        <v>0.35772800869021293</v>
      </c>
      <c r="P40" s="2"/>
      <c r="Q40" s="14">
        <f>IFERROR(Q31+Q32+Q33+Q34+Q35+Q36+Q37+Q38+Q39, "NA")</f>
        <v>283974.62</v>
      </c>
      <c r="R40" s="15">
        <f>IFERROR(Q40/Q444, "NA")</f>
        <v>0.25401817984538033</v>
      </c>
      <c r="S40" s="2"/>
      <c r="T40" s="14">
        <f>IFERROR(T31+T32+T33+T34+T35+T36+T37+T38+T39, "NA")</f>
        <v>268882.03000000003</v>
      </c>
      <c r="U40" s="15">
        <f>IFERROR(T40/T444, "NA")</f>
        <v>0.26899999994997809</v>
      </c>
      <c r="V40" s="2"/>
      <c r="W40" s="14">
        <f t="shared" si="10"/>
        <v>15092.589999999967</v>
      </c>
      <c r="X40" s="15">
        <f>IFERROR(W40/W444, "NA")</f>
        <v>0.12750474470268111</v>
      </c>
      <c r="Y40" s="2"/>
      <c r="Z40" s="14">
        <f>IFERROR(Z31+Z32+Z33+Z34+Z35+Z36+Z37+Z38+Z39, "NA")</f>
        <v>182666.36000000002</v>
      </c>
      <c r="AA40" s="15">
        <f>IFERROR(Z40/Z444, "NA")</f>
        <v>0.20311676753710614</v>
      </c>
      <c r="AB40" s="2"/>
      <c r="AC40" s="14">
        <f t="shared" si="11"/>
        <v>101308.25999999998</v>
      </c>
      <c r="AD40" s="15">
        <f>IFERROR(AC40/AC444, "NA")</f>
        <v>0.46341304653408322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16359.59</v>
      </c>
      <c r="C43" s="8">
        <f>IFERROR(B43/B444, "NA")</f>
        <v>7.2461323021007759E-2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16359.59</v>
      </c>
      <c r="I43" s="8">
        <f>IFERROR(H43/H444, "NA")</f>
        <v>0.65126482301554312</v>
      </c>
      <c r="J43" s="9"/>
      <c r="K43" s="7">
        <v>831</v>
      </c>
      <c r="L43" s="8">
        <f>IFERROR(K43/K444, "NA")</f>
        <v>4.6385192462266682E-3</v>
      </c>
      <c r="M43" s="9"/>
      <c r="N43" s="10">
        <f>IFERROR(B43-K43, "NA")</f>
        <v>15528.59</v>
      </c>
      <c r="O43" s="8">
        <f>IFERROR(N43/N444, "NA")</f>
        <v>0.33310316453143818</v>
      </c>
      <c r="P43" s="9"/>
      <c r="Q43" s="7">
        <v>82689.899999999994</v>
      </c>
      <c r="R43" s="8">
        <f>IFERROR(Q43/Q444, "NA")</f>
        <v>7.3966954827147977E-2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82689.899999999994</v>
      </c>
      <c r="X43" s="8">
        <f>IFERROR(W43/W444, "NA")</f>
        <v>0.69857821546800469</v>
      </c>
      <c r="Y43" s="9"/>
      <c r="Z43" s="7">
        <v>10196.950000000001</v>
      </c>
      <c r="AA43" s="8">
        <f>IFERROR(Z43/Z444, "NA")</f>
        <v>1.1338549269485057E-2</v>
      </c>
      <c r="AB43" s="9"/>
      <c r="AC43" s="10">
        <f>IFERROR(Q43-Z43, "NA")</f>
        <v>72492.95</v>
      </c>
      <c r="AD43" s="8">
        <f>IFERROR(AC43/AC444, "NA")</f>
        <v>0.33160355149464588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88486.76</v>
      </c>
      <c r="F46" s="8">
        <f>IFERROR(E46/E444, "NA")</f>
        <v>0.4410000207325942</v>
      </c>
      <c r="G46" s="9"/>
      <c r="H46" s="10">
        <f t="shared" ref="H46:H62" si="12">IFERROR(B46-E46, "NA")</f>
        <v>-88486.76</v>
      </c>
      <c r="I46" s="8">
        <f>IFERROR(H46/H444, "NA")</f>
        <v>-3.5226013665757416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440806.61</v>
      </c>
      <c r="U46" s="8">
        <f>IFERROR(T46/T444, "NA")</f>
        <v>0.44100001055462873</v>
      </c>
      <c r="V46" s="9"/>
      <c r="W46" s="10">
        <f t="shared" ref="W46:W62" si="14">IFERROR(Q46-T46, "NA")</f>
        <v>-440806.61</v>
      </c>
      <c r="X46" s="8">
        <f>IFERROR(W46/W444, "NA")</f>
        <v>-3.724008554615506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35641.769999999997</v>
      </c>
      <c r="C48" s="8">
        <f>IFERROR(B48/B444, "NA")</f>
        <v>0.15786763659788927</v>
      </c>
      <c r="D48" s="9"/>
      <c r="E48" s="7">
        <v>0</v>
      </c>
      <c r="F48" s="8">
        <f>IFERROR(E48/E444, "NA")</f>
        <v>0</v>
      </c>
      <c r="G48" s="9"/>
      <c r="H48" s="10">
        <f t="shared" si="12"/>
        <v>35641.769999999997</v>
      </c>
      <c r="I48" s="8">
        <f>IFERROR(H48/H444, "NA")</f>
        <v>1.4188760861984129</v>
      </c>
      <c r="J48" s="9"/>
      <c r="K48" s="7">
        <v>54145.43</v>
      </c>
      <c r="L48" s="8">
        <f>IFERROR(K48/K444, "NA")</f>
        <v>0.30223179199785655</v>
      </c>
      <c r="M48" s="9"/>
      <c r="N48" s="10">
        <f t="shared" si="13"/>
        <v>-18503.660000000003</v>
      </c>
      <c r="O48" s="8">
        <f>IFERROR(N48/N444, "NA")</f>
        <v>-0.39692127240231034</v>
      </c>
      <c r="P48" s="9"/>
      <c r="Q48" s="7">
        <v>240790.5</v>
      </c>
      <c r="R48" s="8">
        <f>IFERROR(Q48/Q444, "NA")</f>
        <v>0.21538954619979439</v>
      </c>
      <c r="S48" s="9"/>
      <c r="T48" s="7">
        <v>0</v>
      </c>
      <c r="U48" s="8">
        <f>IFERROR(T48/T444, "NA")</f>
        <v>0</v>
      </c>
      <c r="V48" s="9"/>
      <c r="W48" s="10">
        <f t="shared" si="14"/>
        <v>240790.5</v>
      </c>
      <c r="X48" s="8">
        <f>IFERROR(W48/W444, "NA")</f>
        <v>2.0342387376408557</v>
      </c>
      <c r="Y48" s="9"/>
      <c r="Z48" s="7">
        <v>278871.02</v>
      </c>
      <c r="AA48" s="8">
        <f>IFERROR(Z48/Z444, "NA")</f>
        <v>0.31009201772113748</v>
      </c>
      <c r="AB48" s="9"/>
      <c r="AC48" s="10">
        <f t="shared" si="15"/>
        <v>-38080.520000000019</v>
      </c>
      <c r="AD48" s="8">
        <f>IFERROR(AC48/AC444, "NA")</f>
        <v>-0.174191223764006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1200</v>
      </c>
      <c r="L49" s="8">
        <f>IFERROR(K49/K444, "NA")</f>
        <v>6.6982227382334555E-3</v>
      </c>
      <c r="M49" s="9"/>
      <c r="N49" s="10">
        <f t="shared" si="13"/>
        <v>-1200</v>
      </c>
      <c r="O49" s="8">
        <f>IFERROR(N49/N444, "NA")</f>
        <v>-2.5741152122486701E-2</v>
      </c>
      <c r="P49" s="9"/>
      <c r="Q49" s="7">
        <v>2141.23</v>
      </c>
      <c r="R49" s="8">
        <f>IFERROR(Q49/Q444, "NA")</f>
        <v>1.9153519678284058E-3</v>
      </c>
      <c r="S49" s="9"/>
      <c r="T49" s="7">
        <v>0</v>
      </c>
      <c r="U49" s="8">
        <f>IFERROR(T49/T444, "NA")</f>
        <v>0</v>
      </c>
      <c r="V49" s="9"/>
      <c r="W49" s="10">
        <f t="shared" si="14"/>
        <v>2141.23</v>
      </c>
      <c r="X49" s="8">
        <f>IFERROR(W49/W444, "NA")</f>
        <v>1.8089472019032021E-2</v>
      </c>
      <c r="Y49" s="9"/>
      <c r="Z49" s="7">
        <v>1200</v>
      </c>
      <c r="AA49" s="8">
        <f>IFERROR(Z49/Z444, "NA")</f>
        <v>1.3343459684888195E-3</v>
      </c>
      <c r="AB49" s="9"/>
      <c r="AC49" s="10">
        <f t="shared" si="15"/>
        <v>941.23</v>
      </c>
      <c r="AD49" s="8">
        <f>IFERROR(AC49/AC444, "NA")</f>
        <v>4.3054560584623132E-3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customHeight="1" x14ac:dyDescent="0.45">
      <c r="A51" s="17" t="s">
        <v>49</v>
      </c>
      <c r="B51" s="7">
        <v>3296.52</v>
      </c>
      <c r="C51" s="8">
        <f>IFERROR(B51/B444, "NA")</f>
        <v>1.4601233928552762E-2</v>
      </c>
      <c r="D51" s="9"/>
      <c r="E51" s="7">
        <v>0</v>
      </c>
      <c r="F51" s="8">
        <f>IFERROR(E51/E444, "NA")</f>
        <v>0</v>
      </c>
      <c r="G51" s="9"/>
      <c r="H51" s="10">
        <f t="shared" si="12"/>
        <v>3296.52</v>
      </c>
      <c r="I51" s="8">
        <f>IFERROR(H51/H444, "NA")</f>
        <v>0.13123235450076673</v>
      </c>
      <c r="J51" s="9"/>
      <c r="K51" s="7">
        <v>6449.4</v>
      </c>
      <c r="L51" s="8">
        <f>IFERROR(K51/K444, "NA")</f>
        <v>3.5999598106635701E-2</v>
      </c>
      <c r="M51" s="9"/>
      <c r="N51" s="10">
        <f t="shared" si="13"/>
        <v>-3152.8799999999997</v>
      </c>
      <c r="O51" s="8">
        <f>IFERROR(N51/N444, "NA")</f>
        <v>-6.7632303086621562E-2</v>
      </c>
      <c r="P51" s="9"/>
      <c r="Q51" s="7">
        <v>19553.5</v>
      </c>
      <c r="R51" s="8">
        <f>IFERROR(Q51/Q444, "NA")</f>
        <v>1.7490804212033612E-2</v>
      </c>
      <c r="S51" s="9"/>
      <c r="T51" s="7">
        <v>0</v>
      </c>
      <c r="U51" s="8">
        <f>IFERROR(T51/T444, "NA")</f>
        <v>0</v>
      </c>
      <c r="V51" s="9"/>
      <c r="W51" s="10">
        <f t="shared" si="14"/>
        <v>19553.5</v>
      </c>
      <c r="X51" s="8">
        <f>IFERROR(W51/W444, "NA")</f>
        <v>0.16519126442471971</v>
      </c>
      <c r="Y51" s="9"/>
      <c r="Z51" s="7">
        <v>46457.29</v>
      </c>
      <c r="AA51" s="8">
        <f>IFERROR(Z51/Z444, "NA")</f>
        <v>5.1658414682013293E-2</v>
      </c>
      <c r="AB51" s="9"/>
      <c r="AC51" s="10">
        <f t="shared" si="15"/>
        <v>-26903.79</v>
      </c>
      <c r="AD51" s="8">
        <f>IFERROR(AC51/AC444, "NA")</f>
        <v>-0.12306565414521189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customHeight="1" x14ac:dyDescent="0.45">
      <c r="A53" s="17" t="s">
        <v>51</v>
      </c>
      <c r="B53" s="7">
        <v>4000</v>
      </c>
      <c r="C53" s="8">
        <f>IFERROR(B53/B444, "NA")</f>
        <v>1.7717148906789902E-2</v>
      </c>
      <c r="D53" s="9"/>
      <c r="E53" s="7">
        <v>0</v>
      </c>
      <c r="F53" s="8">
        <f>IFERROR(E53/E444, "NA")</f>
        <v>0</v>
      </c>
      <c r="G53" s="9"/>
      <c r="H53" s="10">
        <f t="shared" si="12"/>
        <v>4000</v>
      </c>
      <c r="I53" s="8">
        <f>IFERROR(H53/H444, "NA")</f>
        <v>0.15923744372946833</v>
      </c>
      <c r="J53" s="9"/>
      <c r="K53" s="7">
        <v>0</v>
      </c>
      <c r="L53" s="8">
        <f>IFERROR(K53/K444, "NA")</f>
        <v>0</v>
      </c>
      <c r="M53" s="9"/>
      <c r="N53" s="10">
        <f t="shared" si="13"/>
        <v>4000</v>
      </c>
      <c r="O53" s="8">
        <f>IFERROR(N53/N444, "NA")</f>
        <v>8.5803840408289006E-2</v>
      </c>
      <c r="P53" s="9"/>
      <c r="Q53" s="7">
        <v>8000</v>
      </c>
      <c r="R53" s="8">
        <f>IFERROR(Q53/Q444, "NA")</f>
        <v>7.1560811975487195E-3</v>
      </c>
      <c r="S53" s="9"/>
      <c r="T53" s="7">
        <v>0</v>
      </c>
      <c r="U53" s="8">
        <f>IFERROR(T53/T444, "NA")</f>
        <v>0</v>
      </c>
      <c r="V53" s="9"/>
      <c r="W53" s="10">
        <f t="shared" si="14"/>
        <v>8000</v>
      </c>
      <c r="X53" s="8">
        <f>IFERROR(W53/W444, "NA")</f>
        <v>6.7585348679149906E-2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8000</v>
      </c>
      <c r="AD53" s="8">
        <f>IFERROR(AC53/AC444, "NA")</f>
        <v>3.6594295196390368E-2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11.65</v>
      </c>
      <c r="R54" s="8">
        <f>IFERROR(Q54/Q444, "NA")</f>
        <v>1.0421043243930323E-5</v>
      </c>
      <c r="S54" s="9"/>
      <c r="T54" s="7">
        <v>0</v>
      </c>
      <c r="U54" s="8">
        <f>IFERROR(T54/T444, "NA")</f>
        <v>0</v>
      </c>
      <c r="V54" s="9"/>
      <c r="W54" s="10">
        <f t="shared" si="14"/>
        <v>11.65</v>
      </c>
      <c r="X54" s="8">
        <f>IFERROR(W54/W444, "NA")</f>
        <v>9.842116401401206E-5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11.65</v>
      </c>
      <c r="AD54" s="8">
        <f>IFERROR(AC54/AC444, "NA")</f>
        <v>5.3290442379743473E-5</v>
      </c>
    </row>
    <row r="55" spans="1:30" ht="16.5" customHeight="1" x14ac:dyDescent="0.45">
      <c r="A55" s="17" t="s">
        <v>53</v>
      </c>
      <c r="B55" s="7">
        <v>25.5</v>
      </c>
      <c r="C55" s="8">
        <f>IFERROR(B55/B444, "NA")</f>
        <v>1.1294682428078563E-4</v>
      </c>
      <c r="D55" s="9"/>
      <c r="E55" s="7">
        <v>0</v>
      </c>
      <c r="F55" s="8">
        <f>IFERROR(E55/E444, "NA")</f>
        <v>0</v>
      </c>
      <c r="G55" s="9"/>
      <c r="H55" s="10">
        <f t="shared" si="12"/>
        <v>25.5</v>
      </c>
      <c r="I55" s="8">
        <f>IFERROR(H55/H444, "NA")</f>
        <v>1.0151387037753605E-3</v>
      </c>
      <c r="J55" s="9"/>
      <c r="K55" s="7">
        <v>0</v>
      </c>
      <c r="L55" s="8">
        <f>IFERROR(K55/K444, "NA")</f>
        <v>0</v>
      </c>
      <c r="M55" s="9"/>
      <c r="N55" s="10">
        <f t="shared" si="13"/>
        <v>25.5</v>
      </c>
      <c r="O55" s="8">
        <f>IFERROR(N55/N444, "NA")</f>
        <v>5.469994826028424E-4</v>
      </c>
      <c r="P55" s="9"/>
      <c r="Q55" s="7">
        <v>41.15</v>
      </c>
      <c r="R55" s="8">
        <f>IFERROR(Q55/Q444, "NA")</f>
        <v>3.6809092659891227E-5</v>
      </c>
      <c r="S55" s="9"/>
      <c r="T55" s="7">
        <v>0</v>
      </c>
      <c r="U55" s="8">
        <f>IFERROR(T55/T444, "NA")</f>
        <v>0</v>
      </c>
      <c r="V55" s="9"/>
      <c r="W55" s="10">
        <f t="shared" si="14"/>
        <v>41.15</v>
      </c>
      <c r="X55" s="8">
        <f>IFERROR(W55/W444, "NA")</f>
        <v>3.4764213726837733E-4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41.15</v>
      </c>
      <c r="AD55" s="8">
        <f>IFERROR(AC55/AC444, "NA")</f>
        <v>1.8823190591643293E-4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177.28</v>
      </c>
      <c r="L56" s="8">
        <f>IFERROR(K56/K444, "NA")</f>
        <v>9.895507725283558E-4</v>
      </c>
      <c r="M56" s="9"/>
      <c r="N56" s="10">
        <f t="shared" si="13"/>
        <v>-177.28</v>
      </c>
      <c r="O56" s="8">
        <f>IFERROR(N56/N444, "NA")</f>
        <v>-3.8028262068953689E-3</v>
      </c>
      <c r="P56" s="9"/>
      <c r="Q56" s="7">
        <v>11.65</v>
      </c>
      <c r="R56" s="8">
        <f>IFERROR(Q56/Q444, "NA")</f>
        <v>1.0421043243930323E-5</v>
      </c>
      <c r="S56" s="9"/>
      <c r="T56" s="7">
        <v>0</v>
      </c>
      <c r="U56" s="8">
        <f>IFERROR(T56/T444, "NA")</f>
        <v>0</v>
      </c>
      <c r="V56" s="9"/>
      <c r="W56" s="10">
        <f t="shared" si="14"/>
        <v>11.65</v>
      </c>
      <c r="X56" s="8">
        <f>IFERROR(W56/W444, "NA")</f>
        <v>9.842116401401206E-5</v>
      </c>
      <c r="Y56" s="9"/>
      <c r="Z56" s="7">
        <v>992.11</v>
      </c>
      <c r="AA56" s="8">
        <f>IFERROR(Z56/Z444, "NA")</f>
        <v>1.1031816489978689E-3</v>
      </c>
      <c r="AB56" s="9"/>
      <c r="AC56" s="10">
        <f t="shared" si="15"/>
        <v>-980.46</v>
      </c>
      <c r="AD56" s="8">
        <f>IFERROR(AC56/AC444, "NA")</f>
        <v>-4.484905333531612E-3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customHeight="1" x14ac:dyDescent="0.45">
      <c r="A58" s="17" t="s">
        <v>56</v>
      </c>
      <c r="B58" s="7">
        <v>1274.22</v>
      </c>
      <c r="C58" s="8">
        <f>IFERROR(B58/B444, "NA")</f>
        <v>5.6438863700024574E-3</v>
      </c>
      <c r="D58" s="9"/>
      <c r="E58" s="7">
        <v>0</v>
      </c>
      <c r="F58" s="8">
        <f>IFERROR(E58/E444, "NA")</f>
        <v>0</v>
      </c>
      <c r="G58" s="9"/>
      <c r="H58" s="10">
        <f t="shared" si="12"/>
        <v>1274.22</v>
      </c>
      <c r="I58" s="8">
        <f>IFERROR(H58/H444, "NA")</f>
        <v>5.072588388724078E-2</v>
      </c>
      <c r="J58" s="9"/>
      <c r="K58" s="7">
        <v>0</v>
      </c>
      <c r="L58" s="8">
        <f>IFERROR(K58/K444, "NA")</f>
        <v>0</v>
      </c>
      <c r="M58" s="9"/>
      <c r="N58" s="10">
        <f t="shared" si="13"/>
        <v>1274.22</v>
      </c>
      <c r="O58" s="8">
        <f>IFERROR(N58/N444, "NA")</f>
        <v>2.7333242381262505E-2</v>
      </c>
      <c r="P58" s="9"/>
      <c r="Q58" s="7">
        <v>1564.22</v>
      </c>
      <c r="R58" s="8">
        <f>IFERROR(Q58/Q444, "NA")</f>
        <v>1.3992106663537074E-3</v>
      </c>
      <c r="S58" s="9"/>
      <c r="T58" s="7">
        <v>0</v>
      </c>
      <c r="U58" s="8">
        <f>IFERROR(T58/T444, "NA")</f>
        <v>0</v>
      </c>
      <c r="V58" s="9"/>
      <c r="W58" s="10">
        <f t="shared" si="14"/>
        <v>1564.22</v>
      </c>
      <c r="X58" s="8">
        <f>IFERROR(W58/W444, "NA")</f>
        <v>1.3214794263862484E-2</v>
      </c>
      <c r="Y58" s="9"/>
      <c r="Z58" s="7">
        <v>3884.2</v>
      </c>
      <c r="AA58" s="8">
        <f>IFERROR(Z58/Z444, "NA")</f>
        <v>4.3190555090035603E-3</v>
      </c>
      <c r="AB58" s="9"/>
      <c r="AC58" s="10">
        <f t="shared" si="15"/>
        <v>-2319.9799999999996</v>
      </c>
      <c r="AD58" s="8">
        <f>IFERROR(AC58/AC444, "NA")</f>
        <v>-1.0612254121215213E-2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44238.009999999995</v>
      </c>
      <c r="C61" s="15">
        <f>IFERROR(B61/B444, "NA")</f>
        <v>0.19594285262751518</v>
      </c>
      <c r="D61" s="2"/>
      <c r="E61" s="14">
        <f>IFERROR(E46+E47+E48+E49+E50+E51+E52+E53+E54+E55+E56+E57+E58+E59+E60, "NA")</f>
        <v>88486.76</v>
      </c>
      <c r="F61" s="15">
        <f>IFERROR(E61/E444, "NA")</f>
        <v>0.4410000207325942</v>
      </c>
      <c r="G61" s="2"/>
      <c r="H61" s="14">
        <f t="shared" si="12"/>
        <v>-44248.75</v>
      </c>
      <c r="I61" s="15">
        <f>IFERROR(H61/H444, "NA")</f>
        <v>-1.7615144595560779</v>
      </c>
      <c r="J61" s="2"/>
      <c r="K61" s="14">
        <f>IFERROR(K46+K47+K48+K49+K50+K51+K52+K53+K54+K55+K56+K57+K58+K59+K60, "NA")</f>
        <v>61972.11</v>
      </c>
      <c r="L61" s="15">
        <f>IFERROR(K61/K444, "NA")</f>
        <v>0.3459191636152541</v>
      </c>
      <c r="M61" s="2"/>
      <c r="N61" s="14">
        <f t="shared" si="13"/>
        <v>-17734.100000000006</v>
      </c>
      <c r="O61" s="15">
        <f>IFERROR(N61/N444, "NA")</f>
        <v>-0.38041347154615968</v>
      </c>
      <c r="P61" s="2"/>
      <c r="Q61" s="14">
        <f>IFERROR(Q46+Q47+Q48+Q49+Q50+Q51+Q52+Q53+Q54+Q55+Q56+Q57+Q58+Q59+Q60, "NA")</f>
        <v>272113.90000000002</v>
      </c>
      <c r="R61" s="15">
        <f>IFERROR(Q61/Q444, "NA")</f>
        <v>0.2434086454227066</v>
      </c>
      <c r="S61" s="2"/>
      <c r="T61" s="14">
        <f>IFERROR(T46+T47+T48+T49+T50+T51+T52+T53+T54+T55+T56+T57+T58+T59+T60, "NA")</f>
        <v>440806.61</v>
      </c>
      <c r="U61" s="15">
        <f>IFERROR(T61/T444, "NA")</f>
        <v>0.44100001055462873</v>
      </c>
      <c r="V61" s="2"/>
      <c r="W61" s="14">
        <f t="shared" si="14"/>
        <v>-168692.70999999996</v>
      </c>
      <c r="X61" s="15">
        <f>IFERROR(W61/W444, "NA")</f>
        <v>-1.4251444531225894</v>
      </c>
      <c r="Y61" s="2"/>
      <c r="Z61" s="14">
        <f>IFERROR(Z46+Z47+Z48+Z49+Z50+Z51+Z52+Z53+Z54+Z55+Z56+Z57+Z58+Z59+Z60, "NA")</f>
        <v>331404.62</v>
      </c>
      <c r="AA61" s="15">
        <f>IFERROR(Z61/Z444, "NA")</f>
        <v>0.36850701552964099</v>
      </c>
      <c r="AB61" s="2"/>
      <c r="AC61" s="14">
        <f t="shared" si="15"/>
        <v>-59290.719999999972</v>
      </c>
      <c r="AD61" s="15">
        <f>IFERROR(AC61/AC444, "NA")</f>
        <v>-0.27121276376081566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60597.599999999999</v>
      </c>
      <c r="C62" s="15">
        <f>IFERROR(B62/B444, "NA")</f>
        <v>0.26840417564852292</v>
      </c>
      <c r="D62" s="2"/>
      <c r="E62" s="14">
        <f>IFERROR(E42+E43+E44+E46+E47+E48+E49+E50+E51+E52+E53+E54+E55+E56+E57+E58+E59+E60, "NA")</f>
        <v>88486.76</v>
      </c>
      <c r="F62" s="15">
        <f>IFERROR(E62/E444, "NA")</f>
        <v>0.4410000207325942</v>
      </c>
      <c r="G62" s="2"/>
      <c r="H62" s="14">
        <f t="shared" si="12"/>
        <v>-27889.159999999996</v>
      </c>
      <c r="I62" s="15">
        <f>IFERROR(H62/H444, "NA")</f>
        <v>-1.1102496365405345</v>
      </c>
      <c r="J62" s="2"/>
      <c r="K62" s="14">
        <f>IFERROR(K42+K43+K44+K46+K47+K48+K49+K50+K51+K52+K53+K54+K55+K56+K57+K58+K59+K60, "NA")</f>
        <v>62803.11</v>
      </c>
      <c r="L62" s="15">
        <f>IFERROR(K62/K444, "NA")</f>
        <v>0.35055768286148076</v>
      </c>
      <c r="M62" s="2"/>
      <c r="N62" s="14">
        <f t="shared" si="13"/>
        <v>-2205.510000000002</v>
      </c>
      <c r="O62" s="15">
        <f>IFERROR(N62/N444, "NA")</f>
        <v>-4.7310307014721414E-2</v>
      </c>
      <c r="P62" s="2"/>
      <c r="Q62" s="14">
        <f>IFERROR(Q42+Q43+Q44+Q46+Q47+Q48+Q49+Q50+Q51+Q52+Q53+Q54+Q55+Q56+Q57+Q58+Q59+Q60, "NA")</f>
        <v>354803.80000000005</v>
      </c>
      <c r="R62" s="15">
        <f>IFERROR(Q62/Q444, "NA")</f>
        <v>0.31737560024985462</v>
      </c>
      <c r="S62" s="2"/>
      <c r="T62" s="14">
        <f>IFERROR(T42+T43+T44+T46+T47+T48+T49+T50+T51+T52+T53+T54+T55+T56+T57+T58+T59+T60, "NA")</f>
        <v>440806.61</v>
      </c>
      <c r="U62" s="15">
        <f>IFERROR(T62/T444, "NA")</f>
        <v>0.44100001055462873</v>
      </c>
      <c r="V62" s="2"/>
      <c r="W62" s="14">
        <f t="shared" si="14"/>
        <v>-86002.809999999939</v>
      </c>
      <c r="X62" s="15">
        <f>IFERROR(W62/W444, "NA")</f>
        <v>-0.72656623765458461</v>
      </c>
      <c r="Y62" s="2"/>
      <c r="Z62" s="14">
        <f>IFERROR(Z42+Z43+Z44+Z46+Z47+Z48+Z49+Z50+Z51+Z52+Z53+Z54+Z55+Z56+Z57+Z58+Z59+Z60, "NA")</f>
        <v>341601.57</v>
      </c>
      <c r="AA62" s="15">
        <f>IFERROR(Z62/Z444, "NA")</f>
        <v>0.37984556479912607</v>
      </c>
      <c r="AB62" s="2"/>
      <c r="AC62" s="14">
        <f t="shared" si="15"/>
        <v>13202.23000000004</v>
      </c>
      <c r="AD62" s="15">
        <f>IFERROR(AC62/AC444, "NA")</f>
        <v>6.0390787733830276E-2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11.65</v>
      </c>
      <c r="C65" s="8">
        <f>IFERROR(B65/B444, "NA")</f>
        <v>5.1601196191025593E-5</v>
      </c>
      <c r="D65" s="9"/>
      <c r="E65" s="7">
        <v>0</v>
      </c>
      <c r="F65" s="8">
        <f>IFERROR(E65/E444, "NA")</f>
        <v>0</v>
      </c>
      <c r="G65" s="9"/>
      <c r="H65" s="10">
        <f t="shared" si="16"/>
        <v>11.65</v>
      </c>
      <c r="I65" s="8">
        <f>IFERROR(H65/H444, "NA")</f>
        <v>4.6377905486207646E-4</v>
      </c>
      <c r="J65" s="9"/>
      <c r="K65" s="7">
        <v>0</v>
      </c>
      <c r="L65" s="8">
        <f>IFERROR(K65/K444, "NA")</f>
        <v>0</v>
      </c>
      <c r="M65" s="9"/>
      <c r="N65" s="10">
        <f t="shared" si="17"/>
        <v>11.65</v>
      </c>
      <c r="O65" s="8">
        <f>IFERROR(N65/N444, "NA")</f>
        <v>2.4990368518914175E-4</v>
      </c>
      <c r="P65" s="9"/>
      <c r="Q65" s="7">
        <v>2936.65</v>
      </c>
      <c r="R65" s="8">
        <f>IFERROR(Q65/Q444, "NA")</f>
        <v>2.626863231097681E-3</v>
      </c>
      <c r="S65" s="9"/>
      <c r="T65" s="7">
        <v>0</v>
      </c>
      <c r="U65" s="8">
        <f>IFERROR(T65/T444, "NA")</f>
        <v>0</v>
      </c>
      <c r="V65" s="9"/>
      <c r="W65" s="10">
        <f t="shared" si="18"/>
        <v>2936.65</v>
      </c>
      <c r="X65" s="8">
        <f>IFERROR(W65/W444, "NA")</f>
        <v>2.4809314274828197E-2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2936.65</v>
      </c>
      <c r="AD65" s="8">
        <f>IFERROR(AC65/AC444, "NA")</f>
        <v>1.3433079623559972E-2</v>
      </c>
    </row>
    <row r="66" spans="1:30" ht="16.5" customHeight="1" x14ac:dyDescent="0.45">
      <c r="A66" s="12" t="s">
        <v>63</v>
      </c>
      <c r="B66" s="7">
        <v>25103.3</v>
      </c>
      <c r="C66" s="8">
        <f>IFERROR(B66/B444, "NA")</f>
        <v>0.11118972603795474</v>
      </c>
      <c r="D66" s="9"/>
      <c r="E66" s="7">
        <v>0</v>
      </c>
      <c r="F66" s="8">
        <f>IFERROR(E66/E444, "NA")</f>
        <v>0</v>
      </c>
      <c r="G66" s="9"/>
      <c r="H66" s="10">
        <f t="shared" si="16"/>
        <v>25103.3</v>
      </c>
      <c r="I66" s="8">
        <f>IFERROR(H66/H444, "NA")</f>
        <v>0.9993463302934904</v>
      </c>
      <c r="J66" s="9"/>
      <c r="K66" s="7">
        <v>10537.18</v>
      </c>
      <c r="L66" s="8">
        <f>IFERROR(K66/K444, "NA")</f>
        <v>5.8816982227382339E-2</v>
      </c>
      <c r="M66" s="9"/>
      <c r="N66" s="10">
        <f t="shared" si="17"/>
        <v>14566.119999999999</v>
      </c>
      <c r="O66" s="8">
        <f>IFERROR(N66/N444, "NA")</f>
        <v>0.31245725896199666</v>
      </c>
      <c r="P66" s="9"/>
      <c r="Q66" s="7">
        <v>80384.320000000007</v>
      </c>
      <c r="R66" s="8">
        <f>IFERROR(Q66/Q444, "NA")</f>
        <v>7.1904590116217443E-2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80384.320000000007</v>
      </c>
      <c r="X66" s="8">
        <f>IFERROR(W66/W444, "NA")</f>
        <v>0.67910028694204549</v>
      </c>
      <c r="Y66" s="9"/>
      <c r="Z66" s="7">
        <v>62404.58</v>
      </c>
      <c r="AA66" s="8">
        <f>IFERROR(Z66/Z444, "NA")</f>
        <v>6.9391083115198343E-2</v>
      </c>
      <c r="AB66" s="9"/>
      <c r="AC66" s="10">
        <f t="shared" si="19"/>
        <v>17979.740000000005</v>
      </c>
      <c r="AD66" s="8">
        <f>IFERROR(AC66/AC444, "NA")</f>
        <v>8.2244489139293483E-2</v>
      </c>
    </row>
    <row r="67" spans="1:30" ht="16.5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9882.75</v>
      </c>
      <c r="R67" s="8">
        <f>IFERROR(Q67/Q444, "NA")</f>
        <v>8.8402201818843264E-3</v>
      </c>
      <c r="S67" s="9"/>
      <c r="T67" s="7">
        <v>0</v>
      </c>
      <c r="U67" s="8">
        <f>IFERROR(T67/T444, "NA")</f>
        <v>0</v>
      </c>
      <c r="V67" s="9"/>
      <c r="W67" s="10">
        <f t="shared" si="18"/>
        <v>9882.75</v>
      </c>
      <c r="X67" s="8">
        <f>IFERROR(W67/W444, "NA")</f>
        <v>8.3491138082358599E-2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9882.75</v>
      </c>
      <c r="AD67" s="8">
        <f>IFERROR(AC67/AC444, "NA")</f>
        <v>4.5206533856515858E-2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25114.95</v>
      </c>
      <c r="C73" s="15">
        <f>IFERROR(B73/B444, "NA")</f>
        <v>0.11124132723414577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25114.95</v>
      </c>
      <c r="I73" s="15">
        <f>IFERROR(H73/H444, "NA")</f>
        <v>0.99981010934835257</v>
      </c>
      <c r="J73" s="2"/>
      <c r="K73" s="14">
        <f>IFERROR(K64+K65+K66+K67+K68+K69+K70+K71+K72, "NA")</f>
        <v>10537.18</v>
      </c>
      <c r="L73" s="15">
        <f>IFERROR(K73/K444, "NA")</f>
        <v>5.8816982227382339E-2</v>
      </c>
      <c r="M73" s="2"/>
      <c r="N73" s="14">
        <f t="shared" si="17"/>
        <v>14577.77</v>
      </c>
      <c r="O73" s="15">
        <f>IFERROR(N73/N444, "NA")</f>
        <v>0.31270716264718584</v>
      </c>
      <c r="P73" s="2"/>
      <c r="Q73" s="14">
        <f>IFERROR(Q64+Q65+Q66+Q67+Q68+Q69+Q70+Q71+Q72, "NA")</f>
        <v>93203.72</v>
      </c>
      <c r="R73" s="15">
        <f>IFERROR(Q73/Q444, "NA")</f>
        <v>8.3371673529199442E-2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93203.72</v>
      </c>
      <c r="X73" s="15">
        <f>IFERROR(W73/W444, "NA")</f>
        <v>0.78740073929923227</v>
      </c>
      <c r="Y73" s="2"/>
      <c r="Z73" s="14">
        <f>IFERROR(Z64+Z65+Z66+Z67+Z68+Z69+Z70+Z71+Z72, "NA")</f>
        <v>62404.58</v>
      </c>
      <c r="AA73" s="15">
        <f>IFERROR(Z73/Z444, "NA")</f>
        <v>6.9391083115198343E-2</v>
      </c>
      <c r="AB73" s="2"/>
      <c r="AC73" s="14">
        <f t="shared" si="19"/>
        <v>30799.14</v>
      </c>
      <c r="AD73" s="15">
        <f>IFERROR(AC73/AC444, "NA")</f>
        <v>0.14088410261936929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5818.86</v>
      </c>
      <c r="F75" s="8">
        <f>IFERROR(E75/E444, "NA")</f>
        <v>2.9000015150741909E-2</v>
      </c>
      <c r="G75" s="9"/>
      <c r="H75" s="10">
        <f t="shared" ref="H75:H92" si="20">IFERROR(B75-E75, "NA")</f>
        <v>-5818.86</v>
      </c>
      <c r="I75" s="8">
        <f>IFERROR(H75/H444, "NA")</f>
        <v>-0.23164509795491348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28987.279999999999</v>
      </c>
      <c r="U75" s="8">
        <f>IFERROR(T75/T444, "NA")</f>
        <v>2.8999997949100579E-2</v>
      </c>
      <c r="V75" s="9"/>
      <c r="W75" s="10">
        <f t="shared" ref="W75:W92" si="22">IFERROR(Q75-T75, "NA")</f>
        <v>-28987.279999999999</v>
      </c>
      <c r="X75" s="8">
        <f>IFERROR(W75/W444, "NA")</f>
        <v>-0.24488942825751855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1521.6</v>
      </c>
      <c r="C77" s="8">
        <f>IFERROR(B77/B444, "NA")</f>
        <v>6.739603444142879E-3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1521.6</v>
      </c>
      <c r="I77" s="8">
        <f>IFERROR(H77/H444, "NA")</f>
        <v>6.0573923594689744E-2</v>
      </c>
      <c r="J77" s="9"/>
      <c r="K77" s="7">
        <v>200.33</v>
      </c>
      <c r="L77" s="8">
        <f>IFERROR(K77/K444, "NA")</f>
        <v>1.1182124676252568E-3</v>
      </c>
      <c r="M77" s="9"/>
      <c r="N77" s="10">
        <f t="shared" si="21"/>
        <v>1321.27</v>
      </c>
      <c r="O77" s="8">
        <f>IFERROR(N77/N444, "NA")</f>
        <v>2.8342510054065004E-2</v>
      </c>
      <c r="P77" s="9"/>
      <c r="Q77" s="7">
        <v>7656.36</v>
      </c>
      <c r="R77" s="8">
        <f>IFERROR(Q77/Q444, "NA")</f>
        <v>6.8486917297080141E-3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7656.36</v>
      </c>
      <c r="X77" s="8">
        <f>IFERROR(W77/W444, "NA")</f>
        <v>6.4682220026637025E-2</v>
      </c>
      <c r="Y77" s="9"/>
      <c r="Z77" s="7">
        <v>792.35</v>
      </c>
      <c r="AA77" s="8">
        <f>IFERROR(Z77/Z444, "NA")</f>
        <v>8.8105752344343018E-4</v>
      </c>
      <c r="AB77" s="9"/>
      <c r="AC77" s="10">
        <f t="shared" si="23"/>
        <v>6864.0099999999993</v>
      </c>
      <c r="AD77" s="8">
        <f>IFERROR(AC77/AC444, "NA")</f>
        <v>3.1397951021371925E-2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23.92</v>
      </c>
      <c r="L79" s="8">
        <f>IFERROR(K79/K444, "NA")</f>
        <v>1.3351790658212021E-4</v>
      </c>
      <c r="M79" s="9"/>
      <c r="N79" s="10">
        <f t="shared" si="21"/>
        <v>-23.92</v>
      </c>
      <c r="O79" s="8">
        <f>IFERROR(N79/N444, "NA")</f>
        <v>-5.1310696564156827E-4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101.66</v>
      </c>
      <c r="AA79" s="8">
        <f>IFERROR(Z79/Z444, "NA")</f>
        <v>1.1304134263047783E-4</v>
      </c>
      <c r="AB79" s="9"/>
      <c r="AC79" s="10">
        <f t="shared" si="23"/>
        <v>-101.66</v>
      </c>
      <c r="AD79" s="8">
        <f>IFERROR(AC79/AC444, "NA")</f>
        <v>-4.6502200620813057E-4</v>
      </c>
    </row>
    <row r="80" spans="1:30" ht="16.5" customHeight="1" x14ac:dyDescent="0.45">
      <c r="A80" s="12" t="s">
        <v>76</v>
      </c>
      <c r="B80" s="7">
        <v>3552.45</v>
      </c>
      <c r="C80" s="8">
        <f>IFERROR(B80/B444, "NA")</f>
        <v>1.5734821408481446E-2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3552.45</v>
      </c>
      <c r="I80" s="8">
        <f>IFERROR(H80/H444, "NA")</f>
        <v>0.14142076424418742</v>
      </c>
      <c r="J80" s="9"/>
      <c r="K80" s="7">
        <v>4943.12</v>
      </c>
      <c r="L80" s="8">
        <f>IFERROR(K80/K444, "NA")</f>
        <v>2.7591765651513799E-2</v>
      </c>
      <c r="M80" s="9"/>
      <c r="N80" s="10">
        <f t="shared" si="21"/>
        <v>-1390.67</v>
      </c>
      <c r="O80" s="8">
        <f>IFERROR(N80/N444, "NA")</f>
        <v>-2.9831206685148822E-2</v>
      </c>
      <c r="P80" s="9"/>
      <c r="Q80" s="7">
        <v>22367.56</v>
      </c>
      <c r="R80" s="8">
        <f>IFERROR(Q80/Q444, "NA")</f>
        <v>2.0008009443880356E-2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22367.56</v>
      </c>
      <c r="X80" s="8">
        <f>IFERROR(W80/W444, "NA")</f>
        <v>0.18896491771272581</v>
      </c>
      <c r="Y80" s="9"/>
      <c r="Z80" s="7">
        <v>24057.56</v>
      </c>
      <c r="AA80" s="8">
        <f>IFERROR(Z80/Z444, "NA")</f>
        <v>2.6750923498064905E-2</v>
      </c>
      <c r="AB80" s="9"/>
      <c r="AC80" s="10">
        <f t="shared" si="23"/>
        <v>-1690</v>
      </c>
      <c r="AD80" s="8">
        <f>IFERROR(AC80/AC444, "NA")</f>
        <v>-7.7305448602374644E-3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60</v>
      </c>
      <c r="L85" s="8">
        <f>IFERROR(K85/K444, "NA")</f>
        <v>3.3491113691167277E-4</v>
      </c>
      <c r="M85" s="9"/>
      <c r="N85" s="10">
        <f t="shared" si="21"/>
        <v>-60</v>
      </c>
      <c r="O85" s="8">
        <f>IFERROR(N85/N444, "NA")</f>
        <v>-1.2870576061243351E-3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120</v>
      </c>
      <c r="AA85" s="8">
        <f>IFERROR(Z85/Z444, "NA")</f>
        <v>1.3343459684888196E-4</v>
      </c>
      <c r="AB85" s="9"/>
      <c r="AC85" s="10">
        <f t="shared" si="23"/>
        <v>-120</v>
      </c>
      <c r="AD85" s="8">
        <f>IFERROR(AC85/AC444, "NA")</f>
        <v>-5.4891442794585547E-4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988.28</v>
      </c>
      <c r="R87" s="8">
        <f>IFERROR(Q87/Q444, "NA")</f>
        <v>8.8402649073918106E-4</v>
      </c>
      <c r="S87" s="9"/>
      <c r="T87" s="7">
        <v>0</v>
      </c>
      <c r="U87" s="8">
        <f>IFERROR(T87/T444, "NA")</f>
        <v>0</v>
      </c>
      <c r="V87" s="9"/>
      <c r="W87" s="10">
        <f t="shared" si="22"/>
        <v>988.28</v>
      </c>
      <c r="X87" s="8">
        <f>IFERROR(W87/W444, "NA")</f>
        <v>8.3491560490787844E-3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988.28</v>
      </c>
      <c r="AD87" s="8">
        <f>IFERROR(AC87/AC444, "NA")</f>
        <v>4.5206762570860837E-3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5074.0499999999993</v>
      </c>
      <c r="C88" s="15">
        <f>IFERROR(B88/B444, "NA")</f>
        <v>2.2474424852624325E-2</v>
      </c>
      <c r="D88" s="2"/>
      <c r="E88" s="14">
        <f>IFERROR(E75+E76+E77+E78+E79+E80+E81+E82+E83+E84+E85+E86+E87, "NA")</f>
        <v>5818.86</v>
      </c>
      <c r="F88" s="15">
        <f>IFERROR(E88/E444, "NA")</f>
        <v>2.9000015150741909E-2</v>
      </c>
      <c r="G88" s="2"/>
      <c r="H88" s="14">
        <f t="shared" si="20"/>
        <v>-744.8100000000004</v>
      </c>
      <c r="I88" s="15">
        <f>IFERROR(H88/H444, "NA")</f>
        <v>-2.9650410116036339E-2</v>
      </c>
      <c r="J88" s="2"/>
      <c r="K88" s="14">
        <f>IFERROR(K75+K76+K77+K78+K79+K80+K81+K82+K83+K84+K85+K86+K87, "NA")</f>
        <v>5227.37</v>
      </c>
      <c r="L88" s="15">
        <f>IFERROR(K88/K444, "NA")</f>
        <v>2.9178407162632848E-2</v>
      </c>
      <c r="M88" s="2"/>
      <c r="N88" s="14">
        <f t="shared" si="21"/>
        <v>-153.32000000000062</v>
      </c>
      <c r="O88" s="15">
        <f>IFERROR(N88/N444, "NA")</f>
        <v>-3.2888612028497311E-3</v>
      </c>
      <c r="P88" s="2"/>
      <c r="Q88" s="14">
        <f>IFERROR(Q75+Q76+Q77+Q78+Q79+Q80+Q81+Q82+Q83+Q84+Q85+Q86+Q87, "NA")</f>
        <v>31012.2</v>
      </c>
      <c r="R88" s="15">
        <f>IFERROR(Q88/Q444, "NA")</f>
        <v>2.7740727664327551E-2</v>
      </c>
      <c r="S88" s="2"/>
      <c r="T88" s="14">
        <f>IFERROR(T75+T76+T77+T78+T79+T80+T81+T82+T83+T84+T85+T86+T87, "NA")</f>
        <v>28987.279999999999</v>
      </c>
      <c r="U88" s="15">
        <f>IFERROR(T88/T444, "NA")</f>
        <v>2.8999997949100579E-2</v>
      </c>
      <c r="V88" s="2"/>
      <c r="W88" s="14">
        <f t="shared" si="22"/>
        <v>2024.9200000000019</v>
      </c>
      <c r="X88" s="15">
        <f>IFERROR(W88/W444, "NA")</f>
        <v>1.7106865530923044E-2</v>
      </c>
      <c r="Y88" s="2"/>
      <c r="Z88" s="14">
        <f>IFERROR(Z75+Z76+Z77+Z78+Z79+Z80+Z81+Z82+Z83+Z84+Z85+Z86+Z87, "NA")</f>
        <v>25071.57</v>
      </c>
      <c r="AA88" s="15">
        <f>IFERROR(Z88/Z444, "NA")</f>
        <v>2.7878456960987695E-2</v>
      </c>
      <c r="AB88" s="2"/>
      <c r="AC88" s="14">
        <f t="shared" si="23"/>
        <v>5940.630000000001</v>
      </c>
      <c r="AD88" s="15">
        <f>IFERROR(AC88/AC444, "NA")</f>
        <v>2.7174145984066568E-2</v>
      </c>
    </row>
    <row r="89" spans="1:30" ht="16.5" customHeight="1" x14ac:dyDescent="0.45">
      <c r="A89" s="6" t="s">
        <v>85</v>
      </c>
      <c r="B89" s="7">
        <v>149.75</v>
      </c>
      <c r="C89" s="8">
        <f>IFERROR(B89/B444, "NA")</f>
        <v>6.6328576219794701E-4</v>
      </c>
      <c r="D89" s="9"/>
      <c r="E89" s="7">
        <v>0</v>
      </c>
      <c r="F89" s="8">
        <f>IFERROR(E89/E444, "NA")</f>
        <v>0</v>
      </c>
      <c r="G89" s="9"/>
      <c r="H89" s="10">
        <f t="shared" si="20"/>
        <v>149.75</v>
      </c>
      <c r="I89" s="8">
        <f>IFERROR(H89/H444, "NA")</f>
        <v>5.9614517996219698E-3</v>
      </c>
      <c r="J89" s="9"/>
      <c r="K89" s="7">
        <v>-1021.37</v>
      </c>
      <c r="L89" s="8">
        <f>IFERROR(K89/K444, "NA")</f>
        <v>-5.7011364651245872E-3</v>
      </c>
      <c r="M89" s="9"/>
      <c r="N89" s="10">
        <f t="shared" si="21"/>
        <v>1171.1199999999999</v>
      </c>
      <c r="O89" s="8">
        <f>IFERROR(N89/N444, "NA")</f>
        <v>2.5121648394738853E-2</v>
      </c>
      <c r="P89" s="9"/>
      <c r="Q89" s="7">
        <v>165.74</v>
      </c>
      <c r="R89" s="8">
        <f>IFERROR(Q89/Q444, "NA")</f>
        <v>1.482561122102156E-4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165.74</v>
      </c>
      <c r="X89" s="8">
        <f>IFERROR(W89/W444, "NA")</f>
        <v>1.4001994612602884E-3</v>
      </c>
      <c r="Y89" s="9"/>
      <c r="Z89" s="7">
        <v>-3899.46</v>
      </c>
      <c r="AA89" s="8">
        <f>IFERROR(Z89/Z444, "NA")</f>
        <v>-4.3360239419028435E-3</v>
      </c>
      <c r="AB89" s="9"/>
      <c r="AC89" s="10">
        <f t="shared" si="23"/>
        <v>4065.2</v>
      </c>
      <c r="AD89" s="8">
        <f>IFERROR(AC89/AC444, "NA")</f>
        <v>1.8595391104045764E-2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-7022.76</v>
      </c>
      <c r="F94" s="8">
        <f>IFERROR(E94/E444, "NA")</f>
        <v>-3.5000007974074689E-2</v>
      </c>
      <c r="G94" s="9"/>
      <c r="H94" s="10">
        <f t="shared" ref="H94:H124" si="24">IFERROR(B94-E94, "NA")</f>
        <v>7022.76</v>
      </c>
      <c r="I94" s="8">
        <f>IFERROR(H94/H444, "NA")</f>
        <v>0.27957158758139022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-34984.65</v>
      </c>
      <c r="U94" s="8">
        <f>IFERROR(T94/T444, "NA")</f>
        <v>-3.4999999249670947E-2</v>
      </c>
      <c r="V94" s="9"/>
      <c r="W94" s="10">
        <f t="shared" ref="W94:W124" si="26">IFERROR(Q94-T94, "NA")</f>
        <v>34984.65</v>
      </c>
      <c r="X94" s="8">
        <f>IFERROR(W94/W444, "NA")</f>
        <v>0.29555622108350277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-2254.6999999999998</v>
      </c>
      <c r="C96" s="8">
        <f>IFERROR(B96/B444, "NA")</f>
        <v>-9.986713910034797E-3</v>
      </c>
      <c r="D96" s="9"/>
      <c r="E96" s="7">
        <v>0</v>
      </c>
      <c r="F96" s="8">
        <f>IFERROR(E96/E444, "NA")</f>
        <v>0</v>
      </c>
      <c r="G96" s="9"/>
      <c r="H96" s="10">
        <f t="shared" si="24"/>
        <v>-2254.6999999999998</v>
      </c>
      <c r="I96" s="8">
        <f>IFERROR(H96/H444, "NA")</f>
        <v>-8.9758166094208044E-2</v>
      </c>
      <c r="J96" s="9"/>
      <c r="K96" s="7">
        <v>-186.88</v>
      </c>
      <c r="L96" s="8">
        <f>IFERROR(K96/K444, "NA")</f>
        <v>-1.0431365544342234E-3</v>
      </c>
      <c r="M96" s="9"/>
      <c r="N96" s="10">
        <f t="shared" si="25"/>
        <v>-2067.8199999999997</v>
      </c>
      <c r="O96" s="8">
        <f>IFERROR(N96/N444, "NA")</f>
        <v>-4.4356724318267038E-2</v>
      </c>
      <c r="P96" s="9"/>
      <c r="Q96" s="7">
        <v>-13188.1</v>
      </c>
      <c r="R96" s="8">
        <f>IFERROR(Q96/Q444, "NA")</f>
        <v>-1.1796889305174035E-2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-13188.1</v>
      </c>
      <c r="X96" s="8">
        <f>IFERROR(W96/W444, "NA")</f>
        <v>-0.11141529211443711</v>
      </c>
      <c r="Y96" s="9"/>
      <c r="Z96" s="7">
        <v>-750.99</v>
      </c>
      <c r="AA96" s="8">
        <f>IFERROR(Z96/Z444, "NA")</f>
        <v>-8.3506706572951546E-4</v>
      </c>
      <c r="AB96" s="9"/>
      <c r="AC96" s="10">
        <f t="shared" si="27"/>
        <v>-12437.11</v>
      </c>
      <c r="AD96" s="8">
        <f>IFERROR(AC96/AC444, "NA")</f>
        <v>-5.6890909341247325E-2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-3154.69</v>
      </c>
      <c r="C98" s="8">
        <f>IFERROR(B98/B444, "NA")</f>
        <v>-1.3973028121190259E-2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-3154.69</v>
      </c>
      <c r="I98" s="8">
        <f>IFERROR(H98/H444, "NA")</f>
        <v>-0.1255861928397291</v>
      </c>
      <c r="J98" s="9"/>
      <c r="K98" s="7">
        <v>-2541.29</v>
      </c>
      <c r="L98" s="8">
        <f>IFERROR(K98/K444, "NA")</f>
        <v>-1.4185105385371082E-2</v>
      </c>
      <c r="M98" s="9"/>
      <c r="N98" s="10">
        <f t="shared" si="25"/>
        <v>-613.40000000000009</v>
      </c>
      <c r="O98" s="8">
        <f>IFERROR(N98/N444, "NA")</f>
        <v>-1.3158018926611122E-2</v>
      </c>
      <c r="P98" s="9"/>
      <c r="Q98" s="7">
        <v>-12624.77</v>
      </c>
      <c r="R98" s="8">
        <f>IFERROR(Q98/Q444, "NA")</f>
        <v>-1.1292984902547144E-2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-12624.77</v>
      </c>
      <c r="X98" s="8">
        <f>IFERROR(W98/W444, "NA")</f>
        <v>-0.10665618530550892</v>
      </c>
      <c r="Y98" s="9"/>
      <c r="Z98" s="7">
        <v>-11911.17</v>
      </c>
      <c r="AA98" s="8">
        <f>IFERROR(Z98/Z444, "NA")</f>
        <v>-1.3244684724570811E-2</v>
      </c>
      <c r="AB98" s="9"/>
      <c r="AC98" s="10">
        <f t="shared" si="27"/>
        <v>-713.60000000000036</v>
      </c>
      <c r="AD98" s="8">
        <f>IFERROR(AC98/AC444, "NA")</f>
        <v>-3.2642111315180221E-3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-1746.25</v>
      </c>
      <c r="C100" s="8">
        <f>IFERROR(B100/B444, "NA")</f>
        <v>-7.7346428196204669E-3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-1746.25</v>
      </c>
      <c r="I100" s="8">
        <f>IFERROR(H100/H444, "NA")</f>
        <v>-6.9517096528146013E-2</v>
      </c>
      <c r="J100" s="9"/>
      <c r="K100" s="7">
        <v>-61.39</v>
      </c>
      <c r="L100" s="8">
        <f>IFERROR(K100/K444, "NA")</f>
        <v>-3.4266991158345985E-4</v>
      </c>
      <c r="M100" s="9"/>
      <c r="N100" s="10">
        <f t="shared" si="25"/>
        <v>-1684.86</v>
      </c>
      <c r="O100" s="8">
        <f>IFERROR(N100/N444, "NA")</f>
        <v>-3.6141864637577452E-2</v>
      </c>
      <c r="P100" s="9"/>
      <c r="Q100" s="7">
        <v>-4260.6400000000003</v>
      </c>
      <c r="R100" s="8">
        <f>IFERROR(Q100/Q444, "NA")</f>
        <v>-3.8111857241904974E-3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-4260.6400000000003</v>
      </c>
      <c r="X100" s="8">
        <f>IFERROR(W100/W444, "NA")</f>
        <v>-3.5994604999541664E-2</v>
      </c>
      <c r="Y100" s="9"/>
      <c r="Z100" s="7">
        <v>-714.99</v>
      </c>
      <c r="AA100" s="8">
        <f>IFERROR(Z100/Z444, "NA")</f>
        <v>-7.9503668667485093E-4</v>
      </c>
      <c r="AB100" s="9"/>
      <c r="AC100" s="10">
        <f t="shared" si="27"/>
        <v>-3545.6500000000005</v>
      </c>
      <c r="AD100" s="8">
        <f>IFERROR(AC100/AC444, "NA")</f>
        <v>-1.6218820345385191E-2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-1703.4</v>
      </c>
      <c r="C102" s="8">
        <f>IFERROR(B102/B444, "NA")</f>
        <v>-7.5448478619564805E-3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-1703.4</v>
      </c>
      <c r="I102" s="8">
        <f>IFERROR(H102/H444, "NA")</f>
        <v>-6.781126541219408E-2</v>
      </c>
      <c r="J102" s="9"/>
      <c r="K102" s="7">
        <v>-314.95999999999998</v>
      </c>
      <c r="L102" s="8">
        <f>IFERROR(K102/K444, "NA")</f>
        <v>-1.7580601946950074E-3</v>
      </c>
      <c r="M102" s="9"/>
      <c r="N102" s="10">
        <f t="shared" si="25"/>
        <v>-1388.44</v>
      </c>
      <c r="O102" s="8">
        <f>IFERROR(N102/N444, "NA")</f>
        <v>-2.9783371044121199E-2</v>
      </c>
      <c r="P102" s="9"/>
      <c r="Q102" s="7">
        <v>-10128.709999999999</v>
      </c>
      <c r="R102" s="8">
        <f>IFERROR(Q102/Q444, "NA")</f>
        <v>-9.0602338983029607E-3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-10128.709999999999</v>
      </c>
      <c r="X102" s="8">
        <f>IFERROR(W102/W444, "NA")</f>
        <v>-8.5569049627499047E-2</v>
      </c>
      <c r="Y102" s="9"/>
      <c r="Z102" s="7">
        <v>-4628.09</v>
      </c>
      <c r="AA102" s="8">
        <f>IFERROR(Z102/Z444, "NA")</f>
        <v>-5.1462276944195173E-3</v>
      </c>
      <c r="AB102" s="9"/>
      <c r="AC102" s="10">
        <f t="shared" si="27"/>
        <v>-5500.619999999999</v>
      </c>
      <c r="AD102" s="8">
        <f>IFERROR(AC102/AC444, "NA")</f>
        <v>-2.5161414005396093E-2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-755.03</v>
      </c>
      <c r="C104" s="8">
        <f>IFERROR(B104/B444, "NA")</f>
        <v>-3.344244734773395E-3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-755.03</v>
      </c>
      <c r="I104" s="8">
        <f>IFERROR(H104/H444, "NA")</f>
        <v>-3.0057261784765116E-2</v>
      </c>
      <c r="J104" s="9"/>
      <c r="K104" s="7">
        <v>-380.8</v>
      </c>
      <c r="L104" s="8">
        <f>IFERROR(K104/K444, "NA")</f>
        <v>-2.1255693489327498E-3</v>
      </c>
      <c r="M104" s="9"/>
      <c r="N104" s="10">
        <f t="shared" si="25"/>
        <v>-374.22999999999996</v>
      </c>
      <c r="O104" s="8">
        <f>IFERROR(N104/N444, "NA")</f>
        <v>-8.0275927989984976E-3</v>
      </c>
      <c r="P104" s="9"/>
      <c r="Q104" s="7">
        <v>-4190.59</v>
      </c>
      <c r="R104" s="8">
        <f>IFERROR(Q104/Q444, "NA")</f>
        <v>-3.7485252882044615E-3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-4190.59</v>
      </c>
      <c r="X104" s="8">
        <f>IFERROR(W104/W444, "NA")</f>
        <v>-3.5402810790169853E-2</v>
      </c>
      <c r="Y104" s="9"/>
      <c r="Z104" s="7">
        <v>-2573.71</v>
      </c>
      <c r="AA104" s="8">
        <f>IFERROR(Z104/Z444, "NA")</f>
        <v>-2.8618496354661329E-3</v>
      </c>
      <c r="AB104" s="9"/>
      <c r="AC104" s="10">
        <f t="shared" si="27"/>
        <v>-1616.88</v>
      </c>
      <c r="AD104" s="8">
        <f>IFERROR(AC104/AC444, "NA")</f>
        <v>-7.3960730021424576E-3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-2876.73</v>
      </c>
      <c r="L106" s="8">
        <f>IFERROR(K106/K444, "NA")</f>
        <v>-1.6057481914798607E-2</v>
      </c>
      <c r="M106" s="9"/>
      <c r="N106" s="10">
        <f t="shared" si="25"/>
        <v>2876.73</v>
      </c>
      <c r="O106" s="8">
        <f>IFERROR(N106/N444, "NA")</f>
        <v>6.1708620454434308E-2</v>
      </c>
      <c r="P106" s="9"/>
      <c r="Q106" s="7">
        <v>-1762.06</v>
      </c>
      <c r="R106" s="8">
        <f>IFERROR(Q106/Q444, "NA")</f>
        <v>-1.576180554369087E-3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-1762.06</v>
      </c>
      <c r="X106" s="8">
        <f>IFERROR(W106/W444, "NA")</f>
        <v>-1.4886179936697861E-2</v>
      </c>
      <c r="Y106" s="9"/>
      <c r="Z106" s="7">
        <v>-11478.11</v>
      </c>
      <c r="AA106" s="8">
        <f>IFERROR(Z106/Z444, "NA")</f>
        <v>-1.2763141503642671E-2</v>
      </c>
      <c r="AB106" s="9"/>
      <c r="AC106" s="10">
        <f t="shared" si="27"/>
        <v>9716.0500000000011</v>
      </c>
      <c r="AD106" s="8">
        <f>IFERROR(AC106/AC444, "NA")</f>
        <v>4.4444000230361082E-2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-5</v>
      </c>
      <c r="L108" s="8">
        <f>IFERROR(K108/K444, "NA")</f>
        <v>-2.7909261409306063E-5</v>
      </c>
      <c r="M108" s="9"/>
      <c r="N108" s="10">
        <f t="shared" si="25"/>
        <v>5</v>
      </c>
      <c r="O108" s="8">
        <f>IFERROR(N108/N444, "NA")</f>
        <v>1.0725480051036126E-4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-55.58</v>
      </c>
      <c r="AA108" s="8">
        <f>IFERROR(Z108/Z444, "NA")</f>
        <v>-6.1802457440507161E-5</v>
      </c>
      <c r="AB108" s="9"/>
      <c r="AC108" s="10">
        <f t="shared" si="27"/>
        <v>55.58</v>
      </c>
      <c r="AD108" s="8">
        <f>IFERROR(AC108/AC444, "NA")</f>
        <v>2.5423886587692208E-4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-11.55</v>
      </c>
      <c r="AA111" s="8">
        <f>IFERROR(Z111/Z444, "NA")</f>
        <v>-1.2843079946704888E-5</v>
      </c>
      <c r="AB111" s="9"/>
      <c r="AC111" s="10">
        <f t="shared" si="27"/>
        <v>11.55</v>
      </c>
      <c r="AD111" s="8">
        <f>IFERROR(AC111/AC444, "NA")</f>
        <v>5.2833013689788595E-5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-9614.07</v>
      </c>
      <c r="C118" s="15">
        <f>IFERROR(B118/B444, "NA")</f>
        <v>-4.2583477447575402E-2</v>
      </c>
      <c r="D118" s="2"/>
      <c r="E118" s="14">
        <f>IFERROR(E94+E95+E96+E97+E98+E99+E100+E101+E102+E103+E104+E105+E106+E107+E108+E109+E110+E111+E112+E113+E114+E115+E116+E117, "NA")</f>
        <v>-7022.76</v>
      </c>
      <c r="F118" s="15">
        <f>IFERROR(E118/E444, "NA")</f>
        <v>-3.5000007974074689E-2</v>
      </c>
      <c r="G118" s="2"/>
      <c r="H118" s="14">
        <f t="shared" si="24"/>
        <v>-2591.3099999999995</v>
      </c>
      <c r="I118" s="15">
        <f>IFERROR(H118/H444, "NA")</f>
        <v>-0.10315839507765212</v>
      </c>
      <c r="J118" s="2"/>
      <c r="K118" s="14">
        <f>IFERROR(K94+K95+K96+K97+K98+K99+K100+K101+K102+K103+K104+K105+K106+K107+K108+K109+K110+K111+K112+K113+K114+K115+K116+K117, "NA")</f>
        <v>-6367.05</v>
      </c>
      <c r="L118" s="15">
        <f>IFERROR(K118/K444, "NA")</f>
        <v>-3.5539932571224439E-2</v>
      </c>
      <c r="M118" s="2"/>
      <c r="N118" s="14">
        <f t="shared" si="25"/>
        <v>-3247.0199999999995</v>
      </c>
      <c r="O118" s="15">
        <f>IFERROR(N118/N444, "NA")</f>
        <v>-6.9651696470630631E-2</v>
      </c>
      <c r="P118" s="2"/>
      <c r="Q118" s="14">
        <f>IFERROR(Q94+Q95+Q96+Q97+Q98+Q99+Q100+Q101+Q102+Q103+Q104+Q105+Q106+Q107+Q108+Q109+Q110+Q111+Q112+Q113+Q114+Q115+Q116+Q117, "NA")</f>
        <v>-46154.869999999995</v>
      </c>
      <c r="R118" s="15">
        <f>IFERROR(Q118/Q444, "NA")</f>
        <v>-4.1285999672788183E-2</v>
      </c>
      <c r="S118" s="2"/>
      <c r="T118" s="14">
        <f>IFERROR(T94+T95+T96+T97+T98+T99+T100+T101+T102+T103+T104+T105+T106+T107+T108+T109+T110+T111+T112+T113+T114+T115+T116+T117, "NA")</f>
        <v>-34984.65</v>
      </c>
      <c r="U118" s="15">
        <f>IFERROR(T118/T444, "NA")</f>
        <v>-3.4999999249670947E-2</v>
      </c>
      <c r="V118" s="2"/>
      <c r="W118" s="14">
        <f t="shared" si="26"/>
        <v>-11170.219999999994</v>
      </c>
      <c r="X118" s="15">
        <f>IFERROR(W118/W444, "NA")</f>
        <v>-9.4367901690351683E-2</v>
      </c>
      <c r="Y118" s="2"/>
      <c r="Z118" s="14">
        <f>IFERROR(Z94+Z95+Z96+Z97+Z98+Z99+Z100+Z101+Z102+Z103+Z104+Z105+Z106+Z107+Z108+Z109+Z110+Z111+Z112+Z113+Z114+Z115+Z116+Z117, "NA")</f>
        <v>-32124.19</v>
      </c>
      <c r="AA118" s="15">
        <f>IFERROR(Z118/Z444, "NA")</f>
        <v>-3.5720652847890708E-2</v>
      </c>
      <c r="AB118" s="2"/>
      <c r="AC118" s="14">
        <f t="shared" si="27"/>
        <v>-14030.679999999997</v>
      </c>
      <c r="AD118" s="15">
        <f>IFERROR(AC118/AC444, "NA")</f>
        <v>-6.4180355715761278E-2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225769.95999999996</v>
      </c>
      <c r="C122" s="15">
        <f>IFERROR(B122/B444, "NA")</f>
        <v>0.99999999999999989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200650.23999999999</v>
      </c>
      <c r="F122" s="15">
        <f>IFERROR(E122/E444, "NA")</f>
        <v>1</v>
      </c>
      <c r="G122" s="2"/>
      <c r="H122" s="14">
        <f t="shared" si="24"/>
        <v>25119.719999999972</v>
      </c>
      <c r="I122" s="15">
        <f>IFERROR(H122/H444, "NA")</f>
        <v>0.99999999999999889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179151.99999999997</v>
      </c>
      <c r="L122" s="15">
        <f>IFERROR(K122/K444, "NA")</f>
        <v>0.99999999999999989</v>
      </c>
      <c r="M122" s="2"/>
      <c r="N122" s="14">
        <f t="shared" si="25"/>
        <v>46617.959999999992</v>
      </c>
      <c r="O122" s="15">
        <f>IFERROR(N122/N444, "NA")</f>
        <v>1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1117930.3</v>
      </c>
      <c r="R122" s="15">
        <f>IFERROR(Q122/Q444, "NA")</f>
        <v>1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999561.45</v>
      </c>
      <c r="U122" s="15">
        <f>IFERROR(T122/T444, "NA")</f>
        <v>1</v>
      </c>
      <c r="V122" s="2"/>
      <c r="W122" s="14">
        <f t="shared" si="26"/>
        <v>118368.85000000009</v>
      </c>
      <c r="X122" s="15">
        <f>IFERROR(W122/W444, "NA")</f>
        <v>1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899316.99000000022</v>
      </c>
      <c r="AA122" s="15">
        <f>IFERROR(Z122/Z444, "NA")</f>
        <v>1.0000000000000002</v>
      </c>
      <c r="AB122" s="2"/>
      <c r="AC122" s="14">
        <f t="shared" si="27"/>
        <v>218613.30999999982</v>
      </c>
      <c r="AD122" s="15">
        <f>IFERROR(AC122/AC444, "NA")</f>
        <v>0.99999999999999889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225769.95999999996</v>
      </c>
      <c r="C124" s="15">
        <f>IFERROR(B124/B444, "NA")</f>
        <v>0.99999999999999989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200650.23999999999</v>
      </c>
      <c r="F124" s="15">
        <f>IFERROR(E124/E444, "NA")</f>
        <v>1</v>
      </c>
      <c r="G124" s="2"/>
      <c r="H124" s="14">
        <f t="shared" si="24"/>
        <v>25119.719999999972</v>
      </c>
      <c r="I124" s="15">
        <f>IFERROR(H124/H444, "NA")</f>
        <v>0.99999999999999889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179151.99999999997</v>
      </c>
      <c r="L124" s="15">
        <f>IFERROR(K124/K444, "NA")</f>
        <v>0.99999999999999989</v>
      </c>
      <c r="M124" s="2"/>
      <c r="N124" s="14">
        <f t="shared" si="25"/>
        <v>46617.959999999992</v>
      </c>
      <c r="O124" s="15">
        <f>IFERROR(N124/N444, "NA")</f>
        <v>1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1117930.3</v>
      </c>
      <c r="R124" s="15">
        <f>IFERROR(Q124/Q444, "NA")</f>
        <v>1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999561.45</v>
      </c>
      <c r="U124" s="15">
        <f>IFERROR(T124/T444, "NA")</f>
        <v>1</v>
      </c>
      <c r="V124" s="2"/>
      <c r="W124" s="14">
        <f t="shared" si="26"/>
        <v>118368.85000000009</v>
      </c>
      <c r="X124" s="15">
        <f>IFERROR(W124/W444, "NA")</f>
        <v>1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899316.99000000022</v>
      </c>
      <c r="AA124" s="15">
        <f>IFERROR(Z124/Z444, "NA")</f>
        <v>1.0000000000000002</v>
      </c>
      <c r="AB124" s="2"/>
      <c r="AC124" s="14">
        <f t="shared" si="27"/>
        <v>218613.30999999982</v>
      </c>
      <c r="AD124" s="15">
        <f>IFERROR(AC124/AC444, "NA")</f>
        <v>0.99999999999999889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43139.8</v>
      </c>
      <c r="F129" s="8">
        <f>IFERROR(E129/E444, "NA")</f>
        <v>0.21499999202592535</v>
      </c>
      <c r="G129" s="9"/>
      <c r="H129" s="10">
        <f t="shared" ref="H129:H141" si="28">IFERROR(-(B129-E129), "NA")</f>
        <v>43139.8</v>
      </c>
      <c r="I129" s="8">
        <f>IFERROR(H129/H444, "NA")</f>
        <v>1.7173678687501295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222911.23</v>
      </c>
      <c r="U129" s="8">
        <f>IFERROR(T129/T444, "NA")</f>
        <v>0.22300903061037419</v>
      </c>
      <c r="V129" s="9"/>
      <c r="W129" s="10">
        <f t="shared" ref="W129:W141" si="30">IFERROR(-(Q129-T129), "NA")</f>
        <v>222911.23</v>
      </c>
      <c r="X129" s="8">
        <f>IFERROR(W129/W444, "NA")</f>
        <v>1.8831916505060229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11077.1</v>
      </c>
      <c r="C130" s="8">
        <f>IFERROR(B130/B444, "NA")</f>
        <v>4.9063657538850614E-2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-11077.1</v>
      </c>
      <c r="I130" s="8">
        <f>IFERROR(H130/H444, "NA")</f>
        <v>-0.44097227198392336</v>
      </c>
      <c r="J130" s="9"/>
      <c r="K130" s="7">
        <v>12395.93</v>
      </c>
      <c r="L130" s="8">
        <f>IFERROR(K130/K444, "NA")</f>
        <v>6.9192250156291865E-2</v>
      </c>
      <c r="M130" s="9"/>
      <c r="N130" s="10">
        <f t="shared" si="29"/>
        <v>1318.83</v>
      </c>
      <c r="O130" s="8">
        <f>IFERROR(N130/N444, "NA")</f>
        <v>2.8290169711415947E-2</v>
      </c>
      <c r="P130" s="9"/>
      <c r="Q130" s="7">
        <v>59135.61</v>
      </c>
      <c r="R130" s="8">
        <f>IFERROR(Q130/Q444, "NA")</f>
        <v>5.2897403353321756E-2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-59135.61</v>
      </c>
      <c r="X130" s="8">
        <f>IFERROR(W130/W444, "NA")</f>
        <v>-0.49958760265052804</v>
      </c>
      <c r="Y130" s="9"/>
      <c r="Z130" s="7">
        <v>57285.22</v>
      </c>
      <c r="AA130" s="8">
        <f>IFERROR(Z130/Z444, "NA")</f>
        <v>6.3698585300829252E-2</v>
      </c>
      <c r="AB130" s="9"/>
      <c r="AC130" s="10">
        <f t="shared" si="31"/>
        <v>-1850.3899999999994</v>
      </c>
      <c r="AD130" s="8">
        <f>IFERROR(AC130/AC444, "NA")</f>
        <v>-8.464214736056094E-3</v>
      </c>
    </row>
    <row r="131" spans="1:30" ht="16.5" customHeight="1" x14ac:dyDescent="0.45">
      <c r="A131" s="12" t="s">
        <v>123</v>
      </c>
      <c r="B131" s="7">
        <v>6050.62</v>
      </c>
      <c r="C131" s="8">
        <f>IFERROR(B131/B444, "NA")</f>
        <v>2.679993387960028E-2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-6050.62</v>
      </c>
      <c r="I131" s="8">
        <f>IFERROR(H131/H444, "NA")</f>
        <v>-0.24087131544459889</v>
      </c>
      <c r="J131" s="9"/>
      <c r="K131" s="7">
        <v>6375.42</v>
      </c>
      <c r="L131" s="8">
        <f>IFERROR(K131/K444, "NA")</f>
        <v>3.5586652674823617E-2</v>
      </c>
      <c r="M131" s="9"/>
      <c r="N131" s="10">
        <f t="shared" si="29"/>
        <v>324.80000000000018</v>
      </c>
      <c r="O131" s="8">
        <f>IFERROR(N131/N444, "NA")</f>
        <v>6.9672718411530714E-3</v>
      </c>
      <c r="P131" s="9"/>
      <c r="Q131" s="7">
        <v>30920.28</v>
      </c>
      <c r="R131" s="8">
        <f>IFERROR(Q131/Q444, "NA")</f>
        <v>2.7658504291367715E-2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-30920.28</v>
      </c>
      <c r="X131" s="8">
        <f>IFERROR(W131/W444, "NA")</f>
        <v>-0.26121973813211818</v>
      </c>
      <c r="Y131" s="9"/>
      <c r="Z131" s="7">
        <v>27250.639999999999</v>
      </c>
      <c r="AA131" s="8">
        <f>IFERROR(Z131/Z444, "NA")</f>
        <v>3.0301484685616803E-2</v>
      </c>
      <c r="AB131" s="9"/>
      <c r="AC131" s="10">
        <f t="shared" si="31"/>
        <v>-3669.6399999999994</v>
      </c>
      <c r="AD131" s="8">
        <f>IFERROR(AC131/AC444, "NA")</f>
        <v>-1.6785986178060239E-2</v>
      </c>
    </row>
    <row r="132" spans="1:30" ht="16.5" customHeight="1" x14ac:dyDescent="0.45">
      <c r="A132" s="12" t="s">
        <v>124</v>
      </c>
      <c r="B132" s="7">
        <v>11946.24</v>
      </c>
      <c r="C132" s="8">
        <f>IFERROR(B132/B444, "NA")</f>
        <v>5.2913328239062453E-2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-11946.24</v>
      </c>
      <c r="I132" s="8">
        <f>IFERROR(H132/H444, "NA")</f>
        <v>-0.47557217994468087</v>
      </c>
      <c r="J132" s="9"/>
      <c r="K132" s="7">
        <v>6901.9</v>
      </c>
      <c r="L132" s="8">
        <f>IFERROR(K132/K444, "NA")</f>
        <v>3.8525386264177904E-2</v>
      </c>
      <c r="M132" s="9"/>
      <c r="N132" s="10">
        <f t="shared" si="29"/>
        <v>-5044.34</v>
      </c>
      <c r="O132" s="8">
        <f>IFERROR(N132/N444, "NA")</f>
        <v>-0.10820593608128715</v>
      </c>
      <c r="P132" s="9"/>
      <c r="Q132" s="7">
        <v>46639.85</v>
      </c>
      <c r="R132" s="8">
        <f>IFERROR(Q132/Q444, "NA")</f>
        <v>4.1719819205186581E-2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-46639.85</v>
      </c>
      <c r="X132" s="8">
        <f>IFERROR(W132/W444, "NA")</f>
        <v>-0.39402131557415621</v>
      </c>
      <c r="Y132" s="9"/>
      <c r="Z132" s="7">
        <v>31693.68</v>
      </c>
      <c r="AA132" s="8">
        <f>IFERROR(Z132/Z444, "NA")</f>
        <v>3.5241945112145609E-2</v>
      </c>
      <c r="AB132" s="9"/>
      <c r="AC132" s="10">
        <f t="shared" si="31"/>
        <v>-14946.169999999998</v>
      </c>
      <c r="AD132" s="8">
        <f>IFERROR(AC132/AC444, "NA")</f>
        <v>-6.8368069629429221E-2</v>
      </c>
    </row>
    <row r="133" spans="1:30" ht="16.5" customHeight="1" x14ac:dyDescent="0.45">
      <c r="A133" s="12" t="s">
        <v>125</v>
      </c>
      <c r="B133" s="7">
        <v>5333.79</v>
      </c>
      <c r="C133" s="8">
        <f>IFERROR(B133/B444, "NA")</f>
        <v>2.362488791688673E-2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-5333.79</v>
      </c>
      <c r="I133" s="8">
        <f>IFERROR(H133/H444, "NA")</f>
        <v>-0.2123347712474502</v>
      </c>
      <c r="J133" s="9"/>
      <c r="K133" s="7">
        <v>2665.59</v>
      </c>
      <c r="L133" s="8">
        <f>IFERROR(K133/K444, "NA")</f>
        <v>1.4878929624006431E-2</v>
      </c>
      <c r="M133" s="9"/>
      <c r="N133" s="10">
        <f t="shared" si="29"/>
        <v>-2668.2</v>
      </c>
      <c r="O133" s="8">
        <f>IFERROR(N133/N444, "NA")</f>
        <v>-5.7235451744349179E-2</v>
      </c>
      <c r="P133" s="9"/>
      <c r="Q133" s="7">
        <v>24346.2</v>
      </c>
      <c r="R133" s="8">
        <f>IFERROR(Q133/Q444, "NA")</f>
        <v>2.1777923006470083E-2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-24346.2</v>
      </c>
      <c r="X133" s="8">
        <f>IFERROR(W133/W444, "NA")</f>
        <v>-0.20568080200153996</v>
      </c>
      <c r="Y133" s="9"/>
      <c r="Z133" s="7">
        <v>16795.650000000001</v>
      </c>
      <c r="AA133" s="8">
        <f>IFERROR(Z133/Z444, "NA")</f>
        <v>1.8676006554707702E-2</v>
      </c>
      <c r="AB133" s="9"/>
      <c r="AC133" s="10">
        <f t="shared" si="31"/>
        <v>-7550.5499999999993</v>
      </c>
      <c r="AD133" s="8">
        <f>IFERROR(AC133/AC444, "NA")</f>
        <v>-3.4538381949388158E-2</v>
      </c>
    </row>
    <row r="134" spans="1:30" ht="16.5" customHeight="1" x14ac:dyDescent="0.45">
      <c r="A134" s="12" t="s">
        <v>126</v>
      </c>
      <c r="B134" s="7">
        <v>2192.1799999999998</v>
      </c>
      <c r="C134" s="8">
        <f>IFERROR(B134/B444, "NA")</f>
        <v>9.7097948726216719E-3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-2192.1799999999998</v>
      </c>
      <c r="I134" s="8">
        <f>IFERROR(H134/H444, "NA")</f>
        <v>-8.7269284848716461E-2</v>
      </c>
      <c r="J134" s="9"/>
      <c r="K134" s="7">
        <v>1590.82</v>
      </c>
      <c r="L134" s="8">
        <f>IFERROR(K134/K444, "NA")</f>
        <v>8.8797222470304547E-3</v>
      </c>
      <c r="M134" s="9"/>
      <c r="N134" s="10">
        <f t="shared" si="29"/>
        <v>-601.3599999999999</v>
      </c>
      <c r="O134" s="8">
        <f>IFERROR(N134/N444, "NA")</f>
        <v>-1.2899749366982167E-2</v>
      </c>
      <c r="P134" s="9"/>
      <c r="Q134" s="7">
        <v>9593.74</v>
      </c>
      <c r="R134" s="8">
        <f>IFERROR(Q134/Q444, "NA")</f>
        <v>8.5816978035213824E-3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-9593.74</v>
      </c>
      <c r="X134" s="8">
        <f>IFERROR(W134/W444, "NA")</f>
        <v>-8.1049532879638453E-2</v>
      </c>
      <c r="Y134" s="9"/>
      <c r="Z134" s="7">
        <v>8853.43</v>
      </c>
      <c r="AA134" s="8">
        <f>IFERROR(Z134/Z444, "NA")</f>
        <v>9.8446155231649742E-3</v>
      </c>
      <c r="AB134" s="9"/>
      <c r="AC134" s="10">
        <f t="shared" si="31"/>
        <v>-740.30999999999949</v>
      </c>
      <c r="AD134" s="8">
        <f>IFERROR(AC134/AC444, "NA")</f>
        <v>-3.3863903346049665E-3</v>
      </c>
    </row>
    <row r="135" spans="1:30" ht="16.5" customHeight="1" x14ac:dyDescent="0.45">
      <c r="A135" s="12" t="s">
        <v>127</v>
      </c>
      <c r="B135" s="7">
        <v>2428.5500000000002</v>
      </c>
      <c r="C135" s="8">
        <f>IFERROR(B135/B444, "NA")</f>
        <v>1.0756745494396156E-2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-2428.5500000000002</v>
      </c>
      <c r="I135" s="8">
        <f>IFERROR(H135/H444, "NA")</f>
        <v>-9.6679023492300079E-2</v>
      </c>
      <c r="J135" s="9"/>
      <c r="K135" s="7">
        <v>1624.49</v>
      </c>
      <c r="L135" s="8">
        <f>IFERROR(K135/K444, "NA")</f>
        <v>9.0676632133607216E-3</v>
      </c>
      <c r="M135" s="9"/>
      <c r="N135" s="10">
        <f t="shared" si="29"/>
        <v>-804.06000000000017</v>
      </c>
      <c r="O135" s="8">
        <f>IFERROR(N135/N444, "NA")</f>
        <v>-1.724785897967222E-2</v>
      </c>
      <c r="P135" s="9"/>
      <c r="Q135" s="7">
        <v>10791.52</v>
      </c>
      <c r="R135" s="8">
        <f>IFERROR(Q135/Q444, "NA")</f>
        <v>9.6531241706213702E-3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-10791.52</v>
      </c>
      <c r="X135" s="8">
        <f>IFERROR(W135/W444, "NA")</f>
        <v>-9.1168580247252481E-2</v>
      </c>
      <c r="Y135" s="9"/>
      <c r="Z135" s="7">
        <v>9776.31</v>
      </c>
      <c r="AA135" s="8">
        <f>IFERROR(Z135/Z444, "NA")</f>
        <v>1.0870816529330776E-2</v>
      </c>
      <c r="AB135" s="9"/>
      <c r="AC135" s="10">
        <f t="shared" si="31"/>
        <v>-1015.2100000000009</v>
      </c>
      <c r="AD135" s="8">
        <f>IFERROR(AC135/AC444, "NA")</f>
        <v>-4.6438618032909372E-3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1203.99</v>
      </c>
      <c r="L136" s="8">
        <f>IFERROR(K136/K444, "NA")</f>
        <v>6.7204943288380814E-3</v>
      </c>
      <c r="M136" s="9"/>
      <c r="N136" s="10">
        <f t="shared" si="29"/>
        <v>1203.99</v>
      </c>
      <c r="O136" s="8">
        <f>IFERROR(N136/N444, "NA")</f>
        <v>2.5826741453293972E-2</v>
      </c>
      <c r="P136" s="9"/>
      <c r="Q136" s="7">
        <v>6328.65</v>
      </c>
      <c r="R136" s="8">
        <f>IFERROR(Q136/Q444, "NA")</f>
        <v>5.661041658858338E-3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-6328.65</v>
      </c>
      <c r="X136" s="8">
        <f>IFERROR(W136/W444, "NA")</f>
        <v>-5.3465502114787754E-2</v>
      </c>
      <c r="Y136" s="9"/>
      <c r="Z136" s="7">
        <v>6672.69</v>
      </c>
      <c r="AA136" s="8">
        <f>IFERROR(Z136/Z444, "NA")</f>
        <v>7.4197308337297175E-3</v>
      </c>
      <c r="AB136" s="9"/>
      <c r="AC136" s="10">
        <f t="shared" si="31"/>
        <v>344.03999999999996</v>
      </c>
      <c r="AD136" s="8">
        <f>IFERROR(AC136/AC444, "NA")</f>
        <v>1.5737376649207675E-3</v>
      </c>
    </row>
    <row r="137" spans="1:30" ht="16.5" customHeight="1" x14ac:dyDescent="0.45">
      <c r="A137" s="12" t="s">
        <v>129</v>
      </c>
      <c r="B137" s="7">
        <v>1437.69</v>
      </c>
      <c r="C137" s="8">
        <f>IFERROR(B137/B444, "NA")</f>
        <v>6.3679419529506943E-3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-1437.69</v>
      </c>
      <c r="I137" s="8">
        <f>IFERROR(H137/H444, "NA")</f>
        <v>-5.7233520118854825E-2</v>
      </c>
      <c r="J137" s="9"/>
      <c r="K137" s="7">
        <v>930.89</v>
      </c>
      <c r="L137" s="8">
        <f>IFERROR(K137/K444, "NA")</f>
        <v>5.1960904706617843E-3</v>
      </c>
      <c r="M137" s="9"/>
      <c r="N137" s="10">
        <f t="shared" si="29"/>
        <v>-506.80000000000007</v>
      </c>
      <c r="O137" s="8">
        <f>IFERROR(N137/N444, "NA")</f>
        <v>-1.0871346579730219E-2</v>
      </c>
      <c r="P137" s="9"/>
      <c r="Q137" s="7">
        <v>5424.27</v>
      </c>
      <c r="R137" s="8">
        <f>IFERROR(Q137/Q444, "NA")</f>
        <v>4.8520645696784499E-3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-5424.27</v>
      </c>
      <c r="X137" s="8">
        <f>IFERROR(W137/W444, "NA")</f>
        <v>-4.5825147409981566E-2</v>
      </c>
      <c r="Y137" s="9"/>
      <c r="Z137" s="7">
        <v>4266.5600000000004</v>
      </c>
      <c r="AA137" s="8">
        <f>IFERROR(Z137/Z444, "NA")</f>
        <v>4.7442226127630488E-3</v>
      </c>
      <c r="AB137" s="9"/>
      <c r="AC137" s="10">
        <f t="shared" si="31"/>
        <v>-1157.71</v>
      </c>
      <c r="AD137" s="8">
        <f>IFERROR(AC137/AC444, "NA")</f>
        <v>-5.2956976864766362E-3</v>
      </c>
    </row>
    <row r="138" spans="1:30" ht="16.5" customHeight="1" x14ac:dyDescent="0.45">
      <c r="A138" s="12" t="s">
        <v>130</v>
      </c>
      <c r="B138" s="7">
        <v>11609.08</v>
      </c>
      <c r="C138" s="8">
        <f>IFERROR(B138/B444, "NA")</f>
        <v>5.1419949757709131E-2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-11609.08</v>
      </c>
      <c r="I138" s="8">
        <f>IFERROR(H138/H444, "NA")</f>
        <v>-0.462150055812724</v>
      </c>
      <c r="J138" s="9"/>
      <c r="K138" s="7">
        <v>7626.3</v>
      </c>
      <c r="L138" s="8">
        <f>IFERROR(K138/K444, "NA")</f>
        <v>4.256888005715817E-2</v>
      </c>
      <c r="M138" s="9"/>
      <c r="N138" s="10">
        <f t="shared" si="29"/>
        <v>-3982.7799999999997</v>
      </c>
      <c r="O138" s="8">
        <f>IFERROR(N138/N444, "NA")</f>
        <v>-8.5434454875331314E-2</v>
      </c>
      <c r="P138" s="9"/>
      <c r="Q138" s="7">
        <v>60437.72</v>
      </c>
      <c r="R138" s="8">
        <f>IFERROR(Q138/Q444, "NA")</f>
        <v>5.4062153964339277E-2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-60437.72</v>
      </c>
      <c r="X138" s="8">
        <f>IFERROR(W138/W444, "NA")</f>
        <v>-0.51058804744660402</v>
      </c>
      <c r="Y138" s="9"/>
      <c r="Z138" s="7">
        <v>44760.28</v>
      </c>
      <c r="AA138" s="8">
        <f>IFERROR(Z138/Z444, "NA")</f>
        <v>4.9771415972025612E-2</v>
      </c>
      <c r="AB138" s="9"/>
      <c r="AC138" s="10">
        <f t="shared" si="31"/>
        <v>-15677.440000000002</v>
      </c>
      <c r="AD138" s="8">
        <f>IFERROR(AC138/AC444, "NA")</f>
        <v>-7.1713108410462287E-2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52075.250000000007</v>
      </c>
      <c r="C141" s="15">
        <f>IFERROR(B141/B444, "NA")</f>
        <v>0.23065623965207777</v>
      </c>
      <c r="D141" s="2"/>
      <c r="E141" s="14">
        <f>IFERROR(E129+E130+E131+E132+E133+E134+E135+E136+E137+E138+E139+E140, "NA")</f>
        <v>43139.8</v>
      </c>
      <c r="F141" s="15">
        <f>IFERROR(E141/E444, "NA")</f>
        <v>0.21499999202592535</v>
      </c>
      <c r="G141" s="2"/>
      <c r="H141" s="14">
        <f t="shared" si="28"/>
        <v>-8935.4500000000044</v>
      </c>
      <c r="I141" s="15">
        <f>IFERROR(H141/H444, "NA")</f>
        <v>-0.35571455414311959</v>
      </c>
      <c r="J141" s="2"/>
      <c r="K141" s="14">
        <f>IFERROR(K129+K130+K131+K132+K133+K134+K135+K136+K137+K138+K139+K140, "NA")</f>
        <v>41315.330000000009</v>
      </c>
      <c r="L141" s="15">
        <f>IFERROR(K141/K444, "NA")</f>
        <v>0.23061606903634907</v>
      </c>
      <c r="M141" s="2"/>
      <c r="N141" s="14">
        <f t="shared" si="29"/>
        <v>-10759.919999999998</v>
      </c>
      <c r="O141" s="15">
        <f>IFERROR(N141/N444, "NA")</f>
        <v>-0.23081061462148922</v>
      </c>
      <c r="P141" s="2"/>
      <c r="Q141" s="14">
        <f>IFERROR(Q129+Q130+Q131+Q132+Q133+Q134+Q135+Q136+Q137+Q138+Q139+Q140, "NA")</f>
        <v>253617.83999999997</v>
      </c>
      <c r="R141" s="15">
        <f>IFERROR(Q141/Q444, "NA")</f>
        <v>0.22686373202336493</v>
      </c>
      <c r="S141" s="2"/>
      <c r="T141" s="14">
        <f>IFERROR(T129+T130+T131+T132+T133+T134+T135+T136+T137+T138+T139+T140, "NA")</f>
        <v>222911.23</v>
      </c>
      <c r="U141" s="15">
        <f>IFERROR(T141/T444, "NA")</f>
        <v>0.22300903061037419</v>
      </c>
      <c r="V141" s="2"/>
      <c r="W141" s="14">
        <f t="shared" si="30"/>
        <v>-30706.609999999957</v>
      </c>
      <c r="X141" s="15">
        <f>IFERROR(W141/W444, "NA")</f>
        <v>-0.25941461795058357</v>
      </c>
      <c r="Y141" s="2"/>
      <c r="Z141" s="14">
        <f>IFERROR(Z129+Z130+Z131+Z132+Z133+Z134+Z135+Z136+Z137+Z138+Z139+Z140, "NA")</f>
        <v>207354.46</v>
      </c>
      <c r="AA141" s="15">
        <f>IFERROR(Z141/Z444, "NA")</f>
        <v>0.23056882312431348</v>
      </c>
      <c r="AB141" s="2"/>
      <c r="AC141" s="14">
        <f t="shared" si="31"/>
        <v>-46263.379999999976</v>
      </c>
      <c r="AD141" s="15">
        <f>IFERROR(AC141/AC444, "NA")</f>
        <v>-0.21162197306284766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2493.1</v>
      </c>
      <c r="C144" s="8">
        <f>IFERROR(B144/B444, "NA")</f>
        <v>1.1042655984879477E-2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-2493.1</v>
      </c>
      <c r="I144" s="8">
        <f>IFERROR(H144/H444, "NA")</f>
        <v>-9.9248717740484355E-2</v>
      </c>
      <c r="J144" s="9"/>
      <c r="K144" s="7">
        <v>1789.38</v>
      </c>
      <c r="L144" s="8">
        <f>IFERROR(K144/K444, "NA")</f>
        <v>9.9880548361168178E-3</v>
      </c>
      <c r="M144" s="9"/>
      <c r="N144" s="10">
        <f t="shared" si="33"/>
        <v>-703.7199999999998</v>
      </c>
      <c r="O144" s="8">
        <f>IFERROR(N144/N444, "NA")</f>
        <v>-1.509546964303028E-2</v>
      </c>
      <c r="P144" s="9"/>
      <c r="Q144" s="7">
        <v>10888.79</v>
      </c>
      <c r="R144" s="8">
        <f>IFERROR(Q144/Q444, "NA")</f>
        <v>9.7401331728820661E-3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-10888.79</v>
      </c>
      <c r="X144" s="8">
        <f>IFERROR(W144/W444, "NA")</f>
        <v>-9.1990333605505098E-2</v>
      </c>
      <c r="Y144" s="9"/>
      <c r="Z144" s="7">
        <v>7863.71</v>
      </c>
      <c r="AA144" s="8">
        <f>IFERROR(Z144/Z444, "NA")</f>
        <v>8.7440914465543463E-3</v>
      </c>
      <c r="AB144" s="9"/>
      <c r="AC144" s="10">
        <f t="shared" si="35"/>
        <v>-3025.0800000000008</v>
      </c>
      <c r="AD144" s="8">
        <f>IFERROR(AC144/AC444, "NA")</f>
        <v>-1.3837583814087074E-2</v>
      </c>
    </row>
    <row r="145" spans="1:30" ht="16.5" customHeight="1" x14ac:dyDescent="0.45">
      <c r="A145" s="12" t="s">
        <v>136</v>
      </c>
      <c r="B145" s="7">
        <v>185.41</v>
      </c>
      <c r="C145" s="8">
        <f>IFERROR(B145/B444, "NA")</f>
        <v>8.2123414470197892E-4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-185.41</v>
      </c>
      <c r="I145" s="8">
        <f>IFERROR(H145/H444, "NA")</f>
        <v>-7.3810536104701799E-3</v>
      </c>
      <c r="J145" s="9"/>
      <c r="K145" s="7">
        <v>182.97</v>
      </c>
      <c r="L145" s="8">
        <f>IFERROR(K145/K444, "NA")</f>
        <v>1.021311512012146E-3</v>
      </c>
      <c r="M145" s="9"/>
      <c r="N145" s="10">
        <f t="shared" si="33"/>
        <v>-2.4399999999999977</v>
      </c>
      <c r="O145" s="8">
        <f>IFERROR(N145/N444, "NA")</f>
        <v>-5.2340342649056247E-5</v>
      </c>
      <c r="P145" s="9"/>
      <c r="Q145" s="7">
        <v>667.81</v>
      </c>
      <c r="R145" s="8">
        <f>IFERROR(Q145/Q444, "NA")</f>
        <v>5.9736282306687631E-4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-667.81</v>
      </c>
      <c r="X145" s="8">
        <f>IFERROR(W145/W444, "NA")</f>
        <v>-5.6417714626778867E-3</v>
      </c>
      <c r="Y145" s="9"/>
      <c r="Z145" s="7">
        <v>718.07</v>
      </c>
      <c r="AA145" s="8">
        <f>IFERROR(Z145/Z444, "NA")</f>
        <v>7.9846150799397228E-4</v>
      </c>
      <c r="AB145" s="9"/>
      <c r="AC145" s="10">
        <f t="shared" si="35"/>
        <v>50.260000000000105</v>
      </c>
      <c r="AD145" s="8">
        <f>IFERROR(AC145/AC444, "NA")</f>
        <v>2.2990365957132296E-4</v>
      </c>
    </row>
    <row r="146" spans="1:30" ht="16.5" customHeight="1" x14ac:dyDescent="0.45">
      <c r="A146" s="12" t="s">
        <v>137</v>
      </c>
      <c r="B146" s="7">
        <v>249.14</v>
      </c>
      <c r="C146" s="8">
        <f>IFERROR(B146/B444, "NA")</f>
        <v>1.1035126196594091E-3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-249.14</v>
      </c>
      <c r="I146" s="8">
        <f>IFERROR(H146/H444, "NA")</f>
        <v>-9.9181041826899331E-3</v>
      </c>
      <c r="J146" s="9"/>
      <c r="K146" s="7">
        <v>718.26</v>
      </c>
      <c r="L146" s="8">
        <f>IFERROR(K146/K444, "NA")</f>
        <v>4.0092212199696348E-3</v>
      </c>
      <c r="M146" s="9"/>
      <c r="N146" s="10">
        <f t="shared" si="33"/>
        <v>469.12</v>
      </c>
      <c r="O146" s="8">
        <f>IFERROR(N146/N444, "NA")</f>
        <v>1.0063074403084135E-2</v>
      </c>
      <c r="P146" s="9"/>
      <c r="Q146" s="7">
        <v>1298.68</v>
      </c>
      <c r="R146" s="8">
        <f>IFERROR(Q146/Q444, "NA")</f>
        <v>1.1616824412040716E-3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-1298.68</v>
      </c>
      <c r="X146" s="8">
        <f>IFERROR(W146/W444, "NA")</f>
        <v>-1.0971467577829802E-2</v>
      </c>
      <c r="Y146" s="9"/>
      <c r="Z146" s="7">
        <v>3108.35</v>
      </c>
      <c r="AA146" s="8">
        <f>IFERROR(Z146/Z444, "NA")</f>
        <v>3.4563452426268518E-3</v>
      </c>
      <c r="AB146" s="9"/>
      <c r="AC146" s="10">
        <f t="shared" si="35"/>
        <v>1809.6699999999998</v>
      </c>
      <c r="AD146" s="8">
        <f>IFERROR(AC146/AC444, "NA")</f>
        <v>8.2779497735064687E-3</v>
      </c>
    </row>
    <row r="147" spans="1:30" ht="16.5" customHeight="1" x14ac:dyDescent="0.45">
      <c r="A147" s="12" t="s">
        <v>138</v>
      </c>
      <c r="B147" s="7">
        <v>55.51</v>
      </c>
      <c r="C147" s="8">
        <f>IFERROR(B147/B444, "NA")</f>
        <v>2.4586973395397687E-4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-55.51</v>
      </c>
      <c r="I147" s="8">
        <f>IFERROR(H147/H444, "NA")</f>
        <v>-2.2098176253556963E-3</v>
      </c>
      <c r="J147" s="9"/>
      <c r="K147" s="7">
        <v>54.73</v>
      </c>
      <c r="L147" s="8">
        <f>IFERROR(K147/K444, "NA")</f>
        <v>3.0549477538626416E-4</v>
      </c>
      <c r="M147" s="9"/>
      <c r="N147" s="10">
        <f t="shared" si="33"/>
        <v>-0.78000000000000114</v>
      </c>
      <c r="O147" s="8">
        <f>IFERROR(N147/N444, "NA")</f>
        <v>-1.6731748879616383E-5</v>
      </c>
      <c r="P147" s="9"/>
      <c r="Q147" s="7">
        <v>197.22</v>
      </c>
      <c r="R147" s="8">
        <f>IFERROR(Q147/Q444, "NA")</f>
        <v>1.7641529172256982E-4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-197.22</v>
      </c>
      <c r="X147" s="8">
        <f>IFERROR(W147/W444, "NA")</f>
        <v>-1.6661478083127431E-3</v>
      </c>
      <c r="Y147" s="9"/>
      <c r="Z147" s="7">
        <v>-62.77</v>
      </c>
      <c r="AA147" s="8">
        <f>IFERROR(Z147/Z444, "NA")</f>
        <v>-6.9797413701702665E-5</v>
      </c>
      <c r="AB147" s="9"/>
      <c r="AC147" s="10">
        <f t="shared" si="35"/>
        <v>-259.99</v>
      </c>
      <c r="AD147" s="8">
        <f>IFERROR(AC147/AC444, "NA")</f>
        <v>-1.1892688510136914E-3</v>
      </c>
    </row>
    <row r="148" spans="1:30" ht="16.5" customHeight="1" x14ac:dyDescent="0.45">
      <c r="A148" s="13" t="s">
        <v>139</v>
      </c>
      <c r="B148" s="14">
        <f>IFERROR(B143+B144+B145+B146+B147, "NA")</f>
        <v>2983.16</v>
      </c>
      <c r="C148" s="15">
        <f>IFERROR(B148/B444, "NA")</f>
        <v>1.3213272483194842E-2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-2983.16</v>
      </c>
      <c r="I148" s="15">
        <f>IFERROR(H148/H444, "NA")</f>
        <v>-0.11875769315900017</v>
      </c>
      <c r="J148" s="2"/>
      <c r="K148" s="14">
        <f>IFERROR(K143+K144+K145+K146+K147, "NA")</f>
        <v>2745.34</v>
      </c>
      <c r="L148" s="15">
        <f>IFERROR(K148/K444, "NA")</f>
        <v>1.5324082343484863E-2</v>
      </c>
      <c r="M148" s="2"/>
      <c r="N148" s="14">
        <f t="shared" si="33"/>
        <v>-237.81999999999971</v>
      </c>
      <c r="O148" s="15">
        <f>IFERROR(N148/N444, "NA")</f>
        <v>-5.1014673314748165E-3</v>
      </c>
      <c r="P148" s="2"/>
      <c r="Q148" s="14">
        <f>IFERROR(Q143+Q144+Q145+Q146+Q147, "NA")</f>
        <v>13052.5</v>
      </c>
      <c r="R148" s="15">
        <f>IFERROR(Q148/Q444, "NA")</f>
        <v>1.1675593728875583E-2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-13052.5</v>
      </c>
      <c r="X148" s="15">
        <f>IFERROR(W148/W444, "NA")</f>
        <v>-0.11026972045432552</v>
      </c>
      <c r="Y148" s="2"/>
      <c r="Z148" s="14">
        <f>IFERROR(Z143+Z144+Z145+Z146+Z147, "NA")</f>
        <v>11627.36</v>
      </c>
      <c r="AA148" s="15">
        <f>IFERROR(Z148/Z444, "NA")</f>
        <v>1.2929100783473467E-2</v>
      </c>
      <c r="AB148" s="2"/>
      <c r="AC148" s="14">
        <f t="shared" si="35"/>
        <v>-1425.1399999999994</v>
      </c>
      <c r="AD148" s="15">
        <f>IFERROR(AC148/AC444, "NA")</f>
        <v>-6.5189992320229678E-3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55058.410000000011</v>
      </c>
      <c r="C149" s="15">
        <f>IFERROR(B149/B444, "NA")</f>
        <v>0.24386951213527261</v>
      </c>
      <c r="D149" s="2"/>
      <c r="E149" s="14">
        <f>IFERROR(E127+E129+E130+E131+E132+E133+E134+E135+E136+E137+E138+E139+E140+E143+E144+E145+E146+E147, "NA")</f>
        <v>43139.8</v>
      </c>
      <c r="F149" s="15">
        <f>IFERROR(E149/E444, "NA")</f>
        <v>0.21499999202592535</v>
      </c>
      <c r="G149" s="2"/>
      <c r="H149" s="14">
        <f t="shared" si="32"/>
        <v>-11918.610000000008</v>
      </c>
      <c r="I149" s="15">
        <f>IFERROR(H149/H444, "NA")</f>
        <v>-0.4744722473021199</v>
      </c>
      <c r="J149" s="2"/>
      <c r="K149" s="14">
        <f>IFERROR(K127+K129+K130+K131+K132+K133+K134+K135+K136+K137+K138+K139+K140+K143+K144+K145+K146+K147, "NA")</f>
        <v>44060.670000000013</v>
      </c>
      <c r="L149" s="15">
        <f>IFERROR(K149/K444, "NA")</f>
        <v>0.24594015137983397</v>
      </c>
      <c r="M149" s="2"/>
      <c r="N149" s="14">
        <f t="shared" si="33"/>
        <v>-10997.739999999998</v>
      </c>
      <c r="O149" s="15">
        <f>IFERROR(N149/N444, "NA")</f>
        <v>-0.23591208195296404</v>
      </c>
      <c r="P149" s="2"/>
      <c r="Q149" s="14">
        <f>IFERROR(Q127+Q129+Q130+Q131+Q132+Q133+Q134+Q135+Q136+Q137+Q138+Q139+Q140+Q143+Q144+Q145+Q146+Q147, "NA")</f>
        <v>266670.33999999991</v>
      </c>
      <c r="R149" s="15">
        <f>IFERROR(Q149/Q444, "NA")</f>
        <v>0.23853932575224046</v>
      </c>
      <c r="S149" s="2"/>
      <c r="T149" s="14">
        <f>IFERROR(T127+T129+T130+T131+T132+T133+T134+T135+T136+T137+T138+T139+T140+T143+T144+T145+T146+T147, "NA")</f>
        <v>222911.23</v>
      </c>
      <c r="U149" s="15">
        <f>IFERROR(T149/T444, "NA")</f>
        <v>0.22300903061037419</v>
      </c>
      <c r="V149" s="2"/>
      <c r="W149" s="14">
        <f t="shared" si="34"/>
        <v>-43759.109999999899</v>
      </c>
      <c r="X149" s="15">
        <f>IFERROR(W149/W444, "NA")</f>
        <v>-0.36968433840490861</v>
      </c>
      <c r="Y149" s="2"/>
      <c r="Z149" s="14">
        <f>IFERROR(Z127+Z129+Z130+Z131+Z132+Z133+Z134+Z135+Z136+Z137+Z138+Z139+Z140+Z143+Z144+Z145+Z146+Z147, "NA")</f>
        <v>218981.82</v>
      </c>
      <c r="AA149" s="15">
        <f>IFERROR(Z149/Z444, "NA")</f>
        <v>0.24349792390778696</v>
      </c>
      <c r="AB149" s="2"/>
      <c r="AC149" s="14">
        <f t="shared" si="35"/>
        <v>-47688.519999999902</v>
      </c>
      <c r="AD149" s="15">
        <f>IFERROR(AC149/AC444, "NA")</f>
        <v>-0.21814097229487028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3411.05</v>
      </c>
      <c r="F153" s="8">
        <f>IFERROR(E153/E444, "NA")</f>
        <v>1.6999979666109548E-2</v>
      </c>
      <c r="G153" s="9"/>
      <c r="H153" s="10">
        <f t="shared" ref="H153:H158" si="36">IFERROR(-(B153-E153), "NA")</f>
        <v>3411.05</v>
      </c>
      <c r="I153" s="8">
        <f>IFERROR(H153/H444, "NA")</f>
        <v>0.13579172060835074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18730.63</v>
      </c>
      <c r="U153" s="8">
        <f>IFERROR(T153/T444, "NA")</f>
        <v>1.8738847921756088E-2</v>
      </c>
      <c r="V153" s="9"/>
      <c r="W153" s="10">
        <f t="shared" ref="W153:W158" si="38">IFERROR(-(Q153-T153), "NA")</f>
        <v>18730.63</v>
      </c>
      <c r="X153" s="8">
        <f>IFERROR(W153/W444, "NA")</f>
        <v>0.15823951994126823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6531.7</v>
      </c>
      <c r="C154" s="8">
        <f>IFERROR(B154/B444, "NA")</f>
        <v>2.8930775378619902E-2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-6531.7</v>
      </c>
      <c r="I154" s="8">
        <f>IFERROR(H154/H444, "NA")</f>
        <v>-0.26002280280194207</v>
      </c>
      <c r="J154" s="9"/>
      <c r="K154" s="7">
        <v>5865.74</v>
      </c>
      <c r="L154" s="8">
        <f>IFERROR(K154/K444, "NA")</f>
        <v>3.2741694203804586E-2</v>
      </c>
      <c r="M154" s="9"/>
      <c r="N154" s="10">
        <f t="shared" si="37"/>
        <v>-665.96</v>
      </c>
      <c r="O154" s="8">
        <f>IFERROR(N154/N444, "NA")</f>
        <v>-1.4285481389576037E-2</v>
      </c>
      <c r="P154" s="9"/>
      <c r="Q154" s="7">
        <v>30509.43</v>
      </c>
      <c r="R154" s="8">
        <f>IFERROR(Q154/Q444, "NA")</f>
        <v>2.7290994796366104E-2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-30509.43</v>
      </c>
      <c r="X154" s="8">
        <f>IFERROR(W154/W444, "NA")</f>
        <v>-0.25774880806901457</v>
      </c>
      <c r="Y154" s="9"/>
      <c r="Z154" s="7">
        <v>26566.63</v>
      </c>
      <c r="AA154" s="8">
        <f>IFERROR(Z154/Z444, "NA")</f>
        <v>2.954089636402844E-2</v>
      </c>
      <c r="AB154" s="9"/>
      <c r="AC154" s="10">
        <f t="shared" si="39"/>
        <v>-3942.7999999999993</v>
      </c>
      <c r="AD154" s="8">
        <f>IFERROR(AC154/AC444, "NA")</f>
        <v>-1.8035498387540989E-2</v>
      </c>
    </row>
    <row r="155" spans="1:30" ht="16.5" customHeight="1" x14ac:dyDescent="0.45">
      <c r="A155" s="12" t="s">
        <v>144</v>
      </c>
      <c r="B155" s="7">
        <v>3046.5</v>
      </c>
      <c r="C155" s="8">
        <f>IFERROR(B155/B444, "NA")</f>
        <v>1.349382353613386E-2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-3046.5</v>
      </c>
      <c r="I155" s="8">
        <f>IFERROR(H155/H444, "NA")</f>
        <v>-0.1212792180804563</v>
      </c>
      <c r="J155" s="9"/>
      <c r="K155" s="7">
        <v>2873.45</v>
      </c>
      <c r="L155" s="8">
        <f>IFERROR(K155/K444, "NA")</f>
        <v>1.6039173439314099E-2</v>
      </c>
      <c r="M155" s="9"/>
      <c r="N155" s="10">
        <f t="shared" si="37"/>
        <v>-173.05000000000018</v>
      </c>
      <c r="O155" s="8">
        <f>IFERROR(N155/N444, "NA")</f>
        <v>-3.7120886456636073E-3</v>
      </c>
      <c r="P155" s="9"/>
      <c r="Q155" s="7">
        <v>16984.060000000001</v>
      </c>
      <c r="R155" s="8">
        <f>IFERROR(Q155/Q444, "NA")</f>
        <v>1.5192414053004914E-2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-16984.060000000001</v>
      </c>
      <c r="X155" s="8">
        <f>IFERROR(W155/W444, "NA")</f>
        <v>-0.14348420213595037</v>
      </c>
      <c r="Y155" s="9"/>
      <c r="Z155" s="7">
        <v>16398.009999999998</v>
      </c>
      <c r="AA155" s="8">
        <f>IFERROR(Z155/Z444, "NA")</f>
        <v>1.8233848778949454E-2</v>
      </c>
      <c r="AB155" s="9"/>
      <c r="AC155" s="10">
        <f t="shared" si="39"/>
        <v>-586.05000000000291</v>
      </c>
      <c r="AD155" s="8">
        <f>IFERROR(AC155/AC444, "NA")</f>
        <v>-2.6807608374805852E-3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39.92</v>
      </c>
      <c r="L156" s="8">
        <f>IFERROR(K156/K444, "NA")</f>
        <v>2.2282754309189962E-4</v>
      </c>
      <c r="M156" s="9"/>
      <c r="N156" s="10">
        <f t="shared" si="37"/>
        <v>39.92</v>
      </c>
      <c r="O156" s="8">
        <f>IFERROR(N156/N444, "NA")</f>
        <v>8.5632232727472432E-4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255.66</v>
      </c>
      <c r="AA156" s="8">
        <f>IFERROR(Z156/Z444, "NA")</f>
        <v>2.8428240858654298E-4</v>
      </c>
      <c r="AB156" s="9"/>
      <c r="AC156" s="10">
        <f t="shared" si="39"/>
        <v>255.66</v>
      </c>
      <c r="AD156" s="8">
        <f>IFERROR(AC156/AC444, "NA")</f>
        <v>1.1694621887386452E-3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9578.2000000000007</v>
      </c>
      <c r="C158" s="15">
        <f>IFERROR(B158/B444, "NA")</f>
        <v>4.2424598914753767E-2</v>
      </c>
      <c r="D158" s="2"/>
      <c r="E158" s="14">
        <f>IFERROR(E153+E154+E155+E156+E157, "NA")</f>
        <v>3411.05</v>
      </c>
      <c r="F158" s="15">
        <f>IFERROR(E158/E444, "NA")</f>
        <v>1.6999979666109548E-2</v>
      </c>
      <c r="G158" s="2"/>
      <c r="H158" s="14">
        <f t="shared" si="36"/>
        <v>-6167.1500000000005</v>
      </c>
      <c r="I158" s="15">
        <f>IFERROR(H158/H444, "NA")</f>
        <v>-0.24551030027404766</v>
      </c>
      <c r="J158" s="2"/>
      <c r="K158" s="14">
        <f>IFERROR(K153+K154+K155+K156+K157, "NA")</f>
        <v>8779.1099999999988</v>
      </c>
      <c r="L158" s="15">
        <f>IFERROR(K158/K444, "NA")</f>
        <v>4.9003695186210589E-2</v>
      </c>
      <c r="M158" s="2"/>
      <c r="N158" s="14">
        <f t="shared" si="37"/>
        <v>-799.09000000000196</v>
      </c>
      <c r="O158" s="15">
        <f>IFERROR(N158/N444, "NA")</f>
        <v>-1.7141247707964959E-2</v>
      </c>
      <c r="P158" s="2"/>
      <c r="Q158" s="14">
        <f>IFERROR(Q153+Q154+Q155+Q156+Q157, "NA")</f>
        <v>47493.490000000005</v>
      </c>
      <c r="R158" s="15">
        <f>IFERROR(Q158/Q444, "NA")</f>
        <v>4.2483408849371025E-2</v>
      </c>
      <c r="S158" s="2"/>
      <c r="T158" s="14">
        <f>IFERROR(T153+T154+T155+T156+T157, "NA")</f>
        <v>18730.63</v>
      </c>
      <c r="U158" s="15">
        <f>IFERROR(T158/T444, "NA")</f>
        <v>1.8738847921756088E-2</v>
      </c>
      <c r="V158" s="2"/>
      <c r="W158" s="14">
        <f t="shared" si="38"/>
        <v>-28762.860000000004</v>
      </c>
      <c r="X158" s="15">
        <f>IFERROR(W158/W444, "NA")</f>
        <v>-0.24299349026369677</v>
      </c>
      <c r="Y158" s="2"/>
      <c r="Z158" s="14">
        <f>IFERROR(Z153+Z154+Z155+Z156+Z157, "NA")</f>
        <v>43220.3</v>
      </c>
      <c r="AA158" s="15">
        <f>IFERROR(Z158/Z444, "NA")</f>
        <v>4.8059027551564444E-2</v>
      </c>
      <c r="AB158" s="2"/>
      <c r="AC158" s="14">
        <f t="shared" si="39"/>
        <v>-4273.1900000000023</v>
      </c>
      <c r="AD158" s="15">
        <f>IFERROR(AC158/AC444, "NA")</f>
        <v>-1.9546797036282929E-2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95.63</v>
      </c>
      <c r="C161" s="8">
        <f>IFERROR(B161/B444, "NA")</f>
        <v>4.2357273748907961E-4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-95.63</v>
      </c>
      <c r="I161" s="8">
        <f>IFERROR(H161/H444, "NA")</f>
        <v>-3.8069691859622637E-3</v>
      </c>
      <c r="J161" s="9"/>
      <c r="K161" s="7">
        <v>244.86</v>
      </c>
      <c r="L161" s="8">
        <f>IFERROR(K161/K444, "NA")</f>
        <v>1.3667723497365366E-3</v>
      </c>
      <c r="M161" s="9"/>
      <c r="N161" s="10">
        <f t="shared" si="41"/>
        <v>149.23000000000002</v>
      </c>
      <c r="O161" s="8">
        <f>IFERROR(N161/N444, "NA")</f>
        <v>3.2011267760322427E-3</v>
      </c>
      <c r="P161" s="9"/>
      <c r="Q161" s="7">
        <v>882.39</v>
      </c>
      <c r="R161" s="8">
        <f>IFERROR(Q161/Q444, "NA")</f>
        <v>7.8930681098812684E-4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-882.39</v>
      </c>
      <c r="X161" s="8">
        <f>IFERROR(W161/W444, "NA")</f>
        <v>-7.4545794776243856E-3</v>
      </c>
      <c r="Y161" s="9"/>
      <c r="Z161" s="7">
        <v>1943.84</v>
      </c>
      <c r="AA161" s="8">
        <f>IFERROR(Z161/Z444, "NA")</f>
        <v>2.1614625561560889E-3</v>
      </c>
      <c r="AB161" s="9"/>
      <c r="AC161" s="10">
        <f t="shared" si="43"/>
        <v>1061.4499999999998</v>
      </c>
      <c r="AD161" s="8">
        <f>IFERROR(AC161/AC444, "NA")</f>
        <v>4.8553768295260683E-3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95.63</v>
      </c>
      <c r="C166" s="15">
        <f>IFERROR(B166/B444, "NA")</f>
        <v>4.2357273748907961E-4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-95.63</v>
      </c>
      <c r="I166" s="15">
        <f>IFERROR(H166/H444, "NA")</f>
        <v>-3.8069691859622637E-3</v>
      </c>
      <c r="J166" s="2"/>
      <c r="K166" s="14">
        <f>IFERROR(K160+K161+K162+K163+K164+K165, "NA")</f>
        <v>244.86</v>
      </c>
      <c r="L166" s="15">
        <f>IFERROR(K166/K444, "NA")</f>
        <v>1.3667723497365366E-3</v>
      </c>
      <c r="M166" s="2"/>
      <c r="N166" s="14">
        <f t="shared" si="41"/>
        <v>149.23000000000002</v>
      </c>
      <c r="O166" s="15">
        <f>IFERROR(N166/N444, "NA")</f>
        <v>3.2011267760322427E-3</v>
      </c>
      <c r="P166" s="2"/>
      <c r="Q166" s="14">
        <f>IFERROR(Q160+Q161+Q162+Q163+Q164+Q165, "NA")</f>
        <v>882.39</v>
      </c>
      <c r="R166" s="15">
        <f>IFERROR(Q166/Q444, "NA")</f>
        <v>7.8930681098812684E-4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-882.39</v>
      </c>
      <c r="X166" s="15">
        <f>IFERROR(W166/W444, "NA")</f>
        <v>-7.4545794776243856E-3</v>
      </c>
      <c r="Y166" s="2"/>
      <c r="Z166" s="14">
        <f>IFERROR(Z160+Z161+Z162+Z163+Z164+Z165, "NA")</f>
        <v>1943.84</v>
      </c>
      <c r="AA166" s="15">
        <f>IFERROR(Z166/Z444, "NA")</f>
        <v>2.1614625561560889E-3</v>
      </c>
      <c r="AB166" s="2"/>
      <c r="AC166" s="14">
        <f t="shared" si="43"/>
        <v>1061.4499999999998</v>
      </c>
      <c r="AD166" s="15">
        <f>IFERROR(AC166/AC444, "NA")</f>
        <v>4.8553768295260683E-3</v>
      </c>
    </row>
    <row r="167" spans="1:30" ht="16.5" customHeight="1" x14ac:dyDescent="0.45">
      <c r="A167" s="6" t="s">
        <v>155</v>
      </c>
      <c r="B167" s="7">
        <v>197.83</v>
      </c>
      <c r="C167" s="8">
        <f>IFERROR(B167/B444, "NA")</f>
        <v>8.7624589205756171E-4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-197.83</v>
      </c>
      <c r="I167" s="8">
        <f>IFERROR(H167/H444, "NA")</f>
        <v>-7.8754858732501803E-3</v>
      </c>
      <c r="J167" s="9"/>
      <c r="K167" s="7">
        <v>128.6</v>
      </c>
      <c r="L167" s="8">
        <f>IFERROR(K167/K444, "NA")</f>
        <v>7.1782620344735192E-4</v>
      </c>
      <c r="M167" s="9"/>
      <c r="N167" s="10">
        <f t="shared" si="41"/>
        <v>-69.230000000000018</v>
      </c>
      <c r="O167" s="8">
        <f>IFERROR(N167/N444, "NA")</f>
        <v>-1.4850499678664623E-3</v>
      </c>
      <c r="P167" s="9"/>
      <c r="Q167" s="7">
        <v>910.04</v>
      </c>
      <c r="R167" s="8">
        <f>IFERROR(Q167/Q444, "NA")</f>
        <v>8.1404001662715455E-4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-910.04</v>
      </c>
      <c r="X167" s="8">
        <f>IFERROR(W167/W444, "NA")</f>
        <v>-7.6881713389966976E-3</v>
      </c>
      <c r="Y167" s="9"/>
      <c r="Z167" s="7">
        <v>1045.69</v>
      </c>
      <c r="AA167" s="8">
        <f>IFERROR(Z167/Z444, "NA")</f>
        <v>1.1627601964908948E-3</v>
      </c>
      <c r="AB167" s="9"/>
      <c r="AC167" s="10">
        <f t="shared" si="43"/>
        <v>135.65000000000009</v>
      </c>
      <c r="AD167" s="8">
        <f>IFERROR(AC167/AC444, "NA")</f>
        <v>6.205020179237946E-4</v>
      </c>
    </row>
    <row r="168" spans="1:30" ht="16.5" customHeight="1" x14ac:dyDescent="0.45">
      <c r="A168" s="6" t="s">
        <v>156</v>
      </c>
      <c r="B168" s="7">
        <v>62.91</v>
      </c>
      <c r="C168" s="8">
        <f>IFERROR(B168/B444, "NA")</f>
        <v>2.7864645943153818E-4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-62.91</v>
      </c>
      <c r="I168" s="8">
        <f>IFERROR(H168/H444, "NA")</f>
        <v>-2.5044068962552127E-3</v>
      </c>
      <c r="J168" s="9"/>
      <c r="K168" s="7">
        <v>68.400000000000006</v>
      </c>
      <c r="L168" s="8">
        <f>IFERROR(K168/K444, "NA")</f>
        <v>3.8179869607930697E-4</v>
      </c>
      <c r="M168" s="9"/>
      <c r="N168" s="10">
        <f t="shared" si="41"/>
        <v>5.4900000000000091</v>
      </c>
      <c r="O168" s="8">
        <f>IFERROR(N168/N444, "NA")</f>
        <v>1.1776577096037686E-4</v>
      </c>
      <c r="P168" s="9"/>
      <c r="Q168" s="7">
        <v>336.91</v>
      </c>
      <c r="R168" s="8">
        <f>IFERROR(Q168/Q444, "NA")</f>
        <v>3.0136941453326742E-4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-336.91</v>
      </c>
      <c r="X168" s="8">
        <f>IFERROR(W168/W444, "NA")</f>
        <v>-2.8462724779365497E-3</v>
      </c>
      <c r="Y168" s="9"/>
      <c r="Z168" s="7">
        <v>342.3</v>
      </c>
      <c r="AA168" s="8">
        <f>IFERROR(Z168/Z444, "NA")</f>
        <v>3.806221875114358E-4</v>
      </c>
      <c r="AB168" s="9"/>
      <c r="AC168" s="10">
        <f t="shared" si="43"/>
        <v>5.3899999999999864</v>
      </c>
      <c r="AD168" s="8">
        <f>IFERROR(AC168/AC444, "NA")</f>
        <v>2.4655406388567946E-5</v>
      </c>
    </row>
    <row r="169" spans="1:30" ht="16.5" customHeight="1" x14ac:dyDescent="0.45">
      <c r="A169" s="6" t="s">
        <v>157</v>
      </c>
      <c r="B169" s="7">
        <v>-2065.2800000000002</v>
      </c>
      <c r="C169" s="8">
        <f>IFERROR(B169/B444, "NA")</f>
        <v>-9.1477183235537645E-3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2065.2800000000002</v>
      </c>
      <c r="I169" s="8">
        <f>IFERROR(H169/H444, "NA")</f>
        <v>8.2217476946399082E-2</v>
      </c>
      <c r="J169" s="9"/>
      <c r="K169" s="7">
        <v>-2879.79</v>
      </c>
      <c r="L169" s="8">
        <f>IFERROR(K169/K444, "NA")</f>
        <v>-1.6074562382781103E-2</v>
      </c>
      <c r="M169" s="9"/>
      <c r="N169" s="10">
        <f t="shared" si="41"/>
        <v>-814.50999999999976</v>
      </c>
      <c r="O169" s="8">
        <f>IFERROR(N169/N444, "NA")</f>
        <v>-1.7472021512738866E-2</v>
      </c>
      <c r="P169" s="9"/>
      <c r="Q169" s="7">
        <v>-14340.3</v>
      </c>
      <c r="R169" s="8">
        <f>IFERROR(Q169/Q444, "NA")</f>
        <v>-1.2827543899650988E-2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14340.3</v>
      </c>
      <c r="X169" s="8">
        <f>IFERROR(W169/W444, "NA")</f>
        <v>0.12114927195795168</v>
      </c>
      <c r="Y169" s="9"/>
      <c r="Z169" s="7">
        <v>-13137.18</v>
      </c>
      <c r="AA169" s="8">
        <f>IFERROR(Z169/Z444, "NA")</f>
        <v>-1.4607952641926625E-2</v>
      </c>
      <c r="AB169" s="9"/>
      <c r="AC169" s="10">
        <f t="shared" si="43"/>
        <v>1203.119999999999</v>
      </c>
      <c r="AD169" s="8">
        <f>IFERROR(AC169/AC444, "NA")</f>
        <v>5.5034160545851425E-3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7869.2899999999991</v>
      </c>
      <c r="C170" s="15">
        <f>IFERROR(B170/B444, "NA")</f>
        <v>3.4855345680178174E-2</v>
      </c>
      <c r="D170" s="2"/>
      <c r="E170" s="14">
        <f>IFERROR(E151+E153+E154+E155+E156+E157+E160+E161+E162+E163+E164+E165+E167+E168+E169, "NA")</f>
        <v>3411.05</v>
      </c>
      <c r="F170" s="15">
        <f>IFERROR(E170/E444, "NA")</f>
        <v>1.6999979666109548E-2</v>
      </c>
      <c r="G170" s="2"/>
      <c r="H170" s="14">
        <f t="shared" si="40"/>
        <v>-4458.2399999999989</v>
      </c>
      <c r="I170" s="15">
        <f>IFERROR(H170/H444, "NA")</f>
        <v>-0.17747968528311617</v>
      </c>
      <c r="J170" s="2"/>
      <c r="K170" s="14">
        <f>IFERROR(K151+K153+K154+K155+K156+K157+K160+K161+K162+K163+K164+K165+K167+K168+K169, "NA")</f>
        <v>6341.1799999999994</v>
      </c>
      <c r="L170" s="15">
        <f>IFERROR(K170/K444, "NA")</f>
        <v>3.5395530052692685E-2</v>
      </c>
      <c r="M170" s="2"/>
      <c r="N170" s="14">
        <f t="shared" si="41"/>
        <v>-1528.1099999999997</v>
      </c>
      <c r="O170" s="15">
        <f>IFERROR(N170/N444, "NA")</f>
        <v>-3.2779426641577625E-2</v>
      </c>
      <c r="P170" s="2"/>
      <c r="Q170" s="14">
        <f>IFERROR(Q151+Q153+Q154+Q155+Q156+Q157+Q160+Q161+Q162+Q163+Q164+Q165+Q167+Q168+Q169, "NA")</f>
        <v>35282.530000000013</v>
      </c>
      <c r="R170" s="15">
        <f>IFERROR(Q170/Q444, "NA")</f>
        <v>3.1560581191868595E-2</v>
      </c>
      <c r="S170" s="2"/>
      <c r="T170" s="14">
        <f>IFERROR(T151+T153+T154+T155+T156+T157+T160+T161+T162+T163+T164+T165+T167+T168+T169, "NA")</f>
        <v>18730.63</v>
      </c>
      <c r="U170" s="15">
        <f>IFERROR(T170/T444, "NA")</f>
        <v>1.8738847921756088E-2</v>
      </c>
      <c r="V170" s="2"/>
      <c r="W170" s="14">
        <f t="shared" si="42"/>
        <v>-16551.900000000012</v>
      </c>
      <c r="X170" s="15">
        <f>IFERROR(W170/W444, "NA")</f>
        <v>-0.13983324160030278</v>
      </c>
      <c r="Y170" s="2"/>
      <c r="Z170" s="14">
        <f>IFERROR(Z151+Z153+Z154+Z155+Z156+Z157+Z160+Z161+Z162+Z163+Z164+Z165+Z167+Z168+Z169, "NA")</f>
        <v>33414.950000000004</v>
      </c>
      <c r="AA170" s="15">
        <f>IFERROR(Z170/Z444, "NA")</f>
        <v>3.7155919849796236E-2</v>
      </c>
      <c r="AB170" s="2"/>
      <c r="AC170" s="14">
        <f t="shared" si="43"/>
        <v>-1867.580000000009</v>
      </c>
      <c r="AD170" s="15">
        <f>IFERROR(AC170/AC444, "NA")</f>
        <v>-8.5428467278593819E-3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62927.700000000012</v>
      </c>
      <c r="C171" s="15">
        <f>IFERROR(B171/B444, "NA")</f>
        <v>0.27872485781545081</v>
      </c>
      <c r="D171" s="2"/>
      <c r="E171" s="14">
        <f>IFERROR(E127+E129+E130+E131+E132+E133+E134+E135+E136+E137+E138+E139+E140+E143+E144+E145+E146+E147+E151+E153+E154+E155+E156+E157+E160+E161+E162+E163+E164+E165+E167+E168+E169, "NA")</f>
        <v>46550.850000000006</v>
      </c>
      <c r="F171" s="15">
        <f>IFERROR(E171/E444, "NA")</f>
        <v>0.2319999716920349</v>
      </c>
      <c r="G171" s="2"/>
      <c r="H171" s="14">
        <f t="shared" si="40"/>
        <v>-16376.850000000006</v>
      </c>
      <c r="I171" s="15">
        <f>IFERROR(H171/H444, "NA")</f>
        <v>-0.65195193258523598</v>
      </c>
      <c r="J171" s="2"/>
      <c r="K171" s="14">
        <f>IFERROR(K127+K129+K130+K131+K132+K133+K134+K135+K136+K137+K138+K139+K140+K143+K144+K145+K146+K147+K151+K153+K154+K155+K156+K157+K160+K161+K162+K163+K164+K165+K167+K168+K169, "NA")</f>
        <v>50401.850000000006</v>
      </c>
      <c r="L171" s="15">
        <f>IFERROR(K171/K444, "NA")</f>
        <v>0.28133568143252663</v>
      </c>
      <c r="M171" s="2"/>
      <c r="N171" s="14">
        <f t="shared" si="41"/>
        <v>-12525.850000000006</v>
      </c>
      <c r="O171" s="15">
        <f>IFERROR(N171/N444, "NA")</f>
        <v>-0.26869150859454183</v>
      </c>
      <c r="P171" s="2"/>
      <c r="Q171" s="14">
        <f>IFERROR(Q127+Q129+Q130+Q131+Q132+Q133+Q134+Q135+Q136+Q137+Q138+Q139+Q140+Q143+Q144+Q145+Q146+Q147+Q151+Q153+Q154+Q155+Q156+Q157+Q160+Q161+Q162+Q163+Q164+Q165+Q167+Q168+Q169, "NA")</f>
        <v>301952.86999999988</v>
      </c>
      <c r="R171" s="15">
        <f>IFERROR(Q171/Q444, "NA")</f>
        <v>0.27009990694410901</v>
      </c>
      <c r="S171" s="2"/>
      <c r="T171" s="14">
        <f>IFERROR(T127+T129+T130+T131+T132+T133+T134+T135+T136+T137+T138+T139+T140+T143+T144+T145+T146+T147+T151+T153+T154+T155+T156+T157+T160+T161+T162+T163+T164+T165+T167+T168+T169, "NA")</f>
        <v>241641.86000000002</v>
      </c>
      <c r="U171" s="15">
        <f>IFERROR(T171/T444, "NA")</f>
        <v>0.24174787853213028</v>
      </c>
      <c r="V171" s="2"/>
      <c r="W171" s="14">
        <f t="shared" si="42"/>
        <v>-60311.009999999864</v>
      </c>
      <c r="X171" s="15">
        <f>IFERROR(W171/W444, "NA")</f>
        <v>-0.50951758000521097</v>
      </c>
      <c r="Y171" s="2"/>
      <c r="Z171" s="14">
        <f>IFERROR(Z127+Z129+Z130+Z131+Z132+Z133+Z134+Z135+Z136+Z137+Z138+Z139+Z140+Z143+Z144+Z145+Z146+Z147+Z151+Z153+Z154+Z155+Z156+Z157+Z160+Z161+Z162+Z163+Z164+Z165+Z167+Z168+Z169, "NA")</f>
        <v>252396.77000000002</v>
      </c>
      <c r="AA171" s="15">
        <f>IFERROR(Z171/Z444, "NA")</f>
        <v>0.28065384375758323</v>
      </c>
      <c r="AB171" s="2"/>
      <c r="AC171" s="14">
        <f t="shared" si="43"/>
        <v>-49556.09999999986</v>
      </c>
      <c r="AD171" s="15">
        <f>IFERROR(AC171/AC444, "NA")</f>
        <v>-0.22668381902272944</v>
      </c>
    </row>
    <row r="172" spans="1:30" ht="16.5" customHeight="1" x14ac:dyDescent="0.45">
      <c r="A172" s="22" t="s">
        <v>160</v>
      </c>
      <c r="B172" s="23">
        <f>IFERROR(B124-B171, "NA")</f>
        <v>162842.25999999995</v>
      </c>
      <c r="C172" s="24">
        <f>IFERROR(B172/B444, "NA")</f>
        <v>0.72127514218454902</v>
      </c>
      <c r="D172" s="25"/>
      <c r="E172" s="23">
        <f>IFERROR(E124-E171, "NA")</f>
        <v>154099.38999999998</v>
      </c>
      <c r="F172" s="24">
        <f>IFERROR(E172/E444, "NA")</f>
        <v>0.7680000283079651</v>
      </c>
      <c r="G172" s="25"/>
      <c r="H172" s="23">
        <f>IFERROR(B172-E172, "NA")</f>
        <v>8742.8699999999662</v>
      </c>
      <c r="I172" s="24">
        <f>IFERROR(H172/H444, "NA")</f>
        <v>0.3480480674147628</v>
      </c>
      <c r="J172" s="25"/>
      <c r="K172" s="23">
        <f>IFERROR(K124-K171, "NA")</f>
        <v>128750.14999999997</v>
      </c>
      <c r="L172" s="24">
        <f>IFERROR(K172/K444, "NA")</f>
        <v>0.71866431856747326</v>
      </c>
      <c r="M172" s="25"/>
      <c r="N172" s="23">
        <f>IFERROR(B172-K172, "NA")</f>
        <v>34092.109999999986</v>
      </c>
      <c r="O172" s="24">
        <f>IFERROR(N172/N444, "NA")</f>
        <v>0.73130849140545817</v>
      </c>
      <c r="P172" s="25"/>
      <c r="Q172" s="23">
        <f>IFERROR(Q124-Q171, "NA")</f>
        <v>815977.43000000017</v>
      </c>
      <c r="R172" s="24">
        <f>IFERROR(Q172/Q444, "NA")</f>
        <v>0.72990009305589099</v>
      </c>
      <c r="S172" s="25"/>
      <c r="T172" s="23">
        <f>IFERROR(T124-T171, "NA")</f>
        <v>757919.59</v>
      </c>
      <c r="U172" s="24">
        <f>IFERROR(T172/T444, "NA")</f>
        <v>0.75825212146786969</v>
      </c>
      <c r="V172" s="25"/>
      <c r="W172" s="23">
        <f>IFERROR(Q172-T172, "NA")</f>
        <v>58057.8400000002</v>
      </c>
      <c r="X172" s="24">
        <f>IFERROR(W172/W444, "NA")</f>
        <v>0.49048241999478881</v>
      </c>
      <c r="Y172" s="25"/>
      <c r="Z172" s="23">
        <f>IFERROR(Z124-Z171, "NA")</f>
        <v>646920.2200000002</v>
      </c>
      <c r="AA172" s="24">
        <f>IFERROR(Z172/Z444, "NA")</f>
        <v>0.71934615624241705</v>
      </c>
      <c r="AB172" s="25"/>
      <c r="AC172" s="23">
        <f>IFERROR(Q172-Z172, "NA")</f>
        <v>169057.20999999996</v>
      </c>
      <c r="AD172" s="24">
        <f>IFERROR(AC172/AC444, "NA")</f>
        <v>0.77331618097726951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12321.15</v>
      </c>
      <c r="C178" s="8">
        <f>IFERROR(B178/B444, "NA")</f>
        <v>5.4573912313223602E-2</v>
      </c>
      <c r="D178" s="9"/>
      <c r="E178" s="7">
        <v>12884.62</v>
      </c>
      <c r="F178" s="8">
        <f>IFERROR(E178/E444, "NA")</f>
        <v>6.421432638206663E-2</v>
      </c>
      <c r="G178" s="9"/>
      <c r="H178" s="10">
        <f t="shared" si="44"/>
        <v>563.47000000000116</v>
      </c>
      <c r="I178" s="8">
        <f>IFERROR(H178/H444, "NA")</f>
        <v>2.2431380604560923E-2</v>
      </c>
      <c r="J178" s="9"/>
      <c r="K178" s="7">
        <v>5528.85</v>
      </c>
      <c r="L178" s="8">
        <f>IFERROR(K178/K444, "NA")</f>
        <v>3.086122398856837E-2</v>
      </c>
      <c r="M178" s="9"/>
      <c r="N178" s="10">
        <f t="shared" si="45"/>
        <v>-6792.2999999999993</v>
      </c>
      <c r="O178" s="8">
        <f>IFERROR(N178/N444, "NA")</f>
        <v>-0.14570135630130535</v>
      </c>
      <c r="P178" s="9"/>
      <c r="Q178" s="7">
        <v>65224.98</v>
      </c>
      <c r="R178" s="8">
        <f>IFERROR(Q178/Q444, "NA")</f>
        <v>5.8344406623561412E-2</v>
      </c>
      <c r="S178" s="9"/>
      <c r="T178" s="7">
        <v>67000</v>
      </c>
      <c r="U178" s="8">
        <f>IFERROR(T178/T444, "NA")</f>
        <v>6.7029395741502434E-2</v>
      </c>
      <c r="V178" s="9"/>
      <c r="W178" s="10">
        <f t="shared" si="46"/>
        <v>1775.0199999999968</v>
      </c>
      <c r="X178" s="8">
        <f>IFERROR(W178/W444, "NA")</f>
        <v>1.4995668201558057E-2</v>
      </c>
      <c r="Y178" s="9"/>
      <c r="Z178" s="7">
        <v>28750.02</v>
      </c>
      <c r="AA178" s="8">
        <f>IFERROR(Z178/Z444, "NA")</f>
        <v>3.1968727734144109E-2</v>
      </c>
      <c r="AB178" s="9"/>
      <c r="AC178" s="10">
        <f t="shared" si="47"/>
        <v>-36474.960000000006</v>
      </c>
      <c r="AD178" s="8">
        <f>IFERROR(AC178/AC444, "NA")</f>
        <v>-0.16684693168956638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34984.43</v>
      </c>
      <c r="C180" s="8">
        <f>IFERROR(B180/B444, "NA")</f>
        <v>0.15495608893229199</v>
      </c>
      <c r="D180" s="9"/>
      <c r="E180" s="7">
        <v>31702.74</v>
      </c>
      <c r="F180" s="8">
        <f>IFERROR(E180/E444, "NA")</f>
        <v>0.1580000103662971</v>
      </c>
      <c r="G180" s="9"/>
      <c r="H180" s="10">
        <f t="shared" si="44"/>
        <v>-3281.6899999999987</v>
      </c>
      <c r="I180" s="8">
        <f>IFERROR(H180/H444, "NA")</f>
        <v>-0.13064198167813967</v>
      </c>
      <c r="J180" s="9"/>
      <c r="K180" s="7">
        <v>32834.559999999998</v>
      </c>
      <c r="L180" s="8">
        <f>IFERROR(K180/K444, "NA")</f>
        <v>0.18327766365990888</v>
      </c>
      <c r="M180" s="9"/>
      <c r="N180" s="10">
        <f t="shared" si="45"/>
        <v>-2149.8700000000026</v>
      </c>
      <c r="O180" s="8">
        <f>IFERROR(N180/N444, "NA")</f>
        <v>-4.6116775594642126E-2</v>
      </c>
      <c r="P180" s="9"/>
      <c r="Q180" s="7">
        <v>176357.53</v>
      </c>
      <c r="R180" s="8">
        <f>IFERROR(Q180/Q444, "NA")</f>
        <v>0.15775360055989179</v>
      </c>
      <c r="S180" s="9"/>
      <c r="T180" s="7">
        <v>163891.12</v>
      </c>
      <c r="U180" s="8">
        <f>IFERROR(T180/T444, "NA")</f>
        <v>0.16396302598504575</v>
      </c>
      <c r="V180" s="9"/>
      <c r="W180" s="10">
        <f t="shared" si="46"/>
        <v>-12466.410000000003</v>
      </c>
      <c r="X180" s="8">
        <f>IFERROR(W180/W444, "NA")</f>
        <v>-0.10531833332840518</v>
      </c>
      <c r="Y180" s="9"/>
      <c r="Z180" s="7">
        <v>167204.03</v>
      </c>
      <c r="AA180" s="8">
        <f>IFERROR(Z180/Z444, "NA")</f>
        <v>0.18592335278798636</v>
      </c>
      <c r="AB180" s="9"/>
      <c r="AC180" s="10">
        <f t="shared" si="47"/>
        <v>-9153.5</v>
      </c>
      <c r="AD180" s="8">
        <f>IFERROR(AC180/AC444, "NA")</f>
        <v>-4.1870735135019904E-2</v>
      </c>
    </row>
    <row r="181" spans="1:30" ht="16.5" customHeight="1" x14ac:dyDescent="0.45">
      <c r="A181" s="12" t="s">
        <v>166</v>
      </c>
      <c r="B181" s="7">
        <v>1697.07</v>
      </c>
      <c r="C181" s="8">
        <f>IFERROR(B181/B444, "NA")</f>
        <v>7.5168104738114853E-3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-1697.07</v>
      </c>
      <c r="I181" s="8">
        <f>IFERROR(H181/H444, "NA")</f>
        <v>-6.755927215749219E-2</v>
      </c>
      <c r="J181" s="9"/>
      <c r="K181" s="7">
        <v>518.4</v>
      </c>
      <c r="L181" s="8">
        <f>IFERROR(K181/K444, "NA")</f>
        <v>2.8936322229168527E-3</v>
      </c>
      <c r="M181" s="9"/>
      <c r="N181" s="10">
        <f t="shared" si="45"/>
        <v>-1178.67</v>
      </c>
      <c r="O181" s="8">
        <f>IFERROR(N181/N444, "NA")</f>
        <v>-2.5283603143509505E-2</v>
      </c>
      <c r="P181" s="9"/>
      <c r="Q181" s="7">
        <v>4847.08</v>
      </c>
      <c r="R181" s="8">
        <f>IFERROR(Q181/Q444, "NA")</f>
        <v>4.335762256376806E-3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-4847.08</v>
      </c>
      <c r="X181" s="8">
        <f>IFERROR(W181/W444, "NA")</f>
        <v>-4.0948948984466743E-2</v>
      </c>
      <c r="Y181" s="9"/>
      <c r="Z181" s="7">
        <v>4209.8</v>
      </c>
      <c r="AA181" s="8">
        <f>IFERROR(Z181/Z444, "NA")</f>
        <v>4.6811080484535274E-3</v>
      </c>
      <c r="AB181" s="9"/>
      <c r="AC181" s="10">
        <f t="shared" si="47"/>
        <v>-637.27999999999975</v>
      </c>
      <c r="AD181" s="8">
        <f>IFERROR(AC181/AC444, "NA")</f>
        <v>-2.9151015553444556E-3</v>
      </c>
    </row>
    <row r="182" spans="1:30" ht="16.5" customHeight="1" x14ac:dyDescent="0.45">
      <c r="A182" s="13" t="s">
        <v>167</v>
      </c>
      <c r="B182" s="14">
        <f>IFERROR(B177+B178+B179+B180+B181, "NA")</f>
        <v>49002.65</v>
      </c>
      <c r="C182" s="15">
        <f>IFERROR(B182/B444, "NA")</f>
        <v>0.21704681171932708</v>
      </c>
      <c r="D182" s="2"/>
      <c r="E182" s="14">
        <f>IFERROR(E177+E178+E179+E180+E181, "NA")</f>
        <v>44587.360000000001</v>
      </c>
      <c r="F182" s="15">
        <f>IFERROR(E182/E444, "NA")</f>
        <v>0.22221433674836374</v>
      </c>
      <c r="G182" s="2"/>
      <c r="H182" s="14">
        <f t="shared" si="44"/>
        <v>-4415.2900000000009</v>
      </c>
      <c r="I182" s="15">
        <f>IFERROR(H182/H444, "NA")</f>
        <v>-0.17576987323107107</v>
      </c>
      <c r="J182" s="2"/>
      <c r="K182" s="14">
        <f>IFERROR(K177+K178+K179+K180+K181, "NA")</f>
        <v>38881.81</v>
      </c>
      <c r="L182" s="15">
        <f>IFERROR(K182/K444, "NA")</f>
        <v>0.2170325198713941</v>
      </c>
      <c r="M182" s="2"/>
      <c r="N182" s="14">
        <f t="shared" si="45"/>
        <v>-10120.840000000004</v>
      </c>
      <c r="O182" s="15">
        <f>IFERROR(N182/N444, "NA")</f>
        <v>-0.21710173503945701</v>
      </c>
      <c r="P182" s="2"/>
      <c r="Q182" s="14">
        <f>IFERROR(Q177+Q178+Q179+Q180+Q181, "NA")</f>
        <v>246429.59</v>
      </c>
      <c r="R182" s="15">
        <f>IFERROR(Q182/Q444, "NA")</f>
        <v>0.22043376943983001</v>
      </c>
      <c r="S182" s="2"/>
      <c r="T182" s="14">
        <f>IFERROR(T177+T178+T179+T180+T181, "NA")</f>
        <v>230891.12</v>
      </c>
      <c r="U182" s="15">
        <f>IFERROR(T182/T444, "NA")</f>
        <v>0.23099242172654819</v>
      </c>
      <c r="V182" s="2"/>
      <c r="W182" s="14">
        <f t="shared" si="46"/>
        <v>-15538.470000000001</v>
      </c>
      <c r="X182" s="15">
        <f>IFERROR(W182/W444, "NA")</f>
        <v>-0.13127161411131383</v>
      </c>
      <c r="Y182" s="2"/>
      <c r="Z182" s="14">
        <f>IFERROR(Z177+Z178+Z179+Z180+Z181, "NA")</f>
        <v>200163.84999999998</v>
      </c>
      <c r="AA182" s="15">
        <f>IFERROR(Z182/Z444, "NA")</f>
        <v>0.22257318857058397</v>
      </c>
      <c r="AB182" s="2"/>
      <c r="AC182" s="14">
        <f t="shared" si="47"/>
        <v>-46265.74000000002</v>
      </c>
      <c r="AD182" s="15">
        <f>IFERROR(AC182/AC444, "NA")</f>
        <v>-0.21163276837993078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-500</v>
      </c>
      <c r="C184" s="8">
        <f>IFERROR(B184/B444, "NA")</f>
        <v>-2.2146436133487378E-3</v>
      </c>
      <c r="D184" s="9"/>
      <c r="E184" s="7">
        <v>1150</v>
      </c>
      <c r="F184" s="8">
        <f>IFERROR(E184/E444, "NA")</f>
        <v>5.73136618226821E-3</v>
      </c>
      <c r="G184" s="9"/>
      <c r="H184" s="10">
        <f t="shared" si="44"/>
        <v>1650</v>
      </c>
      <c r="I184" s="8">
        <f>IFERROR(H184/H444, "NA")</f>
        <v>6.5685445538405676E-2</v>
      </c>
      <c r="J184" s="9"/>
      <c r="K184" s="7">
        <v>300</v>
      </c>
      <c r="L184" s="8">
        <f>IFERROR(K184/K444, "NA")</f>
        <v>1.6745556845583639E-3</v>
      </c>
      <c r="M184" s="9"/>
      <c r="N184" s="10">
        <f t="shared" si="45"/>
        <v>800</v>
      </c>
      <c r="O184" s="8">
        <f>IFERROR(N184/N444, "NA")</f>
        <v>1.7160768081657802E-2</v>
      </c>
      <c r="P184" s="9"/>
      <c r="Q184" s="7">
        <v>5250</v>
      </c>
      <c r="R184" s="8">
        <f>IFERROR(Q184/Q444, "NA")</f>
        <v>4.6961782858913476E-3</v>
      </c>
      <c r="S184" s="9"/>
      <c r="T184" s="7">
        <v>6900</v>
      </c>
      <c r="U184" s="8">
        <f>IFERROR(T184/T444, "NA")</f>
        <v>6.9030273226323409E-3</v>
      </c>
      <c r="V184" s="9"/>
      <c r="W184" s="10">
        <f t="shared" si="46"/>
        <v>1650</v>
      </c>
      <c r="X184" s="8">
        <f>IFERROR(W184/W444, "NA")</f>
        <v>1.3939478165074669E-2</v>
      </c>
      <c r="Y184" s="9"/>
      <c r="Z184" s="7">
        <v>1650</v>
      </c>
      <c r="AA184" s="8">
        <f>IFERROR(Z184/Z444, "NA")</f>
        <v>1.8347257066721268E-3</v>
      </c>
      <c r="AB184" s="9"/>
      <c r="AC184" s="10">
        <f t="shared" si="47"/>
        <v>-3600</v>
      </c>
      <c r="AD184" s="8">
        <f>IFERROR(AC184/AC444, "NA")</f>
        <v>-1.6467432838375665E-2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4718.68</v>
      </c>
      <c r="C186" s="8">
        <f>IFERROR(B186/B444, "NA")</f>
        <v>2.0900389050872846E-2</v>
      </c>
      <c r="D186" s="9"/>
      <c r="E186" s="7">
        <v>4671.3500000000004</v>
      </c>
      <c r="F186" s="8">
        <f>IFERROR(E186/E444, "NA")</f>
        <v>2.328105862220748E-2</v>
      </c>
      <c r="G186" s="9"/>
      <c r="H186" s="10">
        <f t="shared" ref="H186:H197" si="48">IFERROR(-(B186-E186), "NA")</f>
        <v>-47.329999999999927</v>
      </c>
      <c r="I186" s="8">
        <f>IFERROR(H186/H444, "NA")</f>
        <v>-1.8841770529289309E-3</v>
      </c>
      <c r="J186" s="9"/>
      <c r="K186" s="7">
        <v>3665.68</v>
      </c>
      <c r="L186" s="8">
        <f>IFERROR(K186/K444, "NA")</f>
        <v>2.0461284272573009E-2</v>
      </c>
      <c r="M186" s="9"/>
      <c r="N186" s="10">
        <f t="shared" ref="N186:N197" si="49">IFERROR(-(B186-K186), "NA")</f>
        <v>-1053.0000000000005</v>
      </c>
      <c r="O186" s="8">
        <f>IFERROR(N186/N444, "NA")</f>
        <v>-2.258786098748209E-2</v>
      </c>
      <c r="P186" s="9"/>
      <c r="Q186" s="7">
        <v>25199.72</v>
      </c>
      <c r="R186" s="8">
        <f>IFERROR(Q186/Q444, "NA")</f>
        <v>2.2541405309436553E-2</v>
      </c>
      <c r="S186" s="9"/>
      <c r="T186" s="7">
        <v>26969.03</v>
      </c>
      <c r="U186" s="8">
        <f>IFERROR(T186/T444, "NA")</f>
        <v>2.6980862457230619E-2</v>
      </c>
      <c r="V186" s="9"/>
      <c r="W186" s="10">
        <f t="shared" ref="W186:W197" si="50">IFERROR(-(Q186-T186), "NA")</f>
        <v>1769.3099999999977</v>
      </c>
      <c r="X186" s="8">
        <f>IFERROR(W186/W444, "NA")</f>
        <v>1.4947429158938321E-2</v>
      </c>
      <c r="Y186" s="9"/>
      <c r="Z186" s="7">
        <v>20856.47</v>
      </c>
      <c r="AA186" s="8">
        <f>IFERROR(Z186/Z444, "NA")</f>
        <v>2.3191455551173343E-2</v>
      </c>
      <c r="AB186" s="9"/>
      <c r="AC186" s="10">
        <f t="shared" ref="AC186:AC197" si="51">IFERROR(-(Q186-Z186), "NA")</f>
        <v>-4343.25</v>
      </c>
      <c r="AD186" s="8">
        <f>IFERROR(AC186/AC444, "NA")</f>
        <v>-1.9867271576465308E-2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0.04</v>
      </c>
      <c r="AA187" s="8">
        <f>IFERROR(Z187/Z444, "NA")</f>
        <v>4.4478198949627318E-8</v>
      </c>
      <c r="AB187" s="9"/>
      <c r="AC187" s="10">
        <f t="shared" si="51"/>
        <v>0.04</v>
      </c>
      <c r="AD187" s="8">
        <f>IFERROR(AC187/AC444, "NA")</f>
        <v>1.8297147598195183E-7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4718.68</v>
      </c>
      <c r="C193" s="15">
        <f>IFERROR(B193/B444, "NA")</f>
        <v>2.0900389050872846E-2</v>
      </c>
      <c r="D193" s="2"/>
      <c r="E193" s="14">
        <f>IFERROR(E186+E187+E188+E189+E190+E191+E192, "NA")</f>
        <v>4671.3500000000004</v>
      </c>
      <c r="F193" s="15">
        <f>IFERROR(E193/E444, "NA")</f>
        <v>2.328105862220748E-2</v>
      </c>
      <c r="G193" s="2"/>
      <c r="H193" s="14">
        <f t="shared" si="48"/>
        <v>-47.329999999999927</v>
      </c>
      <c r="I193" s="15">
        <f>IFERROR(H193/H444, "NA")</f>
        <v>-1.8841770529289309E-3</v>
      </c>
      <c r="J193" s="2"/>
      <c r="K193" s="14">
        <f>IFERROR(K186+K187+K188+K189+K190+K191+K192, "NA")</f>
        <v>3665.68</v>
      </c>
      <c r="L193" s="15">
        <f>IFERROR(K193/K444, "NA")</f>
        <v>2.0461284272573009E-2</v>
      </c>
      <c r="M193" s="2"/>
      <c r="N193" s="14">
        <f t="shared" si="49"/>
        <v>-1053.0000000000005</v>
      </c>
      <c r="O193" s="15">
        <f>IFERROR(N193/N444, "NA")</f>
        <v>-2.258786098748209E-2</v>
      </c>
      <c r="P193" s="2"/>
      <c r="Q193" s="14">
        <f>IFERROR(Q186+Q187+Q188+Q189+Q190+Q191+Q192, "NA")</f>
        <v>25199.72</v>
      </c>
      <c r="R193" s="15">
        <f>IFERROR(Q193/Q444, "NA")</f>
        <v>2.2541405309436553E-2</v>
      </c>
      <c r="S193" s="2"/>
      <c r="T193" s="14">
        <f>IFERROR(T186+T187+T188+T189+T190+T191+T192, "NA")</f>
        <v>26969.03</v>
      </c>
      <c r="U193" s="15">
        <f>IFERROR(T193/T444, "NA")</f>
        <v>2.6980862457230619E-2</v>
      </c>
      <c r="V193" s="2"/>
      <c r="W193" s="14">
        <f t="shared" si="50"/>
        <v>1769.3099999999977</v>
      </c>
      <c r="X193" s="15">
        <f>IFERROR(W193/W444, "NA")</f>
        <v>1.4947429158938321E-2</v>
      </c>
      <c r="Y193" s="2"/>
      <c r="Z193" s="14">
        <f>IFERROR(Z186+Z187+Z188+Z189+Z190+Z191+Z192, "NA")</f>
        <v>20856.510000000002</v>
      </c>
      <c r="AA193" s="15">
        <f>IFERROR(Z193/Z444, "NA")</f>
        <v>2.3191500029372293E-2</v>
      </c>
      <c r="AB193" s="2"/>
      <c r="AC193" s="14">
        <f t="shared" si="51"/>
        <v>-4343.2099999999991</v>
      </c>
      <c r="AD193" s="15">
        <f>IFERROR(AC193/AC444, "NA")</f>
        <v>-1.9867088604989321E-2</v>
      </c>
    </row>
    <row r="194" spans="1:30" ht="16.5" customHeight="1" x14ac:dyDescent="0.45">
      <c r="A194" s="6" t="s">
        <v>178</v>
      </c>
      <c r="B194" s="7">
        <v>262.88</v>
      </c>
      <c r="C194" s="8">
        <f>IFERROR(B194/B444, "NA")</f>
        <v>1.1643710261542324E-3</v>
      </c>
      <c r="D194" s="9"/>
      <c r="E194" s="7">
        <v>365.9</v>
      </c>
      <c r="F194" s="8">
        <f>IFERROR(E194/E444, "NA")</f>
        <v>1.8235712052973372E-3</v>
      </c>
      <c r="G194" s="9"/>
      <c r="H194" s="10">
        <f t="shared" si="48"/>
        <v>103.01999999999998</v>
      </c>
      <c r="I194" s="8">
        <f>IFERROR(H194/H444, "NA")</f>
        <v>4.1011603632524554E-3</v>
      </c>
      <c r="J194" s="9"/>
      <c r="K194" s="7">
        <v>513.04</v>
      </c>
      <c r="L194" s="8">
        <f>IFERROR(K194/K444, "NA")</f>
        <v>2.8637134946860763E-3</v>
      </c>
      <c r="M194" s="9"/>
      <c r="N194" s="10">
        <f t="shared" si="49"/>
        <v>250.15999999999997</v>
      </c>
      <c r="O194" s="8">
        <f>IFERROR(N194/N444, "NA")</f>
        <v>5.3661721791343937E-3</v>
      </c>
      <c r="P194" s="9"/>
      <c r="Q194" s="7">
        <v>1650.42</v>
      </c>
      <c r="R194" s="8">
        <f>IFERROR(Q194/Q444, "NA")</f>
        <v>1.4763174412572948E-3</v>
      </c>
      <c r="S194" s="9"/>
      <c r="T194" s="7">
        <v>1902.33</v>
      </c>
      <c r="U194" s="8">
        <f>IFERROR(T194/T444, "NA")</f>
        <v>1.9031646328497363E-3</v>
      </c>
      <c r="V194" s="9"/>
      <c r="W194" s="10">
        <f t="shared" si="50"/>
        <v>251.90999999999985</v>
      </c>
      <c r="X194" s="8">
        <f>IFERROR(W194/W444, "NA")</f>
        <v>2.1281781482205804E-3</v>
      </c>
      <c r="Y194" s="9"/>
      <c r="Z194" s="7">
        <v>1706.55</v>
      </c>
      <c r="AA194" s="8">
        <f>IFERROR(Z194/Z444, "NA")</f>
        <v>1.8976067604371625E-3</v>
      </c>
      <c r="AB194" s="9"/>
      <c r="AC194" s="10">
        <f t="shared" si="51"/>
        <v>56.129999999999882</v>
      </c>
      <c r="AD194" s="8">
        <f>IFERROR(AC194/AC444, "NA")</f>
        <v>2.5675472367167336E-4</v>
      </c>
    </row>
    <row r="195" spans="1:30" ht="16.5" customHeight="1" x14ac:dyDescent="0.45">
      <c r="A195" s="6" t="s">
        <v>179</v>
      </c>
      <c r="B195" s="7">
        <v>381.85</v>
      </c>
      <c r="C195" s="8">
        <f>IFERROR(B195/B444, "NA")</f>
        <v>1.6913233275144312E-3</v>
      </c>
      <c r="D195" s="9"/>
      <c r="E195" s="7">
        <v>0</v>
      </c>
      <c r="F195" s="8">
        <f>IFERROR(E195/E444, "NA")</f>
        <v>0</v>
      </c>
      <c r="G195" s="9"/>
      <c r="H195" s="10">
        <f t="shared" si="48"/>
        <v>-381.85</v>
      </c>
      <c r="I195" s="8">
        <f>IFERROR(H195/H444, "NA")</f>
        <v>-1.520120447202437E-2</v>
      </c>
      <c r="J195" s="9"/>
      <c r="K195" s="7">
        <v>0</v>
      </c>
      <c r="L195" s="8">
        <f>IFERROR(K195/K444, "NA")</f>
        <v>0</v>
      </c>
      <c r="M195" s="9"/>
      <c r="N195" s="10">
        <f t="shared" si="49"/>
        <v>-381.85</v>
      </c>
      <c r="O195" s="8">
        <f>IFERROR(N195/N444, "NA")</f>
        <v>-8.1910491149762895E-3</v>
      </c>
      <c r="P195" s="9"/>
      <c r="Q195" s="7">
        <v>2291.1</v>
      </c>
      <c r="R195" s="8">
        <f>IFERROR(Q195/Q444, "NA")</f>
        <v>2.0494122039629841E-3</v>
      </c>
      <c r="S195" s="9"/>
      <c r="T195" s="7">
        <v>0</v>
      </c>
      <c r="U195" s="8">
        <f>IFERROR(T195/T444, "NA")</f>
        <v>0</v>
      </c>
      <c r="V195" s="9"/>
      <c r="W195" s="10">
        <f t="shared" si="50"/>
        <v>-2291.1</v>
      </c>
      <c r="X195" s="8">
        <f>IFERROR(W195/W444, "NA")</f>
        <v>-1.9355599044850045E-2</v>
      </c>
      <c r="Y195" s="9"/>
      <c r="Z195" s="7">
        <v>0</v>
      </c>
      <c r="AA195" s="8">
        <f>IFERROR(Z195/Z444, "NA")</f>
        <v>0</v>
      </c>
      <c r="AB195" s="9"/>
      <c r="AC195" s="10">
        <f t="shared" si="51"/>
        <v>-2291.1</v>
      </c>
      <c r="AD195" s="8">
        <f>IFERROR(AC195/AC444, "NA")</f>
        <v>-1.0480148715556246E-2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53866.06</v>
      </c>
      <c r="C196" s="15">
        <f>IFERROR(B196/B444, "NA")</f>
        <v>0.23858825151051982</v>
      </c>
      <c r="D196" s="2"/>
      <c r="E196" s="14">
        <f>IFERROR(E175+E177+E178+E179+E180+E181+E183+E184+E186+E187+E188+E189+E190+E191+E192+E194+E195, "NA")</f>
        <v>50774.61</v>
      </c>
      <c r="F196" s="15">
        <f>IFERROR(E196/E444, "NA")</f>
        <v>0.25305033275813676</v>
      </c>
      <c r="G196" s="2"/>
      <c r="H196" s="14">
        <f t="shared" si="48"/>
        <v>-3091.4499999999971</v>
      </c>
      <c r="I196" s="15">
        <f>IFERROR(H196/H444, "NA")</f>
        <v>-0.12306864885436609</v>
      </c>
      <c r="J196" s="2"/>
      <c r="K196" s="14">
        <f>IFERROR(K175+K177+K178+K179+K180+K181+K183+K184+K186+K187+K188+K189+K190+K191+K192+K194+K195, "NA")</f>
        <v>43360.53</v>
      </c>
      <c r="L196" s="15">
        <f>IFERROR(K196/K444, "NA")</f>
        <v>0.24203207332321156</v>
      </c>
      <c r="M196" s="2"/>
      <c r="N196" s="14">
        <f t="shared" si="49"/>
        <v>-10505.529999999999</v>
      </c>
      <c r="O196" s="15">
        <f>IFERROR(N196/N444, "NA")</f>
        <v>-0.22535370488112308</v>
      </c>
      <c r="P196" s="2"/>
      <c r="Q196" s="14">
        <f>IFERROR(Q175+Q177+Q178+Q179+Q180+Q181+Q183+Q184+Q186+Q187+Q188+Q189+Q190+Q191+Q192+Q194+Q195, "NA")</f>
        <v>280820.82999999996</v>
      </c>
      <c r="R196" s="15">
        <f>IFERROR(Q196/Q444, "NA")</f>
        <v>0.25119708268037816</v>
      </c>
      <c r="S196" s="2"/>
      <c r="T196" s="14">
        <f>IFERROR(T175+T177+T178+T179+T180+T181+T183+T184+T186+T187+T188+T189+T190+T191+T192+T194+T195, "NA")</f>
        <v>266662.48000000004</v>
      </c>
      <c r="U196" s="15">
        <f>IFERROR(T196/T444, "NA")</f>
        <v>0.26677947613926095</v>
      </c>
      <c r="V196" s="2"/>
      <c r="W196" s="14">
        <f t="shared" si="50"/>
        <v>-14158.349999999919</v>
      </c>
      <c r="X196" s="15">
        <f>IFERROR(W196/W444, "NA")</f>
        <v>-0.11961212768392958</v>
      </c>
      <c r="Y196" s="2"/>
      <c r="Z196" s="14">
        <f>IFERROR(Z175+Z177+Z178+Z179+Z180+Z181+Z183+Z184+Z186+Z187+Z188+Z189+Z190+Z191+Z192+Z194+Z195, "NA")</f>
        <v>224376.90999999997</v>
      </c>
      <c r="AA196" s="15">
        <f>IFERROR(Z196/Z444, "NA")</f>
        <v>0.24949702106706556</v>
      </c>
      <c r="AB196" s="2"/>
      <c r="AC196" s="14">
        <f t="shared" si="51"/>
        <v>-56443.919999999984</v>
      </c>
      <c r="AD196" s="15">
        <f>IFERROR(AC196/AC444, "NA")</f>
        <v>-0.25819068381518018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53866.06</v>
      </c>
      <c r="C197" s="15">
        <f>IFERROR(B197/B444, "NA")</f>
        <v>0.23858825151051982</v>
      </c>
      <c r="D197" s="2"/>
      <c r="E197" s="14">
        <f>IFERROR(E175+E177+E178+E179+E180+E181+E183+E184+E186+E187+E188+E189+E190+E191+E192+E194+E195, "NA")</f>
        <v>50774.61</v>
      </c>
      <c r="F197" s="15">
        <f>IFERROR(E197/E444, "NA")</f>
        <v>0.25305033275813676</v>
      </c>
      <c r="G197" s="2"/>
      <c r="H197" s="14">
        <f t="shared" si="48"/>
        <v>-3091.4499999999971</v>
      </c>
      <c r="I197" s="15">
        <f>IFERROR(H197/H444, "NA")</f>
        <v>-0.12306864885436609</v>
      </c>
      <c r="J197" s="2"/>
      <c r="K197" s="14">
        <f>IFERROR(K175+K177+K178+K179+K180+K181+K183+K184+K186+K187+K188+K189+K190+K191+K192+K194+K195, "NA")</f>
        <v>43360.53</v>
      </c>
      <c r="L197" s="15">
        <f>IFERROR(K197/K444, "NA")</f>
        <v>0.24203207332321156</v>
      </c>
      <c r="M197" s="2"/>
      <c r="N197" s="14">
        <f t="shared" si="49"/>
        <v>-10505.529999999999</v>
      </c>
      <c r="O197" s="15">
        <f>IFERROR(N197/N444, "NA")</f>
        <v>-0.22535370488112308</v>
      </c>
      <c r="P197" s="2"/>
      <c r="Q197" s="14">
        <f>IFERROR(Q175+Q177+Q178+Q179+Q180+Q181+Q183+Q184+Q186+Q187+Q188+Q189+Q190+Q191+Q192+Q194+Q195, "NA")</f>
        <v>280820.82999999996</v>
      </c>
      <c r="R197" s="15">
        <f>IFERROR(Q197/Q444, "NA")</f>
        <v>0.25119708268037816</v>
      </c>
      <c r="S197" s="2"/>
      <c r="T197" s="14">
        <f>IFERROR(T175+T177+T178+T179+T180+T181+T183+T184+T186+T187+T188+T189+T190+T191+T192+T194+T195, "NA")</f>
        <v>266662.48000000004</v>
      </c>
      <c r="U197" s="15">
        <f>IFERROR(T197/T444, "NA")</f>
        <v>0.26677947613926095</v>
      </c>
      <c r="V197" s="2"/>
      <c r="W197" s="14">
        <f t="shared" si="50"/>
        <v>-14158.349999999919</v>
      </c>
      <c r="X197" s="15">
        <f>IFERROR(W197/W444, "NA")</f>
        <v>-0.11961212768392958</v>
      </c>
      <c r="Y197" s="2"/>
      <c r="Z197" s="14">
        <f>IFERROR(Z175+Z177+Z178+Z179+Z180+Z181+Z183+Z184+Z186+Z187+Z188+Z189+Z190+Z191+Z192+Z194+Z195, "NA")</f>
        <v>224376.90999999997</v>
      </c>
      <c r="AA197" s="15">
        <f>IFERROR(Z197/Z444, "NA")</f>
        <v>0.24949702106706556</v>
      </c>
      <c r="AB197" s="2"/>
      <c r="AC197" s="14">
        <f t="shared" si="51"/>
        <v>-56443.919999999984</v>
      </c>
      <c r="AD197" s="15">
        <f>IFERROR(AC197/AC444, "NA")</f>
        <v>-0.25819068381518018</v>
      </c>
    </row>
    <row r="198" spans="1:30" ht="16.5" customHeight="1" x14ac:dyDescent="0.45">
      <c r="A198" s="22" t="s">
        <v>181</v>
      </c>
      <c r="B198" s="23">
        <f>IFERROR(B172-B197, "NA")</f>
        <v>108976.19999999995</v>
      </c>
      <c r="C198" s="24">
        <f>IFERROR(B198/B444, "NA")</f>
        <v>0.48268689067402926</v>
      </c>
      <c r="D198" s="25"/>
      <c r="E198" s="23">
        <f>IFERROR(E172-E197, "NA")</f>
        <v>103324.77999999998</v>
      </c>
      <c r="F198" s="24">
        <f>IFERROR(E198/E444, "NA")</f>
        <v>0.51494969554982839</v>
      </c>
      <c r="G198" s="25"/>
      <c r="H198" s="23">
        <f>IFERROR(B198-E198, "NA")</f>
        <v>5651.4199999999691</v>
      </c>
      <c r="I198" s="24">
        <f>IFERROR(H198/H444, "NA")</f>
        <v>0.22497941856039672</v>
      </c>
      <c r="J198" s="25"/>
      <c r="K198" s="23">
        <f>IFERROR(K172-K197, "NA")</f>
        <v>85389.619999999966</v>
      </c>
      <c r="L198" s="24">
        <f>IFERROR(K198/K444, "NA")</f>
        <v>0.47663224524426168</v>
      </c>
      <c r="M198" s="25"/>
      <c r="N198" s="23">
        <f>IFERROR(B198-K198, "NA")</f>
        <v>23586.579999999987</v>
      </c>
      <c r="O198" s="24">
        <f>IFERROR(N198/N444, "NA")</f>
        <v>0.50595478652433512</v>
      </c>
      <c r="P198" s="25"/>
      <c r="Q198" s="23">
        <f>IFERROR(Q172-Q197, "NA")</f>
        <v>535156.60000000021</v>
      </c>
      <c r="R198" s="24">
        <f>IFERROR(Q198/Q444, "NA")</f>
        <v>0.47870301037551283</v>
      </c>
      <c r="S198" s="25"/>
      <c r="T198" s="23">
        <f>IFERROR(T172-T197, "NA")</f>
        <v>491257.10999999993</v>
      </c>
      <c r="U198" s="24">
        <f>IFERROR(T198/T444, "NA")</f>
        <v>0.49147264532860879</v>
      </c>
      <c r="V198" s="25"/>
      <c r="W198" s="23">
        <f>IFERROR(Q198-T198, "NA")</f>
        <v>43899.490000000282</v>
      </c>
      <c r="X198" s="24">
        <f>IFERROR(W198/W444, "NA")</f>
        <v>0.37087029231085922</v>
      </c>
      <c r="Y198" s="25"/>
      <c r="Z198" s="23">
        <f>IFERROR(Z172-Z197, "NA")</f>
        <v>422543.31000000023</v>
      </c>
      <c r="AA198" s="24">
        <f>IFERROR(Z198/Z444, "NA")</f>
        <v>0.46984913517535148</v>
      </c>
      <c r="AB198" s="25"/>
      <c r="AC198" s="23">
        <f>IFERROR(Q198-Z198, "NA")</f>
        <v>112613.28999999998</v>
      </c>
      <c r="AD198" s="24">
        <f>IFERROR(AC198/AC444, "NA")</f>
        <v>0.51512549716208933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3411.05</v>
      </c>
      <c r="F201" s="8">
        <f>IFERROR(E201/E444, "NA")</f>
        <v>1.6999979666109548E-2</v>
      </c>
      <c r="G201" s="9"/>
      <c r="H201" s="10">
        <f t="shared" ref="H201:H209" si="52">IFERROR(-(B201-E201), "NA")</f>
        <v>3411.05</v>
      </c>
      <c r="I201" s="8">
        <f>IFERROR(H201/H444, "NA")</f>
        <v>0.13579172060835074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17240.849999999999</v>
      </c>
      <c r="U201" s="8">
        <f>IFERROR(T201/T444, "NA")</f>
        <v>1.7248414292087795E-2</v>
      </c>
      <c r="V201" s="9"/>
      <c r="W201" s="10">
        <f t="shared" ref="W201:W209" si="54">IFERROR(-(Q201-T201), "NA")</f>
        <v>17240.849999999999</v>
      </c>
      <c r="X201" s="8">
        <f>IFERROR(W201/W444, "NA")</f>
        <v>0.14565360734686519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2163.65</v>
      </c>
      <c r="C202" s="8">
        <f>IFERROR(B202/B444, "NA")</f>
        <v>9.5834273080439934E-3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-2163.65</v>
      </c>
      <c r="I202" s="8">
        <f>IFERROR(H202/H444, "NA")</f>
        <v>-8.6133523781316029E-2</v>
      </c>
      <c r="J202" s="9"/>
      <c r="K202" s="7">
        <v>1216.24</v>
      </c>
      <c r="L202" s="8">
        <f>IFERROR(K202/K444, "NA")</f>
        <v>6.7888720192908819E-3</v>
      </c>
      <c r="M202" s="9"/>
      <c r="N202" s="10">
        <f t="shared" si="53"/>
        <v>-947.41000000000008</v>
      </c>
      <c r="O202" s="8">
        <f>IFERROR(N202/N444, "NA")</f>
        <v>-2.0322854110304274E-2</v>
      </c>
      <c r="P202" s="9"/>
      <c r="Q202" s="7">
        <v>9173.2900000000009</v>
      </c>
      <c r="R202" s="8">
        <f>IFERROR(Q202/Q444, "NA")</f>
        <v>8.2056010110827127E-3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-9173.2900000000009</v>
      </c>
      <c r="X202" s="8">
        <f>IFERROR(W202/W444, "NA")</f>
        <v>-7.7497500398119895E-2</v>
      </c>
      <c r="Y202" s="9"/>
      <c r="Z202" s="7">
        <v>7021.12</v>
      </c>
      <c r="AA202" s="8">
        <f>IFERROR(Z202/Z444, "NA")</f>
        <v>7.8071693052301832E-3</v>
      </c>
      <c r="AB202" s="9"/>
      <c r="AC202" s="10">
        <f t="shared" si="55"/>
        <v>-2152.170000000001</v>
      </c>
      <c r="AD202" s="8">
        <f>IFERROR(AC202/AC444, "NA")</f>
        <v>-9.8446430366019369E-3</v>
      </c>
    </row>
    <row r="203" spans="1:30" ht="16.5" customHeight="1" x14ac:dyDescent="0.45">
      <c r="A203" s="6" t="s">
        <v>185</v>
      </c>
      <c r="B203" s="7">
        <v>2752.78</v>
      </c>
      <c r="C203" s="8">
        <f>IFERROR(B203/B444, "NA")</f>
        <v>1.2192853291908279E-2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-2752.78</v>
      </c>
      <c r="I203" s="8">
        <f>IFERROR(H203/H444, "NA")</f>
        <v>-0.10958641258740145</v>
      </c>
      <c r="J203" s="9"/>
      <c r="K203" s="7">
        <v>1017.42</v>
      </c>
      <c r="L203" s="8">
        <f>IFERROR(K203/K444, "NA")</f>
        <v>5.679088148611235E-3</v>
      </c>
      <c r="M203" s="9"/>
      <c r="N203" s="10">
        <f t="shared" si="53"/>
        <v>-1735.3600000000001</v>
      </c>
      <c r="O203" s="8">
        <f>IFERROR(N203/N444, "NA")</f>
        <v>-3.7225138122732107E-2</v>
      </c>
      <c r="P203" s="9"/>
      <c r="Q203" s="7">
        <v>9259.0300000000007</v>
      </c>
      <c r="R203" s="8">
        <f>IFERROR(Q203/Q444, "NA")</f>
        <v>8.2822963113174403E-3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-9259.0300000000007</v>
      </c>
      <c r="X203" s="8">
        <f>IFERROR(W203/W444, "NA")</f>
        <v>-7.822184637258868E-2</v>
      </c>
      <c r="Y203" s="9"/>
      <c r="Z203" s="7">
        <v>5531.24</v>
      </c>
      <c r="AA203" s="8">
        <f>IFERROR(Z203/Z444, "NA")</f>
        <v>6.1504898289534149E-3</v>
      </c>
      <c r="AB203" s="9"/>
      <c r="AC203" s="10">
        <f t="shared" si="55"/>
        <v>-3727.7900000000009</v>
      </c>
      <c r="AD203" s="8">
        <f>IFERROR(AC203/AC444, "NA")</f>
        <v>-1.705198096126901E-2</v>
      </c>
    </row>
    <row r="204" spans="1:30" ht="16.5" customHeight="1" x14ac:dyDescent="0.45">
      <c r="A204" s="6" t="s">
        <v>186</v>
      </c>
      <c r="B204" s="7">
        <v>458.83</v>
      </c>
      <c r="C204" s="8">
        <f>IFERROR(B204/B444, "NA")</f>
        <v>2.0322898582256026E-3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-458.83</v>
      </c>
      <c r="I204" s="8">
        <f>IFERROR(H204/H444, "NA")</f>
        <v>-1.8265729076597986E-2</v>
      </c>
      <c r="J204" s="9"/>
      <c r="K204" s="7">
        <v>227.87</v>
      </c>
      <c r="L204" s="8">
        <f>IFERROR(K204/K444, "NA")</f>
        <v>1.2719366794677145E-3</v>
      </c>
      <c r="M204" s="9"/>
      <c r="N204" s="10">
        <f t="shared" si="53"/>
        <v>-230.95999999999998</v>
      </c>
      <c r="O204" s="8">
        <f>IFERROR(N204/N444, "NA")</f>
        <v>-4.954313745174607E-3</v>
      </c>
      <c r="P204" s="9"/>
      <c r="Q204" s="7">
        <v>1230.55</v>
      </c>
      <c r="R204" s="8">
        <f>IFERROR(Q204/Q444, "NA")</f>
        <v>1.1007394647054472E-3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-1230.55</v>
      </c>
      <c r="X204" s="8">
        <f>IFERROR(W204/W444, "NA")</f>
        <v>-1.039589385214099E-2</v>
      </c>
      <c r="Y204" s="9"/>
      <c r="Z204" s="7">
        <v>1730.83</v>
      </c>
      <c r="AA204" s="8">
        <f>IFERROR(Z204/Z444, "NA")</f>
        <v>1.9246050271995861E-3</v>
      </c>
      <c r="AB204" s="9"/>
      <c r="AC204" s="10">
        <f t="shared" si="55"/>
        <v>500.28</v>
      </c>
      <c r="AD204" s="8">
        <f>IFERROR(AC204/AC444, "NA")</f>
        <v>2.2884242501062715E-3</v>
      </c>
    </row>
    <row r="205" spans="1:30" ht="16.5" customHeight="1" x14ac:dyDescent="0.45">
      <c r="A205" s="6" t="s">
        <v>187</v>
      </c>
      <c r="B205" s="7">
        <v>897.75</v>
      </c>
      <c r="C205" s="8">
        <f>IFERROR(B205/B444, "NA")</f>
        <v>3.9763926077676587E-3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-897.75</v>
      </c>
      <c r="I205" s="8">
        <f>IFERROR(H205/H444, "NA")</f>
        <v>-3.5738853777032543E-2</v>
      </c>
      <c r="J205" s="9"/>
      <c r="K205" s="7">
        <v>411.44</v>
      </c>
      <c r="L205" s="8">
        <f>IFERROR(K205/K444, "NA")</f>
        <v>2.2965973028489773E-3</v>
      </c>
      <c r="M205" s="9"/>
      <c r="N205" s="10">
        <f t="shared" si="53"/>
        <v>-486.31</v>
      </c>
      <c r="O205" s="8">
        <f>IFERROR(N205/N444, "NA")</f>
        <v>-1.0431816407238757E-2</v>
      </c>
      <c r="P205" s="9"/>
      <c r="Q205" s="7">
        <v>4631.82</v>
      </c>
      <c r="R205" s="8">
        <f>IFERROR(Q205/Q444, "NA")</f>
        <v>4.1432100015537637E-3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-4631.82</v>
      </c>
      <c r="X205" s="8">
        <f>IFERROR(W205/W444, "NA")</f>
        <v>-3.9130396214882512E-2</v>
      </c>
      <c r="Y205" s="9"/>
      <c r="Z205" s="7">
        <v>2653.13</v>
      </c>
      <c r="AA205" s="8">
        <f>IFERROR(Z205/Z444, "NA")</f>
        <v>2.9501610994806184E-3</v>
      </c>
      <c r="AB205" s="9"/>
      <c r="AC205" s="10">
        <f t="shared" si="55"/>
        <v>-1978.6899999999996</v>
      </c>
      <c r="AD205" s="8">
        <f>IFERROR(AC205/AC444, "NA")</f>
        <v>-9.0510957452682051E-3</v>
      </c>
    </row>
    <row r="206" spans="1:30" ht="16.5" customHeight="1" x14ac:dyDescent="0.45">
      <c r="A206" s="6" t="s">
        <v>188</v>
      </c>
      <c r="B206" s="7">
        <v>504.31</v>
      </c>
      <c r="C206" s="8">
        <f>IFERROR(B206/B444, "NA")</f>
        <v>2.2337338412958042E-3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-504.31</v>
      </c>
      <c r="I206" s="8">
        <f>IFERROR(H206/H444, "NA")</f>
        <v>-2.0076258811802042E-2</v>
      </c>
      <c r="J206" s="9"/>
      <c r="K206" s="7">
        <v>10.94</v>
      </c>
      <c r="L206" s="8">
        <f>IFERROR(K206/K444, "NA")</f>
        <v>6.1065463963561661E-5</v>
      </c>
      <c r="M206" s="9"/>
      <c r="N206" s="10">
        <f t="shared" si="53"/>
        <v>-493.37</v>
      </c>
      <c r="O206" s="8">
        <f>IFERROR(N206/N444, "NA")</f>
        <v>-1.0583260185559388E-2</v>
      </c>
      <c r="P206" s="9"/>
      <c r="Q206" s="7">
        <v>1091.74</v>
      </c>
      <c r="R206" s="8">
        <f>IFERROR(Q206/Q444, "NA")</f>
        <v>9.7657251082647984E-4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-1091.74</v>
      </c>
      <c r="X206" s="8">
        <f>IFERROR(W206/W444, "NA")</f>
        <v>-9.2232035708718907E-3</v>
      </c>
      <c r="Y206" s="9"/>
      <c r="Z206" s="7">
        <v>433.93</v>
      </c>
      <c r="AA206" s="8">
        <f>IFERROR(Z206/Z444, "NA")</f>
        <v>4.8251062175529456E-4</v>
      </c>
      <c r="AB206" s="9"/>
      <c r="AC206" s="10">
        <f t="shared" si="55"/>
        <v>-657.81</v>
      </c>
      <c r="AD206" s="8">
        <f>IFERROR(AC206/AC444, "NA")</f>
        <v>-3.009011665392193E-3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0</v>
      </c>
      <c r="I207" s="8">
        <f>IFERROR(H207/H444, "NA")</f>
        <v>0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0</v>
      </c>
      <c r="O207" s="8">
        <f>IFERROR(N207/N444, "NA")</f>
        <v>0</v>
      </c>
      <c r="P207" s="9"/>
      <c r="Q207" s="7">
        <v>588.29999999999995</v>
      </c>
      <c r="R207" s="8">
        <f>IFERROR(Q207/Q444, "NA")</f>
        <v>5.262403210647389E-4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-588.29999999999995</v>
      </c>
      <c r="X207" s="8">
        <f>IFERROR(W207/W444, "NA")</f>
        <v>-4.9700575784929861E-3</v>
      </c>
      <c r="Y207" s="9"/>
      <c r="Z207" s="7">
        <v>308.3</v>
      </c>
      <c r="AA207" s="8">
        <f>IFERROR(Z207/Z444, "NA")</f>
        <v>3.4281571840425254E-4</v>
      </c>
      <c r="AB207" s="9"/>
      <c r="AC207" s="10">
        <f t="shared" si="55"/>
        <v>-279.99999999999994</v>
      </c>
      <c r="AD207" s="8">
        <f>IFERROR(AC207/AC444, "NA")</f>
        <v>-1.2808003318736626E-3</v>
      </c>
    </row>
    <row r="208" spans="1:30" ht="16.5" customHeight="1" x14ac:dyDescent="0.45">
      <c r="A208" s="6" t="s">
        <v>190</v>
      </c>
      <c r="B208" s="7">
        <v>194.1</v>
      </c>
      <c r="C208" s="8">
        <f>IFERROR(B208/B444, "NA")</f>
        <v>8.5972465070198001E-4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-194.1</v>
      </c>
      <c r="I208" s="8">
        <f>IFERROR(H208/H444, "NA")</f>
        <v>-7.7269969569724499E-3</v>
      </c>
      <c r="J208" s="9"/>
      <c r="K208" s="7">
        <v>299.94</v>
      </c>
      <c r="L208" s="8">
        <f>IFERROR(K208/K444, "NA")</f>
        <v>1.6742207734214522E-3</v>
      </c>
      <c r="M208" s="9"/>
      <c r="N208" s="10">
        <f t="shared" si="53"/>
        <v>105.84</v>
      </c>
      <c r="O208" s="8">
        <f>IFERROR(N208/N444, "NA")</f>
        <v>2.2703696172033275E-3</v>
      </c>
      <c r="P208" s="9"/>
      <c r="Q208" s="7">
        <v>1112.81</v>
      </c>
      <c r="R208" s="8">
        <f>IFERROR(Q208/Q444, "NA")</f>
        <v>9.9541983968052389E-4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-1112.81</v>
      </c>
      <c r="X208" s="8">
        <f>IFERROR(W208/W444, "NA")</f>
        <v>-9.4012064829556014E-3</v>
      </c>
      <c r="Y208" s="9"/>
      <c r="Z208" s="7">
        <v>925.22</v>
      </c>
      <c r="AA208" s="8">
        <f>IFERROR(Z208/Z444, "NA")</f>
        <v>1.0288029808043547E-3</v>
      </c>
      <c r="AB208" s="9"/>
      <c r="AC208" s="10">
        <f t="shared" si="55"/>
        <v>-187.58999999999992</v>
      </c>
      <c r="AD208" s="8">
        <f>IFERROR(AC208/AC444, "NA")</f>
        <v>-8.5809047948635822E-4</v>
      </c>
    </row>
    <row r="209" spans="1:30" ht="16.5" customHeight="1" x14ac:dyDescent="0.45">
      <c r="A209" s="19" t="s">
        <v>191</v>
      </c>
      <c r="B209" s="14">
        <f>IFERROR(B201+B202+B203+B204+B205+B206+B207+B208, "NA")</f>
        <v>6971.420000000001</v>
      </c>
      <c r="C209" s="15">
        <f>IFERROR(B209/B444, "NA")</f>
        <v>3.087842155794332E-2</v>
      </c>
      <c r="D209" s="2"/>
      <c r="E209" s="14">
        <f>IFERROR(E201+E202+E203+E204+E205+E206+E207+E208, "NA")</f>
        <v>3411.05</v>
      </c>
      <c r="F209" s="15">
        <f>IFERROR(E209/E444, "NA")</f>
        <v>1.6999979666109548E-2</v>
      </c>
      <c r="G209" s="2"/>
      <c r="H209" s="14">
        <f t="shared" si="52"/>
        <v>-3560.3700000000008</v>
      </c>
      <c r="I209" s="15">
        <f>IFERROR(H209/H444, "NA")</f>
        <v>-0.14173605438277181</v>
      </c>
      <c r="J209" s="2"/>
      <c r="K209" s="14">
        <f>IFERROR(K201+K202+K203+K204+K205+K206+K207+K208, "NA")</f>
        <v>3183.85</v>
      </c>
      <c r="L209" s="15">
        <f>IFERROR(K209/K444, "NA")</f>
        <v>1.7771780387603821E-2</v>
      </c>
      <c r="M209" s="2"/>
      <c r="N209" s="14">
        <f t="shared" si="53"/>
        <v>-3787.5700000000011</v>
      </c>
      <c r="O209" s="15">
        <f>IFERROR(N209/N444, "NA")</f>
        <v>-8.1247012953805819E-2</v>
      </c>
      <c r="P209" s="2"/>
      <c r="Q209" s="14">
        <f>IFERROR(Q201+Q202+Q203+Q204+Q205+Q206+Q207+Q208, "NA")</f>
        <v>27087.54</v>
      </c>
      <c r="R209" s="15">
        <f>IFERROR(Q209/Q444, "NA")</f>
        <v>2.4230079460231108E-2</v>
      </c>
      <c r="S209" s="2"/>
      <c r="T209" s="14">
        <f>IFERROR(T201+T202+T203+T204+T205+T206+T207+T208, "NA")</f>
        <v>17240.849999999999</v>
      </c>
      <c r="U209" s="15">
        <f>IFERROR(T209/T444, "NA")</f>
        <v>1.7248414292087795E-2</v>
      </c>
      <c r="V209" s="2"/>
      <c r="W209" s="14">
        <f t="shared" si="54"/>
        <v>-9846.6900000000023</v>
      </c>
      <c r="X209" s="15">
        <f>IFERROR(W209/W444, "NA")</f>
        <v>-8.3186497123187347E-2</v>
      </c>
      <c r="Y209" s="2"/>
      <c r="Z209" s="14">
        <f>IFERROR(Z201+Z202+Z203+Z204+Z205+Z206+Z207+Z208, "NA")</f>
        <v>18603.77</v>
      </c>
      <c r="AA209" s="15">
        <f>IFERROR(Z209/Z444, "NA")</f>
        <v>2.0686554581827707E-2</v>
      </c>
      <c r="AB209" s="2"/>
      <c r="AC209" s="14">
        <f t="shared" si="55"/>
        <v>-8483.77</v>
      </c>
      <c r="AD209" s="15">
        <f>IFERROR(AC209/AC444, "NA")</f>
        <v>-3.8807197969785087E-2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9186.7800000000007</v>
      </c>
      <c r="F213" s="8">
        <f>IFERROR(E213/E444, "NA")</f>
        <v>4.5785043666032997E-2</v>
      </c>
      <c r="G213" s="9"/>
      <c r="H213" s="10">
        <f t="shared" ref="H213:H227" si="56">IFERROR(-(B213-E213), "NA")</f>
        <v>9186.7800000000007</v>
      </c>
      <c r="I213" s="8">
        <f>IFERROR(H213/H444, "NA")</f>
        <v>0.36571984082625125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46116.31</v>
      </c>
      <c r="U213" s="8">
        <f>IFERROR(T213/T444, "NA")</f>
        <v>4.6136543181012034E-2</v>
      </c>
      <c r="V213" s="9"/>
      <c r="W213" s="10">
        <f t="shared" ref="W213:W227" si="58">IFERROR(-(Q213-T213), "NA")</f>
        <v>46116.31</v>
      </c>
      <c r="X213" s="8">
        <f>IFERROR(W213/W444, "NA")</f>
        <v>0.38959836139322096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6795.72</v>
      </c>
      <c r="C214" s="8">
        <f>IFERROR(B214/B444, "NA")</f>
        <v>3.010019579221257E-2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-6795.72</v>
      </c>
      <c r="I214" s="8">
        <f>IFERROR(H214/H444, "NA")</f>
        <v>-0.2705332702753056</v>
      </c>
      <c r="J214" s="9"/>
      <c r="K214" s="7">
        <v>1130.99</v>
      </c>
      <c r="L214" s="8">
        <f>IFERROR(K214/K444, "NA")</f>
        <v>6.313019112262213E-3</v>
      </c>
      <c r="M214" s="9"/>
      <c r="N214" s="10">
        <f t="shared" si="57"/>
        <v>-5664.7300000000005</v>
      </c>
      <c r="O214" s="8">
        <f>IFERROR(N214/N444, "NA")</f>
        <v>-0.12151389721901176</v>
      </c>
      <c r="P214" s="9"/>
      <c r="Q214" s="7">
        <v>29123.35</v>
      </c>
      <c r="R214" s="8">
        <f>IFERROR(Q214/Q444, "NA")</f>
        <v>2.6051132168078812E-2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-29123.35</v>
      </c>
      <c r="X214" s="8">
        <f>IFERROR(W214/W444, "NA")</f>
        <v>-0.24603897055686505</v>
      </c>
      <c r="Y214" s="9"/>
      <c r="Z214" s="7">
        <v>4645.99</v>
      </c>
      <c r="AA214" s="8">
        <f>IFERROR(Z214/Z444, "NA")</f>
        <v>5.1661316884494754E-3</v>
      </c>
      <c r="AB214" s="9"/>
      <c r="AC214" s="10">
        <f t="shared" si="59"/>
        <v>-24477.360000000001</v>
      </c>
      <c r="AD214" s="8">
        <f>IFERROR(AC214/AC444, "NA")</f>
        <v>-0.11196646718353971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IFERROR(B215/B444, "NA")</f>
        <v>0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0</v>
      </c>
      <c r="I215" s="8">
        <f>IFERROR(H215/H444, "NA")</f>
        <v>0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0</v>
      </c>
      <c r="O215" s="8">
        <f>IFERROR(N215/N444, "NA")</f>
        <v>0</v>
      </c>
      <c r="P215" s="9"/>
      <c r="Q215" s="7">
        <v>0</v>
      </c>
      <c r="R215" s="8">
        <f>IFERROR(Q215/Q444, "NA")</f>
        <v>0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0</v>
      </c>
      <c r="X215" s="8">
        <f>IFERROR(W215/W444, "NA")</f>
        <v>0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0</v>
      </c>
      <c r="AD215" s="8">
        <f>IFERROR(AC215/AC444, "NA")</f>
        <v>0</v>
      </c>
    </row>
    <row r="216" spans="1:30" ht="16.5" customHeight="1" x14ac:dyDescent="0.45">
      <c r="A216" s="12" t="s">
        <v>196</v>
      </c>
      <c r="B216" s="7">
        <v>110</v>
      </c>
      <c r="C216" s="8">
        <f>IFERROR(B216/B444, "NA")</f>
        <v>4.8722159493672231E-4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-110</v>
      </c>
      <c r="I216" s="8">
        <f>IFERROR(H216/H444, "NA")</f>
        <v>-4.3790297025603784E-3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-110</v>
      </c>
      <c r="O216" s="8">
        <f>IFERROR(N216/N444, "NA")</f>
        <v>-2.3596056112279479E-3</v>
      </c>
      <c r="P216" s="9"/>
      <c r="Q216" s="7">
        <v>500.89</v>
      </c>
      <c r="R216" s="8">
        <f>IFERROR(Q216/Q444, "NA")</f>
        <v>4.4805118888002228E-4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-500.89</v>
      </c>
      <c r="X216" s="8">
        <f>IFERROR(W216/W444, "NA")</f>
        <v>-4.231603162487425E-3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-500.89</v>
      </c>
      <c r="AD216" s="8">
        <f>IFERROR(AC216/AC444, "NA")</f>
        <v>-2.2912145651149962E-3</v>
      </c>
    </row>
    <row r="217" spans="1:30" ht="16.5" customHeight="1" x14ac:dyDescent="0.45">
      <c r="A217" s="12" t="s">
        <v>197</v>
      </c>
      <c r="B217" s="7">
        <v>2762.85</v>
      </c>
      <c r="C217" s="8">
        <f>IFERROR(B217/B444, "NA")</f>
        <v>1.2237456214281121E-2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-2762.85</v>
      </c>
      <c r="I217" s="8">
        <f>IFERROR(H217/H444, "NA")</f>
        <v>-0.10998729285199038</v>
      </c>
      <c r="J217" s="9"/>
      <c r="K217" s="7">
        <v>413.5</v>
      </c>
      <c r="L217" s="8">
        <f>IFERROR(K217/K444, "NA")</f>
        <v>2.3080959185496114E-3</v>
      </c>
      <c r="M217" s="9"/>
      <c r="N217" s="10">
        <f t="shared" si="57"/>
        <v>-2349.35</v>
      </c>
      <c r="O217" s="8">
        <f>IFERROR(N217/N444, "NA")</f>
        <v>-5.0395813115803441E-2</v>
      </c>
      <c r="P217" s="9"/>
      <c r="Q217" s="7">
        <v>26339.74</v>
      </c>
      <c r="R217" s="8">
        <f>IFERROR(Q217/Q444, "NA")</f>
        <v>2.356116477029024E-2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-26339.74</v>
      </c>
      <c r="X217" s="8">
        <f>IFERROR(W217/W444, "NA")</f>
        <v>-0.22252256400226902</v>
      </c>
      <c r="Y217" s="9"/>
      <c r="Z217" s="7">
        <v>2061.06</v>
      </c>
      <c r="AA217" s="8">
        <f>IFERROR(Z217/Z444, "NA")</f>
        <v>2.2918059181779721E-3</v>
      </c>
      <c r="AB217" s="9"/>
      <c r="AC217" s="10">
        <f t="shared" si="59"/>
        <v>-24278.68</v>
      </c>
      <c r="AD217" s="8">
        <f>IFERROR(AC217/AC444, "NA")</f>
        <v>-0.11105764786233736</v>
      </c>
    </row>
    <row r="218" spans="1:30" ht="16.5" customHeight="1" x14ac:dyDescent="0.45">
      <c r="A218" s="13" t="s">
        <v>198</v>
      </c>
      <c r="B218" s="14">
        <f>IFERROR(B213+B214+B215+B216+B217, "NA")</f>
        <v>9668.57</v>
      </c>
      <c r="C218" s="15">
        <f>IFERROR(B218/B444, "NA")</f>
        <v>4.2824873601430412E-2</v>
      </c>
      <c r="D218" s="2"/>
      <c r="E218" s="14">
        <f>IFERROR(E213+E214+E215+E216+E217, "NA")</f>
        <v>9186.7800000000007</v>
      </c>
      <c r="F218" s="15">
        <f>IFERROR(E218/E444, "NA")</f>
        <v>4.5785043666032997E-2</v>
      </c>
      <c r="G218" s="2"/>
      <c r="H218" s="14">
        <f t="shared" si="56"/>
        <v>-481.78999999999905</v>
      </c>
      <c r="I218" s="15">
        <f>IFERROR(H218/H444, "NA")</f>
        <v>-1.9179752003605097E-2</v>
      </c>
      <c r="J218" s="2"/>
      <c r="K218" s="14">
        <f>IFERROR(K213+K214+K215+K216+K217, "NA")</f>
        <v>1544.49</v>
      </c>
      <c r="L218" s="15">
        <f>IFERROR(K218/K444, "NA")</f>
        <v>8.621115030811824E-3</v>
      </c>
      <c r="M218" s="2"/>
      <c r="N218" s="14">
        <f t="shared" si="57"/>
        <v>-8124.08</v>
      </c>
      <c r="O218" s="15">
        <f>IFERROR(N218/N444, "NA")</f>
        <v>-0.17426931594604314</v>
      </c>
      <c r="P218" s="2"/>
      <c r="Q218" s="14">
        <f>IFERROR(Q213+Q214+Q215+Q216+Q217, "NA")</f>
        <v>55963.979999999996</v>
      </c>
      <c r="R218" s="15">
        <f>IFERROR(Q218/Q444, "NA")</f>
        <v>5.006034812724907E-2</v>
      </c>
      <c r="S218" s="2"/>
      <c r="T218" s="14">
        <f>IFERROR(T213+T214+T215+T216+T217, "NA")</f>
        <v>46116.31</v>
      </c>
      <c r="U218" s="15">
        <f>IFERROR(T218/T444, "NA")</f>
        <v>4.6136543181012034E-2</v>
      </c>
      <c r="V218" s="2"/>
      <c r="W218" s="14">
        <f t="shared" si="58"/>
        <v>-9847.6699999999983</v>
      </c>
      <c r="X218" s="15">
        <f>IFERROR(W218/W444, "NA")</f>
        <v>-8.3194776328400513E-2</v>
      </c>
      <c r="Y218" s="2"/>
      <c r="Z218" s="14">
        <f>IFERROR(Z213+Z214+Z215+Z216+Z217, "NA")</f>
        <v>6707.0499999999993</v>
      </c>
      <c r="AA218" s="15">
        <f>IFERROR(Z218/Z444, "NA")</f>
        <v>7.4579376066274466E-3</v>
      </c>
      <c r="AB218" s="2"/>
      <c r="AC218" s="14">
        <f t="shared" si="59"/>
        <v>-49256.929999999993</v>
      </c>
      <c r="AD218" s="15">
        <f>IFERROR(AC218/AC444, "NA")</f>
        <v>-0.22531532961099204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517.80999999999995</v>
      </c>
      <c r="C222" s="8">
        <f>IFERROR(B222/B444, "NA")</f>
        <v>2.2935292188562195E-3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-517.80999999999995</v>
      </c>
      <c r="I222" s="8">
        <f>IFERROR(H222/H444, "NA")</f>
        <v>-2.0613685184388993E-2</v>
      </c>
      <c r="J222" s="9"/>
      <c r="K222" s="7">
        <v>87.5</v>
      </c>
      <c r="L222" s="8">
        <f>IFERROR(K222/K444, "NA")</f>
        <v>4.8841207466285611E-4</v>
      </c>
      <c r="M222" s="9"/>
      <c r="N222" s="10">
        <f t="shared" si="57"/>
        <v>-430.30999999999995</v>
      </c>
      <c r="O222" s="8">
        <f>IFERROR(N222/N444, "NA")</f>
        <v>-9.2305626415227094E-3</v>
      </c>
      <c r="P222" s="9"/>
      <c r="Q222" s="7">
        <v>1959.11</v>
      </c>
      <c r="R222" s="8">
        <f>IFERROR(Q222/Q444, "NA")</f>
        <v>1.752443779366209E-3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-1959.11</v>
      </c>
      <c r="X222" s="8">
        <f>IFERROR(W222/W444, "NA")</f>
        <v>-1.6550891556351172E-2</v>
      </c>
      <c r="Y222" s="9"/>
      <c r="Z222" s="7">
        <v>725</v>
      </c>
      <c r="AA222" s="8">
        <f>IFERROR(Z222/Z444, "NA")</f>
        <v>8.0616735596199512E-4</v>
      </c>
      <c r="AB222" s="9"/>
      <c r="AC222" s="10">
        <f t="shared" si="59"/>
        <v>-1234.1099999999999</v>
      </c>
      <c r="AD222" s="8">
        <f>IFERROR(AC222/AC444, "NA")</f>
        <v>-5.6451732056021636E-3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200.65</v>
      </c>
      <c r="F226" s="8">
        <f>IFERROR(E226/E444, "NA")</f>
        <v>9.9999880388879688E-4</v>
      </c>
      <c r="G226" s="9"/>
      <c r="H226" s="10">
        <f t="shared" si="56"/>
        <v>200.65</v>
      </c>
      <c r="I226" s="8">
        <f>IFERROR(H226/H444, "NA")</f>
        <v>7.9877482710794551E-3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999.57</v>
      </c>
      <c r="U226" s="8">
        <f>IFERROR(T226/T444, "NA")</f>
        <v>1.0000085537512477E-3</v>
      </c>
      <c r="V226" s="9"/>
      <c r="W226" s="10">
        <f t="shared" si="58"/>
        <v>999.57</v>
      </c>
      <c r="X226" s="8">
        <f>IFERROR(W226/W444, "NA")</f>
        <v>8.4445358724022351E-3</v>
      </c>
      <c r="Y226" s="9"/>
      <c r="Z226" s="7">
        <v>1067.28</v>
      </c>
      <c r="AA226" s="8">
        <f>IFERROR(Z226/Z444, "NA")</f>
        <v>1.186767304373956E-3</v>
      </c>
      <c r="AB226" s="9"/>
      <c r="AC226" s="10">
        <f t="shared" si="59"/>
        <v>1067.28</v>
      </c>
      <c r="AD226" s="8">
        <f>IFERROR(AC226/AC444, "NA")</f>
        <v>4.8820449221504388E-3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10186.379999999999</v>
      </c>
      <c r="C227" s="15">
        <f>IFERROR(B227/B444, "NA")</f>
        <v>4.5118402820286632E-2</v>
      </c>
      <c r="D227" s="2"/>
      <c r="E227" s="14">
        <f>IFERROR(E211+E213+E214+E215+E216+E217+E219+E220+E221+E222+E223+E224+E225+E226, "NA")</f>
        <v>9387.43</v>
      </c>
      <c r="F227" s="15">
        <f>IFERROR(E227/E444, "NA")</f>
        <v>4.6785042469921795E-2</v>
      </c>
      <c r="G227" s="2"/>
      <c r="H227" s="14">
        <f t="shared" si="56"/>
        <v>-798.94999999999891</v>
      </c>
      <c r="I227" s="15">
        <f>IFERROR(H227/H444, "NA")</f>
        <v>-3.1805688916914633E-2</v>
      </c>
      <c r="J227" s="2"/>
      <c r="K227" s="14">
        <f>IFERROR(K211+K213+K214+K215+K216+K217+K219+K220+K221+K222+K223+K224+K225+K226, "NA")</f>
        <v>1631.99</v>
      </c>
      <c r="L227" s="15">
        <f>IFERROR(K227/K444, "NA")</f>
        <v>9.1095271054746803E-3</v>
      </c>
      <c r="M227" s="2"/>
      <c r="N227" s="14">
        <f t="shared" si="57"/>
        <v>-8554.39</v>
      </c>
      <c r="O227" s="15">
        <f>IFERROR(N227/N444, "NA")</f>
        <v>-0.18349987858756583</v>
      </c>
      <c r="P227" s="2"/>
      <c r="Q227" s="14">
        <f>IFERROR(Q211+Q213+Q214+Q215+Q216+Q217+Q219+Q220+Q221+Q222+Q223+Q224+Q225+Q226, "NA")</f>
        <v>57923.09</v>
      </c>
      <c r="R227" s="15">
        <f>IFERROR(Q227/Q444, "NA")</f>
        <v>5.181279190661528E-2</v>
      </c>
      <c r="S227" s="2"/>
      <c r="T227" s="14">
        <f>IFERROR(T211+T213+T214+T215+T216+T217+T219+T220+T221+T222+T223+T224+T225+T226, "NA")</f>
        <v>47115.88</v>
      </c>
      <c r="U227" s="15">
        <f>IFERROR(T227/T444, "NA")</f>
        <v>4.7136551734763277E-2</v>
      </c>
      <c r="V227" s="2"/>
      <c r="W227" s="14">
        <f t="shared" si="58"/>
        <v>-10807.21</v>
      </c>
      <c r="X227" s="15">
        <f>IFERROR(W227/W444, "NA")</f>
        <v>-9.1301132012349448E-2</v>
      </c>
      <c r="Y227" s="2"/>
      <c r="Z227" s="14">
        <f>IFERROR(Z211+Z213+Z214+Z215+Z216+Z217+Z219+Z220+Z221+Z222+Z223+Z224+Z225+Z226, "NA")</f>
        <v>8499.33</v>
      </c>
      <c r="AA227" s="15">
        <f>IFERROR(Z227/Z444, "NA")</f>
        <v>9.4508722669633984E-3</v>
      </c>
      <c r="AB227" s="2"/>
      <c r="AC227" s="14">
        <f t="shared" si="59"/>
        <v>-49423.759999999995</v>
      </c>
      <c r="AD227" s="15">
        <f>IFERROR(AC227/AC444, "NA")</f>
        <v>-0.22607845789444375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5969.34</v>
      </c>
      <c r="F229" s="8">
        <f>IFERROR(E229/E444, "NA")</f>
        <v>2.9749976875183406E-2</v>
      </c>
      <c r="G229" s="9"/>
      <c r="H229" s="10">
        <f t="shared" ref="H229:H236" si="60">IFERROR(-(B229-E229), "NA")</f>
        <v>5969.34</v>
      </c>
      <c r="I229" s="8">
        <f>IFERROR(H229/H444, "NA")</f>
        <v>0.23763561058801611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29736.95</v>
      </c>
      <c r="U229" s="8">
        <f>IFERROR(T229/T444, "NA")</f>
        <v>2.9749996861123448E-2</v>
      </c>
      <c r="V229" s="9"/>
      <c r="W229" s="10">
        <f t="shared" ref="W229:W236" si="62">IFERROR(-(Q229-T229), "NA")</f>
        <v>29736.95</v>
      </c>
      <c r="X229" s="8">
        <f>IFERROR(W229/W444, "NA")</f>
        <v>0.25122276680055589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30</v>
      </c>
      <c r="AA230" s="8">
        <f>IFERROR(Z230/Z444, "NA")</f>
        <v>3.335864921222049E-5</v>
      </c>
      <c r="AB230" s="9"/>
      <c r="AC230" s="10">
        <f t="shared" si="63"/>
        <v>30</v>
      </c>
      <c r="AD230" s="8">
        <f>IFERROR(AC230/AC444, "NA")</f>
        <v>1.3722860698646387E-4</v>
      </c>
    </row>
    <row r="231" spans="1:30" ht="16.5" customHeight="1" x14ac:dyDescent="0.45">
      <c r="A231" s="6" t="s">
        <v>210</v>
      </c>
      <c r="B231" s="7">
        <v>343</v>
      </c>
      <c r="C231" s="8">
        <f>IFERROR(B231/B444, "NA")</f>
        <v>1.5192455187572342E-3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-343</v>
      </c>
      <c r="I231" s="8">
        <f>IFERROR(H231/H444, "NA")</f>
        <v>-1.3654610799801908E-2</v>
      </c>
      <c r="J231" s="9"/>
      <c r="K231" s="7">
        <v>542.1</v>
      </c>
      <c r="L231" s="8">
        <f>IFERROR(K231/K444, "NA")</f>
        <v>3.0259221219969636E-3</v>
      </c>
      <c r="M231" s="9"/>
      <c r="N231" s="10">
        <f t="shared" si="61"/>
        <v>199.10000000000002</v>
      </c>
      <c r="O231" s="8">
        <f>IFERROR(N231/N444, "NA")</f>
        <v>4.2708861563225857E-3</v>
      </c>
      <c r="P231" s="9"/>
      <c r="Q231" s="7">
        <v>2346.81</v>
      </c>
      <c r="R231" s="8">
        <f>IFERROR(Q231/Q444, "NA")</f>
        <v>2.0992453644024141E-3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-2346.81</v>
      </c>
      <c r="X231" s="8">
        <f>IFERROR(W231/W444, "NA")</f>
        <v>-1.9826246516714476E-2</v>
      </c>
      <c r="Y231" s="9"/>
      <c r="Z231" s="7">
        <v>2401.59</v>
      </c>
      <c r="AA231" s="8">
        <f>IFERROR(Z231/Z444, "NA")</f>
        <v>2.6704599453858868E-3</v>
      </c>
      <c r="AB231" s="9"/>
      <c r="AC231" s="10">
        <f t="shared" si="63"/>
        <v>54.7800000000002</v>
      </c>
      <c r="AD231" s="8">
        <f>IFERROR(AC231/AC444, "NA")</f>
        <v>2.5057943635728393E-4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17</v>
      </c>
      <c r="AA233" s="8">
        <f>IFERROR(Z233/Z444, "NA")</f>
        <v>1.8903234553591608E-5</v>
      </c>
      <c r="AB233" s="9"/>
      <c r="AC233" s="10">
        <f t="shared" si="63"/>
        <v>17</v>
      </c>
      <c r="AD233" s="8">
        <f>IFERROR(AC233/AC444, "NA")</f>
        <v>7.7762877292329526E-5</v>
      </c>
    </row>
    <row r="234" spans="1:30" ht="16.5" customHeight="1" x14ac:dyDescent="0.45">
      <c r="A234" s="6" t="s">
        <v>213</v>
      </c>
      <c r="B234" s="7">
        <v>3455.49</v>
      </c>
      <c r="C234" s="8">
        <f>IFERROR(B234/B444, "NA")</f>
        <v>1.530535771898086E-2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-3455.49</v>
      </c>
      <c r="I234" s="8">
        <f>IFERROR(H234/H444, "NA")</f>
        <v>-0.1375608486081851</v>
      </c>
      <c r="J234" s="9"/>
      <c r="K234" s="7">
        <v>3760.41</v>
      </c>
      <c r="L234" s="8">
        <f>IFERROR(K234/K444, "NA")</f>
        <v>2.0990053139233723E-2</v>
      </c>
      <c r="M234" s="9"/>
      <c r="N234" s="10">
        <f t="shared" si="61"/>
        <v>304.92000000000007</v>
      </c>
      <c r="O234" s="8">
        <f>IFERROR(N234/N444, "NA")</f>
        <v>6.5408267543238729E-3</v>
      </c>
      <c r="P234" s="9"/>
      <c r="Q234" s="7">
        <v>21999.3</v>
      </c>
      <c r="R234" s="8">
        <f>IFERROR(Q234/Q444, "NA")</f>
        <v>1.9678597136154195E-2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-21999.3</v>
      </c>
      <c r="X234" s="8">
        <f>IFERROR(W234/W444, "NA")</f>
        <v>-0.18585379514965281</v>
      </c>
      <c r="Y234" s="9"/>
      <c r="Z234" s="7">
        <v>23359.65</v>
      </c>
      <c r="AA234" s="8">
        <f>IFERROR(Z234/Z444, "NA")</f>
        <v>2.5974879002341546E-2</v>
      </c>
      <c r="AB234" s="9"/>
      <c r="AC234" s="10">
        <f t="shared" si="63"/>
        <v>1360.3500000000022</v>
      </c>
      <c r="AD234" s="8">
        <f>IFERROR(AC234/AC444, "NA")</f>
        <v>6.222631183801214E-3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3798.49</v>
      </c>
      <c r="C236" s="15">
        <f>IFERROR(B236/B444, "NA")</f>
        <v>1.6824603237738094E-2</v>
      </c>
      <c r="D236" s="2"/>
      <c r="E236" s="14">
        <f>IFERROR(E229+E230+E231+E232+E233+E234+E235, "NA")</f>
        <v>5969.34</v>
      </c>
      <c r="F236" s="15">
        <f>IFERROR(E236/E444, "NA")</f>
        <v>2.9749976875183406E-2</v>
      </c>
      <c r="G236" s="2"/>
      <c r="H236" s="14">
        <f t="shared" si="60"/>
        <v>2170.8500000000004</v>
      </c>
      <c r="I236" s="15">
        <f>IFERROR(H236/H444, "NA")</f>
        <v>8.6420151180029089E-2</v>
      </c>
      <c r="J236" s="2"/>
      <c r="K236" s="14">
        <f>IFERROR(K229+K230+K231+K232+K233+K234+K235, "NA")</f>
        <v>4302.51</v>
      </c>
      <c r="L236" s="15">
        <f>IFERROR(K236/K444, "NA")</f>
        <v>2.4015975261230688E-2</v>
      </c>
      <c r="M236" s="2"/>
      <c r="N236" s="14">
        <f t="shared" si="61"/>
        <v>504.02000000000044</v>
      </c>
      <c r="O236" s="15">
        <f>IFERROR(N236/N444, "NA")</f>
        <v>1.0811712910646466E-2</v>
      </c>
      <c r="P236" s="2"/>
      <c r="Q236" s="14">
        <f>IFERROR(Q229+Q230+Q231+Q232+Q233+Q234+Q235, "NA")</f>
        <v>24346.11</v>
      </c>
      <c r="R236" s="15">
        <f>IFERROR(Q236/Q444, "NA")</f>
        <v>2.1777842500556609E-2</v>
      </c>
      <c r="S236" s="2"/>
      <c r="T236" s="14">
        <f>IFERROR(T229+T230+T231+T232+T233+T234+T235, "NA")</f>
        <v>29736.95</v>
      </c>
      <c r="U236" s="15">
        <f>IFERROR(T236/T444, "NA")</f>
        <v>2.9749996861123448E-2</v>
      </c>
      <c r="V236" s="2"/>
      <c r="W236" s="14">
        <f t="shared" si="62"/>
        <v>5390.84</v>
      </c>
      <c r="X236" s="15">
        <f>IFERROR(W236/W444, "NA")</f>
        <v>4.5542725134188562E-2</v>
      </c>
      <c r="Y236" s="2"/>
      <c r="Z236" s="14">
        <f>IFERROR(Z229+Z230+Z231+Z232+Z233+Z234+Z235, "NA")</f>
        <v>25808.240000000002</v>
      </c>
      <c r="AA236" s="15">
        <f>IFERROR(Z236/Z444, "NA")</f>
        <v>2.8697600831493246E-2</v>
      </c>
      <c r="AB236" s="2"/>
      <c r="AC236" s="14">
        <f t="shared" si="63"/>
        <v>1462.130000000001</v>
      </c>
      <c r="AD236" s="15">
        <f>IFERROR(AC236/AC444, "NA")</f>
        <v>6.6882021044372851E-3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18313.349999999999</v>
      </c>
      <c r="F240" s="8">
        <f>IFERROR(E240/E444, "NA")</f>
        <v>9.1270012933949138E-2</v>
      </c>
      <c r="G240" s="9"/>
      <c r="H240" s="10">
        <f t="shared" ref="H240:H263" si="64">IFERROR(-(B240-E240), "NA")</f>
        <v>18313.349999999999</v>
      </c>
      <c r="I240" s="8">
        <f>IFERROR(H240/H444, "NA")</f>
        <v>0.72904276003076462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92082.42</v>
      </c>
      <c r="U240" s="8">
        <f>IFERROR(T240/T444, "NA")</f>
        <v>9.2122820462914007E-2</v>
      </c>
      <c r="V240" s="9"/>
      <c r="W240" s="10">
        <f t="shared" ref="W240:W263" si="66">IFERROR(-(Q240-T240), "NA")</f>
        <v>92082.42</v>
      </c>
      <c r="X240" s="8">
        <f>IFERROR(W240/W444, "NA")</f>
        <v>0.77792780786499083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4361.58</v>
      </c>
      <c r="C242" s="8">
        <f>IFERROR(B242/B444, "NA")</f>
        <v>1.9318690582219175E-2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-4361.58</v>
      </c>
      <c r="I242" s="8">
        <f>IFERROR(H242/H444, "NA")</f>
        <v>-0.17363171245539361</v>
      </c>
      <c r="J242" s="9"/>
      <c r="K242" s="7">
        <v>2670.35</v>
      </c>
      <c r="L242" s="8">
        <f>IFERROR(K242/K444, "NA")</f>
        <v>1.4905499240868089E-2</v>
      </c>
      <c r="M242" s="9"/>
      <c r="N242" s="10">
        <f t="shared" si="65"/>
        <v>-1691.23</v>
      </c>
      <c r="O242" s="8">
        <f>IFERROR(N242/N444, "NA")</f>
        <v>-3.6278507253427655E-2</v>
      </c>
      <c r="P242" s="9"/>
      <c r="Q242" s="7">
        <v>16645.78</v>
      </c>
      <c r="R242" s="8">
        <f>IFERROR(Q242/Q444, "NA")</f>
        <v>1.4889819159566565E-2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-16645.78</v>
      </c>
      <c r="X242" s="8">
        <f>IFERROR(W242/W444, "NA")</f>
        <v>-0.14062635566705248</v>
      </c>
      <c r="Y242" s="9"/>
      <c r="Z242" s="7">
        <v>11872.29</v>
      </c>
      <c r="AA242" s="8">
        <f>IFERROR(Z242/Z444, "NA")</f>
        <v>1.3201451915191774E-2</v>
      </c>
      <c r="AB242" s="9"/>
      <c r="AC242" s="10">
        <f t="shared" si="67"/>
        <v>-4773.489999999998</v>
      </c>
      <c r="AD242" s="8">
        <f>IFERROR(AC242/AC444, "NA")</f>
        <v>-2.183531277212717E-2</v>
      </c>
    </row>
    <row r="243" spans="1:30" ht="16.5" customHeight="1" x14ac:dyDescent="0.45">
      <c r="A243" s="12" t="s">
        <v>220</v>
      </c>
      <c r="B243" s="7">
        <v>6042.97</v>
      </c>
      <c r="C243" s="8">
        <f>IFERROR(B243/B444, "NA")</f>
        <v>2.6766049832316046E-2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-6042.97</v>
      </c>
      <c r="I243" s="8">
        <f>IFERROR(H243/H444, "NA")</f>
        <v>-0.24056677383346631</v>
      </c>
      <c r="J243" s="9"/>
      <c r="K243" s="7">
        <v>6822.37</v>
      </c>
      <c r="L243" s="8">
        <f>IFERROR(K243/K444, "NA")</f>
        <v>3.8081461552201483E-2</v>
      </c>
      <c r="M243" s="9"/>
      <c r="N243" s="10">
        <f t="shared" si="65"/>
        <v>779.39999999999964</v>
      </c>
      <c r="O243" s="8">
        <f>IFERROR(N243/N444, "NA")</f>
        <v>1.6718878303555104E-2</v>
      </c>
      <c r="P243" s="9"/>
      <c r="Q243" s="7">
        <v>40123.089999999997</v>
      </c>
      <c r="R243" s="8">
        <f>IFERROR(Q243/Q444, "NA")</f>
        <v>3.5890511242069378E-2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-40123.089999999997</v>
      </c>
      <c r="X243" s="8">
        <f>IFERROR(W243/W444, "NA")</f>
        <v>-0.33896662846686409</v>
      </c>
      <c r="Y243" s="9"/>
      <c r="Z243" s="7">
        <v>40487.980000000003</v>
      </c>
      <c r="AA243" s="8">
        <f>IFERROR(Z243/Z444, "NA")</f>
        <v>4.5020810737713302E-2</v>
      </c>
      <c r="AB243" s="9"/>
      <c r="AC243" s="10">
        <f t="shared" si="67"/>
        <v>364.89000000000669</v>
      </c>
      <c r="AD243" s="8">
        <f>IFERROR(AC243/AC444, "NA")</f>
        <v>1.6691115467763907E-3</v>
      </c>
    </row>
    <row r="244" spans="1:30" ht="16.5" customHeight="1" x14ac:dyDescent="0.45">
      <c r="A244" s="12" t="s">
        <v>221</v>
      </c>
      <c r="B244" s="7">
        <v>0</v>
      </c>
      <c r="C244" s="8">
        <f>IFERROR(B244/B444, "NA")</f>
        <v>0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0</v>
      </c>
      <c r="I244" s="8">
        <f>IFERROR(H244/H444, "NA")</f>
        <v>0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0</v>
      </c>
      <c r="O244" s="8">
        <f>IFERROR(N244/N444, "NA")</f>
        <v>0</v>
      </c>
      <c r="P244" s="9"/>
      <c r="Q244" s="7">
        <v>590</v>
      </c>
      <c r="R244" s="8">
        <f>IFERROR(Q244/Q444, "NA")</f>
        <v>5.2776098831921808E-4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-590</v>
      </c>
      <c r="X244" s="8">
        <f>IFERROR(W244/W444, "NA")</f>
        <v>-4.9844194650873058E-3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-590</v>
      </c>
      <c r="AD244" s="8">
        <f>IFERROR(AC244/AC444, "NA")</f>
        <v>-2.6988292707337894E-3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640.53</v>
      </c>
      <c r="C246" s="8">
        <f>IFERROR(B246/B444, "NA")</f>
        <v>2.837091347316534E-3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-640.53</v>
      </c>
      <c r="I246" s="8">
        <f>IFERROR(H246/H444, "NA")</f>
        <v>-2.5499089958009084E-2</v>
      </c>
      <c r="J246" s="9"/>
      <c r="K246" s="7">
        <v>0</v>
      </c>
      <c r="L246" s="8">
        <f>IFERROR(K246/K444, "NA")</f>
        <v>0</v>
      </c>
      <c r="M246" s="9"/>
      <c r="N246" s="10">
        <f t="shared" si="65"/>
        <v>-640.53</v>
      </c>
      <c r="O246" s="8">
        <f>IFERROR(N246/N444, "NA")</f>
        <v>-1.373998347418034E-2</v>
      </c>
      <c r="P246" s="9"/>
      <c r="Q246" s="7">
        <v>4178.13</v>
      </c>
      <c r="R246" s="8">
        <f>IFERROR(Q246/Q444, "NA")</f>
        <v>3.737379691739279E-3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-4178.13</v>
      </c>
      <c r="X246" s="8">
        <f>IFERROR(W246/W444, "NA")</f>
        <v>-3.5297546609602076E-2</v>
      </c>
      <c r="Y246" s="9"/>
      <c r="Z246" s="7">
        <v>0</v>
      </c>
      <c r="AA246" s="8">
        <f>IFERROR(Z246/Z444, "NA")</f>
        <v>0</v>
      </c>
      <c r="AB246" s="9"/>
      <c r="AC246" s="10">
        <f t="shared" si="67"/>
        <v>-4178.13</v>
      </c>
      <c r="AD246" s="8">
        <f>IFERROR(AC246/AC444, "NA")</f>
        <v>-1.9111965323611809E-2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8.94</v>
      </c>
      <c r="AA247" s="8">
        <f>IFERROR(Z247/Z444, "NA")</f>
        <v>9.940877465241705E-6</v>
      </c>
      <c r="AB247" s="9"/>
      <c r="AC247" s="10">
        <f t="shared" si="67"/>
        <v>8.94</v>
      </c>
      <c r="AD247" s="8">
        <f>IFERROR(AC247/AC444, "NA")</f>
        <v>4.089412488196623E-5</v>
      </c>
    </row>
    <row r="248" spans="1:30" ht="16.5" customHeight="1" x14ac:dyDescent="0.45">
      <c r="A248" s="12" t="s">
        <v>225</v>
      </c>
      <c r="B248" s="7">
        <v>202.94</v>
      </c>
      <c r="C248" s="8">
        <f>IFERROR(B248/B444, "NA")</f>
        <v>8.9887954978598572E-4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-202.94</v>
      </c>
      <c r="I248" s="8">
        <f>IFERROR(H248/H444, "NA")</f>
        <v>-8.0789117076145757E-3</v>
      </c>
      <c r="J248" s="9"/>
      <c r="K248" s="7">
        <v>162.63</v>
      </c>
      <c r="L248" s="8">
        <f>IFERROR(K248/K444, "NA")</f>
        <v>9.0777663659908899E-4</v>
      </c>
      <c r="M248" s="9"/>
      <c r="N248" s="10">
        <f t="shared" si="65"/>
        <v>-40.31</v>
      </c>
      <c r="O248" s="8">
        <f>IFERROR(N248/N444, "NA")</f>
        <v>-8.6468820171453251E-4</v>
      </c>
      <c r="P248" s="9"/>
      <c r="Q248" s="7">
        <v>1179.3399999999999</v>
      </c>
      <c r="R248" s="8">
        <f>IFERROR(Q248/Q444, "NA")</f>
        <v>1.0549315999396384E-3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-1179.3399999999999</v>
      </c>
      <c r="X248" s="8">
        <f>IFERROR(W248/W444, "NA")</f>
        <v>-9.9632631389085808E-3</v>
      </c>
      <c r="Y248" s="9"/>
      <c r="Z248" s="7">
        <v>1127.97</v>
      </c>
      <c r="AA248" s="8">
        <f>IFERROR(Z248/Z444, "NA")</f>
        <v>1.2542518517302782E-3</v>
      </c>
      <c r="AB248" s="9"/>
      <c r="AC248" s="10">
        <f t="shared" si="67"/>
        <v>-51.369999999999891</v>
      </c>
      <c r="AD248" s="8">
        <f>IFERROR(AC248/AC444, "NA")</f>
        <v>-2.3498111802982115E-4</v>
      </c>
    </row>
    <row r="249" spans="1:30" ht="16.5" customHeight="1" x14ac:dyDescent="0.45">
      <c r="A249" s="12" t="s">
        <v>226</v>
      </c>
      <c r="B249" s="7">
        <v>3259.3</v>
      </c>
      <c r="C249" s="8">
        <f>IFERROR(B249/B444, "NA")</f>
        <v>1.4436375857975083E-2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-3259.3</v>
      </c>
      <c r="I249" s="8">
        <f>IFERROR(H249/H444, "NA")</f>
        <v>-0.12975065008686404</v>
      </c>
      <c r="J249" s="9"/>
      <c r="K249" s="7">
        <v>3462.65</v>
      </c>
      <c r="L249" s="8">
        <f>IFERROR(K249/K444, "NA")</f>
        <v>1.932800080378673E-2</v>
      </c>
      <c r="M249" s="9"/>
      <c r="N249" s="10">
        <f t="shared" si="65"/>
        <v>203.34999999999991</v>
      </c>
      <c r="O249" s="8">
        <f>IFERROR(N249/N444, "NA")</f>
        <v>4.3620527367563902E-3</v>
      </c>
      <c r="P249" s="9"/>
      <c r="Q249" s="7">
        <v>21456.35</v>
      </c>
      <c r="R249" s="8">
        <f>IFERROR(Q249/Q444, "NA")</f>
        <v>1.9192922850378057E-2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-21456.35</v>
      </c>
      <c r="X249" s="8">
        <f>IFERROR(W249/W444, "NA")</f>
        <v>-0.18126686201648476</v>
      </c>
      <c r="Y249" s="9"/>
      <c r="Z249" s="7">
        <v>17486.419999999998</v>
      </c>
      <c r="AA249" s="8">
        <f>IFERROR(Z249/Z444, "NA")</f>
        <v>1.944411169191855E-2</v>
      </c>
      <c r="AB249" s="9"/>
      <c r="AC249" s="10">
        <f t="shared" si="67"/>
        <v>-3969.9300000000003</v>
      </c>
      <c r="AD249" s="8">
        <f>IFERROR(AC249/AC444, "NA")</f>
        <v>-1.8159598791125751E-2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97.08</v>
      </c>
      <c r="L252" s="8">
        <f>IFERROR(K252/K444, "NA")</f>
        <v>5.4188621952308655E-4</v>
      </c>
      <c r="M252" s="9"/>
      <c r="N252" s="10">
        <f t="shared" si="65"/>
        <v>97.08</v>
      </c>
      <c r="O252" s="8">
        <f>IFERROR(N252/N444, "NA")</f>
        <v>2.0824592067091741E-3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252.83</v>
      </c>
      <c r="AA252" s="8">
        <f>IFERROR(Z252/Z444, "NA")</f>
        <v>2.8113557601085686E-4</v>
      </c>
      <c r="AB252" s="9"/>
      <c r="AC252" s="10">
        <f t="shared" si="67"/>
        <v>252.83</v>
      </c>
      <c r="AD252" s="8">
        <f>IFERROR(AC252/AC444, "NA")</f>
        <v>1.1565169568129221E-3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customHeight="1" x14ac:dyDescent="0.45">
      <c r="A254" s="12" t="s">
        <v>231</v>
      </c>
      <c r="B254" s="7">
        <v>5016.2</v>
      </c>
      <c r="C254" s="8">
        <f>IFERROR(B254/B444, "NA")</f>
        <v>2.2218190586559876E-2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-5016.2</v>
      </c>
      <c r="I254" s="8">
        <f>IFERROR(H254/H444, "NA")</f>
        <v>-0.19969171630893973</v>
      </c>
      <c r="J254" s="9"/>
      <c r="K254" s="7">
        <v>2113.71</v>
      </c>
      <c r="L254" s="8">
        <f>IFERROR(K254/K444, "NA")</f>
        <v>1.1798416986692864E-2</v>
      </c>
      <c r="M254" s="9"/>
      <c r="N254" s="10">
        <f t="shared" si="65"/>
        <v>-2902.49</v>
      </c>
      <c r="O254" s="8">
        <f>IFERROR(N254/N444, "NA")</f>
        <v>-6.2261197186663689E-2</v>
      </c>
      <c r="P254" s="9"/>
      <c r="Q254" s="7">
        <v>15990.7</v>
      </c>
      <c r="R254" s="8">
        <f>IFERROR(Q254/Q444, "NA")</f>
        <v>1.4303843450705289E-2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-15990.7</v>
      </c>
      <c r="X254" s="8">
        <f>IFERROR(W254/W444, "NA")</f>
        <v>-0.13509212939046031</v>
      </c>
      <c r="Y254" s="9"/>
      <c r="Z254" s="7">
        <v>12739.13</v>
      </c>
      <c r="AA254" s="8">
        <f>IFERROR(Z254/Z444, "NA")</f>
        <v>1.4165338964629145E-2</v>
      </c>
      <c r="AB254" s="9"/>
      <c r="AC254" s="10">
        <f t="shared" si="67"/>
        <v>-3251.5700000000015</v>
      </c>
      <c r="AD254" s="8">
        <f>IFERROR(AC254/AC444, "NA")</f>
        <v>-1.4873614053965884E-2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328.82</v>
      </c>
      <c r="R257" s="8">
        <f>IFERROR(Q257/Q444, "NA")</f>
        <v>2.9413282742224623E-4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-328.82</v>
      </c>
      <c r="X257" s="8">
        <f>IFERROR(W257/W444, "NA")</f>
        <v>-2.7779267940847589E-3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-328.82</v>
      </c>
      <c r="AD257" s="8">
        <f>IFERROR(AC257/AC444, "NA")</f>
        <v>-1.504117018309635E-3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19523.52</v>
      </c>
      <c r="C262" s="15">
        <f>IFERROR(B262/B444, "NA")</f>
        <v>8.6475277756172711E-2</v>
      </c>
      <c r="D262" s="2"/>
      <c r="E262" s="14">
        <f>IFERROR(E240+E241+E242+E243+E244+E245+E246+E247+E248+E249+E250+E251+E252+E253+E254+E255+E256+E257+E258+E259+E260+E261, "NA")</f>
        <v>18313.349999999999</v>
      </c>
      <c r="F262" s="15">
        <f>IFERROR(E262/E444, "NA")</f>
        <v>9.1270012933949138E-2</v>
      </c>
      <c r="G262" s="2"/>
      <c r="H262" s="14">
        <f t="shared" si="64"/>
        <v>-1210.1700000000019</v>
      </c>
      <c r="I262" s="15">
        <f>IFERROR(H262/H444, "NA")</f>
        <v>-4.8176094319522744E-2</v>
      </c>
      <c r="J262" s="2"/>
      <c r="K262" s="14">
        <f>IFERROR(K240+K241+K242+K243+K244+K245+K246+K247+K248+K249+K250+K251+K252+K253+K254+K255+K256+K257+K258+K259+K260+K261, "NA")</f>
        <v>15328.789999999997</v>
      </c>
      <c r="L262" s="15">
        <f>IFERROR(K262/K444, "NA")</f>
        <v>8.556304143967132E-2</v>
      </c>
      <c r="M262" s="2"/>
      <c r="N262" s="14">
        <f t="shared" si="65"/>
        <v>-4194.7300000000032</v>
      </c>
      <c r="O262" s="15">
        <f>IFERROR(N262/N444, "NA")</f>
        <v>-8.9980985868965607E-2</v>
      </c>
      <c r="P262" s="2"/>
      <c r="Q262" s="14">
        <f>IFERROR(Q240+Q241+Q242+Q243+Q244+Q245+Q246+Q247+Q248+Q249+Q250+Q251+Q252+Q253+Q254+Q255+Q256+Q257+Q258+Q259+Q260+Q261, "NA")</f>
        <v>100492.20999999999</v>
      </c>
      <c r="R262" s="15">
        <f>IFERROR(Q262/Q444, "NA")</f>
        <v>8.989130181013967E-2</v>
      </c>
      <c r="S262" s="2"/>
      <c r="T262" s="14">
        <f>IFERROR(T240+T241+T242+T243+T244+T245+T246+T247+T248+T249+T250+T251+T252+T253+T254+T255+T256+T257+T258+T259+T260+T261, "NA")</f>
        <v>92082.42</v>
      </c>
      <c r="U262" s="15">
        <f>IFERROR(T262/T444, "NA")</f>
        <v>9.2122820462914007E-2</v>
      </c>
      <c r="V262" s="2"/>
      <c r="W262" s="14">
        <f t="shared" si="66"/>
        <v>-8409.7899999999936</v>
      </c>
      <c r="X262" s="15">
        <f>IFERROR(W262/W444, "NA")</f>
        <v>-7.1047323683553459E-2</v>
      </c>
      <c r="Y262" s="2"/>
      <c r="Z262" s="14">
        <f>IFERROR(Z240+Z241+Z242+Z243+Z244+Z245+Z246+Z247+Z248+Z249+Z250+Z251+Z252+Z253+Z254+Z255+Z256+Z257+Z258+Z259+Z260+Z261, "NA")</f>
        <v>83975.560000000012</v>
      </c>
      <c r="AA262" s="15">
        <f>IFERROR(Z262/Z444, "NA")</f>
        <v>9.3377041614659151E-2</v>
      </c>
      <c r="AB262" s="2"/>
      <c r="AC262" s="14">
        <f t="shared" si="67"/>
        <v>-16516.64999999998</v>
      </c>
      <c r="AD262" s="15">
        <f>IFERROR(AC262/AC444, "NA")</f>
        <v>-7.5551895719432521E-2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19523.52</v>
      </c>
      <c r="C263" s="15">
        <f>IFERROR(B263/B444, "NA")</f>
        <v>8.6475277756172711E-2</v>
      </c>
      <c r="D263" s="2"/>
      <c r="E263" s="14">
        <f>IFERROR(E238+E240+E241+E242+E243+E244+E245+E246+E247+E248+E249+E250+E251+E252+E253+E254+E255+E256+E257+E258+E259+E260+E261, "NA")</f>
        <v>18313.349999999999</v>
      </c>
      <c r="F263" s="15">
        <f>IFERROR(E263/E444, "NA")</f>
        <v>9.1270012933949138E-2</v>
      </c>
      <c r="G263" s="2"/>
      <c r="H263" s="14">
        <f t="shared" si="64"/>
        <v>-1210.1700000000019</v>
      </c>
      <c r="I263" s="15">
        <f>IFERROR(H263/H444, "NA")</f>
        <v>-4.8176094319522744E-2</v>
      </c>
      <c r="J263" s="2"/>
      <c r="K263" s="14">
        <f>IFERROR(K238+K240+K241+K242+K243+K244+K245+K246+K247+K248+K249+K250+K251+K252+K253+K254+K255+K256+K257+K258+K259+K260+K261, "NA")</f>
        <v>15328.789999999997</v>
      </c>
      <c r="L263" s="15">
        <f>IFERROR(K263/K444, "NA")</f>
        <v>8.556304143967132E-2</v>
      </c>
      <c r="M263" s="2"/>
      <c r="N263" s="14">
        <f t="shared" si="65"/>
        <v>-4194.7300000000032</v>
      </c>
      <c r="O263" s="15">
        <f>IFERROR(N263/N444, "NA")</f>
        <v>-8.9980985868965607E-2</v>
      </c>
      <c r="P263" s="2"/>
      <c r="Q263" s="14">
        <f>IFERROR(Q238+Q240+Q241+Q242+Q243+Q244+Q245+Q246+Q247+Q248+Q249+Q250+Q251+Q252+Q253+Q254+Q255+Q256+Q257+Q258+Q259+Q260+Q261, "NA")</f>
        <v>100492.20999999999</v>
      </c>
      <c r="R263" s="15">
        <f>IFERROR(Q263/Q444, "NA")</f>
        <v>8.989130181013967E-2</v>
      </c>
      <c r="S263" s="2"/>
      <c r="T263" s="14">
        <f>IFERROR(T238+T240+T241+T242+T243+T244+T245+T246+T247+T248+T249+T250+T251+T252+T253+T254+T255+T256+T257+T258+T259+T260+T261, "NA")</f>
        <v>92082.42</v>
      </c>
      <c r="U263" s="15">
        <f>IFERROR(T263/T444, "NA")</f>
        <v>9.2122820462914007E-2</v>
      </c>
      <c r="V263" s="2"/>
      <c r="W263" s="14">
        <f t="shared" si="66"/>
        <v>-8409.7899999999936</v>
      </c>
      <c r="X263" s="15">
        <f>IFERROR(W263/W444, "NA")</f>
        <v>-7.1047323683553459E-2</v>
      </c>
      <c r="Y263" s="2"/>
      <c r="Z263" s="14">
        <f>IFERROR(Z238+Z240+Z241+Z242+Z243+Z244+Z245+Z246+Z247+Z248+Z249+Z250+Z251+Z252+Z253+Z254+Z255+Z256+Z257+Z258+Z259+Z260+Z261, "NA")</f>
        <v>83975.560000000012</v>
      </c>
      <c r="AA263" s="15">
        <f>IFERROR(Z263/Z444, "NA")</f>
        <v>9.3377041614659151E-2</v>
      </c>
      <c r="AB263" s="2"/>
      <c r="AC263" s="14">
        <f t="shared" si="67"/>
        <v>-16516.64999999998</v>
      </c>
      <c r="AD263" s="15">
        <f>IFERROR(AC263/AC444, "NA")</f>
        <v>-7.5551895719432521E-2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5405.04</v>
      </c>
      <c r="C265" s="8">
        <f>IFERROR(B265/B444, "NA")</f>
        <v>2.3940474631788923E-2</v>
      </c>
      <c r="D265" s="9"/>
      <c r="E265" s="7">
        <v>5016.26</v>
      </c>
      <c r="F265" s="8">
        <f>IFERROR(E265/E444, "NA")</f>
        <v>2.5000019935186722E-2</v>
      </c>
      <c r="G265" s="9"/>
      <c r="H265" s="10">
        <f>IFERROR(-(B265-E265), "NA")</f>
        <v>-388.77999999999975</v>
      </c>
      <c r="I265" s="8">
        <f>IFERROR(H265/H444, "NA")</f>
        <v>-1.5477083343285663E-2</v>
      </c>
      <c r="J265" s="9"/>
      <c r="K265" s="7">
        <v>4595.01</v>
      </c>
      <c r="L265" s="8">
        <f>IFERROR(K265/K444, "NA")</f>
        <v>2.5648667053675092E-2</v>
      </c>
      <c r="M265" s="9"/>
      <c r="N265" s="10">
        <f>IFERROR(-(B265-K265), "NA")</f>
        <v>-810.02999999999975</v>
      </c>
      <c r="O265" s="8">
        <f>IFERROR(N265/N444, "NA")</f>
        <v>-1.7375921211481581E-2</v>
      </c>
      <c r="P265" s="9"/>
      <c r="Q265" s="7">
        <v>26874.06</v>
      </c>
      <c r="R265" s="8">
        <f>IFERROR(Q265/Q444, "NA")</f>
        <v>2.4039119433474521E-2</v>
      </c>
      <c r="S265" s="9"/>
      <c r="T265" s="7">
        <v>25237.34</v>
      </c>
      <c r="U265" s="8">
        <f>IFERROR(T265/T444, "NA")</f>
        <v>2.5248412691385808E-2</v>
      </c>
      <c r="V265" s="9"/>
      <c r="W265" s="10">
        <f>IFERROR(-(Q265-T265), "NA")</f>
        <v>-1636.7200000000012</v>
      </c>
      <c r="X265" s="8">
        <f>IFERROR(W265/W444, "NA")</f>
        <v>-1.382728648626729E-2</v>
      </c>
      <c r="Y265" s="9"/>
      <c r="Z265" s="7">
        <v>23062.400000000001</v>
      </c>
      <c r="AA265" s="8">
        <f>IFERROR(Z265/Z444, "NA")</f>
        <v>2.5644350386397126E-2</v>
      </c>
      <c r="AB265" s="9"/>
      <c r="AC265" s="10">
        <f>IFERROR(-(Q265-Z265), "NA")</f>
        <v>-3811.66</v>
      </c>
      <c r="AD265" s="8">
        <f>IFERROR(AC265/AC444, "NA")</f>
        <v>-1.7435626403534164E-2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0</v>
      </c>
      <c r="R266" s="8">
        <f>IFERROR(Q266/Q444, "NA")</f>
        <v>0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0</v>
      </c>
      <c r="X266" s="8">
        <f>IFERROR(W266/W444, "NA")</f>
        <v>0</v>
      </c>
      <c r="Y266" s="9"/>
      <c r="Z266" s="7">
        <v>14.55</v>
      </c>
      <c r="AA266" s="8">
        <f>IFERROR(Z266/Z444, "NA")</f>
        <v>1.6178944867926938E-5</v>
      </c>
      <c r="AB266" s="9"/>
      <c r="AC266" s="10">
        <f>IFERROR(-(Q266-Z266), "NA")</f>
        <v>14.55</v>
      </c>
      <c r="AD266" s="8">
        <f>IFERROR(AC266/AC444, "NA")</f>
        <v>6.6555874388434978E-5</v>
      </c>
    </row>
    <row r="267" spans="1:30" ht="16.5" customHeight="1" x14ac:dyDescent="0.45">
      <c r="A267" s="19" t="s">
        <v>243</v>
      </c>
      <c r="B267" s="14">
        <f>IFERROR(B265+B266, "NA")</f>
        <v>5405.04</v>
      </c>
      <c r="C267" s="15">
        <f>IFERROR(B267/B444, "NA")</f>
        <v>2.3940474631788923E-2</v>
      </c>
      <c r="D267" s="2"/>
      <c r="E267" s="14">
        <f>IFERROR(E265+E266, "NA")</f>
        <v>5016.26</v>
      </c>
      <c r="F267" s="15">
        <f>IFERROR(E267/E444, "NA")</f>
        <v>2.5000019935186722E-2</v>
      </c>
      <c r="G267" s="2"/>
      <c r="H267" s="14">
        <f>IFERROR(-(B267-E267), "NA")</f>
        <v>-388.77999999999975</v>
      </c>
      <c r="I267" s="15">
        <f>IFERROR(H267/H444, "NA")</f>
        <v>-1.5477083343285663E-2</v>
      </c>
      <c r="J267" s="2"/>
      <c r="K267" s="14">
        <f>IFERROR(K265+K266, "NA")</f>
        <v>4595.01</v>
      </c>
      <c r="L267" s="15">
        <f>IFERROR(K267/K444, "NA")</f>
        <v>2.5648667053675092E-2</v>
      </c>
      <c r="M267" s="2"/>
      <c r="N267" s="14">
        <f>IFERROR(-(B267-K267), "NA")</f>
        <v>-810.02999999999975</v>
      </c>
      <c r="O267" s="15">
        <f>IFERROR(N267/N444, "NA")</f>
        <v>-1.7375921211481581E-2</v>
      </c>
      <c r="P267" s="2"/>
      <c r="Q267" s="14">
        <f>IFERROR(Q265+Q266, "NA")</f>
        <v>26874.06</v>
      </c>
      <c r="R267" s="15">
        <f>IFERROR(Q267/Q444, "NA")</f>
        <v>2.4039119433474521E-2</v>
      </c>
      <c r="S267" s="2"/>
      <c r="T267" s="14">
        <f>IFERROR(T265+T266, "NA")</f>
        <v>25237.34</v>
      </c>
      <c r="U267" s="15">
        <f>IFERROR(T267/T444, "NA")</f>
        <v>2.5248412691385808E-2</v>
      </c>
      <c r="V267" s="2"/>
      <c r="W267" s="14">
        <f>IFERROR(-(Q267-T267), "NA")</f>
        <v>-1636.7200000000012</v>
      </c>
      <c r="X267" s="15">
        <f>IFERROR(W267/W444, "NA")</f>
        <v>-1.382728648626729E-2</v>
      </c>
      <c r="Y267" s="2"/>
      <c r="Z267" s="14">
        <f>IFERROR(Z265+Z266, "NA")</f>
        <v>23076.95</v>
      </c>
      <c r="AA267" s="15">
        <f>IFERROR(Z267/Z444, "NA")</f>
        <v>2.5660529331265055E-2</v>
      </c>
      <c r="AB267" s="2"/>
      <c r="AC267" s="14">
        <f>IFERROR(-(Q267-Z267), "NA")</f>
        <v>-3797.1100000000006</v>
      </c>
      <c r="AD267" s="15">
        <f>IFERROR(AC267/AC444, "NA")</f>
        <v>-1.7369070529145731E-2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241.5</v>
      </c>
      <c r="C270" s="8">
        <f>IFERROR(B270/B444, "NA")</f>
        <v>1.0696728652474403E-3</v>
      </c>
      <c r="D270" s="9"/>
      <c r="E270" s="7">
        <v>274.42</v>
      </c>
      <c r="F270" s="8">
        <f>IFERROR(E270/E444, "NA")</f>
        <v>1.367653484989602E-3</v>
      </c>
      <c r="G270" s="9"/>
      <c r="H270" s="10">
        <f>IFERROR(-(B270-E270), "NA")</f>
        <v>32.920000000000016</v>
      </c>
      <c r="I270" s="8">
        <f>IFERROR(H270/H444, "NA")</f>
        <v>1.3105241618935248E-3</v>
      </c>
      <c r="J270" s="9"/>
      <c r="K270" s="7">
        <v>211.5</v>
      </c>
      <c r="L270" s="8">
        <f>IFERROR(K270/K444, "NA")</f>
        <v>1.1805617576136464E-3</v>
      </c>
      <c r="M270" s="9"/>
      <c r="N270" s="10">
        <f>IFERROR(-(B270-K270), "NA")</f>
        <v>-30</v>
      </c>
      <c r="O270" s="8">
        <f>IFERROR(N270/N444, "NA")</f>
        <v>-6.4352880306216753E-4</v>
      </c>
      <c r="P270" s="9"/>
      <c r="Q270" s="7">
        <v>1390</v>
      </c>
      <c r="R270" s="8">
        <f>IFERROR(Q270/Q444, "NA")</f>
        <v>1.2433691080740901E-3</v>
      </c>
      <c r="S270" s="9"/>
      <c r="T270" s="7">
        <v>1651.24</v>
      </c>
      <c r="U270" s="8">
        <f>IFERROR(T270/T444, "NA")</f>
        <v>1.6519644690178878E-3</v>
      </c>
      <c r="V270" s="9"/>
      <c r="W270" s="10">
        <f>IFERROR(-(Q270-T270), "NA")</f>
        <v>261.24</v>
      </c>
      <c r="X270" s="8">
        <f>IFERROR(W270/W444, "NA")</f>
        <v>2.2069995611176405E-3</v>
      </c>
      <c r="Y270" s="9"/>
      <c r="Z270" s="7">
        <v>1028.1099999999999</v>
      </c>
      <c r="AA270" s="8">
        <f>IFERROR(Z270/Z444, "NA")</f>
        <v>1.1432120280525334E-3</v>
      </c>
      <c r="AB270" s="9"/>
      <c r="AC270" s="10">
        <f>IFERROR(-(Q270-Z270), "NA")</f>
        <v>-361.8900000000001</v>
      </c>
      <c r="AD270" s="8">
        <f>IFERROR(AC270/AC444, "NA")</f>
        <v>-1.6553886860777142E-3</v>
      </c>
    </row>
    <row r="271" spans="1:30" ht="16.5" customHeight="1" x14ac:dyDescent="0.45">
      <c r="A271" s="6" t="s">
        <v>246</v>
      </c>
      <c r="B271" s="7">
        <v>938.5</v>
      </c>
      <c r="C271" s="8">
        <f>IFERROR(B271/B444, "NA")</f>
        <v>4.1568860622555812E-3</v>
      </c>
      <c r="D271" s="9"/>
      <c r="E271" s="7">
        <v>802.6</v>
      </c>
      <c r="F271" s="8">
        <f>IFERROR(E271/E444, "NA")</f>
        <v>3.9999952155551875E-3</v>
      </c>
      <c r="G271" s="9"/>
      <c r="H271" s="10">
        <f>IFERROR(-(B271-E271), "NA")</f>
        <v>-135.89999999999998</v>
      </c>
      <c r="I271" s="8">
        <f>IFERROR(H271/H444, "NA")</f>
        <v>-5.4100921507086851E-3</v>
      </c>
      <c r="J271" s="9"/>
      <c r="K271" s="7">
        <v>884.42</v>
      </c>
      <c r="L271" s="8">
        <f>IFERROR(K271/K444, "NA")</f>
        <v>4.9367017951236934E-3</v>
      </c>
      <c r="M271" s="9"/>
      <c r="N271" s="10">
        <f>IFERROR(-(B271-K271), "NA")</f>
        <v>-54.080000000000041</v>
      </c>
      <c r="O271" s="8">
        <f>IFERROR(N271/N444, "NA")</f>
        <v>-1.1600679223200683E-3</v>
      </c>
      <c r="P271" s="9"/>
      <c r="Q271" s="7">
        <v>5202.5</v>
      </c>
      <c r="R271" s="8">
        <f>IFERROR(Q271/Q444, "NA")</f>
        <v>4.6536890537809015E-3</v>
      </c>
      <c r="S271" s="9"/>
      <c r="T271" s="7">
        <v>3998.24</v>
      </c>
      <c r="U271" s="8">
        <f>IFERROR(T271/T444, "NA")</f>
        <v>3.9999941974552941E-3</v>
      </c>
      <c r="V271" s="9"/>
      <c r="W271" s="10">
        <f>IFERROR(-(Q271-T271), "NA")</f>
        <v>-1204.2600000000002</v>
      </c>
      <c r="X271" s="8">
        <f>IFERROR(W271/W444, "NA")</f>
        <v>-1.0173791500044136E-2</v>
      </c>
      <c r="Y271" s="9"/>
      <c r="Z271" s="7">
        <v>3693.51</v>
      </c>
      <c r="AA271" s="8">
        <f>IFERROR(Z271/Z444, "NA")</f>
        <v>4.1070168150609499E-3</v>
      </c>
      <c r="AB271" s="9"/>
      <c r="AC271" s="10">
        <f>IFERROR(-(Q271-Z271), "NA")</f>
        <v>-1508.9899999999998</v>
      </c>
      <c r="AD271" s="8">
        <f>IFERROR(AC271/AC444, "NA")</f>
        <v>-6.9025531885501361E-3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1180</v>
      </c>
      <c r="C273" s="15">
        <f>IFERROR(B273/B444, "NA")</f>
        <v>5.2265589275030215E-3</v>
      </c>
      <c r="D273" s="2"/>
      <c r="E273" s="14">
        <f>IFERROR(E269+E270+E271+E272, "NA")</f>
        <v>1077.02</v>
      </c>
      <c r="F273" s="15">
        <f>IFERROR(E273/E444, "NA")</f>
        <v>5.3676487005447889E-3</v>
      </c>
      <c r="G273" s="2"/>
      <c r="H273" s="14">
        <f>IFERROR(-(B273-E273), "NA")</f>
        <v>-102.98000000000002</v>
      </c>
      <c r="I273" s="15">
        <f>IFERROR(H273/H444, "NA")</f>
        <v>-4.0995679888151627E-3</v>
      </c>
      <c r="J273" s="2"/>
      <c r="K273" s="14">
        <f>IFERROR(K269+K270+K271+K272, "NA")</f>
        <v>1095.92</v>
      </c>
      <c r="L273" s="15">
        <f>IFERROR(K273/K444, "NA")</f>
        <v>6.1172635527373407E-3</v>
      </c>
      <c r="M273" s="2"/>
      <c r="N273" s="14">
        <f>IFERROR(-(B273-K273), "NA")</f>
        <v>-84.079999999999927</v>
      </c>
      <c r="O273" s="15">
        <f>IFERROR(N273/N444, "NA")</f>
        <v>-1.8035967253822334E-3</v>
      </c>
      <c r="P273" s="2"/>
      <c r="Q273" s="14">
        <f>IFERROR(Q269+Q270+Q271+Q272, "NA")</f>
        <v>6592.5</v>
      </c>
      <c r="R273" s="15">
        <f>IFERROR(Q273/Q444, "NA")</f>
        <v>5.8970581618549922E-3</v>
      </c>
      <c r="S273" s="2"/>
      <c r="T273" s="14">
        <f>IFERROR(T269+T270+T271+T272, "NA")</f>
        <v>5649.48</v>
      </c>
      <c r="U273" s="15">
        <f>IFERROR(T273/T444, "NA")</f>
        <v>5.6519586664731817E-3</v>
      </c>
      <c r="V273" s="2"/>
      <c r="W273" s="14">
        <f>IFERROR(-(Q273-T273), "NA")</f>
        <v>-943.02000000000044</v>
      </c>
      <c r="X273" s="15">
        <f>IFERROR(W273/W444, "NA")</f>
        <v>-7.9667919389264964E-3</v>
      </c>
      <c r="Y273" s="2"/>
      <c r="Z273" s="14">
        <f>IFERROR(Z269+Z270+Z271+Z272, "NA")</f>
        <v>4721.62</v>
      </c>
      <c r="AA273" s="15">
        <f>IFERROR(Z273/Z444, "NA")</f>
        <v>5.2502288431134836E-3</v>
      </c>
      <c r="AB273" s="2"/>
      <c r="AC273" s="14">
        <f>IFERROR(-(Q273-Z273), "NA")</f>
        <v>-1870.88</v>
      </c>
      <c r="AD273" s="15">
        <f>IFERROR(AC273/AC444, "NA")</f>
        <v>-8.5579418746278522E-3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365</v>
      </c>
      <c r="F287" s="8">
        <f>IFERROR(E287/E444, "NA")</f>
        <v>1.8190857882851275E-3</v>
      </c>
      <c r="G287" s="9"/>
      <c r="H287" s="10">
        <f t="shared" si="72"/>
        <v>365</v>
      </c>
      <c r="I287" s="8">
        <f>IFERROR(H287/H444, "NA")</f>
        <v>1.4530416740313983E-2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2190</v>
      </c>
      <c r="U287" s="8">
        <f>IFERROR(T287/T444, "NA")</f>
        <v>2.1909608458789602E-3</v>
      </c>
      <c r="V287" s="9"/>
      <c r="W287" s="10">
        <f t="shared" si="74"/>
        <v>2190</v>
      </c>
      <c r="X287" s="8">
        <f>IFERROR(W287/W444, "NA")</f>
        <v>1.8501489200917289E-2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146.85</v>
      </c>
      <c r="C288" s="8">
        <f>IFERROR(B288/B444, "NA")</f>
        <v>6.504408292405243E-4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-146.85</v>
      </c>
      <c r="I288" s="8">
        <f>IFERROR(H288/H444, "NA")</f>
        <v>-5.8460046529181051E-3</v>
      </c>
      <c r="J288" s="9"/>
      <c r="K288" s="7">
        <v>144.63</v>
      </c>
      <c r="L288" s="8">
        <f>IFERROR(K288/K444, "NA")</f>
        <v>8.0730329552558718E-4</v>
      </c>
      <c r="M288" s="9"/>
      <c r="N288" s="10">
        <f t="shared" si="73"/>
        <v>-2.2199999999999989</v>
      </c>
      <c r="O288" s="8">
        <f>IFERROR(N288/N444, "NA")</f>
        <v>-4.7621131426600373E-5</v>
      </c>
      <c r="P288" s="9"/>
      <c r="Q288" s="7">
        <v>874.5</v>
      </c>
      <c r="R288" s="8">
        <f>IFERROR(Q288/Q444, "NA")</f>
        <v>7.8224912590704439E-4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-874.5</v>
      </c>
      <c r="X288" s="8">
        <f>IFERROR(W288/W444, "NA")</f>
        <v>-7.3879234274895744E-3</v>
      </c>
      <c r="Y288" s="9"/>
      <c r="Z288" s="7">
        <v>874.5</v>
      </c>
      <c r="AA288" s="8">
        <f>IFERROR(Z288/Z444, "NA")</f>
        <v>9.7240462453622727E-4</v>
      </c>
      <c r="AB288" s="9"/>
      <c r="AC288" s="10">
        <f t="shared" si="75"/>
        <v>0</v>
      </c>
      <c r="AD288" s="8">
        <f>IFERROR(AC288/AC444, "NA")</f>
        <v>0</v>
      </c>
    </row>
    <row r="289" spans="1:30" ht="16.5" customHeight="1" x14ac:dyDescent="0.45">
      <c r="A289" s="6" t="s">
        <v>262</v>
      </c>
      <c r="B289" s="7">
        <v>228.98</v>
      </c>
      <c r="C289" s="8">
        <f>IFERROR(B289/B444, "NA")</f>
        <v>1.014218189169188E-3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-228.98</v>
      </c>
      <c r="I289" s="8">
        <f>IFERROR(H289/H444, "NA")</f>
        <v>-9.1155474662934135E-3</v>
      </c>
      <c r="J289" s="9"/>
      <c r="K289" s="7">
        <v>210.6</v>
      </c>
      <c r="L289" s="8">
        <f>IFERROR(K289/K444, "NA")</f>
        <v>1.1755380905599715E-3</v>
      </c>
      <c r="M289" s="9"/>
      <c r="N289" s="10">
        <f t="shared" si="73"/>
        <v>-18.379999999999995</v>
      </c>
      <c r="O289" s="8">
        <f>IFERROR(N289/N444, "NA")</f>
        <v>-3.9426864667608792E-4</v>
      </c>
      <c r="P289" s="9"/>
      <c r="Q289" s="7">
        <v>1336.08</v>
      </c>
      <c r="R289" s="8">
        <f>IFERROR(Q289/Q444, "NA")</f>
        <v>1.1951371208026116E-3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-1336.08</v>
      </c>
      <c r="X289" s="8">
        <f>IFERROR(W289/W444, "NA")</f>
        <v>-1.1287429082904825E-2</v>
      </c>
      <c r="Y289" s="9"/>
      <c r="Z289" s="7">
        <v>1296.82</v>
      </c>
      <c r="AA289" s="8">
        <f>IFERROR(Z289/Z444, "NA")</f>
        <v>1.4420054490463924E-3</v>
      </c>
      <c r="AB289" s="9"/>
      <c r="AC289" s="10">
        <f t="shared" si="75"/>
        <v>-39.259999999999991</v>
      </c>
      <c r="AD289" s="8">
        <f>IFERROR(AC289/AC444, "NA")</f>
        <v>-1.7958650367628568E-4</v>
      </c>
    </row>
    <row r="290" spans="1:30" ht="16.5" customHeight="1" x14ac:dyDescent="0.45">
      <c r="A290" s="6" t="s">
        <v>263</v>
      </c>
      <c r="B290" s="7">
        <v>200</v>
      </c>
      <c r="C290" s="8">
        <f>IFERROR(B290/B444, "NA")</f>
        <v>8.8585744533949519E-4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-200</v>
      </c>
      <c r="I290" s="8">
        <f>IFERROR(H290/H444, "NA")</f>
        <v>-7.9618721864734149E-3</v>
      </c>
      <c r="J290" s="9"/>
      <c r="K290" s="7">
        <v>250</v>
      </c>
      <c r="L290" s="8">
        <f>IFERROR(K290/K444, "NA")</f>
        <v>1.3954630704653033E-3</v>
      </c>
      <c r="M290" s="9"/>
      <c r="N290" s="10">
        <f t="shared" si="73"/>
        <v>50</v>
      </c>
      <c r="O290" s="8">
        <f>IFERROR(N290/N444, "NA")</f>
        <v>1.0725480051036126E-3</v>
      </c>
      <c r="P290" s="9"/>
      <c r="Q290" s="7">
        <v>6825.04</v>
      </c>
      <c r="R290" s="8">
        <f>IFERROR(Q290/Q444, "NA")</f>
        <v>6.105067552064739E-3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-6825.04</v>
      </c>
      <c r="X290" s="8">
        <f>IFERROR(W290/W444, "NA")</f>
        <v>-5.765908851864316E-2</v>
      </c>
      <c r="Y290" s="9"/>
      <c r="Z290" s="7">
        <v>872.14</v>
      </c>
      <c r="AA290" s="8">
        <f>IFERROR(Z290/Z444, "NA")</f>
        <v>9.6978041079819922E-4</v>
      </c>
      <c r="AB290" s="9"/>
      <c r="AC290" s="10">
        <f t="shared" si="75"/>
        <v>-5952.9</v>
      </c>
      <c r="AD290" s="8">
        <f>IFERROR(AC290/AC444, "NA")</f>
        <v>-2.7230272484324025E-2</v>
      </c>
    </row>
    <row r="291" spans="1:30" ht="16.5" customHeight="1" x14ac:dyDescent="0.45">
      <c r="A291" s="6" t="s">
        <v>264</v>
      </c>
      <c r="B291" s="7">
        <v>2233.52</v>
      </c>
      <c r="C291" s="8">
        <f>IFERROR(B291/B444, "NA")</f>
        <v>9.8929016065733462E-3</v>
      </c>
      <c r="D291" s="9"/>
      <c r="E291" s="7">
        <v>2608.4499999999998</v>
      </c>
      <c r="F291" s="8">
        <f>IFERROR(E291/E444, "NA")</f>
        <v>1.2999984450554357E-2</v>
      </c>
      <c r="G291" s="9"/>
      <c r="H291" s="10">
        <f t="shared" si="72"/>
        <v>374.92999999999984</v>
      </c>
      <c r="I291" s="8">
        <f>IFERROR(H291/H444, "NA")</f>
        <v>1.4925723694372383E-2</v>
      </c>
      <c r="J291" s="9"/>
      <c r="K291" s="7">
        <v>0</v>
      </c>
      <c r="L291" s="8">
        <f>IFERROR(K291/K444, "NA")</f>
        <v>0</v>
      </c>
      <c r="M291" s="9"/>
      <c r="N291" s="10">
        <f t="shared" si="73"/>
        <v>-2233.52</v>
      </c>
      <c r="O291" s="8">
        <f>IFERROR(N291/N444, "NA")</f>
        <v>-4.7911148407180415E-2</v>
      </c>
      <c r="P291" s="9"/>
      <c r="Q291" s="7">
        <v>9426.99</v>
      </c>
      <c r="R291" s="8">
        <f>IFERROR(Q291/Q444, "NA")</f>
        <v>8.4325382360599752E-3</v>
      </c>
      <c r="S291" s="9"/>
      <c r="T291" s="7">
        <v>12994.29</v>
      </c>
      <c r="U291" s="8">
        <f>IFERROR(T291/T444, "NA")</f>
        <v>1.2999991146117131E-2</v>
      </c>
      <c r="V291" s="9"/>
      <c r="W291" s="10">
        <f t="shared" si="74"/>
        <v>3567.3000000000011</v>
      </c>
      <c r="X291" s="8">
        <f>IFERROR(W291/W444, "NA")</f>
        <v>3.0137151792891444E-2</v>
      </c>
      <c r="Y291" s="9"/>
      <c r="Z291" s="7">
        <v>4874.72</v>
      </c>
      <c r="AA291" s="8">
        <f>IFERROR(Z291/Z444, "NA")</f>
        <v>5.4204691495931823E-3</v>
      </c>
      <c r="AB291" s="9"/>
      <c r="AC291" s="10">
        <f t="shared" si="75"/>
        <v>-4552.2699999999995</v>
      </c>
      <c r="AD291" s="8">
        <f>IFERROR(AC291/AC444, "NA")</f>
        <v>-2.0823389024208994E-2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963.98</v>
      </c>
      <c r="L292" s="8">
        <f>IFERROR(K292/K444, "NA")</f>
        <v>5.3807939626685716E-3</v>
      </c>
      <c r="M292" s="9"/>
      <c r="N292" s="10">
        <f t="shared" si="73"/>
        <v>963.98</v>
      </c>
      <c r="O292" s="8">
        <f>IFERROR(N292/N444, "NA")</f>
        <v>2.0678296519195609E-2</v>
      </c>
      <c r="P292" s="9"/>
      <c r="Q292" s="7">
        <v>681.63</v>
      </c>
      <c r="R292" s="8">
        <f>IFERROR(Q292/Q444, "NA")</f>
        <v>6.0972495333564173E-4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-681.63</v>
      </c>
      <c r="X292" s="8">
        <f>IFERROR(W292/W444, "NA")</f>
        <v>-5.7585251525211194E-3</v>
      </c>
      <c r="Y292" s="9"/>
      <c r="Z292" s="7">
        <v>963.98</v>
      </c>
      <c r="AA292" s="8">
        <f>IFERROR(Z292/Z444, "NA")</f>
        <v>1.0719023555865435E-3</v>
      </c>
      <c r="AB292" s="9"/>
      <c r="AC292" s="10">
        <f t="shared" si="75"/>
        <v>282.35000000000002</v>
      </c>
      <c r="AD292" s="8">
        <f>IFERROR(AC292/AC444, "NA")</f>
        <v>1.2915499060876026E-3</v>
      </c>
    </row>
    <row r="293" spans="1:30" ht="16.5" customHeight="1" x14ac:dyDescent="0.45">
      <c r="A293" s="6" t="s">
        <v>266</v>
      </c>
      <c r="B293" s="7">
        <v>710.16</v>
      </c>
      <c r="C293" s="8">
        <f>IFERROR(B293/B444, "NA")</f>
        <v>3.145502616911479E-3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-710.16</v>
      </c>
      <c r="I293" s="8">
        <f>IFERROR(H293/H444, "NA")</f>
        <v>-2.8271015759729803E-2</v>
      </c>
      <c r="J293" s="9"/>
      <c r="K293" s="7">
        <v>1622.81</v>
      </c>
      <c r="L293" s="8">
        <f>IFERROR(K293/K444, "NA")</f>
        <v>9.058285701527195E-3</v>
      </c>
      <c r="M293" s="9"/>
      <c r="N293" s="10">
        <f t="shared" si="73"/>
        <v>912.65</v>
      </c>
      <c r="O293" s="8">
        <f>IFERROR(N293/N444, "NA")</f>
        <v>1.9577218737156239E-2</v>
      </c>
      <c r="P293" s="9"/>
      <c r="Q293" s="7">
        <v>1535.59</v>
      </c>
      <c r="R293" s="8">
        <f>IFERROR(Q293/Q444, "NA")</f>
        <v>1.3736008407679798E-3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-1535.59</v>
      </c>
      <c r="X293" s="8">
        <f>IFERROR(W293/W444, "NA")</f>
        <v>-1.2972923197276975E-2</v>
      </c>
      <c r="Y293" s="9"/>
      <c r="Z293" s="7">
        <v>2146.31</v>
      </c>
      <c r="AA293" s="8">
        <f>IFERROR(Z293/Z444, "NA")</f>
        <v>2.3866000796893649E-3</v>
      </c>
      <c r="AB293" s="9"/>
      <c r="AC293" s="10">
        <f t="shared" si="75"/>
        <v>610.72</v>
      </c>
      <c r="AD293" s="8">
        <f>IFERROR(AC293/AC444, "NA")</f>
        <v>2.7936084952924407E-3</v>
      </c>
    </row>
    <row r="294" spans="1:30" ht="16.5" customHeight="1" x14ac:dyDescent="0.45">
      <c r="A294" s="6" t="s">
        <v>267</v>
      </c>
      <c r="B294" s="7">
        <v>324.99</v>
      </c>
      <c r="C294" s="8">
        <f>IFERROR(B294/B444, "NA")</f>
        <v>1.4394740558044128E-3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-324.99</v>
      </c>
      <c r="I294" s="8">
        <f>IFERROR(H294/H444, "NA")</f>
        <v>-1.2937644209409977E-2</v>
      </c>
      <c r="J294" s="9"/>
      <c r="K294" s="7">
        <v>244</v>
      </c>
      <c r="L294" s="8">
        <f>IFERROR(K294/K444, "NA")</f>
        <v>1.3619719567741358E-3</v>
      </c>
      <c r="M294" s="9"/>
      <c r="N294" s="10">
        <f t="shared" si="73"/>
        <v>-80.990000000000009</v>
      </c>
      <c r="O294" s="8">
        <f>IFERROR(N294/N444, "NA")</f>
        <v>-1.737313258666832E-3</v>
      </c>
      <c r="P294" s="9"/>
      <c r="Q294" s="7">
        <v>2163.9699999999998</v>
      </c>
      <c r="R294" s="8">
        <f>IFERROR(Q294/Q444, "NA")</f>
        <v>1.9356931286324376E-3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-2163.9699999999998</v>
      </c>
      <c r="X294" s="8">
        <f>IFERROR(W294/W444, "NA")</f>
        <v>-1.8281583372652503E-2</v>
      </c>
      <c r="Y294" s="9"/>
      <c r="Z294" s="7">
        <v>1464</v>
      </c>
      <c r="AA294" s="8">
        <f>IFERROR(Z294/Z444, "NA")</f>
        <v>1.6279020815563598E-3</v>
      </c>
      <c r="AB294" s="9"/>
      <c r="AC294" s="10">
        <f t="shared" si="75"/>
        <v>-699.9699999999998</v>
      </c>
      <c r="AD294" s="8">
        <f>IFERROR(AC294/AC444, "NA")</f>
        <v>-3.2018636010771695E-3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3844.5</v>
      </c>
      <c r="C295" s="15">
        <f>IFERROR(B295/B444, "NA")</f>
        <v>1.7028394743038446E-2</v>
      </c>
      <c r="D295" s="2"/>
      <c r="E295" s="14">
        <f>IFERROR(E286+E287+E288+E289+E290+E291+E292+E293+E294, "NA")</f>
        <v>2973.45</v>
      </c>
      <c r="F295" s="15">
        <f>IFERROR(E295/E444, "NA")</f>
        <v>1.4819070238839485E-2</v>
      </c>
      <c r="G295" s="2"/>
      <c r="H295" s="14">
        <f t="shared" si="72"/>
        <v>-871.05000000000018</v>
      </c>
      <c r="I295" s="15">
        <f>IFERROR(H295/H444, "NA")</f>
        <v>-3.4675943840138349E-2</v>
      </c>
      <c r="J295" s="2"/>
      <c r="K295" s="14">
        <f>IFERROR(K286+K287+K288+K289+K290+K291+K292+K293+K294, "NA")</f>
        <v>3436.02</v>
      </c>
      <c r="L295" s="15">
        <f>IFERROR(K295/K444, "NA")</f>
        <v>1.9179356077520766E-2</v>
      </c>
      <c r="M295" s="2"/>
      <c r="N295" s="14">
        <f t="shared" si="73"/>
        <v>-408.48</v>
      </c>
      <c r="O295" s="15">
        <f>IFERROR(N295/N444, "NA")</f>
        <v>-8.7622881824944744E-3</v>
      </c>
      <c r="P295" s="2"/>
      <c r="Q295" s="14">
        <f>IFERROR(Q286+Q287+Q288+Q289+Q290+Q291+Q292+Q293+Q294, "NA")</f>
        <v>22843.800000000003</v>
      </c>
      <c r="R295" s="15">
        <f>IFERROR(Q295/Q444, "NA")</f>
        <v>2.0434010957570435E-2</v>
      </c>
      <c r="S295" s="2"/>
      <c r="T295" s="14">
        <f>IFERROR(T286+T287+T288+T289+T290+T291+T292+T293+T294, "NA")</f>
        <v>15184.29</v>
      </c>
      <c r="U295" s="15">
        <f>IFERROR(T295/T444, "NA")</f>
        <v>1.5190951991996092E-2</v>
      </c>
      <c r="V295" s="2"/>
      <c r="W295" s="14">
        <f t="shared" si="74"/>
        <v>-7659.510000000002</v>
      </c>
      <c r="X295" s="15">
        <f>IFERROR(W295/W444, "NA")</f>
        <v>-6.4708831757679455E-2</v>
      </c>
      <c r="Y295" s="2"/>
      <c r="Z295" s="14">
        <f>IFERROR(Z286+Z287+Z288+Z289+Z290+Z291+Z292+Z293+Z294, "NA")</f>
        <v>12492.47</v>
      </c>
      <c r="AA295" s="15">
        <f>IFERROR(Z295/Z444, "NA")</f>
        <v>1.3891064150806268E-2</v>
      </c>
      <c r="AB295" s="2"/>
      <c r="AC295" s="14">
        <f t="shared" si="75"/>
        <v>-10351.330000000004</v>
      </c>
      <c r="AD295" s="15">
        <f>IFERROR(AC295/AC444, "NA")</f>
        <v>-4.7349953211906451E-2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2608.4499999999998</v>
      </c>
      <c r="F297" s="8">
        <f>IFERROR(E297/E444, "NA")</f>
        <v>1.2999984450554357E-2</v>
      </c>
      <c r="G297" s="9"/>
      <c r="H297" s="10">
        <f t="shared" ref="H297:H325" si="76">IFERROR(-(B297-E297), "NA")</f>
        <v>2608.4499999999998</v>
      </c>
      <c r="I297" s="8">
        <f>IFERROR(H297/H444, "NA")</f>
        <v>0.10384072752403289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12994.29</v>
      </c>
      <c r="U297" s="8">
        <f>IFERROR(T297/T444, "NA")</f>
        <v>1.2999991146117131E-2</v>
      </c>
      <c r="V297" s="9"/>
      <c r="W297" s="10">
        <f t="shared" ref="W297:W325" si="78">IFERROR(-(Q297-T297), "NA")</f>
        <v>12994.29</v>
      </c>
      <c r="X297" s="8">
        <f>IFERROR(W297/W444, "NA")</f>
        <v>0.10977795256099887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516.53</v>
      </c>
      <c r="C299" s="8">
        <f>IFERROR(B299/B444, "NA")</f>
        <v>2.2878597312060468E-3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-516.53</v>
      </c>
      <c r="I299" s="8">
        <f>IFERROR(H299/H444, "NA")</f>
        <v>-2.0562729202395567E-2</v>
      </c>
      <c r="J299" s="9"/>
      <c r="K299" s="7">
        <v>491.87</v>
      </c>
      <c r="L299" s="8">
        <f>IFERROR(K299/K444, "NA")</f>
        <v>2.7455456818790747E-3</v>
      </c>
      <c r="M299" s="9"/>
      <c r="N299" s="10">
        <f t="shared" si="77"/>
        <v>-24.659999999999968</v>
      </c>
      <c r="O299" s="8">
        <f>IFERROR(N299/N444, "NA")</f>
        <v>-5.2898067611710107E-4</v>
      </c>
      <c r="P299" s="9"/>
      <c r="Q299" s="7">
        <v>4842.6899999999996</v>
      </c>
      <c r="R299" s="8">
        <f>IFERROR(Q299/Q444, "NA")</f>
        <v>4.3318353568196511E-3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-4842.6899999999996</v>
      </c>
      <c r="X299" s="8">
        <f>IFERROR(W299/W444, "NA")</f>
        <v>-4.0911861524379055E-2</v>
      </c>
      <c r="Y299" s="9"/>
      <c r="Z299" s="7">
        <v>2092.62</v>
      </c>
      <c r="AA299" s="8">
        <f>IFERROR(Z299/Z444, "NA")</f>
        <v>2.3268992171492277E-3</v>
      </c>
      <c r="AB299" s="9"/>
      <c r="AC299" s="10">
        <f t="shared" si="79"/>
        <v>-2750.0699999999997</v>
      </c>
      <c r="AD299" s="8">
        <f>IFERROR(AC299/AC444, "NA")</f>
        <v>-1.2579609173842156E-2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0</v>
      </c>
      <c r="AD304" s="8">
        <f>IFERROR(AC304/AC444, "NA")</f>
        <v>0</v>
      </c>
    </row>
    <row r="305" spans="1:30" ht="16.5" hidden="1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0</v>
      </c>
      <c r="O305" s="8">
        <f>IFERROR(N305/N444, "NA")</f>
        <v>0</v>
      </c>
      <c r="P305" s="9"/>
      <c r="Q305" s="7">
        <v>0</v>
      </c>
      <c r="R305" s="8">
        <f>IFERROR(Q305/Q444, "NA")</f>
        <v>0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0</v>
      </c>
      <c r="X305" s="8">
        <f>IFERROR(W305/W444, "NA")</f>
        <v>0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0</v>
      </c>
      <c r="AD305" s="8">
        <f>IFERROR(AC305/AC444, "NA")</f>
        <v>0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197.11</v>
      </c>
      <c r="C310" s="8">
        <f>IFERROR(B310/B444, "NA")</f>
        <v>8.7305680525433954E-4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-197.11</v>
      </c>
      <c r="I310" s="8">
        <f>IFERROR(H310/H444, "NA")</f>
        <v>-7.846823133378875E-3</v>
      </c>
      <c r="J310" s="9"/>
      <c r="K310" s="7">
        <v>63.46</v>
      </c>
      <c r="L310" s="8">
        <f>IFERROR(K310/K444, "NA")</f>
        <v>3.5422434580691255E-4</v>
      </c>
      <c r="M310" s="9"/>
      <c r="N310" s="10">
        <f t="shared" si="77"/>
        <v>-133.65</v>
      </c>
      <c r="O310" s="8">
        <f>IFERROR(N310/N444, "NA")</f>
        <v>-2.8669208176419565E-3</v>
      </c>
      <c r="P310" s="9"/>
      <c r="Q310" s="7">
        <v>526.89</v>
      </c>
      <c r="R310" s="8">
        <f>IFERROR(Q310/Q444, "NA")</f>
        <v>4.7130845277205561E-4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-526.89</v>
      </c>
      <c r="X310" s="8">
        <f>IFERROR(W310/W444, "NA")</f>
        <v>-4.4512555456946616E-3</v>
      </c>
      <c r="Y310" s="9"/>
      <c r="Z310" s="7">
        <v>222.93</v>
      </c>
      <c r="AA310" s="8">
        <f>IFERROR(Z310/Z444, "NA")</f>
        <v>2.4788812229601043E-4</v>
      </c>
      <c r="AB310" s="9"/>
      <c r="AC310" s="10">
        <f t="shared" si="79"/>
        <v>-303.95999999999998</v>
      </c>
      <c r="AD310" s="8">
        <f>IFERROR(AC310/AC444, "NA")</f>
        <v>-1.390400245986852E-3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26.73</v>
      </c>
      <c r="R311" s="8">
        <f>IFERROR(Q311/Q444, "NA")</f>
        <v>2.391025630130966E-5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-26.73</v>
      </c>
      <c r="X311" s="8">
        <f>IFERROR(W311/W444, "NA")</f>
        <v>-2.2581954627420964E-4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-26.73</v>
      </c>
      <c r="AD311" s="8">
        <f>IFERROR(AC311/AC444, "NA")</f>
        <v>-1.2227068882493931E-4</v>
      </c>
    </row>
    <row r="312" spans="1:30" ht="16.5" customHeight="1" x14ac:dyDescent="0.45">
      <c r="A312" s="6" t="s">
        <v>284</v>
      </c>
      <c r="B312" s="7">
        <v>1634.22</v>
      </c>
      <c r="C312" s="8">
        <f>IFERROR(B312/B444, "NA")</f>
        <v>7.2384297716135493E-3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-1634.22</v>
      </c>
      <c r="I312" s="8">
        <f>IFERROR(H312/H444, "NA")</f>
        <v>-6.505725382289293E-2</v>
      </c>
      <c r="J312" s="9"/>
      <c r="K312" s="7">
        <v>833.93</v>
      </c>
      <c r="L312" s="8">
        <f>IFERROR(K312/K444, "NA")</f>
        <v>4.6548740734125207E-3</v>
      </c>
      <c r="M312" s="9"/>
      <c r="N312" s="10">
        <f t="shared" si="77"/>
        <v>-800.29000000000008</v>
      </c>
      <c r="O312" s="8">
        <f>IFERROR(N312/N444, "NA")</f>
        <v>-1.7166988860087405E-2</v>
      </c>
      <c r="P312" s="9"/>
      <c r="Q312" s="7">
        <v>2993.97</v>
      </c>
      <c r="R312" s="8">
        <f>IFERROR(Q312/Q444, "NA")</f>
        <v>2.6781365528781172E-3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-2993.97</v>
      </c>
      <c r="X312" s="8">
        <f>IFERROR(W312/W444, "NA")</f>
        <v>-2.5293563298114306E-2</v>
      </c>
      <c r="Y312" s="9"/>
      <c r="Z312" s="7">
        <v>2045.08</v>
      </c>
      <c r="AA312" s="8">
        <f>IFERROR(Z312/Z444, "NA")</f>
        <v>2.2740368776975957E-3</v>
      </c>
      <c r="AB312" s="9"/>
      <c r="AC312" s="10">
        <f t="shared" si="79"/>
        <v>-948.88999999999987</v>
      </c>
      <c r="AD312" s="8">
        <f>IFERROR(AC312/AC444, "NA")</f>
        <v>-4.3404950961128562E-3</v>
      </c>
    </row>
    <row r="313" spans="1:30" ht="16.5" customHeight="1" x14ac:dyDescent="0.45">
      <c r="A313" s="6" t="s">
        <v>285</v>
      </c>
      <c r="B313" s="7">
        <v>476.63</v>
      </c>
      <c r="C313" s="8">
        <f>IFERROR(B313/B444, "NA")</f>
        <v>2.1111311708608177E-3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-476.63</v>
      </c>
      <c r="I313" s="8">
        <f>IFERROR(H313/H444, "NA")</f>
        <v>-1.8974335701194122E-2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-476.63</v>
      </c>
      <c r="O313" s="8">
        <f>IFERROR(N313/N444, "NA")</f>
        <v>-1.0224171113450697E-2</v>
      </c>
      <c r="P313" s="9"/>
      <c r="Q313" s="7">
        <v>1760.6</v>
      </c>
      <c r="R313" s="8">
        <f>IFERROR(Q313/Q444, "NA")</f>
        <v>1.5748745695505345E-3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-1760.6</v>
      </c>
      <c r="X313" s="8">
        <f>IFERROR(W313/W444, "NA")</f>
        <v>-1.4873845610563916E-2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-1760.6</v>
      </c>
      <c r="AD313" s="8">
        <f>IFERROR(AC313/AC444, "NA")</f>
        <v>-8.0534895153456087E-3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hidden="1" customHeight="1" x14ac:dyDescent="0.45">
      <c r="A315" s="6" t="s">
        <v>287</v>
      </c>
      <c r="B315" s="7">
        <v>0</v>
      </c>
      <c r="C315" s="8">
        <f>IFERROR(B315/B444, "NA")</f>
        <v>0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0</v>
      </c>
      <c r="I315" s="8">
        <f>IFERROR(H315/H444, "NA")</f>
        <v>0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0</v>
      </c>
      <c r="O315" s="8">
        <f>IFERROR(N315/N444, "NA")</f>
        <v>0</v>
      </c>
      <c r="P315" s="9"/>
      <c r="Q315" s="7">
        <v>0</v>
      </c>
      <c r="R315" s="8">
        <f>IFERROR(Q315/Q444, "NA")</f>
        <v>0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0</v>
      </c>
      <c r="X315" s="8">
        <f>IFERROR(W315/W444, "NA")</f>
        <v>0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0</v>
      </c>
      <c r="AD315" s="8">
        <f>IFERROR(AC315/AC444, "NA")</f>
        <v>0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0</v>
      </c>
      <c r="C318" s="8">
        <f>IFERROR(B318/B444, "NA")</f>
        <v>0</v>
      </c>
      <c r="D318" s="9"/>
      <c r="E318" s="7">
        <v>693</v>
      </c>
      <c r="F318" s="8">
        <f>IFERROR(E318/E444, "NA")</f>
        <v>3.4537710994016254E-3</v>
      </c>
      <c r="G318" s="9"/>
      <c r="H318" s="10">
        <f t="shared" si="76"/>
        <v>693</v>
      </c>
      <c r="I318" s="8">
        <f>IFERROR(H318/H444, "NA")</f>
        <v>2.7587887126130386E-2</v>
      </c>
      <c r="J318" s="9"/>
      <c r="K318" s="7">
        <v>0</v>
      </c>
      <c r="L318" s="8">
        <f>IFERROR(K318/K444, "NA")</f>
        <v>0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0</v>
      </c>
      <c r="R318" s="8">
        <f>IFERROR(Q318/Q444, "NA")</f>
        <v>0</v>
      </c>
      <c r="S318" s="9"/>
      <c r="T318" s="7">
        <v>4158</v>
      </c>
      <c r="U318" s="8">
        <f>IFERROR(T318/T444, "NA")</f>
        <v>4.1598242909427928E-3</v>
      </c>
      <c r="V318" s="9"/>
      <c r="W318" s="10">
        <f t="shared" si="78"/>
        <v>4158</v>
      </c>
      <c r="X318" s="8">
        <f>IFERROR(W318/W444, "NA")</f>
        <v>3.5127484975988166E-2</v>
      </c>
      <c r="Y318" s="9"/>
      <c r="Z318" s="7">
        <v>0</v>
      </c>
      <c r="AA318" s="8">
        <f>IFERROR(Z318/Z444, "NA")</f>
        <v>0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313.20999999999998</v>
      </c>
      <c r="C319" s="8">
        <f>IFERROR(B319/B444, "NA")</f>
        <v>1.3872970522739163E-3</v>
      </c>
      <c r="D319" s="9"/>
      <c r="E319" s="7">
        <v>294</v>
      </c>
      <c r="F319" s="8">
        <f>IFERROR(E319/E444, "NA")</f>
        <v>1.4652362239885683E-3</v>
      </c>
      <c r="G319" s="9"/>
      <c r="H319" s="10">
        <f t="shared" si="76"/>
        <v>-19.20999999999998</v>
      </c>
      <c r="I319" s="8">
        <f>IFERROR(H319/H444, "NA")</f>
        <v>-7.6473782351077079E-4</v>
      </c>
      <c r="J319" s="9"/>
      <c r="K319" s="7">
        <v>293.35000000000002</v>
      </c>
      <c r="L319" s="8">
        <f>IFERROR(K319/K444, "NA")</f>
        <v>1.6374363668839869E-3</v>
      </c>
      <c r="M319" s="9"/>
      <c r="N319" s="10">
        <f t="shared" si="77"/>
        <v>-19.859999999999957</v>
      </c>
      <c r="O319" s="8">
        <f>IFERROR(N319/N444, "NA")</f>
        <v>-4.2601606762715402E-4</v>
      </c>
      <c r="P319" s="9"/>
      <c r="Q319" s="7">
        <v>1887.06</v>
      </c>
      <c r="R319" s="8">
        <f>IFERROR(Q319/Q444, "NA")</f>
        <v>1.6879943230807858E-3</v>
      </c>
      <c r="S319" s="9"/>
      <c r="T319" s="7">
        <v>1764</v>
      </c>
      <c r="U319" s="8">
        <f>IFERROR(T319/T444, "NA")</f>
        <v>1.7647739416120941E-3</v>
      </c>
      <c r="V319" s="9"/>
      <c r="W319" s="10">
        <f t="shared" si="78"/>
        <v>-123.05999999999995</v>
      </c>
      <c r="X319" s="8">
        <f>IFERROR(W319/W444, "NA")</f>
        <v>-1.0396316260570229E-3</v>
      </c>
      <c r="Y319" s="9"/>
      <c r="Z319" s="7">
        <v>1719.45</v>
      </c>
      <c r="AA319" s="8">
        <f>IFERROR(Z319/Z444, "NA")</f>
        <v>1.9119509795984173E-3</v>
      </c>
      <c r="AB319" s="9"/>
      <c r="AC319" s="10">
        <f t="shared" si="79"/>
        <v>-167.6099999999999</v>
      </c>
      <c r="AD319" s="8">
        <f>IFERROR(AC319/AC444, "NA")</f>
        <v>-7.6669622723337316E-4</v>
      </c>
    </row>
    <row r="320" spans="1:30" ht="16.5" customHeight="1" x14ac:dyDescent="0.45">
      <c r="A320" s="6" t="s">
        <v>292</v>
      </c>
      <c r="B320" s="7">
        <v>1158.9000000000001</v>
      </c>
      <c r="C320" s="8">
        <f>IFERROR(B320/B444, "NA")</f>
        <v>5.1331009670197054E-3</v>
      </c>
      <c r="D320" s="9"/>
      <c r="E320" s="7">
        <v>833</v>
      </c>
      <c r="F320" s="8">
        <f>IFERROR(E320/E444, "NA")</f>
        <v>4.151502634634277E-3</v>
      </c>
      <c r="G320" s="9"/>
      <c r="H320" s="10">
        <f t="shared" si="76"/>
        <v>-325.90000000000009</v>
      </c>
      <c r="I320" s="8">
        <f>IFERROR(H320/H444, "NA")</f>
        <v>-1.2973870727858435E-2</v>
      </c>
      <c r="J320" s="9"/>
      <c r="K320" s="7">
        <v>667.49</v>
      </c>
      <c r="L320" s="8">
        <f>IFERROR(K320/K444, "NA")</f>
        <v>3.725830579619541E-3</v>
      </c>
      <c r="M320" s="9"/>
      <c r="N320" s="10">
        <f t="shared" si="77"/>
        <v>-491.41000000000008</v>
      </c>
      <c r="O320" s="8">
        <f>IFERROR(N320/N444, "NA")</f>
        <v>-1.0541216303759328E-2</v>
      </c>
      <c r="P320" s="9"/>
      <c r="Q320" s="7">
        <v>6357.65</v>
      </c>
      <c r="R320" s="8">
        <f>IFERROR(Q320/Q444, "NA")</f>
        <v>5.6869824531994521E-3</v>
      </c>
      <c r="S320" s="9"/>
      <c r="T320" s="7">
        <v>4998</v>
      </c>
      <c r="U320" s="8">
        <f>IFERROR(T320/T444, "NA")</f>
        <v>5.0001928345675996E-3</v>
      </c>
      <c r="V320" s="9"/>
      <c r="W320" s="10">
        <f t="shared" si="78"/>
        <v>-1359.6499999999996</v>
      </c>
      <c r="X320" s="8">
        <f>IFERROR(W320/W444, "NA")</f>
        <v>-1.1486552416450769E-2</v>
      </c>
      <c r="Y320" s="9"/>
      <c r="Z320" s="7">
        <v>4767.74</v>
      </c>
      <c r="AA320" s="8">
        <f>IFERROR(Z320/Z444, "NA")</f>
        <v>5.3015122065024033E-3</v>
      </c>
      <c r="AB320" s="9"/>
      <c r="AC320" s="10">
        <f t="shared" si="79"/>
        <v>-1589.9099999999999</v>
      </c>
      <c r="AD320" s="8">
        <f>IFERROR(AC320/AC444, "NA")</f>
        <v>-7.272704484461625E-3</v>
      </c>
    </row>
    <row r="321" spans="1:30" ht="16.5" customHeight="1" x14ac:dyDescent="0.45">
      <c r="A321" s="6" t="s">
        <v>293</v>
      </c>
      <c r="B321" s="7">
        <v>2065.2800000000002</v>
      </c>
      <c r="C321" s="8">
        <f>IFERROR(B321/B444, "NA")</f>
        <v>9.1477183235537645E-3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-2065.2800000000002</v>
      </c>
      <c r="I321" s="8">
        <f>IFERROR(H321/H444, "NA")</f>
        <v>-8.2217476946399082E-2</v>
      </c>
      <c r="J321" s="9"/>
      <c r="K321" s="7">
        <v>2166.83</v>
      </c>
      <c r="L321" s="8">
        <f>IFERROR(K321/K444, "NA")</f>
        <v>1.2094924979905332E-2</v>
      </c>
      <c r="M321" s="9"/>
      <c r="N321" s="10">
        <f t="shared" si="77"/>
        <v>101.54999999999973</v>
      </c>
      <c r="O321" s="8">
        <f>IFERROR(N321/N444, "NA")</f>
        <v>2.1783449983654312E-3</v>
      </c>
      <c r="P321" s="9"/>
      <c r="Q321" s="7">
        <v>14340.3</v>
      </c>
      <c r="R321" s="8">
        <f>IFERROR(Q321/Q444, "NA")</f>
        <v>1.2827543899650988E-2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-14340.3</v>
      </c>
      <c r="X321" s="8">
        <f>IFERROR(W321/W444, "NA")</f>
        <v>-0.12114927195795168</v>
      </c>
      <c r="Y321" s="9"/>
      <c r="Z321" s="7">
        <v>10303.15</v>
      </c>
      <c r="AA321" s="8">
        <f>IFERROR(Z321/Z444, "NA")</f>
        <v>1.1456638887696317E-2</v>
      </c>
      <c r="AB321" s="9"/>
      <c r="AC321" s="10">
        <f t="shared" si="79"/>
        <v>-4037.1499999999996</v>
      </c>
      <c r="AD321" s="8">
        <f>IFERROR(AC321/AC444, "NA")</f>
        <v>-1.8467082356513419E-2</v>
      </c>
    </row>
    <row r="322" spans="1:30" ht="16.5" customHeight="1" x14ac:dyDescent="0.45">
      <c r="A322" s="6" t="s">
        <v>294</v>
      </c>
      <c r="B322" s="7">
        <v>209.48</v>
      </c>
      <c r="C322" s="8">
        <f>IFERROR(B322/B444, "NA")</f>
        <v>9.2784708824858713E-4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-209.48</v>
      </c>
      <c r="I322" s="8">
        <f>IFERROR(H322/H444, "NA")</f>
        <v>-8.3392649281122545E-3</v>
      </c>
      <c r="J322" s="9"/>
      <c r="K322" s="7">
        <v>180.7</v>
      </c>
      <c r="L322" s="8">
        <f>IFERROR(K322/K444, "NA")</f>
        <v>1.0086407073323211E-3</v>
      </c>
      <c r="M322" s="9"/>
      <c r="N322" s="10">
        <f t="shared" si="77"/>
        <v>-28.78</v>
      </c>
      <c r="O322" s="8">
        <f>IFERROR(N322/N444, "NA")</f>
        <v>-6.1735863173763945E-4</v>
      </c>
      <c r="P322" s="9"/>
      <c r="Q322" s="7">
        <v>1157.3699999999999</v>
      </c>
      <c r="R322" s="8">
        <f>IFERROR(Q322/Q444, "NA")</f>
        <v>1.0352792119508701E-3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-1157.3699999999999</v>
      </c>
      <c r="X322" s="8">
        <f>IFERROR(W322/W444, "NA")</f>
        <v>-9.7776568750984651E-3</v>
      </c>
      <c r="Y322" s="9"/>
      <c r="Z322" s="7">
        <v>1012.71</v>
      </c>
      <c r="AA322" s="8">
        <f>IFERROR(Z322/Z444, "NA")</f>
        <v>1.126087921456927E-3</v>
      </c>
      <c r="AB322" s="9"/>
      <c r="AC322" s="10">
        <f t="shared" si="79"/>
        <v>-144.65999999999985</v>
      </c>
      <c r="AD322" s="8">
        <f>IFERROR(AC322/AC444, "NA")</f>
        <v>-6.6171634288872817E-4</v>
      </c>
    </row>
    <row r="323" spans="1:30" ht="16.5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-31.29</v>
      </c>
      <c r="AA323" s="8">
        <f>IFERROR(Z323/Z444, "NA")</f>
        <v>-3.4793071128345967E-5</v>
      </c>
      <c r="AB323" s="9"/>
      <c r="AC323" s="10">
        <f t="shared" si="79"/>
        <v>-31.29</v>
      </c>
      <c r="AD323" s="8">
        <f>IFERROR(AC323/AC444, "NA")</f>
        <v>-1.431294370868818E-4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6571.3600000000006</v>
      </c>
      <c r="C324" s="15">
        <f>IFERROR(B324/B444, "NA")</f>
        <v>2.9106440910030729E-2</v>
      </c>
      <c r="D324" s="2"/>
      <c r="E324" s="14">
        <f>IFERROR(E297+E298+E299+E300+E301+E302+E303+E304+E305+E306+E307+E308+E309+E310+E311+E312+E313+E314+E315+E316+E317+E318+E319+E320+E321+E322+E323, "NA")</f>
        <v>4428.45</v>
      </c>
      <c r="F324" s="15">
        <f>IFERROR(E324/E444, "NA")</f>
        <v>2.207049440857883E-2</v>
      </c>
      <c r="G324" s="2"/>
      <c r="H324" s="14">
        <f t="shared" si="76"/>
        <v>-2142.9100000000008</v>
      </c>
      <c r="I324" s="15">
        <f>IFERROR(H324/H444, "NA")</f>
        <v>-8.530787763557876E-2</v>
      </c>
      <c r="J324" s="2"/>
      <c r="K324" s="14">
        <f>IFERROR(K297+K298+K299+K300+K301+K302+K303+K304+K305+K306+K307+K308+K309+K310+K311+K312+K313+K314+K315+K316+K317+K318+K319+K320+K321+K322+K323, "NA")</f>
        <v>4697.63</v>
      </c>
      <c r="L324" s="15">
        <f>IFERROR(K324/K444, "NA")</f>
        <v>2.622147673483969E-2</v>
      </c>
      <c r="M324" s="2"/>
      <c r="N324" s="14">
        <f t="shared" si="77"/>
        <v>-1873.7300000000005</v>
      </c>
      <c r="O324" s="15">
        <f>IFERROR(N324/N444, "NA")</f>
        <v>-4.019330747205585E-2</v>
      </c>
      <c r="P324" s="2"/>
      <c r="Q324" s="14">
        <f>IFERROR(Q297+Q298+Q299+Q300+Q301+Q302+Q303+Q304+Q305+Q306+Q307+Q308+Q309+Q310+Q311+Q312+Q313+Q314+Q315+Q316+Q317+Q318+Q319+Q320+Q321+Q322+Q323, "NA")</f>
        <v>33893.259999999995</v>
      </c>
      <c r="R324" s="15">
        <f>IFERROR(Q324/Q444, "NA")</f>
        <v>3.0317865076203761E-2</v>
      </c>
      <c r="S324" s="2"/>
      <c r="T324" s="14">
        <f>IFERROR(T297+T298+T299+T300+T301+T302+T303+T304+T305+T306+T307+T308+T309+T310+T311+T312+T313+T314+T315+T316+T317+T318+T319+T320+T321+T322+T323, "NA")</f>
        <v>23914.29</v>
      </c>
      <c r="U324" s="15">
        <f>IFERROR(T324/T444, "NA")</f>
        <v>2.3924782213239619E-2</v>
      </c>
      <c r="V324" s="2"/>
      <c r="W324" s="14">
        <f t="shared" si="78"/>
        <v>-9978.9699999999939</v>
      </c>
      <c r="X324" s="15">
        <f>IFERROR(W324/W444, "NA")</f>
        <v>-8.4304020863597021E-2</v>
      </c>
      <c r="Y324" s="2"/>
      <c r="Z324" s="14">
        <f>IFERROR(Z297+Z298+Z299+Z300+Z301+Z302+Z303+Z304+Z305+Z306+Z307+Z308+Z309+Z310+Z311+Z312+Z313+Z314+Z315+Z316+Z317+Z318+Z319+Z320+Z321+Z322+Z323, "NA")</f>
        <v>22132.39</v>
      </c>
      <c r="AA324" s="15">
        <f>IFERROR(Z324/Z444, "NA")</f>
        <v>2.4610221141268554E-2</v>
      </c>
      <c r="AB324" s="2"/>
      <c r="AC324" s="14">
        <f t="shared" si="79"/>
        <v>-11760.869999999995</v>
      </c>
      <c r="AD324" s="15">
        <f>IFERROR(AC324/AC444, "NA")</f>
        <v>-5.3797593568296422E-2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57480.71</v>
      </c>
      <c r="C325" s="15">
        <f>IFERROR(B325/B444, "NA")</f>
        <v>0.25459857458450186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50576.349999999991</v>
      </c>
      <c r="F325" s="15">
        <f>IFERROR(E325/E444, "NA")</f>
        <v>0.25206224522831366</v>
      </c>
      <c r="G325" s="2"/>
      <c r="H325" s="14">
        <f t="shared" si="76"/>
        <v>-6904.3600000000079</v>
      </c>
      <c r="I325" s="15">
        <f>IFERROR(H325/H444, "NA")</f>
        <v>-0.2748581592469983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38271.719999999994</v>
      </c>
      <c r="L325" s="15">
        <f>IFERROR(K325/K444, "NA")</f>
        <v>0.21362708761275337</v>
      </c>
      <c r="M325" s="2"/>
      <c r="N325" s="14">
        <f t="shared" si="77"/>
        <v>-19208.990000000005</v>
      </c>
      <c r="O325" s="15">
        <f>IFERROR(N325/N444, "NA")</f>
        <v>-0.41205127809110498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300052.56999999995</v>
      </c>
      <c r="R325" s="15">
        <f>IFERROR(Q325/Q444, "NA")</f>
        <v>0.26840006930664634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256161.49999999997</v>
      </c>
      <c r="U325" s="15">
        <f>IFERROR(T325/T444, "NA")</f>
        <v>0.25627388891398323</v>
      </c>
      <c r="V325" s="2"/>
      <c r="W325" s="14">
        <f t="shared" si="78"/>
        <v>-43891.069999999978</v>
      </c>
      <c r="X325" s="15">
        <f>IFERROR(W325/W444, "NA")</f>
        <v>-0.37079915873137181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199310.33</v>
      </c>
      <c r="AA325" s="15">
        <f>IFERROR(Z325/Z444, "NA")</f>
        <v>0.22162411276139685</v>
      </c>
      <c r="AB325" s="2"/>
      <c r="AC325" s="14">
        <f t="shared" si="79"/>
        <v>-100742.23999999996</v>
      </c>
      <c r="AD325" s="15">
        <f>IFERROR(AC325/AC444, "NA")</f>
        <v>-0.4608239086632005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10136.4</v>
      </c>
      <c r="C329" s="8">
        <f>IFERROR(B329/B444, "NA")</f>
        <v>4.4897027044696294E-2</v>
      </c>
      <c r="D329" s="9"/>
      <c r="E329" s="7">
        <v>11697</v>
      </c>
      <c r="F329" s="8">
        <f>IFERROR(E329/E444, "NA")</f>
        <v>5.8295469768688046E-2</v>
      </c>
      <c r="G329" s="9"/>
      <c r="H329" s="10">
        <f t="shared" si="80"/>
        <v>1560.6000000000004</v>
      </c>
      <c r="I329" s="8">
        <f>IFERROR(H329/H444, "NA")</f>
        <v>6.2126488671052076E-2</v>
      </c>
      <c r="J329" s="9"/>
      <c r="K329" s="7">
        <v>9841.17</v>
      </c>
      <c r="L329" s="8">
        <f>IFERROR(K329/K444, "NA")</f>
        <v>5.4931957220684113E-2</v>
      </c>
      <c r="M329" s="9"/>
      <c r="N329" s="10">
        <f t="shared" si="81"/>
        <v>-295.22999999999956</v>
      </c>
      <c r="O329" s="8">
        <f>IFERROR(N329/N444, "NA")</f>
        <v>-6.3329669509347821E-3</v>
      </c>
      <c r="P329" s="9"/>
      <c r="Q329" s="7">
        <v>60818.400000000001</v>
      </c>
      <c r="R329" s="8">
        <f>IFERROR(Q329/Q444, "NA")</f>
        <v>5.4402676088124637E-2</v>
      </c>
      <c r="S329" s="9"/>
      <c r="T329" s="7">
        <v>60814</v>
      </c>
      <c r="U329" s="8">
        <f>IFERROR(T329/T444, "NA")</f>
        <v>6.0840681680951185E-2</v>
      </c>
      <c r="V329" s="9"/>
      <c r="W329" s="10">
        <f t="shared" si="82"/>
        <v>-4.4000000000014552</v>
      </c>
      <c r="X329" s="8">
        <f>IFERROR(W329/W444, "NA")</f>
        <v>-3.7171941773544743E-5</v>
      </c>
      <c r="Y329" s="9"/>
      <c r="Z329" s="7">
        <v>59047.02</v>
      </c>
      <c r="AA329" s="8">
        <f>IFERROR(Z329/Z444, "NA")</f>
        <v>6.565762757356558E-2</v>
      </c>
      <c r="AB329" s="9"/>
      <c r="AC329" s="10">
        <f t="shared" si="83"/>
        <v>-1771.3800000000047</v>
      </c>
      <c r="AD329" s="8">
        <f>IFERROR(AC329/AC444, "NA")</f>
        <v>-8.1028003281227671E-3</v>
      </c>
    </row>
    <row r="330" spans="1:30" ht="16.5" customHeight="1" x14ac:dyDescent="0.45">
      <c r="A330" s="6" t="s">
        <v>301</v>
      </c>
      <c r="B330" s="7">
        <v>-244.77</v>
      </c>
      <c r="C330" s="8">
        <f>IFERROR(B330/B444, "NA")</f>
        <v>-1.0841566344787412E-3</v>
      </c>
      <c r="D330" s="9"/>
      <c r="E330" s="7">
        <v>728</v>
      </c>
      <c r="F330" s="8">
        <f>IFERROR(E330/E444, "NA")</f>
        <v>3.6282039832097883E-3</v>
      </c>
      <c r="G330" s="9"/>
      <c r="H330" s="10">
        <f t="shared" si="80"/>
        <v>972.77</v>
      </c>
      <c r="I330" s="8">
        <f>IFERROR(H330/H444, "NA")</f>
        <v>3.872535203417872E-2</v>
      </c>
      <c r="J330" s="9"/>
      <c r="K330" s="7">
        <v>844.12</v>
      </c>
      <c r="L330" s="8">
        <f>IFERROR(K330/K444, "NA")</f>
        <v>4.7117531481646871E-3</v>
      </c>
      <c r="M330" s="9"/>
      <c r="N330" s="10">
        <f t="shared" si="81"/>
        <v>1088.8900000000001</v>
      </c>
      <c r="O330" s="8">
        <f>IFERROR(N330/N444, "NA")</f>
        <v>2.3357735945545455E-2</v>
      </c>
      <c r="P330" s="9"/>
      <c r="Q330" s="7">
        <v>3398.48</v>
      </c>
      <c r="R330" s="8">
        <f>IFERROR(Q330/Q444, "NA")</f>
        <v>3.0399748535306719E-3</v>
      </c>
      <c r="S330" s="9"/>
      <c r="T330" s="7">
        <v>4368</v>
      </c>
      <c r="U330" s="8">
        <f>IFERROR(T330/T444, "NA")</f>
        <v>4.3699164268489951E-3</v>
      </c>
      <c r="V330" s="9"/>
      <c r="W330" s="10">
        <f t="shared" si="82"/>
        <v>969.52</v>
      </c>
      <c r="X330" s="8">
        <f>IFERROR(W330/W444, "NA")</f>
        <v>8.1906684064261773E-3</v>
      </c>
      <c r="Y330" s="9"/>
      <c r="Z330" s="7">
        <v>4487.37</v>
      </c>
      <c r="AA330" s="8">
        <f>IFERROR(Z330/Z444, "NA")</f>
        <v>4.9897533905147286E-3</v>
      </c>
      <c r="AB330" s="9"/>
      <c r="AC330" s="10">
        <f t="shared" si="83"/>
        <v>1088.8899999999999</v>
      </c>
      <c r="AD330" s="8">
        <f>IFERROR(AC330/AC444, "NA")</f>
        <v>4.9808952620496874E-3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1310.4000000000001</v>
      </c>
      <c r="C332" s="8">
        <f>IFERROR(B332/B444, "NA")</f>
        <v>5.8041379818643728E-3</v>
      </c>
      <c r="D332" s="9"/>
      <c r="E332" s="7">
        <v>15</v>
      </c>
      <c r="F332" s="8">
        <f>IFERROR(E332/E444, "NA")</f>
        <v>7.4756950203498391E-5</v>
      </c>
      <c r="G332" s="9"/>
      <c r="H332" s="10">
        <f t="shared" si="80"/>
        <v>-1295.4000000000001</v>
      </c>
      <c r="I332" s="8">
        <f>IFERROR(H332/H444, "NA")</f>
        <v>-5.1569046151788318E-2</v>
      </c>
      <c r="J332" s="9"/>
      <c r="K332" s="7">
        <v>15.16</v>
      </c>
      <c r="L332" s="8">
        <f>IFERROR(K332/K444, "NA")</f>
        <v>8.4620880593015986E-5</v>
      </c>
      <c r="M332" s="9"/>
      <c r="N332" s="10">
        <f t="shared" si="81"/>
        <v>-1295.24</v>
      </c>
      <c r="O332" s="8">
        <f>IFERROR(N332/N444, "NA")</f>
        <v>-2.7784141562608063E-2</v>
      </c>
      <c r="P332" s="9"/>
      <c r="Q332" s="7">
        <v>1386.2</v>
      </c>
      <c r="R332" s="8">
        <f>IFERROR(Q332/Q444, "NA")</f>
        <v>1.2399699695052546E-3</v>
      </c>
      <c r="S332" s="9"/>
      <c r="T332" s="7">
        <v>90</v>
      </c>
      <c r="U332" s="8">
        <f>IFERROR(T332/T444, "NA")</f>
        <v>9.0039486816943578E-5</v>
      </c>
      <c r="V332" s="9"/>
      <c r="W332" s="10">
        <f t="shared" si="82"/>
        <v>-1296.2</v>
      </c>
      <c r="X332" s="8">
        <f>IFERROR(W332/W444, "NA")</f>
        <v>-1.0950516119739264E-2</v>
      </c>
      <c r="Y332" s="9"/>
      <c r="Z332" s="7">
        <v>90.96</v>
      </c>
      <c r="AA332" s="8">
        <f>IFERROR(Z332/Z444, "NA")</f>
        <v>1.0114342441145251E-4</v>
      </c>
      <c r="AB332" s="9"/>
      <c r="AC332" s="10">
        <f t="shared" si="83"/>
        <v>-1295.24</v>
      </c>
      <c r="AD332" s="8">
        <f>IFERROR(AC332/AC444, "NA")</f>
        <v>-5.924799363771582E-3</v>
      </c>
    </row>
    <row r="333" spans="1:30" ht="16.5" customHeight="1" x14ac:dyDescent="0.45">
      <c r="A333" s="6" t="s">
        <v>304</v>
      </c>
      <c r="B333" s="7">
        <v>964.14</v>
      </c>
      <c r="C333" s="8">
        <f>IFERROR(B333/B444, "NA")</f>
        <v>4.2704529867481043E-3</v>
      </c>
      <c r="D333" s="9"/>
      <c r="E333" s="7">
        <v>728</v>
      </c>
      <c r="F333" s="8">
        <f>IFERROR(E333/E444, "NA")</f>
        <v>3.6282039832097883E-3</v>
      </c>
      <c r="G333" s="9"/>
      <c r="H333" s="10">
        <f t="shared" si="80"/>
        <v>-236.14</v>
      </c>
      <c r="I333" s="8">
        <f>IFERROR(H333/H444, "NA")</f>
        <v>-9.400582490569161E-3</v>
      </c>
      <c r="J333" s="9"/>
      <c r="K333" s="7">
        <v>964.14</v>
      </c>
      <c r="L333" s="8">
        <f>IFERROR(K333/K444, "NA")</f>
        <v>5.3816870590336699E-3</v>
      </c>
      <c r="M333" s="9"/>
      <c r="N333" s="10">
        <f t="shared" si="81"/>
        <v>0</v>
      </c>
      <c r="O333" s="8">
        <f>IFERROR(N333/N444, "NA")</f>
        <v>0</v>
      </c>
      <c r="P333" s="9"/>
      <c r="Q333" s="7">
        <v>5784.84</v>
      </c>
      <c r="R333" s="8">
        <f>IFERROR(Q333/Q444, "NA")</f>
        <v>5.1745980943534676E-3</v>
      </c>
      <c r="S333" s="9"/>
      <c r="T333" s="7">
        <v>4368</v>
      </c>
      <c r="U333" s="8">
        <f>IFERROR(T333/T444, "NA")</f>
        <v>4.3699164268489951E-3</v>
      </c>
      <c r="V333" s="9"/>
      <c r="W333" s="10">
        <f t="shared" si="82"/>
        <v>-1416.8400000000001</v>
      </c>
      <c r="X333" s="8">
        <f>IFERROR(W333/W444, "NA")</f>
        <v>-1.1969703177820847E-2</v>
      </c>
      <c r="Y333" s="9"/>
      <c r="Z333" s="7">
        <v>5784.84</v>
      </c>
      <c r="AA333" s="8">
        <f>IFERROR(Z333/Z444, "NA")</f>
        <v>6.4324816102940526E-3</v>
      </c>
      <c r="AB333" s="9"/>
      <c r="AC333" s="10">
        <f t="shared" si="83"/>
        <v>0</v>
      </c>
      <c r="AD333" s="8">
        <f>IFERROR(AC333/AC444, "NA")</f>
        <v>0</v>
      </c>
    </row>
    <row r="334" spans="1:30" ht="16.5" customHeight="1" x14ac:dyDescent="0.45">
      <c r="A334" s="6" t="s">
        <v>305</v>
      </c>
      <c r="B334" s="7">
        <v>1561</v>
      </c>
      <c r="C334" s="8">
        <f>IFERROR(B334/B444, "NA")</f>
        <v>6.9141173608747598E-3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-1561</v>
      </c>
      <c r="I334" s="8">
        <f>IFERROR(H334/H444, "NA")</f>
        <v>-6.2142412415425008E-2</v>
      </c>
      <c r="J334" s="9"/>
      <c r="K334" s="7">
        <v>1515.54</v>
      </c>
      <c r="L334" s="8">
        <f>IFERROR(K334/K444, "NA")</f>
        <v>8.4595204072519421E-3</v>
      </c>
      <c r="M334" s="9"/>
      <c r="N334" s="10">
        <f t="shared" si="81"/>
        <v>-45.460000000000036</v>
      </c>
      <c r="O334" s="8">
        <f>IFERROR(N334/N444, "NA")</f>
        <v>-9.7516064624020532E-4</v>
      </c>
      <c r="P334" s="9"/>
      <c r="Q334" s="7">
        <v>0</v>
      </c>
      <c r="R334" s="8">
        <f>IFERROR(Q334/Q444, "NA")</f>
        <v>0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0</v>
      </c>
      <c r="AA334" s="8">
        <f>IFERROR(Z334/Z444, "NA")</f>
        <v>0</v>
      </c>
      <c r="AB334" s="9"/>
      <c r="AC334" s="10">
        <f t="shared" si="83"/>
        <v>0</v>
      </c>
      <c r="AD334" s="8">
        <f>IFERROR(AC334/AC444, "NA")</f>
        <v>0</v>
      </c>
    </row>
    <row r="335" spans="1:30" ht="16.5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3309.62</v>
      </c>
      <c r="R335" s="8">
        <f>IFERROR(Q335/Q444, "NA")</f>
        <v>2.960488681628899E-3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-3309.62</v>
      </c>
      <c r="X335" s="8">
        <f>IFERROR(W335/W444, "NA")</f>
        <v>-2.7960227711936014E-2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-3309.62</v>
      </c>
      <c r="AD335" s="8">
        <f>IFERROR(AC335/AC444, "NA")</f>
        <v>-1.5139151408484685E-2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3511.26</v>
      </c>
      <c r="F337" s="8">
        <f>IFERROR(E337/E444, "NA")</f>
        <v>1.7499405931435719E-2</v>
      </c>
      <c r="G337" s="9"/>
      <c r="H337" s="10">
        <f t="shared" ref="H337:H344" si="84">IFERROR(-(B337-E337), "NA")</f>
        <v>3511.26</v>
      </c>
      <c r="I337" s="8">
        <f>IFERROR(H337/H444, "NA")</f>
        <v>0.13978101666738324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22580.23</v>
      </c>
      <c r="U337" s="8">
        <f>IFERROR(T337/T444, "NA")</f>
        <v>2.2590136904539485E-2</v>
      </c>
      <c r="V337" s="9"/>
      <c r="W337" s="10">
        <f t="shared" ref="W337:W344" si="86">IFERROR(-(Q337-T337), "NA")</f>
        <v>22580.23</v>
      </c>
      <c r="X337" s="8">
        <f>IFERROR(W337/W444, "NA")</f>
        <v>0.19076158972567514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3072.05</v>
      </c>
      <c r="C338" s="8">
        <f>IFERROR(B338/B444, "NA")</f>
        <v>1.3606991824775981E-2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-3072.05</v>
      </c>
      <c r="I338" s="8">
        <f>IFERROR(H338/H444, "NA")</f>
        <v>-0.1222963472522783</v>
      </c>
      <c r="J338" s="9"/>
      <c r="K338" s="7">
        <v>2411.4899999999998</v>
      </c>
      <c r="L338" s="8">
        <f>IFERROR(K338/K444, "NA")</f>
        <v>1.3460580959185495E-2</v>
      </c>
      <c r="M338" s="9"/>
      <c r="N338" s="10">
        <f t="shared" si="85"/>
        <v>-660.5600000000004</v>
      </c>
      <c r="O338" s="8">
        <f>IFERROR(N338/N444, "NA")</f>
        <v>-1.4169646205024856E-2</v>
      </c>
      <c r="P338" s="9"/>
      <c r="Q338" s="7">
        <v>22902.75</v>
      </c>
      <c r="R338" s="8">
        <f>IFERROR(Q338/Q444, "NA")</f>
        <v>2.0486742330894869E-2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-22902.75</v>
      </c>
      <c r="X338" s="8">
        <f>IFERROR(W338/W444, "NA")</f>
        <v>-0.19348629305767506</v>
      </c>
      <c r="Y338" s="9"/>
      <c r="Z338" s="7">
        <v>15000.95</v>
      </c>
      <c r="AA338" s="8">
        <f>IFERROR(Z338/Z444, "NA")</f>
        <v>1.6680380963335299E-2</v>
      </c>
      <c r="AB338" s="9"/>
      <c r="AC338" s="10">
        <f t="shared" si="87"/>
        <v>-7901.7999999999993</v>
      </c>
      <c r="AD338" s="8">
        <f>IFERROR(AC338/AC444, "NA")</f>
        <v>-3.6145100222854672E-2</v>
      </c>
    </row>
    <row r="339" spans="1:30" ht="16.5" customHeight="1" x14ac:dyDescent="0.45">
      <c r="A339" s="12" t="s">
        <v>309</v>
      </c>
      <c r="B339" s="7">
        <v>391.48</v>
      </c>
      <c r="C339" s="8">
        <f>IFERROR(B339/B444, "NA")</f>
        <v>1.7339773635075279E-3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-391.48</v>
      </c>
      <c r="I339" s="8">
        <f>IFERROR(H339/H444, "NA")</f>
        <v>-1.5584568617803064E-2</v>
      </c>
      <c r="J339" s="9"/>
      <c r="K339" s="7">
        <v>348.6</v>
      </c>
      <c r="L339" s="8">
        <f>IFERROR(K339/K444, "NA")</f>
        <v>1.9458337054568189E-3</v>
      </c>
      <c r="M339" s="9"/>
      <c r="N339" s="10">
        <f t="shared" si="85"/>
        <v>-42.879999999999995</v>
      </c>
      <c r="O339" s="8">
        <f>IFERROR(N339/N444, "NA")</f>
        <v>-9.1981716917685803E-4</v>
      </c>
      <c r="P339" s="9"/>
      <c r="Q339" s="7">
        <v>2061.12</v>
      </c>
      <c r="R339" s="8">
        <f>IFERROR(Q339/Q444, "NA")</f>
        <v>1.843692759736452E-3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-2061.12</v>
      </c>
      <c r="X339" s="8">
        <f>IFERROR(W339/W444, "NA")</f>
        <v>-1.7412689233696182E-2</v>
      </c>
      <c r="Y339" s="9"/>
      <c r="Z339" s="7">
        <v>2638.92</v>
      </c>
      <c r="AA339" s="8">
        <f>IFERROR(Z339/Z444, "NA")</f>
        <v>2.9343602193037631E-3</v>
      </c>
      <c r="AB339" s="9"/>
      <c r="AC339" s="10">
        <f t="shared" si="87"/>
        <v>577.80000000000018</v>
      </c>
      <c r="AD339" s="8">
        <f>IFERROR(AC339/AC444, "NA")</f>
        <v>2.6430229705592949E-3</v>
      </c>
    </row>
    <row r="340" spans="1:30" ht="16.5" customHeight="1" x14ac:dyDescent="0.45">
      <c r="A340" s="12" t="s">
        <v>310</v>
      </c>
      <c r="B340" s="7">
        <v>630.07000000000005</v>
      </c>
      <c r="C340" s="8">
        <f>IFERROR(B340/B444, "NA")</f>
        <v>2.7907610029252786E-3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-630.07000000000005</v>
      </c>
      <c r="I340" s="8">
        <f>IFERROR(H340/H444, "NA")</f>
        <v>-2.5082684042656529E-2</v>
      </c>
      <c r="J340" s="9"/>
      <c r="K340" s="7">
        <v>447.63</v>
      </c>
      <c r="L340" s="8">
        <f>IFERROR(K340/K444, "NA")</f>
        <v>2.4986045369295349E-3</v>
      </c>
      <c r="M340" s="9"/>
      <c r="N340" s="10">
        <f t="shared" si="85"/>
        <v>-182.44000000000005</v>
      </c>
      <c r="O340" s="8">
        <f>IFERROR(N340/N444, "NA")</f>
        <v>-3.9135131610220633E-3</v>
      </c>
      <c r="P340" s="9"/>
      <c r="Q340" s="7">
        <v>3517.84</v>
      </c>
      <c r="R340" s="8">
        <f>IFERROR(Q340/Q444, "NA")</f>
        <v>3.1467435849980986E-3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-3517.84</v>
      </c>
      <c r="X340" s="8">
        <f>IFERROR(W340/W444, "NA")</f>
        <v>-2.9719305374682592E-2</v>
      </c>
      <c r="Y340" s="9"/>
      <c r="Z340" s="7">
        <v>2629.48</v>
      </c>
      <c r="AA340" s="8">
        <f>IFERROR(Z340/Z444, "NA")</f>
        <v>2.9238633643516509E-3</v>
      </c>
      <c r="AB340" s="9"/>
      <c r="AC340" s="10">
        <f t="shared" si="87"/>
        <v>-888.36000000000013</v>
      </c>
      <c r="AD340" s="8">
        <f>IFERROR(AC340/AC444, "NA")</f>
        <v>-4.0636135100831691E-3</v>
      </c>
    </row>
    <row r="341" spans="1:30" ht="16.5" customHeight="1" x14ac:dyDescent="0.45">
      <c r="A341" s="12" t="s">
        <v>311</v>
      </c>
      <c r="B341" s="7">
        <v>380.17</v>
      </c>
      <c r="C341" s="8">
        <f>IFERROR(B341/B444, "NA")</f>
        <v>1.6838821249735795E-3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-380.17</v>
      </c>
      <c r="I341" s="8">
        <f>IFERROR(H341/H444, "NA")</f>
        <v>-1.5134324745657993E-2</v>
      </c>
      <c r="J341" s="9"/>
      <c r="K341" s="7">
        <v>351.45</v>
      </c>
      <c r="L341" s="8">
        <f>IFERROR(K341/K444, "NA")</f>
        <v>1.9617419844601231E-3</v>
      </c>
      <c r="M341" s="9"/>
      <c r="N341" s="10">
        <f t="shared" si="85"/>
        <v>-28.720000000000027</v>
      </c>
      <c r="O341" s="8">
        <f>IFERROR(N341/N444, "NA")</f>
        <v>-6.160715741315157E-4</v>
      </c>
      <c r="P341" s="9"/>
      <c r="Q341" s="7">
        <v>2281.02</v>
      </c>
      <c r="R341" s="8">
        <f>IFERROR(Q341/Q444, "NA")</f>
        <v>2.0403955416540727E-3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-2281.02</v>
      </c>
      <c r="X341" s="8">
        <f>IFERROR(W341/W444, "NA")</f>
        <v>-1.9270441505514317E-2</v>
      </c>
      <c r="Y341" s="9"/>
      <c r="Z341" s="7">
        <v>2108.6999999999998</v>
      </c>
      <c r="AA341" s="8">
        <f>IFERROR(Z341/Z444, "NA")</f>
        <v>2.3447794531269777E-3</v>
      </c>
      <c r="AB341" s="9"/>
      <c r="AC341" s="10">
        <f t="shared" si="87"/>
        <v>-172.32000000000016</v>
      </c>
      <c r="AD341" s="8">
        <f>IFERROR(AC341/AC444, "NA")</f>
        <v>-7.8824111853024927E-4</v>
      </c>
    </row>
    <row r="342" spans="1:30" ht="16.5" customHeight="1" x14ac:dyDescent="0.45">
      <c r="A342" s="13" t="s">
        <v>312</v>
      </c>
      <c r="B342" s="14">
        <f>IFERROR(B337+B338+B339+B340+B341, "NA")</f>
        <v>4473.7700000000004</v>
      </c>
      <c r="C342" s="15">
        <f>IFERROR(B342/B444, "NA")</f>
        <v>1.9815612316182368E-2</v>
      </c>
      <c r="D342" s="2"/>
      <c r="E342" s="14">
        <f>IFERROR(E337+E338+E339+E340+E341, "NA")</f>
        <v>3511.26</v>
      </c>
      <c r="F342" s="15">
        <f>IFERROR(E342/E444, "NA")</f>
        <v>1.7499405931435719E-2</v>
      </c>
      <c r="G342" s="2"/>
      <c r="H342" s="14">
        <f t="shared" si="84"/>
        <v>-962.51000000000022</v>
      </c>
      <c r="I342" s="15">
        <f>IFERROR(H342/H444, "NA")</f>
        <v>-3.8316907991012644E-2</v>
      </c>
      <c r="J342" s="2"/>
      <c r="K342" s="14">
        <f>IFERROR(K337+K338+K339+K340+K341, "NA")</f>
        <v>3559.1699999999996</v>
      </c>
      <c r="L342" s="15">
        <f>IFERROR(K342/K444, "NA")</f>
        <v>1.9866761186031971E-2</v>
      </c>
      <c r="M342" s="2"/>
      <c r="N342" s="14">
        <f t="shared" si="85"/>
        <v>-914.60000000000082</v>
      </c>
      <c r="O342" s="15">
        <f>IFERROR(N342/N444, "NA")</f>
        <v>-1.9619048109355299E-2</v>
      </c>
      <c r="P342" s="2"/>
      <c r="Q342" s="14">
        <f>IFERROR(Q337+Q338+Q339+Q340+Q341, "NA")</f>
        <v>30762.73</v>
      </c>
      <c r="R342" s="15">
        <f>IFERROR(Q342/Q444, "NA")</f>
        <v>2.7517574217283489E-2</v>
      </c>
      <c r="S342" s="2"/>
      <c r="T342" s="14">
        <f>IFERROR(T337+T338+T339+T340+T341, "NA")</f>
        <v>22580.23</v>
      </c>
      <c r="U342" s="15">
        <f>IFERROR(T342/T444, "NA")</f>
        <v>2.2590136904539485E-2</v>
      </c>
      <c r="V342" s="2"/>
      <c r="W342" s="14">
        <f t="shared" si="86"/>
        <v>-8182.5</v>
      </c>
      <c r="X342" s="15">
        <f>IFERROR(W342/W444, "NA")</f>
        <v>-6.9127139445893021E-2</v>
      </c>
      <c r="Y342" s="2"/>
      <c r="Z342" s="14">
        <f>IFERROR(Z337+Z338+Z339+Z340+Z341, "NA")</f>
        <v>22378.050000000003</v>
      </c>
      <c r="AA342" s="15">
        <f>IFERROR(Z342/Z444, "NA")</f>
        <v>2.4883384000117692E-2</v>
      </c>
      <c r="AB342" s="2"/>
      <c r="AC342" s="14">
        <f t="shared" si="87"/>
        <v>-8384.6799999999967</v>
      </c>
      <c r="AD342" s="15">
        <f>IFERROR(AC342/AC444, "NA")</f>
        <v>-3.8353931880908784E-2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18200.939999999995</v>
      </c>
      <c r="C343" s="15">
        <f>IFERROR(B343/B444, "NA")</f>
        <v>8.0617191055887133E-2</v>
      </c>
      <c r="D343" s="2"/>
      <c r="E343" s="14">
        <f>IFERROR(E328+E329+E330+E331+E332+E333+E334+E335+E337+E338+E339+E340+E341, "NA")</f>
        <v>16679.260000000002</v>
      </c>
      <c r="F343" s="15">
        <f>IFERROR(E343/E444, "NA")</f>
        <v>8.3126040616746846E-2</v>
      </c>
      <c r="G343" s="2"/>
      <c r="H343" s="14">
        <f t="shared" si="84"/>
        <v>-1521.679999999993</v>
      </c>
      <c r="I343" s="15">
        <f>IFERROR(H343/H444, "NA")</f>
        <v>-6.0577108343564057E-2</v>
      </c>
      <c r="J343" s="2"/>
      <c r="K343" s="14">
        <f>IFERROR(K328+K329+K330+K331+K332+K333+K334+K335+K337+K338+K339+K340+K341, "NA")</f>
        <v>16739.300000000003</v>
      </c>
      <c r="L343" s="15">
        <f>IFERROR(K343/K444, "NA")</f>
        <v>9.3436299901759418E-2</v>
      </c>
      <c r="M343" s="2"/>
      <c r="N343" s="14">
        <f t="shared" si="85"/>
        <v>-1461.6399999999921</v>
      </c>
      <c r="O343" s="15">
        <f>IFERROR(N343/N444, "NA")</f>
        <v>-3.135358132359272E-2</v>
      </c>
      <c r="P343" s="2"/>
      <c r="Q343" s="14">
        <f>IFERROR(Q328+Q329+Q330+Q331+Q332+Q333+Q334+Q335+Q337+Q338+Q339+Q340+Q341, "NA")</f>
        <v>105460.26999999999</v>
      </c>
      <c r="R343" s="15">
        <f>IFERROR(Q343/Q444, "NA")</f>
        <v>9.4335281904426402E-2</v>
      </c>
      <c r="S343" s="2"/>
      <c r="T343" s="14">
        <f>IFERROR(T328+T329+T330+T331+T332+T333+T334+T335+T337+T338+T339+T340+T341, "NA")</f>
        <v>92220.23</v>
      </c>
      <c r="U343" s="15">
        <f>IFERROR(T343/T444, "NA")</f>
        <v>9.2260690926005598E-2</v>
      </c>
      <c r="V343" s="2"/>
      <c r="W343" s="14">
        <f t="shared" si="86"/>
        <v>-13240.039999999994</v>
      </c>
      <c r="X343" s="15">
        <f>IFERROR(W343/W444, "NA")</f>
        <v>-0.11185408999073644</v>
      </c>
      <c r="Y343" s="2"/>
      <c r="Z343" s="14">
        <f>IFERROR(Z328+Z329+Z330+Z331+Z332+Z333+Z334+Z335+Z337+Z338+Z339+Z340+Z341, "NA")</f>
        <v>91788.239999999991</v>
      </c>
      <c r="AA343" s="15">
        <f>IFERROR(Z343/Z444, "NA")</f>
        <v>0.10206438999890349</v>
      </c>
      <c r="AB343" s="2"/>
      <c r="AC343" s="14">
        <f t="shared" si="87"/>
        <v>-13672.029999999999</v>
      </c>
      <c r="AD343" s="15">
        <f>IFERROR(AC343/AC444, "NA")</f>
        <v>-6.2539787719238113E-2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18200.939999999995</v>
      </c>
      <c r="C344" s="15">
        <f>IFERROR(B344/B444, "NA")</f>
        <v>8.0617191055887133E-2</v>
      </c>
      <c r="D344" s="2"/>
      <c r="E344" s="14">
        <f>IFERROR(E328+E329+E330+E331+E332+E333+E334+E335+E337+E338+E339+E340+E341, "NA")</f>
        <v>16679.260000000002</v>
      </c>
      <c r="F344" s="15">
        <f>IFERROR(E344/E444, "NA")</f>
        <v>8.3126040616746846E-2</v>
      </c>
      <c r="G344" s="2"/>
      <c r="H344" s="14">
        <f t="shared" si="84"/>
        <v>-1521.679999999993</v>
      </c>
      <c r="I344" s="15">
        <f>IFERROR(H344/H444, "NA")</f>
        <v>-6.0577108343564057E-2</v>
      </c>
      <c r="J344" s="2"/>
      <c r="K344" s="14">
        <f>IFERROR(K328+K329+K330+K331+K332+K333+K334+K335+K337+K338+K339+K340+K341, "NA")</f>
        <v>16739.300000000003</v>
      </c>
      <c r="L344" s="15">
        <f>IFERROR(K344/K444, "NA")</f>
        <v>9.3436299901759418E-2</v>
      </c>
      <c r="M344" s="2"/>
      <c r="N344" s="14">
        <f t="shared" si="85"/>
        <v>-1461.6399999999921</v>
      </c>
      <c r="O344" s="15">
        <f>IFERROR(N344/N444, "NA")</f>
        <v>-3.135358132359272E-2</v>
      </c>
      <c r="P344" s="2"/>
      <c r="Q344" s="14">
        <f>IFERROR(Q328+Q329+Q330+Q331+Q332+Q333+Q334+Q335+Q337+Q338+Q339+Q340+Q341, "NA")</f>
        <v>105460.26999999999</v>
      </c>
      <c r="R344" s="15">
        <f>IFERROR(Q344/Q444, "NA")</f>
        <v>9.4335281904426402E-2</v>
      </c>
      <c r="S344" s="2"/>
      <c r="T344" s="14">
        <f>IFERROR(T328+T329+T330+T331+T332+T333+T334+T335+T337+T338+T339+T340+T341, "NA")</f>
        <v>92220.23</v>
      </c>
      <c r="U344" s="15">
        <f>IFERROR(T344/T444, "NA")</f>
        <v>9.2260690926005598E-2</v>
      </c>
      <c r="V344" s="2"/>
      <c r="W344" s="14">
        <f t="shared" si="86"/>
        <v>-13240.039999999994</v>
      </c>
      <c r="X344" s="15">
        <f>IFERROR(W344/W444, "NA")</f>
        <v>-0.11185408999073644</v>
      </c>
      <c r="Y344" s="2"/>
      <c r="Z344" s="14">
        <f>IFERROR(Z328+Z329+Z330+Z331+Z332+Z333+Z334+Z335+Z337+Z338+Z339+Z340+Z341, "NA")</f>
        <v>91788.239999999991</v>
      </c>
      <c r="AA344" s="15">
        <f>IFERROR(Z344/Z444, "NA")</f>
        <v>0.10206438999890349</v>
      </c>
      <c r="AB344" s="2"/>
      <c r="AC344" s="14">
        <f t="shared" si="87"/>
        <v>-13672.029999999999</v>
      </c>
      <c r="AD344" s="15">
        <f>IFERROR(AC344/AC444, "NA")</f>
        <v>-6.2539787719238113E-2</v>
      </c>
    </row>
    <row r="345" spans="1:30" ht="16.5" customHeight="1" x14ac:dyDescent="0.45">
      <c r="A345" s="22" t="s">
        <v>315</v>
      </c>
      <c r="B345" s="23">
        <f>IFERROR(B198-B325-B344, "NA")</f>
        <v>33294.549999999959</v>
      </c>
      <c r="C345" s="24">
        <f>IFERROR(B345/B444, "NA")</f>
        <v>0.14747112503364027</v>
      </c>
      <c r="D345" s="25"/>
      <c r="E345" s="23">
        <f>IFERROR(E198-E325-E344, "NA")</f>
        <v>36069.169999999991</v>
      </c>
      <c r="F345" s="24">
        <f>IFERROR(E345/E444, "NA")</f>
        <v>0.17976140970476781</v>
      </c>
      <c r="G345" s="25"/>
      <c r="H345" s="23">
        <f>IFERROR(B345-E345, "NA")</f>
        <v>-2774.6200000000317</v>
      </c>
      <c r="I345" s="24">
        <f>IFERROR(H345/H444, "NA")</f>
        <v>-0.1104558490301656</v>
      </c>
      <c r="J345" s="25"/>
      <c r="K345" s="23">
        <f>IFERROR(K198-K325-K344, "NA")</f>
        <v>30378.599999999969</v>
      </c>
      <c r="L345" s="24">
        <f>IFERROR(K345/K444, "NA")</f>
        <v>0.16956885772974886</v>
      </c>
      <c r="M345" s="25"/>
      <c r="N345" s="23">
        <f>IFERROR(B345-K345, "NA")</f>
        <v>2915.9499999999898</v>
      </c>
      <c r="O345" s="24">
        <f>IFERROR(N345/N444, "NA")</f>
        <v>6.254992710963736E-2</v>
      </c>
      <c r="P345" s="25"/>
      <c r="Q345" s="23">
        <f>IFERROR(Q198-Q325-Q344, "NA")</f>
        <v>129643.76000000027</v>
      </c>
      <c r="R345" s="24">
        <f>IFERROR(Q345/Q444, "NA")</f>
        <v>0.1159676591644401</v>
      </c>
      <c r="S345" s="25"/>
      <c r="T345" s="23">
        <f>IFERROR(T198-T325-T344, "NA")</f>
        <v>142875.37999999995</v>
      </c>
      <c r="U345" s="24">
        <f>IFERROR(T345/T444, "NA")</f>
        <v>0.14293806548861998</v>
      </c>
      <c r="V345" s="25"/>
      <c r="W345" s="23">
        <f>IFERROR(Q345-T345, "NA")</f>
        <v>-13231.619999999675</v>
      </c>
      <c r="X345" s="24">
        <f>IFERROR(W345/W444, "NA")</f>
        <v>-0.11178295641124894</v>
      </c>
      <c r="Y345" s="25"/>
      <c r="Z345" s="23">
        <f>IFERROR(Z198-Z325-Z344, "NA")</f>
        <v>131444.74000000025</v>
      </c>
      <c r="AA345" s="24">
        <f>IFERROR(Z345/Z444, "NA")</f>
        <v>0.14616063241505117</v>
      </c>
      <c r="AB345" s="25"/>
      <c r="AC345" s="23">
        <f>IFERROR(Q345-Z345, "NA")</f>
        <v>-1800.9799999999814</v>
      </c>
      <c r="AD345" s="24">
        <f>IFERROR(AC345/AC444, "NA")</f>
        <v>-8.2381992203493046E-3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33294.549999999959</v>
      </c>
      <c r="C404" s="24">
        <f>IFERROR(B404/B444, "NA")</f>
        <v>0.14747112503364027</v>
      </c>
      <c r="D404" s="25"/>
      <c r="E404" s="23">
        <f>IFERROR(E345-E403, "NA")</f>
        <v>36069.169999999991</v>
      </c>
      <c r="F404" s="24">
        <f>IFERROR(E404/E444, "NA")</f>
        <v>0.17976140970476781</v>
      </c>
      <c r="G404" s="25"/>
      <c r="H404" s="23">
        <f>IFERROR(B404-E404, "NA")</f>
        <v>-2774.6200000000317</v>
      </c>
      <c r="I404" s="24">
        <f>IFERROR(H404/H444, "NA")</f>
        <v>-0.1104558490301656</v>
      </c>
      <c r="J404" s="25"/>
      <c r="K404" s="23">
        <f>IFERROR(K345-K403, "NA")</f>
        <v>30378.599999999969</v>
      </c>
      <c r="L404" s="24">
        <f>IFERROR(K404/K444, "NA")</f>
        <v>0.16956885772974886</v>
      </c>
      <c r="M404" s="25"/>
      <c r="N404" s="23">
        <f>IFERROR(B404-K404, "NA")</f>
        <v>2915.9499999999898</v>
      </c>
      <c r="O404" s="24">
        <f>IFERROR(N404/N444, "NA")</f>
        <v>6.254992710963736E-2</v>
      </c>
      <c r="P404" s="25"/>
      <c r="Q404" s="23">
        <f>IFERROR(Q345-Q403, "NA")</f>
        <v>129643.76000000027</v>
      </c>
      <c r="R404" s="24">
        <f>IFERROR(Q404/Q444, "NA")</f>
        <v>0.1159676591644401</v>
      </c>
      <c r="S404" s="25"/>
      <c r="T404" s="23">
        <f>IFERROR(T345-T403, "NA")</f>
        <v>142875.37999999995</v>
      </c>
      <c r="U404" s="24">
        <f>IFERROR(T404/T444, "NA")</f>
        <v>0.14293806548861998</v>
      </c>
      <c r="V404" s="25"/>
      <c r="W404" s="23">
        <f>IFERROR(Q404-T404, "NA")</f>
        <v>-13231.619999999675</v>
      </c>
      <c r="X404" s="24">
        <f>IFERROR(W404/W444, "NA")</f>
        <v>-0.11178295641124894</v>
      </c>
      <c r="Y404" s="25"/>
      <c r="Z404" s="23">
        <f>IFERROR(Z345-Z403, "NA")</f>
        <v>131444.74000000025</v>
      </c>
      <c r="AA404" s="24">
        <f>IFERROR(Z404/Z444, "NA")</f>
        <v>0.14616063241505117</v>
      </c>
      <c r="AB404" s="25"/>
      <c r="AC404" s="23">
        <f>IFERROR(Q404-Z404, "NA")</f>
        <v>-1800.9799999999814</v>
      </c>
      <c r="AD404" s="24">
        <f>IFERROR(AC404/AC444, "NA")</f>
        <v>-8.2381992203493046E-3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-40</v>
      </c>
      <c r="AA407" s="8">
        <f>IFERROR(Z407/Z444, "NA")</f>
        <v>-4.4478198949627318E-5</v>
      </c>
      <c r="AB407" s="9"/>
      <c r="AC407" s="10">
        <f t="shared" ref="AC407:AC429" si="103">IFERROR(-(Q407-Z407), "NA")</f>
        <v>-40</v>
      </c>
      <c r="AD407" s="8">
        <f>IFERROR(AC407/AC444, "NA")</f>
        <v>-1.8297147598195183E-4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-231</v>
      </c>
      <c r="AA408" s="8">
        <f>IFERROR(Z408/Z444, "NA")</f>
        <v>-2.5686159893409773E-4</v>
      </c>
      <c r="AB408" s="9"/>
      <c r="AC408" s="10">
        <f t="shared" si="103"/>
        <v>-231</v>
      </c>
      <c r="AD408" s="8">
        <f>IFERROR(AC408/AC444, "NA")</f>
        <v>-1.0566602737957717E-3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3345.17</v>
      </c>
      <c r="C410" s="8">
        <f>IFERROR(B410/B444, "NA")</f>
        <v>1.4816718752131596E-2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-3345.17</v>
      </c>
      <c r="I410" s="8">
        <f>IFERROR(H410/H444, "NA")</f>
        <v>-0.13316907991012639</v>
      </c>
      <c r="J410" s="9"/>
      <c r="K410" s="7">
        <v>4690.57</v>
      </c>
      <c r="L410" s="8">
        <f>IFERROR(K410/K444, "NA")</f>
        <v>2.6182068857729748E-2</v>
      </c>
      <c r="M410" s="9"/>
      <c r="N410" s="10">
        <f t="shared" si="101"/>
        <v>1345.3999999999996</v>
      </c>
      <c r="O410" s="8">
        <f>IFERROR(N410/N444, "NA")</f>
        <v>2.8860121721328E-2</v>
      </c>
      <c r="P410" s="9"/>
      <c r="Q410" s="7">
        <v>19514.61</v>
      </c>
      <c r="R410" s="8">
        <f>IFERROR(Q410/Q444, "NA")</f>
        <v>1.745601671231203E-2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-19514.61</v>
      </c>
      <c r="X410" s="8">
        <f>IFERROR(W410/W444, "NA")</f>
        <v>-0.16486271514845321</v>
      </c>
      <c r="Y410" s="9"/>
      <c r="Z410" s="7">
        <v>27447.35</v>
      </c>
      <c r="AA410" s="8">
        <f>IFERROR(Z410/Z444, "NA")</f>
        <v>3.0520217348501331E-2</v>
      </c>
      <c r="AB410" s="9"/>
      <c r="AC410" s="10">
        <f t="shared" si="103"/>
        <v>7932.739999999998</v>
      </c>
      <c r="AD410" s="8">
        <f>IFERROR(AC410/AC444, "NA")</f>
        <v>3.6286628659526705E-2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hidden="1" customHeight="1" x14ac:dyDescent="0.45">
      <c r="A416" s="6" t="s">
        <v>381</v>
      </c>
      <c r="B416" s="7">
        <v>0</v>
      </c>
      <c r="C416" s="8">
        <f>IFERROR(B416/B444, "NA")</f>
        <v>0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0</v>
      </c>
      <c r="I416" s="8">
        <f>IFERROR(H416/H444, "NA")</f>
        <v>0</v>
      </c>
      <c r="J416" s="9"/>
      <c r="K416" s="7">
        <v>0</v>
      </c>
      <c r="L416" s="8">
        <f>IFERROR(K416/K444, "NA")</f>
        <v>0</v>
      </c>
      <c r="M416" s="9"/>
      <c r="N416" s="10">
        <f t="shared" si="101"/>
        <v>0</v>
      </c>
      <c r="O416" s="8">
        <f>IFERROR(N416/N444, "NA")</f>
        <v>0</v>
      </c>
      <c r="P416" s="9"/>
      <c r="Q416" s="7">
        <v>0</v>
      </c>
      <c r="R416" s="8">
        <f>IFERROR(Q416/Q444, "NA")</f>
        <v>0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0</v>
      </c>
      <c r="X416" s="8">
        <f>IFERROR(W416/W444, "NA")</f>
        <v>0</v>
      </c>
      <c r="Y416" s="9"/>
      <c r="Z416" s="7">
        <v>0</v>
      </c>
      <c r="AA416" s="8">
        <f>IFERROR(Z416/Z444, "NA")</f>
        <v>0</v>
      </c>
      <c r="AB416" s="9"/>
      <c r="AC416" s="10">
        <f t="shared" si="103"/>
        <v>0</v>
      </c>
      <c r="AD416" s="8">
        <f>IFERROR(AC416/AC444, "NA")</f>
        <v>0</v>
      </c>
    </row>
    <row r="417" spans="1:30" ht="16.5" customHeight="1" x14ac:dyDescent="0.45">
      <c r="A417" s="6" t="s">
        <v>382</v>
      </c>
      <c r="B417" s="7">
        <v>-28.42</v>
      </c>
      <c r="C417" s="8">
        <f>IFERROR(B417/B444, "NA")</f>
        <v>-1.2588034298274226E-4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28.42</v>
      </c>
      <c r="I417" s="8">
        <f>IFERROR(H417/H444, "NA")</f>
        <v>1.1313820376978724E-3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28.42</v>
      </c>
      <c r="O417" s="8">
        <f>IFERROR(N417/N444, "NA")</f>
        <v>6.096362861008934E-4</v>
      </c>
      <c r="P417" s="9"/>
      <c r="Q417" s="7">
        <v>39.08</v>
      </c>
      <c r="R417" s="8">
        <f>IFERROR(Q417/Q444, "NA")</f>
        <v>3.4957456650025496E-5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-39.08</v>
      </c>
      <c r="X417" s="8">
        <f>IFERROR(W417/W444, "NA")</f>
        <v>-3.3015442829764728E-4</v>
      </c>
      <c r="Y417" s="9"/>
      <c r="Z417" s="7">
        <v>-28.35</v>
      </c>
      <c r="AA417" s="8">
        <f>IFERROR(Z417/Z444, "NA")</f>
        <v>-3.1523923505548363E-5</v>
      </c>
      <c r="AB417" s="9"/>
      <c r="AC417" s="10">
        <f t="shared" si="103"/>
        <v>-67.430000000000007</v>
      </c>
      <c r="AD417" s="8">
        <f>IFERROR(AC417/AC444, "NA")</f>
        <v>-3.0844416563657531E-4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-50</v>
      </c>
      <c r="R421" s="8">
        <f>IFERROR(Q421/Q444, "NA")</f>
        <v>-4.4725507484679499E-5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50</v>
      </c>
      <c r="X421" s="8">
        <f>IFERROR(W421/W444, "NA")</f>
        <v>4.2240842924468693E-4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50</v>
      </c>
      <c r="AD421" s="8">
        <f>IFERROR(AC421/AC444, "NA")</f>
        <v>2.287143449774398E-4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3316.75</v>
      </c>
      <c r="C428" s="15">
        <f>IFERROR(B428/B444, "NA")</f>
        <v>1.4690838409148853E-2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-3316.75</v>
      </c>
      <c r="I428" s="15">
        <f>IFERROR(H428/H444, "NA")</f>
        <v>-0.1320376978724285</v>
      </c>
      <c r="J428" s="2"/>
      <c r="K428" s="14">
        <f>IFERROR(K407+K408+K409+K410+K411+K412+K413+K414+K415+K416+K417+K418+K419+K420+K421+K422+K423+K424+K425+K426+K427, "NA")</f>
        <v>4690.57</v>
      </c>
      <c r="L428" s="15">
        <f>IFERROR(K428/K444, "NA")</f>
        <v>2.6182068857729748E-2</v>
      </c>
      <c r="M428" s="2"/>
      <c r="N428" s="14">
        <f t="shared" si="101"/>
        <v>1373.8199999999997</v>
      </c>
      <c r="O428" s="15">
        <f>IFERROR(N428/N444, "NA")</f>
        <v>2.9469758007428896E-2</v>
      </c>
      <c r="P428" s="2"/>
      <c r="Q428" s="14">
        <f>IFERROR(Q407+Q408+Q409+Q410+Q411+Q412+Q413+Q414+Q415+Q416+Q417+Q418+Q419+Q420+Q421+Q422+Q423+Q424+Q425+Q426+Q427, "NA")</f>
        <v>19503.690000000002</v>
      </c>
      <c r="R428" s="15">
        <f>IFERROR(Q428/Q444, "NA")</f>
        <v>1.7446248661477377E-2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-19503.690000000002</v>
      </c>
      <c r="X428" s="15">
        <f>IFERROR(W428/W444, "NA")</f>
        <v>-0.16477046114750618</v>
      </c>
      <c r="Y428" s="2"/>
      <c r="Z428" s="14">
        <f>IFERROR(Z407+Z408+Z409+Z410+Z411+Z412+Z413+Z414+Z415+Z416+Z417+Z418+Z419+Z420+Z421+Z422+Z423+Z424+Z425+Z426+Z427, "NA")</f>
        <v>27148</v>
      </c>
      <c r="AA428" s="15">
        <f>IFERROR(Z428/Z444, "NA")</f>
        <v>3.018735362711206E-2</v>
      </c>
      <c r="AB428" s="2"/>
      <c r="AC428" s="14">
        <f t="shared" si="103"/>
        <v>7644.3099999999977</v>
      </c>
      <c r="AD428" s="15">
        <f>IFERROR(AC428/AC444, "NA")</f>
        <v>3.4967267089089843E-2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3316.75</v>
      </c>
      <c r="C429" s="15">
        <f>IFERROR(B429/B444, "NA")</f>
        <v>1.4690838409148853E-2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-3316.75</v>
      </c>
      <c r="I429" s="15">
        <f>IFERROR(H429/H444, "NA")</f>
        <v>-0.1320376978724285</v>
      </c>
      <c r="J429" s="2"/>
      <c r="K429" s="14">
        <f>IFERROR(K407+K408+K409+K410+K411+K412+K413+K414+K415+K416+K417+K418+K419+K420+K421+K422+K423+K424+K425+K426+K427, "NA")</f>
        <v>4690.57</v>
      </c>
      <c r="L429" s="15">
        <f>IFERROR(K429/K444, "NA")</f>
        <v>2.6182068857729748E-2</v>
      </c>
      <c r="M429" s="2"/>
      <c r="N429" s="14">
        <f t="shared" si="101"/>
        <v>1373.8199999999997</v>
      </c>
      <c r="O429" s="15">
        <f>IFERROR(N429/N444, "NA")</f>
        <v>2.9469758007428896E-2</v>
      </c>
      <c r="P429" s="2"/>
      <c r="Q429" s="14">
        <f>IFERROR(Q407+Q408+Q409+Q410+Q411+Q412+Q413+Q414+Q415+Q416+Q417+Q418+Q419+Q420+Q421+Q422+Q423+Q424+Q425+Q426+Q427, "NA")</f>
        <v>19503.690000000002</v>
      </c>
      <c r="R429" s="15">
        <f>IFERROR(Q429/Q444, "NA")</f>
        <v>1.7446248661477377E-2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-19503.690000000002</v>
      </c>
      <c r="X429" s="15">
        <f>IFERROR(W429/W444, "NA")</f>
        <v>-0.16477046114750618</v>
      </c>
      <c r="Y429" s="2"/>
      <c r="Z429" s="14">
        <f>IFERROR(Z407+Z408+Z409+Z410+Z411+Z412+Z413+Z414+Z415+Z416+Z417+Z418+Z419+Z420+Z421+Z422+Z423+Z424+Z425+Z426+Z427, "NA")</f>
        <v>27148</v>
      </c>
      <c r="AA429" s="15">
        <f>IFERROR(Z429/Z444, "NA")</f>
        <v>3.018735362711206E-2</v>
      </c>
      <c r="AB429" s="2"/>
      <c r="AC429" s="14">
        <f t="shared" si="103"/>
        <v>7644.3099999999977</v>
      </c>
      <c r="AD429" s="15">
        <f>IFERROR(AC429/AC444, "NA")</f>
        <v>3.4967267089089843E-2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29977.799999999959</v>
      </c>
      <c r="C443" s="24">
        <f>IFERROR(B443/B444, "NA")</f>
        <v>0.1327802866244914</v>
      </c>
      <c r="D443" s="25"/>
      <c r="E443" s="23">
        <f>IFERROR(E404-E429-E442, "NA")</f>
        <v>36069.169999999991</v>
      </c>
      <c r="F443" s="24">
        <f>IFERROR(E443/E444, "NA")</f>
        <v>0.17976140970476781</v>
      </c>
      <c r="G443" s="25"/>
      <c r="H443" s="23">
        <f>IFERROR(B443-E443, "NA")</f>
        <v>-6091.3700000000317</v>
      </c>
      <c r="I443" s="24">
        <f>IFERROR(H443/H444, "NA")</f>
        <v>-0.24249354690259411</v>
      </c>
      <c r="J443" s="25"/>
      <c r="K443" s="23">
        <f>IFERROR(K404-K429-K442, "NA")</f>
        <v>25688.02999999997</v>
      </c>
      <c r="L443" s="24">
        <f>IFERROR(K443/K444, "NA")</f>
        <v>0.14338678887201911</v>
      </c>
      <c r="M443" s="25"/>
      <c r="N443" s="23">
        <f>IFERROR(B443-K443, "NA")</f>
        <v>4289.7699999999895</v>
      </c>
      <c r="O443" s="24">
        <f>IFERROR(N443/N444, "NA")</f>
        <v>9.2019685117066263E-2</v>
      </c>
      <c r="P443" s="25"/>
      <c r="Q443" s="23">
        <f>IFERROR(Q404-Q429-Q442, "NA")</f>
        <v>110140.07000000027</v>
      </c>
      <c r="R443" s="24">
        <f>IFERROR(Q443/Q444, "NA")</f>
        <v>9.8521410502962717E-2</v>
      </c>
      <c r="S443" s="25"/>
      <c r="T443" s="23">
        <f>IFERROR(T404-T429-T442, "NA")</f>
        <v>142875.37999999995</v>
      </c>
      <c r="U443" s="24">
        <f>IFERROR(T443/T444, "NA")</f>
        <v>0.14293806548861998</v>
      </c>
      <c r="V443" s="25"/>
      <c r="W443" s="23">
        <f>IFERROR(Q443-T443, "NA")</f>
        <v>-32735.309999999678</v>
      </c>
      <c r="X443" s="24">
        <f>IFERROR(W443/W444, "NA")</f>
        <v>-0.27655341755875512</v>
      </c>
      <c r="Y443" s="25"/>
      <c r="Z443" s="23">
        <f>IFERROR(Z404-Z429-Z442, "NA")</f>
        <v>104296.74000000025</v>
      </c>
      <c r="AA443" s="24">
        <f>IFERROR(Z443/Z444, "NA")</f>
        <v>0.11597327878793912</v>
      </c>
      <c r="AB443" s="25"/>
      <c r="AC443" s="23">
        <f>IFERROR(Q443-Z443, "NA")</f>
        <v>5843.3300000000163</v>
      </c>
      <c r="AD443" s="24">
        <f>IFERROR(AC443/AC444, "NA")</f>
        <v>2.672906786874054E-2</v>
      </c>
    </row>
    <row r="444" spans="1:30" ht="15.75" hidden="1" x14ac:dyDescent="0.45">
      <c r="A444" s="26" t="s">
        <v>117</v>
      </c>
      <c r="B444" s="7">
        <v>225769.96</v>
      </c>
      <c r="C444" s="27"/>
      <c r="D444" s="9"/>
      <c r="E444" s="7">
        <v>200650.23999999999</v>
      </c>
      <c r="F444" s="27"/>
      <c r="G444" s="9"/>
      <c r="H444" s="10">
        <f>IFERROR(B444-E444, "NA")</f>
        <v>25119.72</v>
      </c>
      <c r="I444" s="27"/>
      <c r="J444" s="9"/>
      <c r="K444" s="7">
        <v>179152</v>
      </c>
      <c r="L444" s="27"/>
      <c r="M444" s="9"/>
      <c r="N444" s="10">
        <f>IFERROR(B444-K444, "NA")</f>
        <v>46617.959999999992</v>
      </c>
      <c r="O444" s="27"/>
      <c r="P444" s="9"/>
      <c r="Q444" s="7">
        <v>1117930.3</v>
      </c>
      <c r="R444" s="27"/>
      <c r="S444" s="9"/>
      <c r="T444" s="7">
        <v>999561.45</v>
      </c>
      <c r="U444" s="27"/>
      <c r="V444" s="9"/>
      <c r="W444" s="10">
        <f>IFERROR(Q444-T444, "NA")</f>
        <v>118368.85000000009</v>
      </c>
      <c r="X444" s="27"/>
      <c r="Y444" s="9"/>
      <c r="Z444" s="7">
        <v>899316.99</v>
      </c>
      <c r="AA444" s="27"/>
      <c r="AB444" s="9"/>
      <c r="AC444" s="10">
        <f>IFERROR(Q444-Z444, "NA")</f>
        <v>218613.31000000006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414</v>
      </c>
      <c r="B3" s="31" t="s">
        <v>414</v>
      </c>
      <c r="C3" s="31" t="s">
        <v>414</v>
      </c>
      <c r="D3" s="31" t="s">
        <v>414</v>
      </c>
      <c r="E3" s="31" t="s">
        <v>414</v>
      </c>
      <c r="F3" s="31" t="s">
        <v>414</v>
      </c>
      <c r="G3" s="31" t="s">
        <v>414</v>
      </c>
      <c r="H3" s="31" t="s">
        <v>414</v>
      </c>
      <c r="I3" s="31" t="s">
        <v>414</v>
      </c>
      <c r="J3" s="31" t="s">
        <v>414</v>
      </c>
      <c r="K3" s="31" t="s">
        <v>414</v>
      </c>
      <c r="L3" s="31" t="s">
        <v>414</v>
      </c>
      <c r="M3" s="31" t="s">
        <v>414</v>
      </c>
      <c r="N3" s="31" t="s">
        <v>414</v>
      </c>
      <c r="O3" s="31" t="s">
        <v>414</v>
      </c>
      <c r="P3" s="31" t="s">
        <v>414</v>
      </c>
      <c r="Q3" s="31" t="s">
        <v>414</v>
      </c>
      <c r="R3" s="31" t="s">
        <v>414</v>
      </c>
      <c r="S3" s="31" t="s">
        <v>414</v>
      </c>
      <c r="T3" s="31" t="s">
        <v>414</v>
      </c>
      <c r="U3" s="31" t="s">
        <v>414</v>
      </c>
      <c r="V3" s="31" t="s">
        <v>414</v>
      </c>
      <c r="W3" s="31" t="s">
        <v>414</v>
      </c>
      <c r="X3" s="31" t="s">
        <v>414</v>
      </c>
      <c r="Y3" s="31" t="s">
        <v>414</v>
      </c>
      <c r="Z3" s="31" t="s">
        <v>414</v>
      </c>
      <c r="AA3" s="31" t="s">
        <v>414</v>
      </c>
      <c r="AB3" s="31" t="s">
        <v>414</v>
      </c>
      <c r="AC3" s="31" t="s">
        <v>414</v>
      </c>
      <c r="AD3" s="31" t="s">
        <v>414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69111.44</v>
      </c>
      <c r="F10" s="8">
        <f>IFERROR(E10/E444, "NA")</f>
        <v>0.49400003674008514</v>
      </c>
      <c r="G10" s="9"/>
      <c r="H10" s="10">
        <f t="shared" ref="H10:H19" si="0">IFERROR(B10-E10, "NA")</f>
        <v>-69111.44</v>
      </c>
      <c r="I10" s="8">
        <f>IFERROR(H10/H444, "NA")</f>
        <v>2.6069075764714049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305901.28000000003</v>
      </c>
      <c r="U10" s="8">
        <f>IFERROR(T10/T444, "NA")</f>
        <v>0.49400004014641913</v>
      </c>
      <c r="V10" s="9"/>
      <c r="W10" s="10">
        <f t="shared" ref="W10:W19" si="2">IFERROR(Q10-T10, "NA")</f>
        <v>-305901.28000000003</v>
      </c>
      <c r="X10" s="8">
        <f>IFERROR(W10/W444, "NA")</f>
        <v>5.1734052567259843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55463.85</v>
      </c>
      <c r="C11" s="8">
        <f>IFERROR(B11/B444, "NA")</f>
        <v>0.48913888957481555</v>
      </c>
      <c r="D11" s="9"/>
      <c r="E11" s="7">
        <v>0</v>
      </c>
      <c r="F11" s="8">
        <f>IFERROR(E11/E444, "NA")</f>
        <v>0</v>
      </c>
      <c r="G11" s="9"/>
      <c r="H11" s="10">
        <f t="shared" si="0"/>
        <v>55463.85</v>
      </c>
      <c r="I11" s="8">
        <f>IFERROR(H11/H444, "NA")</f>
        <v>-2.0921157305545006</v>
      </c>
      <c r="J11" s="9"/>
      <c r="K11" s="7">
        <v>56199.6</v>
      </c>
      <c r="L11" s="8">
        <f>IFERROR(K11/K444, "NA")</f>
        <v>0.46598102846724893</v>
      </c>
      <c r="M11" s="9"/>
      <c r="N11" s="10">
        <f t="shared" si="1"/>
        <v>-735.75</v>
      </c>
      <c r="O11" s="8">
        <f>IFERROR(N11/N444, "NA")</f>
        <v>0.1019876325700606</v>
      </c>
      <c r="P11" s="9"/>
      <c r="Q11" s="7">
        <v>253069.64</v>
      </c>
      <c r="R11" s="8">
        <f>IFERROR(Q11/Q444, "NA")</f>
        <v>0.45182637866025283</v>
      </c>
      <c r="S11" s="9"/>
      <c r="T11" s="7">
        <v>0</v>
      </c>
      <c r="U11" s="8">
        <f>IFERROR(T11/T444, "NA")</f>
        <v>0</v>
      </c>
      <c r="V11" s="9"/>
      <c r="W11" s="10">
        <f t="shared" si="2"/>
        <v>253069.64</v>
      </c>
      <c r="X11" s="8">
        <f>IFERROR(W11/W444, "NA")</f>
        <v>-4.2799160758456205</v>
      </c>
      <c r="Y11" s="9"/>
      <c r="Z11" s="7">
        <v>253959.67999999999</v>
      </c>
      <c r="AA11" s="8">
        <f>IFERROR(Z11/Z444, "NA")</f>
        <v>0.4759452442635182</v>
      </c>
      <c r="AB11" s="9"/>
      <c r="AC11" s="10">
        <f t="shared" si="3"/>
        <v>-890.03999999997905</v>
      </c>
      <c r="AD11" s="8">
        <f>IFERROR(AC11/AC444, "NA")</f>
        <v>-3.3569174473034022E-2</v>
      </c>
    </row>
    <row r="12" spans="1:30" ht="16.5" customHeight="1" x14ac:dyDescent="0.45">
      <c r="A12" s="12" t="s">
        <v>14</v>
      </c>
      <c r="B12" s="7">
        <v>5548.85</v>
      </c>
      <c r="C12" s="8">
        <f>IFERROR(B12/B444, "NA")</f>
        <v>4.8935627934541426E-2</v>
      </c>
      <c r="D12" s="9"/>
      <c r="E12" s="7">
        <v>0</v>
      </c>
      <c r="F12" s="8">
        <f>IFERROR(E12/E444, "NA")</f>
        <v>0</v>
      </c>
      <c r="G12" s="9"/>
      <c r="H12" s="10">
        <f t="shared" si="0"/>
        <v>5548.85</v>
      </c>
      <c r="I12" s="8">
        <f>IFERROR(H12/H444, "NA")</f>
        <v>-0.20930455371358714</v>
      </c>
      <c r="J12" s="9"/>
      <c r="K12" s="7">
        <v>6628.8</v>
      </c>
      <c r="L12" s="8">
        <f>IFERROR(K12/K444, "NA")</f>
        <v>5.4962936417762759E-2</v>
      </c>
      <c r="M12" s="9"/>
      <c r="N12" s="10">
        <f t="shared" si="1"/>
        <v>-1079.9499999999998</v>
      </c>
      <c r="O12" s="8">
        <f>IFERROR(N12/N444, "NA")</f>
        <v>0.14969968575472231</v>
      </c>
      <c r="P12" s="9"/>
      <c r="Q12" s="7">
        <v>25016.35</v>
      </c>
      <c r="R12" s="8">
        <f>IFERROR(Q12/Q444, "NA")</f>
        <v>4.4663780403676294E-2</v>
      </c>
      <c r="S12" s="9"/>
      <c r="T12" s="7">
        <v>0</v>
      </c>
      <c r="U12" s="8">
        <f>IFERROR(T12/T444, "NA")</f>
        <v>0</v>
      </c>
      <c r="V12" s="9"/>
      <c r="W12" s="10">
        <f t="shared" si="2"/>
        <v>25016.35</v>
      </c>
      <c r="X12" s="8">
        <f>IFERROR(W12/W444, "NA")</f>
        <v>-0.42307674094759284</v>
      </c>
      <c r="Y12" s="9"/>
      <c r="Z12" s="7">
        <v>26039.35</v>
      </c>
      <c r="AA12" s="8">
        <f>IFERROR(Z12/Z444, "NA")</f>
        <v>4.8800285132715726E-2</v>
      </c>
      <c r="AB12" s="9"/>
      <c r="AC12" s="10">
        <f t="shared" si="3"/>
        <v>-1023</v>
      </c>
      <c r="AD12" s="8">
        <f>IFERROR(AC12/AC444, "NA")</f>
        <v>-3.8583957446760381E-2</v>
      </c>
    </row>
    <row r="13" spans="1:30" ht="16.5" customHeight="1" x14ac:dyDescent="0.45">
      <c r="A13" s="12" t="s">
        <v>15</v>
      </c>
      <c r="B13" s="7">
        <v>296</v>
      </c>
      <c r="C13" s="8">
        <f>IFERROR(B13/B444, "NA")</f>
        <v>2.6104410587102305E-3</v>
      </c>
      <c r="D13" s="9"/>
      <c r="E13" s="7">
        <v>0</v>
      </c>
      <c r="F13" s="8">
        <f>IFERROR(E13/E444, "NA")</f>
        <v>0</v>
      </c>
      <c r="G13" s="9"/>
      <c r="H13" s="10">
        <f t="shared" si="0"/>
        <v>296</v>
      </c>
      <c r="I13" s="8">
        <f>IFERROR(H13/H444, "NA")</f>
        <v>-1.1165223046076537E-2</v>
      </c>
      <c r="J13" s="9"/>
      <c r="K13" s="7">
        <v>147.5</v>
      </c>
      <c r="L13" s="8">
        <f>IFERROR(K13/K444, "NA")</f>
        <v>1.2230016174300034E-3</v>
      </c>
      <c r="M13" s="9"/>
      <c r="N13" s="10">
        <f t="shared" si="1"/>
        <v>148.5</v>
      </c>
      <c r="O13" s="8">
        <f>IFERROR(N13/N444, "NA")</f>
        <v>-2.0584659784782876E-2</v>
      </c>
      <c r="P13" s="9"/>
      <c r="Q13" s="7">
        <v>990</v>
      </c>
      <c r="R13" s="8">
        <f>IFERROR(Q13/Q444, "NA")</f>
        <v>1.767529739535925E-3</v>
      </c>
      <c r="S13" s="9"/>
      <c r="T13" s="7">
        <v>0</v>
      </c>
      <c r="U13" s="8">
        <f>IFERROR(T13/T444, "NA")</f>
        <v>0</v>
      </c>
      <c r="V13" s="9"/>
      <c r="W13" s="10">
        <f t="shared" si="2"/>
        <v>990</v>
      </c>
      <c r="X13" s="8">
        <f>IFERROR(W13/W444, "NA")</f>
        <v>-1.6742889092058472E-2</v>
      </c>
      <c r="Y13" s="9"/>
      <c r="Z13" s="7">
        <v>813.5</v>
      </c>
      <c r="AA13" s="8">
        <f>IFERROR(Z13/Z444, "NA")</f>
        <v>1.5245784535890582E-3</v>
      </c>
      <c r="AB13" s="9"/>
      <c r="AC13" s="10">
        <f t="shared" si="3"/>
        <v>176.5</v>
      </c>
      <c r="AD13" s="8">
        <f>IFERROR(AC13/AC444, "NA")</f>
        <v>6.6569584451155496E-3</v>
      </c>
    </row>
    <row r="14" spans="1:30" ht="16.5" customHeight="1" x14ac:dyDescent="0.45">
      <c r="A14" s="12" t="s">
        <v>16</v>
      </c>
      <c r="B14" s="7">
        <v>320</v>
      </c>
      <c r="C14" s="8">
        <f>IFERROR(B14/B444, "NA")</f>
        <v>2.8220984418488976E-3</v>
      </c>
      <c r="D14" s="9"/>
      <c r="E14" s="7">
        <v>0</v>
      </c>
      <c r="F14" s="8">
        <f>IFERROR(E14/E444, "NA")</f>
        <v>0</v>
      </c>
      <c r="G14" s="9"/>
      <c r="H14" s="10">
        <f t="shared" si="0"/>
        <v>320</v>
      </c>
      <c r="I14" s="8">
        <f>IFERROR(H14/H444, "NA")</f>
        <v>-1.2070511401163823E-2</v>
      </c>
      <c r="J14" s="9"/>
      <c r="K14" s="7">
        <v>670</v>
      </c>
      <c r="L14" s="8">
        <f>IFERROR(K14/K444, "NA")</f>
        <v>5.5553293808684899E-3</v>
      </c>
      <c r="M14" s="9"/>
      <c r="N14" s="10">
        <f t="shared" si="1"/>
        <v>-350</v>
      </c>
      <c r="O14" s="8">
        <f>IFERROR(N14/N444, "NA")</f>
        <v>4.8516033162787922E-2</v>
      </c>
      <c r="P14" s="9"/>
      <c r="Q14" s="7">
        <v>1810</v>
      </c>
      <c r="R14" s="8">
        <f>IFERROR(Q14/Q444, "NA")</f>
        <v>3.2315442712727515E-3</v>
      </c>
      <c r="S14" s="9"/>
      <c r="T14" s="7">
        <v>0</v>
      </c>
      <c r="U14" s="8">
        <f>IFERROR(T14/T444, "NA")</f>
        <v>0</v>
      </c>
      <c r="V14" s="9"/>
      <c r="W14" s="10">
        <f t="shared" si="2"/>
        <v>1810</v>
      </c>
      <c r="X14" s="8">
        <f>IFERROR(W14/W444, "NA")</f>
        <v>-3.0610736622854379E-2</v>
      </c>
      <c r="Y14" s="9"/>
      <c r="Z14" s="7">
        <v>3675</v>
      </c>
      <c r="AA14" s="8">
        <f>IFERROR(Z14/Z444, "NA")</f>
        <v>6.8873089329315167E-3</v>
      </c>
      <c r="AB14" s="9"/>
      <c r="AC14" s="10">
        <f t="shared" si="3"/>
        <v>-1865</v>
      </c>
      <c r="AD14" s="8">
        <f>IFERROR(AC14/AC444, "NA")</f>
        <v>-7.03412322954136E-2</v>
      </c>
    </row>
    <row r="15" spans="1:30" ht="16.5" customHeight="1" x14ac:dyDescent="0.45">
      <c r="A15" s="12" t="s">
        <v>17</v>
      </c>
      <c r="B15" s="7">
        <v>21</v>
      </c>
      <c r="C15" s="8">
        <f>IFERROR(B15/B444, "NA")</f>
        <v>1.8520021024633391E-4</v>
      </c>
      <c r="D15" s="9"/>
      <c r="E15" s="7">
        <v>0</v>
      </c>
      <c r="F15" s="8">
        <f>IFERROR(E15/E444, "NA")</f>
        <v>0</v>
      </c>
      <c r="G15" s="9"/>
      <c r="H15" s="10">
        <f t="shared" si="0"/>
        <v>21</v>
      </c>
      <c r="I15" s="8">
        <f>IFERROR(H15/H444, "NA")</f>
        <v>-7.9212731070137598E-4</v>
      </c>
      <c r="J15" s="9"/>
      <c r="K15" s="7">
        <v>17.5</v>
      </c>
      <c r="L15" s="8">
        <f>IFERROR(K15/K444, "NA")</f>
        <v>1.4510188681372921E-4</v>
      </c>
      <c r="M15" s="9"/>
      <c r="N15" s="10">
        <f t="shared" si="1"/>
        <v>3.5</v>
      </c>
      <c r="O15" s="8">
        <f>IFERROR(N15/N444, "NA")</f>
        <v>-4.8516033162787923E-4</v>
      </c>
      <c r="P15" s="9"/>
      <c r="Q15" s="7">
        <v>133</v>
      </c>
      <c r="R15" s="8">
        <f>IFERROR(Q15/Q444, "NA")</f>
        <v>2.3745601551341213E-4</v>
      </c>
      <c r="S15" s="9"/>
      <c r="T15" s="7">
        <v>0</v>
      </c>
      <c r="U15" s="8">
        <f>IFERROR(T15/T444, "NA")</f>
        <v>0</v>
      </c>
      <c r="V15" s="9"/>
      <c r="W15" s="10">
        <f t="shared" si="2"/>
        <v>133</v>
      </c>
      <c r="X15" s="8">
        <f>IFERROR(W15/W444, "NA")</f>
        <v>-2.2492972214583603E-3</v>
      </c>
      <c r="Y15" s="9"/>
      <c r="Z15" s="7">
        <v>261.5</v>
      </c>
      <c r="AA15" s="8">
        <f>IFERROR(Z15/Z444, "NA")</f>
        <v>4.9007654039771203E-4</v>
      </c>
      <c r="AB15" s="9"/>
      <c r="AC15" s="10">
        <f t="shared" si="3"/>
        <v>-128.5</v>
      </c>
      <c r="AD15" s="8">
        <f>IFERROR(AC15/AC444, "NA")</f>
        <v>-4.846567479871661E-3</v>
      </c>
    </row>
    <row r="16" spans="1:30" ht="16.5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1.1000000000000001</v>
      </c>
      <c r="R16" s="8">
        <f>IFERROR(Q16/Q444, "NA")</f>
        <v>1.9639219328176946E-6</v>
      </c>
      <c r="S16" s="9"/>
      <c r="T16" s="7">
        <v>0</v>
      </c>
      <c r="U16" s="8">
        <f>IFERROR(T16/T444, "NA")</f>
        <v>0</v>
      </c>
      <c r="V16" s="9"/>
      <c r="W16" s="10">
        <f t="shared" si="2"/>
        <v>1.1000000000000001</v>
      </c>
      <c r="X16" s="8">
        <f>IFERROR(W16/W444, "NA")</f>
        <v>-1.8603210102287193E-5</v>
      </c>
      <c r="Y16" s="9"/>
      <c r="Z16" s="7">
        <v>0</v>
      </c>
      <c r="AA16" s="8">
        <f>IFERROR(Z16/Z444, "NA")</f>
        <v>0</v>
      </c>
      <c r="AB16" s="9"/>
      <c r="AC16" s="10">
        <f t="shared" si="3"/>
        <v>1.1000000000000001</v>
      </c>
      <c r="AD16" s="8">
        <f>IFERROR(AC16/AC444, "NA")</f>
        <v>4.1488126286839127E-5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61649.7</v>
      </c>
      <c r="C18" s="15">
        <f>IFERROR(B18/B444, "NA")</f>
        <v>0.54369225722016246</v>
      </c>
      <c r="D18" s="2"/>
      <c r="E18" s="14">
        <f>IFERROR(E10+E11+E12+E13+E14+E15+E16+E17, "NA")</f>
        <v>69111.44</v>
      </c>
      <c r="F18" s="15">
        <f>IFERROR(E18/E444, "NA")</f>
        <v>0.49400003674008514</v>
      </c>
      <c r="G18" s="2"/>
      <c r="H18" s="14">
        <f t="shared" si="0"/>
        <v>-7461.7400000000052</v>
      </c>
      <c r="I18" s="15">
        <f>IFERROR(H18/H444, "NA")</f>
        <v>0.28145943044537569</v>
      </c>
      <c r="J18" s="2"/>
      <c r="K18" s="14">
        <f>IFERROR(K10+K11+K12+K13+K14+K15+K16+K17, "NA")</f>
        <v>63663.4</v>
      </c>
      <c r="L18" s="15">
        <f>IFERROR(K18/K444, "NA")</f>
        <v>0.52786739777012393</v>
      </c>
      <c r="M18" s="2"/>
      <c r="N18" s="14">
        <f t="shared" si="1"/>
        <v>-2013.7000000000044</v>
      </c>
      <c r="O18" s="15">
        <f>IFERROR(N18/N444, "NA")</f>
        <v>0.2791335313711607</v>
      </c>
      <c r="P18" s="2"/>
      <c r="Q18" s="14">
        <f>IFERROR(Q10+Q11+Q12+Q13+Q14+Q15+Q16+Q17, "NA")</f>
        <v>281020.08999999997</v>
      </c>
      <c r="R18" s="15">
        <f>IFERROR(Q18/Q444, "NA")</f>
        <v>0.50172865301218394</v>
      </c>
      <c r="S18" s="2"/>
      <c r="T18" s="14">
        <f>IFERROR(T10+T11+T12+T13+T14+T15+T16+T17, "NA")</f>
        <v>305901.28000000003</v>
      </c>
      <c r="U18" s="15">
        <f>IFERROR(T18/T444, "NA")</f>
        <v>0.49400004014641913</v>
      </c>
      <c r="V18" s="2"/>
      <c r="W18" s="14">
        <f t="shared" si="2"/>
        <v>-24881.190000000061</v>
      </c>
      <c r="X18" s="15">
        <f>IFERROR(W18/W444, "NA")</f>
        <v>0.42079091378629829</v>
      </c>
      <c r="Y18" s="2"/>
      <c r="Z18" s="14">
        <f>IFERROR(Z10+Z11+Z12+Z13+Z14+Z15+Z16+Z17, "NA")</f>
        <v>284749.02999999997</v>
      </c>
      <c r="AA18" s="15">
        <f>IFERROR(Z18/Z444, "NA")</f>
        <v>0.5336474933231522</v>
      </c>
      <c r="AB18" s="2"/>
      <c r="AC18" s="14">
        <f t="shared" si="3"/>
        <v>-3728.9400000000023</v>
      </c>
      <c r="AD18" s="15">
        <f>IFERROR(AC18/AC444, "NA")</f>
        <v>-0.14064248512367816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10912.33</v>
      </c>
      <c r="F21" s="8">
        <f>IFERROR(E21/E444, "NA")</f>
        <v>7.79999869908648E-2</v>
      </c>
      <c r="G21" s="9"/>
      <c r="H21" s="10">
        <f t="shared" ref="H21:H29" si="4">IFERROR(B21-E21, "NA")</f>
        <v>-10912.33</v>
      </c>
      <c r="I21" s="8">
        <f>IFERROR(H21/H444, "NA")</f>
        <v>0.41161688649456885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48300.2</v>
      </c>
      <c r="U21" s="8">
        <f>IFERROR(T21/T444, "NA")</f>
        <v>7.8000002939118365E-2</v>
      </c>
      <c r="V21" s="9"/>
      <c r="W21" s="10">
        <f t="shared" ref="W21:W29" si="6">IFERROR(Q21-T21, "NA")</f>
        <v>-48300.2</v>
      </c>
      <c r="X21" s="8">
        <f>IFERROR(W21/W444, "NA")</f>
        <v>0.81685342598408339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8229.5300000000007</v>
      </c>
      <c r="C22" s="8">
        <f>IFERROR(B22/B444, "NA")</f>
        <v>7.2576699344214873E-2</v>
      </c>
      <c r="D22" s="9"/>
      <c r="E22" s="7">
        <v>0</v>
      </c>
      <c r="F22" s="8">
        <f>IFERROR(E22/E444, "NA")</f>
        <v>0</v>
      </c>
      <c r="G22" s="9"/>
      <c r="H22" s="10">
        <f t="shared" si="4"/>
        <v>8229.5300000000007</v>
      </c>
      <c r="I22" s="8">
        <f>IFERROR(H22/H444, "NA")</f>
        <v>-0.31042073653506164</v>
      </c>
      <c r="J22" s="9"/>
      <c r="K22" s="7">
        <v>7002.47</v>
      </c>
      <c r="L22" s="8">
        <f>IFERROR(K22/K444, "NA")</f>
        <v>5.8061234820373397E-2</v>
      </c>
      <c r="M22" s="9"/>
      <c r="N22" s="10">
        <f t="shared" si="5"/>
        <v>1227.0600000000004</v>
      </c>
      <c r="O22" s="8">
        <f>IFERROR(N22/N444, "NA")</f>
        <v>-0.17009166757923019</v>
      </c>
      <c r="P22" s="9"/>
      <c r="Q22" s="7">
        <v>37033.279999999999</v>
      </c>
      <c r="R22" s="8">
        <f>IFERROR(Q22/Q444, "NA")</f>
        <v>6.6118609851071694E-2</v>
      </c>
      <c r="S22" s="9"/>
      <c r="T22" s="7">
        <v>0</v>
      </c>
      <c r="U22" s="8">
        <f>IFERROR(T22/T444, "NA")</f>
        <v>0</v>
      </c>
      <c r="V22" s="9"/>
      <c r="W22" s="10">
        <f t="shared" si="6"/>
        <v>37033.279999999999</v>
      </c>
      <c r="X22" s="8">
        <f>IFERROR(W22/W444, "NA")</f>
        <v>-0.6263071714698456</v>
      </c>
      <c r="Y22" s="9"/>
      <c r="Z22" s="7">
        <v>31198.62</v>
      </c>
      <c r="AA22" s="8">
        <f>IFERROR(Z22/Z444, "NA")</f>
        <v>5.846926101255398E-2</v>
      </c>
      <c r="AB22" s="9"/>
      <c r="AC22" s="10">
        <f t="shared" si="7"/>
        <v>5834.66</v>
      </c>
      <c r="AD22" s="8">
        <f>IFERROR(AC22/AC444, "NA")</f>
        <v>0.22006282810978975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1476.06</v>
      </c>
      <c r="C24" s="8">
        <f>IFERROR(B24/B444, "NA")</f>
        <v>1.3017458206485887E-2</v>
      </c>
      <c r="D24" s="9"/>
      <c r="E24" s="7">
        <v>0</v>
      </c>
      <c r="F24" s="8">
        <f>IFERROR(E24/E444, "NA")</f>
        <v>0</v>
      </c>
      <c r="G24" s="9"/>
      <c r="H24" s="10">
        <f t="shared" si="4"/>
        <v>1476.06</v>
      </c>
      <c r="I24" s="8">
        <f>IFERROR(H24/H444, "NA")</f>
        <v>-5.5677497058755854E-2</v>
      </c>
      <c r="J24" s="9"/>
      <c r="K24" s="7">
        <v>940.18</v>
      </c>
      <c r="L24" s="8">
        <f>IFERROR(K24/K444, "NA")</f>
        <v>7.7955366825446818E-3</v>
      </c>
      <c r="M24" s="9"/>
      <c r="N24" s="10">
        <f t="shared" si="5"/>
        <v>535.88</v>
      </c>
      <c r="O24" s="8">
        <f>IFERROR(N24/N444, "NA")</f>
        <v>-7.4282205289356543E-2</v>
      </c>
      <c r="P24" s="9"/>
      <c r="Q24" s="7">
        <v>6907.92</v>
      </c>
      <c r="R24" s="8">
        <f>IFERROR(Q24/Q444, "NA")</f>
        <v>1.2333286907409098E-2</v>
      </c>
      <c r="S24" s="9"/>
      <c r="T24" s="7">
        <v>0</v>
      </c>
      <c r="U24" s="8">
        <f>IFERROR(T24/T444, "NA")</f>
        <v>0</v>
      </c>
      <c r="V24" s="9"/>
      <c r="W24" s="10">
        <f t="shared" si="6"/>
        <v>6907.92</v>
      </c>
      <c r="X24" s="8">
        <f>IFERROR(W24/W444, "NA")</f>
        <v>-0.11682680648162884</v>
      </c>
      <c r="Y24" s="9"/>
      <c r="Z24" s="7">
        <v>2580.54</v>
      </c>
      <c r="AA24" s="8">
        <f>IFERROR(Z24/Z444, "NA")</f>
        <v>4.8361839983094143E-3</v>
      </c>
      <c r="AB24" s="9"/>
      <c r="AC24" s="10">
        <f t="shared" si="7"/>
        <v>4327.38</v>
      </c>
      <c r="AD24" s="8">
        <f>IFERROR(AC24/AC444, "NA")</f>
        <v>0.16321353448285625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101.73</v>
      </c>
      <c r="L27" s="8">
        <f>IFERROR(K27/K444, "NA")</f>
        <v>8.4349799688918136E-4</v>
      </c>
      <c r="M27" s="9"/>
      <c r="N27" s="10">
        <f t="shared" si="5"/>
        <v>-101.73</v>
      </c>
      <c r="O27" s="8">
        <f>IFERROR(N27/N444, "NA")</f>
        <v>1.4101531581858329E-2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1407.53</v>
      </c>
      <c r="AA27" s="8">
        <f>IFERROR(Z27/Z444, "NA")</f>
        <v>2.637848691801115E-3</v>
      </c>
      <c r="AB27" s="9"/>
      <c r="AC27" s="10">
        <f t="shared" si="7"/>
        <v>-1407.53</v>
      </c>
      <c r="AD27" s="8">
        <f>IFERROR(AC27/AC444, "NA")</f>
        <v>-5.3087074902286063E-2</v>
      </c>
    </row>
    <row r="28" spans="1:30" ht="16.5" customHeight="1" x14ac:dyDescent="0.45">
      <c r="A28" s="12" t="s">
        <v>29</v>
      </c>
      <c r="B28" s="7">
        <v>892.51</v>
      </c>
      <c r="C28" s="8">
        <f>IFERROR(B28/B444, "NA")</f>
        <v>7.8710971260454992E-3</v>
      </c>
      <c r="D28" s="9"/>
      <c r="E28" s="7">
        <v>0</v>
      </c>
      <c r="F28" s="8">
        <f>IFERROR(E28/E444, "NA")</f>
        <v>0</v>
      </c>
      <c r="G28" s="9"/>
      <c r="H28" s="10">
        <f t="shared" si="4"/>
        <v>892.51</v>
      </c>
      <c r="I28" s="8">
        <f>IFERROR(H28/H444, "NA")</f>
        <v>-3.3665787908289765E-2</v>
      </c>
      <c r="J28" s="9"/>
      <c r="K28" s="7">
        <v>898.64</v>
      </c>
      <c r="L28" s="8">
        <f>IFERROR(K28/K444, "NA")</f>
        <v>7.4511062609308358E-3</v>
      </c>
      <c r="M28" s="9"/>
      <c r="N28" s="10">
        <f t="shared" si="5"/>
        <v>-6.1299999999999955</v>
      </c>
      <c r="O28" s="8">
        <f>IFERROR(N28/N444, "NA")</f>
        <v>8.4972366653682783E-4</v>
      </c>
      <c r="P28" s="9"/>
      <c r="Q28" s="7">
        <v>5215.97</v>
      </c>
      <c r="R28" s="8">
        <f>IFERROR(Q28/Q444, "NA")</f>
        <v>9.3125071671991914E-3</v>
      </c>
      <c r="S28" s="9"/>
      <c r="T28" s="7">
        <v>0</v>
      </c>
      <c r="U28" s="8">
        <f>IFERROR(T28/T444, "NA")</f>
        <v>0</v>
      </c>
      <c r="V28" s="9"/>
      <c r="W28" s="10">
        <f t="shared" si="6"/>
        <v>5215.97</v>
      </c>
      <c r="X28" s="8">
        <f>IFERROR(W28/W444, "NA")</f>
        <v>-8.8212532542933569E-2</v>
      </c>
      <c r="Y28" s="9"/>
      <c r="Z28" s="7">
        <v>4978.46</v>
      </c>
      <c r="AA28" s="8">
        <f>IFERROR(Z28/Z444, "NA")</f>
        <v>9.3301202803380244E-3</v>
      </c>
      <c r="AB28" s="9"/>
      <c r="AC28" s="10">
        <f t="shared" si="7"/>
        <v>237.51000000000022</v>
      </c>
      <c r="AD28" s="8">
        <f>IFERROR(AC28/AC444, "NA")</f>
        <v>8.9580407948974261E-3</v>
      </c>
    </row>
    <row r="29" spans="1:30" ht="16.5" customHeight="1" x14ac:dyDescent="0.45">
      <c r="A29" s="13" t="s">
        <v>30</v>
      </c>
      <c r="B29" s="14">
        <f>IFERROR(B21+B22+B23+B24+B25+B26+B27+B28, "NA")</f>
        <v>10598.1</v>
      </c>
      <c r="C29" s="15">
        <f>IFERROR(B29/B444, "NA")</f>
        <v>9.3465254676746268E-2</v>
      </c>
      <c r="D29" s="2"/>
      <c r="E29" s="14">
        <f>IFERROR(E21+E22+E23+E24+E25+E26+E27+E28, "NA")</f>
        <v>10912.33</v>
      </c>
      <c r="F29" s="15">
        <f>IFERROR(E29/E444, "NA")</f>
        <v>7.79999869908648E-2</v>
      </c>
      <c r="G29" s="2"/>
      <c r="H29" s="14">
        <f t="shared" si="4"/>
        <v>-314.22999999999956</v>
      </c>
      <c r="I29" s="15">
        <f>IFERROR(H29/H444, "NA")</f>
        <v>1.1852864992461572E-2</v>
      </c>
      <c r="J29" s="2"/>
      <c r="K29" s="14">
        <f>IFERROR(K21+K22+K23+K24+K25+K26+K27+K28, "NA")</f>
        <v>8943.02</v>
      </c>
      <c r="L29" s="15">
        <f>IFERROR(K29/K444, "NA")</f>
        <v>7.4151375760738103E-2</v>
      </c>
      <c r="M29" s="2"/>
      <c r="N29" s="14">
        <f t="shared" si="5"/>
        <v>1655.08</v>
      </c>
      <c r="O29" s="15">
        <f>IFERROR(N29/N444, "NA")</f>
        <v>-0.2294226176201915</v>
      </c>
      <c r="P29" s="2"/>
      <c r="Q29" s="14">
        <f>IFERROR(Q21+Q22+Q23+Q24+Q25+Q26+Q27+Q28, "NA")</f>
        <v>49157.17</v>
      </c>
      <c r="R29" s="15">
        <f>IFERROR(Q29/Q444, "NA")</f>
        <v>8.7764403925679982E-2</v>
      </c>
      <c r="S29" s="2"/>
      <c r="T29" s="14">
        <f>IFERROR(T21+T22+T23+T24+T25+T26+T27+T28, "NA")</f>
        <v>48300.2</v>
      </c>
      <c r="U29" s="15">
        <f>IFERROR(T29/T444, "NA")</f>
        <v>7.8000002939118365E-2</v>
      </c>
      <c r="V29" s="2"/>
      <c r="W29" s="14">
        <f t="shared" si="6"/>
        <v>856.97000000000116</v>
      </c>
      <c r="X29" s="15">
        <f>IFERROR(W29/W444, "NA")</f>
        <v>-1.4493084510324614E-2</v>
      </c>
      <c r="Y29" s="2"/>
      <c r="Z29" s="14">
        <f>IFERROR(Z21+Z22+Z23+Z24+Z25+Z26+Z27+Z28, "NA")</f>
        <v>40165.149999999994</v>
      </c>
      <c r="AA29" s="15">
        <f>IFERROR(Z29/Z444, "NA")</f>
        <v>7.5273413983002524E-2</v>
      </c>
      <c r="AB29" s="2"/>
      <c r="AC29" s="14">
        <f t="shared" si="7"/>
        <v>8992.0200000000041</v>
      </c>
      <c r="AD29" s="15">
        <f>IFERROR(AC29/AC444, "NA")</f>
        <v>0.33914732848525753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33996.11</v>
      </c>
      <c r="F31" s="8">
        <f>IFERROR(E31/E444, "NA")</f>
        <v>0.24299999521092275</v>
      </c>
      <c r="G31" s="9"/>
      <c r="H31" s="10">
        <f t="shared" ref="H31:H40" si="8">IFERROR(B31-E31, "NA")</f>
        <v>-33996.11</v>
      </c>
      <c r="I31" s="8">
        <f>IFERROR(H31/H444, "NA")</f>
        <v>1.2823451042194358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150473.69</v>
      </c>
      <c r="U31" s="8">
        <f>IFERROR(T31/T444, "NA")</f>
        <v>0.2429999930074821</v>
      </c>
      <c r="V31" s="9"/>
      <c r="W31" s="10">
        <f t="shared" ref="W31:W40" si="10">IFERROR(Q31-T31, "NA")</f>
        <v>-150473.69</v>
      </c>
      <c r="X31" s="8">
        <f>IFERROR(W31/W444, "NA")</f>
        <v>2.5448124272149375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14532.01</v>
      </c>
      <c r="C33" s="8">
        <f>IFERROR(B33/B444, "NA")</f>
        <v>0.12815863368103939</v>
      </c>
      <c r="D33" s="9"/>
      <c r="E33" s="7">
        <v>0</v>
      </c>
      <c r="F33" s="8">
        <f>IFERROR(E33/E444, "NA")</f>
        <v>0</v>
      </c>
      <c r="G33" s="9"/>
      <c r="H33" s="10">
        <f t="shared" si="8"/>
        <v>14532.01</v>
      </c>
      <c r="I33" s="8">
        <f>IFERROR(H33/H444, "NA")</f>
        <v>-0.54815247620883345</v>
      </c>
      <c r="J33" s="9"/>
      <c r="K33" s="7">
        <v>10213.56</v>
      </c>
      <c r="L33" s="8">
        <f>IFERROR(K33/K444, "NA")</f>
        <v>8.4686104404870413E-2</v>
      </c>
      <c r="M33" s="9"/>
      <c r="N33" s="10">
        <f t="shared" si="9"/>
        <v>4318.4500000000007</v>
      </c>
      <c r="O33" s="8">
        <f>IFERROR(N33/N444, "NA")</f>
        <v>-0.59861160974811867</v>
      </c>
      <c r="P33" s="9"/>
      <c r="Q33" s="7">
        <v>65570.03</v>
      </c>
      <c r="R33" s="8">
        <f>IFERROR(Q33/Q444, "NA")</f>
        <v>0.11706765459319474</v>
      </c>
      <c r="S33" s="9"/>
      <c r="T33" s="7">
        <v>0</v>
      </c>
      <c r="U33" s="8">
        <f>IFERROR(T33/T444, "NA")</f>
        <v>0</v>
      </c>
      <c r="V33" s="9"/>
      <c r="W33" s="10">
        <f t="shared" si="10"/>
        <v>65570.03</v>
      </c>
      <c r="X33" s="8">
        <f>IFERROR(W33/W444, "NA")</f>
        <v>-1.1089209495484311</v>
      </c>
      <c r="Y33" s="9"/>
      <c r="Z33" s="7">
        <v>42723.81</v>
      </c>
      <c r="AA33" s="8">
        <f>IFERROR(Z33/Z444, "NA")</f>
        <v>8.0068592724318058E-2</v>
      </c>
      <c r="AB33" s="9"/>
      <c r="AC33" s="10">
        <f t="shared" si="11"/>
        <v>22846.22</v>
      </c>
      <c r="AD33" s="8">
        <f>IFERROR(AC33/AC444, "NA")</f>
        <v>0.86167896412446332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2148.9699999999998</v>
      </c>
      <c r="C35" s="8">
        <f>IFERROR(B35/B444, "NA")</f>
        <v>1.8951890276812579E-2</v>
      </c>
      <c r="D35" s="9"/>
      <c r="E35" s="7">
        <v>0</v>
      </c>
      <c r="F35" s="8">
        <f>IFERROR(E35/E444, "NA")</f>
        <v>0</v>
      </c>
      <c r="G35" s="9"/>
      <c r="H35" s="10">
        <f t="shared" si="8"/>
        <v>2148.9699999999998</v>
      </c>
      <c r="I35" s="8">
        <f>IFERROR(H35/H444, "NA")</f>
        <v>-8.1059896517996943E-2</v>
      </c>
      <c r="J35" s="9"/>
      <c r="K35" s="7">
        <v>0</v>
      </c>
      <c r="L35" s="8">
        <f>IFERROR(K35/K444, "NA")</f>
        <v>0</v>
      </c>
      <c r="M35" s="9"/>
      <c r="N35" s="10">
        <f t="shared" si="9"/>
        <v>2148.9699999999998</v>
      </c>
      <c r="O35" s="8">
        <f>IFERROR(N35/N444, "NA")</f>
        <v>-0.29788428510238957</v>
      </c>
      <c r="P35" s="9"/>
      <c r="Q35" s="7">
        <v>9186.75</v>
      </c>
      <c r="R35" s="8">
        <f>IFERROR(Q35/Q444, "NA")</f>
        <v>1.6401872560284504E-2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9186.75</v>
      </c>
      <c r="X35" s="8">
        <f>IFERROR(W35/W444, "NA")</f>
        <v>-0.15536640037016985</v>
      </c>
      <c r="Y35" s="9"/>
      <c r="Z35" s="7">
        <v>0</v>
      </c>
      <c r="AA35" s="8">
        <f>IFERROR(Z35/Z444, "NA")</f>
        <v>0</v>
      </c>
      <c r="AB35" s="9"/>
      <c r="AC35" s="10">
        <f t="shared" si="11"/>
        <v>9186.75</v>
      </c>
      <c r="AD35" s="8">
        <f>IFERROR(AC35/AC444, "NA")</f>
        <v>0.34649185833238116</v>
      </c>
    </row>
    <row r="36" spans="1:30" ht="16.5" customHeight="1" x14ac:dyDescent="0.45">
      <c r="A36" s="12" t="s">
        <v>36</v>
      </c>
      <c r="B36" s="7">
        <v>11740.01</v>
      </c>
      <c r="C36" s="8">
        <f>IFERROR(B36/B444, "NA")</f>
        <v>0.10353582477590774</v>
      </c>
      <c r="D36" s="9"/>
      <c r="E36" s="7">
        <v>0</v>
      </c>
      <c r="F36" s="8">
        <f>IFERROR(E36/E444, "NA")</f>
        <v>0</v>
      </c>
      <c r="G36" s="9"/>
      <c r="H36" s="10">
        <f t="shared" si="8"/>
        <v>11740.01</v>
      </c>
      <c r="I36" s="8">
        <f>IFERROR(H36/H444, "NA")</f>
        <v>-0.44283726423367908</v>
      </c>
      <c r="J36" s="9"/>
      <c r="K36" s="7">
        <v>13345.14</v>
      </c>
      <c r="L36" s="8">
        <f>IFERROR(K36/K444, "NA")</f>
        <v>0.11065171393104974</v>
      </c>
      <c r="M36" s="9"/>
      <c r="N36" s="10">
        <f t="shared" si="9"/>
        <v>-1605.1299999999992</v>
      </c>
      <c r="O36" s="8">
        <f>IFERROR(N36/N444, "NA")</f>
        <v>0.22249868660167355</v>
      </c>
      <c r="P36" s="9"/>
      <c r="Q36" s="7">
        <v>87489.33</v>
      </c>
      <c r="R36" s="8">
        <f>IFERROR(Q36/Q444, "NA")</f>
        <v>0.15620201279502283</v>
      </c>
      <c r="S36" s="9"/>
      <c r="T36" s="7">
        <v>0</v>
      </c>
      <c r="U36" s="8">
        <f>IFERROR(T36/T444, "NA")</f>
        <v>0</v>
      </c>
      <c r="V36" s="9"/>
      <c r="W36" s="10">
        <f t="shared" si="10"/>
        <v>87489.33</v>
      </c>
      <c r="X36" s="8">
        <f>IFERROR(W36/W444, "NA")</f>
        <v>-1.4796203524530345</v>
      </c>
      <c r="Y36" s="9"/>
      <c r="Z36" s="7">
        <v>59730.68</v>
      </c>
      <c r="AA36" s="8">
        <f>IFERROR(Z36/Z444, "NA")</f>
        <v>0.11194112814532622</v>
      </c>
      <c r="AB36" s="9"/>
      <c r="AC36" s="10">
        <f t="shared" si="11"/>
        <v>27758.65</v>
      </c>
      <c r="AD36" s="8">
        <f>IFERROR(AC36/AC444, "NA")</f>
        <v>1.0469585243201516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1011.12</v>
      </c>
      <c r="C39" s="8">
        <f>IFERROR(B39/B444, "NA")</f>
        <v>8.917125551632054E-3</v>
      </c>
      <c r="D39" s="9"/>
      <c r="E39" s="7">
        <v>0</v>
      </c>
      <c r="F39" s="8">
        <f>IFERROR(E39/E444, "NA")</f>
        <v>0</v>
      </c>
      <c r="G39" s="9"/>
      <c r="H39" s="10">
        <f t="shared" si="8"/>
        <v>1011.12</v>
      </c>
      <c r="I39" s="8">
        <f>IFERROR(H39/H444, "NA")</f>
        <v>-3.8139798399827396E-2</v>
      </c>
      <c r="J39" s="9"/>
      <c r="K39" s="7">
        <v>2175.98</v>
      </c>
      <c r="L39" s="8">
        <f>IFERROR(K39/K444, "NA")</f>
        <v>1.8042217352510773E-2</v>
      </c>
      <c r="M39" s="9"/>
      <c r="N39" s="10">
        <f t="shared" si="9"/>
        <v>-1164.8600000000001</v>
      </c>
      <c r="O39" s="8">
        <f>IFERROR(N39/N444, "NA")</f>
        <v>0.16146967540001469</v>
      </c>
      <c r="P39" s="9"/>
      <c r="Q39" s="7">
        <v>5336.05</v>
      </c>
      <c r="R39" s="8">
        <f>IFERROR(Q39/Q444, "NA")</f>
        <v>9.5268960269198708E-3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5336.05</v>
      </c>
      <c r="X39" s="8">
        <f>IFERROR(W39/W444, "NA")</f>
        <v>-9.0243326605735974E-2</v>
      </c>
      <c r="Y39" s="9"/>
      <c r="Z39" s="7">
        <v>6935.97</v>
      </c>
      <c r="AA39" s="8">
        <f>IFERROR(Z39/Z444, "NA")</f>
        <v>1.299868520803946E-2</v>
      </c>
      <c r="AB39" s="9"/>
      <c r="AC39" s="10">
        <f t="shared" si="11"/>
        <v>-1599.92</v>
      </c>
      <c r="AD39" s="8">
        <f>IFERROR(AC39/AC444, "NA")</f>
        <v>-6.0343348189854228E-2</v>
      </c>
    </row>
    <row r="40" spans="1:30" ht="16.5" customHeight="1" x14ac:dyDescent="0.45">
      <c r="A40" s="13" t="s">
        <v>40</v>
      </c>
      <c r="B40" s="14">
        <f>IFERROR(B31+B32+B33+B34+B35+B36+B37+B38+B39, "NA")</f>
        <v>29432.109999999997</v>
      </c>
      <c r="C40" s="15">
        <f>IFERROR(B40/B444, "NA")</f>
        <v>0.25956347428539173</v>
      </c>
      <c r="D40" s="2"/>
      <c r="E40" s="14">
        <f>IFERROR(E31+E32+E33+E34+E35+E36+E37+E38+E39, "NA")</f>
        <v>33996.11</v>
      </c>
      <c r="F40" s="15">
        <f>IFERROR(E40/E444, "NA")</f>
        <v>0.24299999521092275</v>
      </c>
      <c r="G40" s="2"/>
      <c r="H40" s="14">
        <f t="shared" si="8"/>
        <v>-4564.0000000000036</v>
      </c>
      <c r="I40" s="15">
        <f>IFERROR(H40/H444, "NA")</f>
        <v>0.17215566885909916</v>
      </c>
      <c r="J40" s="2"/>
      <c r="K40" s="14">
        <f>IFERROR(K31+K32+K33+K34+K35+K36+K37+K38+K39, "NA")</f>
        <v>25734.679999999997</v>
      </c>
      <c r="L40" s="15">
        <f>IFERROR(K40/K444, "NA")</f>
        <v>0.21338003568843089</v>
      </c>
      <c r="M40" s="2"/>
      <c r="N40" s="14">
        <f t="shared" si="9"/>
        <v>3697.4300000000003</v>
      </c>
      <c r="O40" s="15">
        <f>IFERROR(N40/N444, "NA")</f>
        <v>-0.51252753284881991</v>
      </c>
      <c r="P40" s="2"/>
      <c r="Q40" s="14">
        <f>IFERROR(Q31+Q32+Q33+Q34+Q35+Q36+Q37+Q38+Q39, "NA")</f>
        <v>167582.15999999997</v>
      </c>
      <c r="R40" s="15">
        <f>IFERROR(Q40/Q444, "NA")</f>
        <v>0.29919843597542189</v>
      </c>
      <c r="S40" s="2"/>
      <c r="T40" s="14">
        <f>IFERROR(T31+T32+T33+T34+T35+T36+T37+T38+T39, "NA")</f>
        <v>150473.69</v>
      </c>
      <c r="U40" s="15">
        <f>IFERROR(T40/T444, "NA")</f>
        <v>0.2429999930074821</v>
      </c>
      <c r="V40" s="2"/>
      <c r="W40" s="14">
        <f t="shared" si="10"/>
        <v>17108.469999999972</v>
      </c>
      <c r="X40" s="15">
        <f>IFERROR(W40/W444, "NA")</f>
        <v>-0.28933860176243348</v>
      </c>
      <c r="Y40" s="2"/>
      <c r="Z40" s="14">
        <f>IFERROR(Z31+Z32+Z33+Z34+Z35+Z36+Z37+Z38+Z39, "NA")</f>
        <v>109390.45999999999</v>
      </c>
      <c r="AA40" s="15">
        <f>IFERROR(Z40/Z444, "NA")</f>
        <v>0.20500840607768372</v>
      </c>
      <c r="AB40" s="2"/>
      <c r="AC40" s="14">
        <f t="shared" si="11"/>
        <v>58191.699999999983</v>
      </c>
      <c r="AD40" s="15">
        <f>IFERROR(AC40/AC444, "NA")</f>
        <v>2.1947859985871414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1913.3</v>
      </c>
      <c r="C43" s="8">
        <f>IFERROR(B43/B444, "NA")</f>
        <v>1.6873502964967174E-2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1913.3</v>
      </c>
      <c r="I43" s="8">
        <f>IFERROR(H43/H444, "NA")</f>
        <v>-7.2170342074521068E-2</v>
      </c>
      <c r="J43" s="9"/>
      <c r="K43" s="7">
        <v>2534.25</v>
      </c>
      <c r="L43" s="8">
        <f>IFERROR(K43/K444, "NA")</f>
        <v>2.101282609472533E-2</v>
      </c>
      <c r="M43" s="9"/>
      <c r="N43" s="10">
        <f>IFERROR(B43-K43, "NA")</f>
        <v>-620.95000000000005</v>
      </c>
      <c r="O43" s="8">
        <f>IFERROR(N43/N444, "NA")</f>
        <v>8.6074373692666184E-2</v>
      </c>
      <c r="P43" s="9"/>
      <c r="Q43" s="7">
        <v>23814.74</v>
      </c>
      <c r="R43" s="8">
        <f>IFERROR(Q43/Q444, "NA")</f>
        <v>4.2518445645773513E-2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23814.74</v>
      </c>
      <c r="X43" s="8">
        <f>IFERROR(W43/W444, "NA")</f>
        <v>-0.4027551015921299</v>
      </c>
      <c r="Y43" s="9"/>
      <c r="Z43" s="7">
        <v>2534.25</v>
      </c>
      <c r="AA43" s="8">
        <f>IFERROR(Z43/Z444, "NA")</f>
        <v>4.7494320172195093E-3</v>
      </c>
      <c r="AB43" s="9"/>
      <c r="AC43" s="10">
        <f>IFERROR(Q43-Z43, "NA")</f>
        <v>21280.49</v>
      </c>
      <c r="AD43" s="8">
        <f>IFERROR(AC43/AC444, "NA")</f>
        <v>0.80262514233256099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28400.04</v>
      </c>
      <c r="F46" s="8">
        <f>IFERROR(E46/E444, "NA")</f>
        <v>0.20299997805601919</v>
      </c>
      <c r="G46" s="9"/>
      <c r="H46" s="10">
        <f t="shared" ref="H46:H62" si="12">IFERROR(B46-E46, "NA")</f>
        <v>-28400.04</v>
      </c>
      <c r="I46" s="8">
        <f>IFERROR(H46/H444, "NA")</f>
        <v>1.0712593956672145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125704.35</v>
      </c>
      <c r="U46" s="8">
        <f>IFERROR(T46/T444, "NA")</f>
        <v>0.20299998073424053</v>
      </c>
      <c r="V46" s="9"/>
      <c r="W46" s="10">
        <f t="shared" ref="W46:W62" si="14">IFERROR(Q46-T46, "NA")</f>
        <v>-125704.35</v>
      </c>
      <c r="X46" s="8">
        <f>IFERROR(W46/W444, "NA")</f>
        <v>2.1259131216558589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6361.8</v>
      </c>
      <c r="C48" s="8">
        <f>IFERROR(B48/B444, "NA")</f>
        <v>5.6105080835482241E-2</v>
      </c>
      <c r="D48" s="9"/>
      <c r="E48" s="7">
        <v>0</v>
      </c>
      <c r="F48" s="8">
        <f>IFERROR(E48/E444, "NA")</f>
        <v>0</v>
      </c>
      <c r="G48" s="9"/>
      <c r="H48" s="10">
        <f t="shared" si="12"/>
        <v>6361.8</v>
      </c>
      <c r="I48" s="8">
        <f>IFERROR(H48/H444, "NA")</f>
        <v>-0.23996931072476255</v>
      </c>
      <c r="J48" s="9"/>
      <c r="K48" s="7">
        <v>18777.580000000002</v>
      </c>
      <c r="L48" s="8">
        <f>IFERROR(K48/K444, "NA")</f>
        <v>0.15569498787404262</v>
      </c>
      <c r="M48" s="9"/>
      <c r="N48" s="10">
        <f t="shared" si="13"/>
        <v>-12415.780000000002</v>
      </c>
      <c r="O48" s="8">
        <f>IFERROR(N48/N444, "NA")</f>
        <v>1.7210411263482261</v>
      </c>
      <c r="P48" s="9"/>
      <c r="Q48" s="7">
        <v>41515.72</v>
      </c>
      <c r="R48" s="8">
        <f>IFERROR(Q48/Q444, "NA")</f>
        <v>7.4121484604289287E-2</v>
      </c>
      <c r="S48" s="9"/>
      <c r="T48" s="7">
        <v>0</v>
      </c>
      <c r="U48" s="8">
        <f>IFERROR(T48/T444, "NA")</f>
        <v>0</v>
      </c>
      <c r="V48" s="9"/>
      <c r="W48" s="10">
        <f t="shared" si="14"/>
        <v>41515.72</v>
      </c>
      <c r="X48" s="8">
        <f>IFERROR(W48/W444, "NA")</f>
        <v>-0.70211423791611494</v>
      </c>
      <c r="Y48" s="9"/>
      <c r="Z48" s="7">
        <v>97077.87</v>
      </c>
      <c r="AA48" s="8">
        <f>IFERROR(Z48/Z444, "NA")</f>
        <v>0.18193340986148693</v>
      </c>
      <c r="AB48" s="9"/>
      <c r="AC48" s="10">
        <f t="shared" si="15"/>
        <v>-55562.149999999994</v>
      </c>
      <c r="AD48" s="8">
        <f>IFERROR(AC48/AC444, "NA")</f>
        <v>-2.0956086326984527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480.25</v>
      </c>
      <c r="L49" s="8">
        <f>IFERROR(K49/K444, "NA")</f>
        <v>3.9820103509881979E-3</v>
      </c>
      <c r="M49" s="9"/>
      <c r="N49" s="10">
        <f t="shared" si="13"/>
        <v>-480.25</v>
      </c>
      <c r="O49" s="8">
        <f>IFERROR(N49/N444, "NA")</f>
        <v>6.6570928361225426E-2</v>
      </c>
      <c r="P49" s="9"/>
      <c r="Q49" s="7">
        <v>475.48</v>
      </c>
      <c r="R49" s="8">
        <f>IFERROR(Q49/Q444, "NA")</f>
        <v>8.4891418237832488E-4</v>
      </c>
      <c r="S49" s="9"/>
      <c r="T49" s="7">
        <v>0</v>
      </c>
      <c r="U49" s="8">
        <f>IFERROR(T49/T444, "NA")</f>
        <v>0</v>
      </c>
      <c r="V49" s="9"/>
      <c r="W49" s="10">
        <f t="shared" si="14"/>
        <v>475.48</v>
      </c>
      <c r="X49" s="8">
        <f>IFERROR(W49/W444, "NA")</f>
        <v>-8.0413221267595578E-3</v>
      </c>
      <c r="Y49" s="9"/>
      <c r="Z49" s="7">
        <v>890.27</v>
      </c>
      <c r="AA49" s="8">
        <f>IFERROR(Z49/Z444, "NA")</f>
        <v>1.6684529316247461E-3</v>
      </c>
      <c r="AB49" s="9"/>
      <c r="AC49" s="10">
        <f t="shared" si="15"/>
        <v>-414.78999999999996</v>
      </c>
      <c r="AD49" s="8">
        <f>IFERROR(AC49/AC444, "NA")</f>
        <v>-1.5644418093198179E-2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31.15</v>
      </c>
      <c r="R54" s="8">
        <f>IFERROR(Q54/Q444, "NA")</f>
        <v>5.5614698370246527E-5</v>
      </c>
      <c r="S54" s="9"/>
      <c r="T54" s="7">
        <v>0</v>
      </c>
      <c r="U54" s="8">
        <f>IFERROR(T54/T444, "NA")</f>
        <v>0</v>
      </c>
      <c r="V54" s="9"/>
      <c r="W54" s="10">
        <f t="shared" si="14"/>
        <v>31.15</v>
      </c>
      <c r="X54" s="8">
        <f>IFERROR(W54/W444, "NA")</f>
        <v>-5.2680908607840541E-4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31.15</v>
      </c>
      <c r="AD54" s="8">
        <f>IFERROR(AC54/AC444, "NA")</f>
        <v>1.1748683034863987E-3</v>
      </c>
    </row>
    <row r="55" spans="1:30" ht="16.5" customHeight="1" x14ac:dyDescent="0.45">
      <c r="A55" s="17" t="s">
        <v>53</v>
      </c>
      <c r="B55" s="7">
        <v>497.46</v>
      </c>
      <c r="C55" s="8">
        <f>IFERROR(B55/B444, "NA")</f>
        <v>4.3871284090067266E-3</v>
      </c>
      <c r="D55" s="9"/>
      <c r="E55" s="7">
        <v>0</v>
      </c>
      <c r="F55" s="8">
        <f>IFERROR(E55/E444, "NA")</f>
        <v>0</v>
      </c>
      <c r="G55" s="9"/>
      <c r="H55" s="10">
        <f t="shared" si="12"/>
        <v>497.46</v>
      </c>
      <c r="I55" s="8">
        <f>IFERROR(H55/H444, "NA")</f>
        <v>-1.8764364380071737E-2</v>
      </c>
      <c r="J55" s="9"/>
      <c r="K55" s="7">
        <v>398.2</v>
      </c>
      <c r="L55" s="8">
        <f>IFERROR(K55/K444, "NA")</f>
        <v>3.3016897902415415E-3</v>
      </c>
      <c r="M55" s="9"/>
      <c r="N55" s="10">
        <f t="shared" si="13"/>
        <v>99.259999999999991</v>
      </c>
      <c r="O55" s="8">
        <f>IFERROR(N55/N444, "NA")</f>
        <v>-1.3759147004966653E-2</v>
      </c>
      <c r="P55" s="9"/>
      <c r="Q55" s="7">
        <v>2021.15</v>
      </c>
      <c r="R55" s="8">
        <f>IFERROR(Q55/Q444, "NA")</f>
        <v>3.6085280131949848E-3</v>
      </c>
      <c r="S55" s="9"/>
      <c r="T55" s="7">
        <v>0</v>
      </c>
      <c r="U55" s="8">
        <f>IFERROR(T55/T444, "NA")</f>
        <v>0</v>
      </c>
      <c r="V55" s="9"/>
      <c r="W55" s="10">
        <f t="shared" si="14"/>
        <v>2021.15</v>
      </c>
      <c r="X55" s="8">
        <f>IFERROR(W55/W444, "NA")</f>
        <v>-3.4181707362034325E-2</v>
      </c>
      <c r="Y55" s="9"/>
      <c r="Z55" s="7">
        <v>2395.98</v>
      </c>
      <c r="AA55" s="8">
        <f>IFERROR(Z55/Z444, "NA")</f>
        <v>4.4903005325510901E-3</v>
      </c>
      <c r="AB55" s="9"/>
      <c r="AC55" s="10">
        <f t="shared" si="15"/>
        <v>-374.82999999999993</v>
      </c>
      <c r="AD55" s="8">
        <f>IFERROR(AC55/AC444, "NA")</f>
        <v>-1.413726761463264E-2</v>
      </c>
    </row>
    <row r="56" spans="1:30" ht="16.5" hidden="1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0</v>
      </c>
      <c r="AA56" s="8">
        <f>IFERROR(Z56/Z444, "NA")</f>
        <v>0</v>
      </c>
      <c r="AB56" s="9"/>
      <c r="AC56" s="10">
        <f t="shared" si="15"/>
        <v>0</v>
      </c>
      <c r="AD56" s="8">
        <f>IFERROR(AC56/AC444, "NA")</f>
        <v>0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681.35</v>
      </c>
      <c r="L59" s="8">
        <f>IFERROR(K59/K444, "NA")</f>
        <v>5.6494383188876807E-3</v>
      </c>
      <c r="M59" s="9"/>
      <c r="N59" s="10">
        <f t="shared" si="13"/>
        <v>-681.35</v>
      </c>
      <c r="O59" s="8">
        <f>IFERROR(N59/N444, "NA")</f>
        <v>9.4446854844187286E-2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4096.88</v>
      </c>
      <c r="AA59" s="8">
        <f>IFERROR(Z59/Z444, "NA")</f>
        <v>7.6779532574553673E-3</v>
      </c>
      <c r="AB59" s="9"/>
      <c r="AC59" s="10">
        <f t="shared" si="15"/>
        <v>-4096.88</v>
      </c>
      <c r="AD59" s="8">
        <f>IFERROR(AC59/AC444, "NA")</f>
        <v>-0.15451988620184132</v>
      </c>
    </row>
    <row r="60" spans="1:30" ht="16.5" customHeight="1" x14ac:dyDescent="0.45">
      <c r="A60" s="17" t="s">
        <v>58</v>
      </c>
      <c r="B60" s="7">
        <v>12.85</v>
      </c>
      <c r="C60" s="8">
        <f>IFERROR(B60/B444, "NA")</f>
        <v>1.133248905554948E-4</v>
      </c>
      <c r="D60" s="9"/>
      <c r="E60" s="7">
        <v>0</v>
      </c>
      <c r="F60" s="8">
        <f>IFERROR(E60/E444, "NA")</f>
        <v>0</v>
      </c>
      <c r="G60" s="9"/>
      <c r="H60" s="10">
        <f t="shared" si="12"/>
        <v>12.85</v>
      </c>
      <c r="I60" s="8">
        <f>IFERROR(H60/H444, "NA")</f>
        <v>-4.8470647345298477E-4</v>
      </c>
      <c r="J60" s="9"/>
      <c r="K60" s="7">
        <v>0</v>
      </c>
      <c r="L60" s="8">
        <f>IFERROR(K60/K444, "NA")</f>
        <v>0</v>
      </c>
      <c r="M60" s="9"/>
      <c r="N60" s="10">
        <f t="shared" si="13"/>
        <v>12.85</v>
      </c>
      <c r="O60" s="8">
        <f>IFERROR(N60/N444, "NA")</f>
        <v>-1.7812315032623566E-3</v>
      </c>
      <c r="P60" s="9"/>
      <c r="Q60" s="7">
        <v>12.85</v>
      </c>
      <c r="R60" s="8">
        <f>IFERROR(Q60/Q444, "NA")</f>
        <v>2.2942178942461246E-5</v>
      </c>
      <c r="S60" s="9"/>
      <c r="T60" s="7">
        <v>0</v>
      </c>
      <c r="U60" s="8">
        <f>IFERROR(T60/T444, "NA")</f>
        <v>0</v>
      </c>
      <c r="V60" s="9"/>
      <c r="W60" s="10">
        <f t="shared" si="14"/>
        <v>12.85</v>
      </c>
      <c r="X60" s="8">
        <f>IFERROR(W60/W444, "NA")</f>
        <v>-2.1731931801308217E-4</v>
      </c>
      <c r="Y60" s="9"/>
      <c r="Z60" s="7">
        <v>116.96</v>
      </c>
      <c r="AA60" s="8">
        <f>IFERROR(Z60/Z444, "NA")</f>
        <v>2.1919446334576058E-4</v>
      </c>
      <c r="AB60" s="9"/>
      <c r="AC60" s="10">
        <f t="shared" si="15"/>
        <v>-104.11</v>
      </c>
      <c r="AD60" s="8">
        <f>IFERROR(AC60/AC444, "NA")</f>
        <v>-3.9266625706571101E-3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6872.1100000000006</v>
      </c>
      <c r="C61" s="15">
        <f>IFERROR(B61/B444, "NA")</f>
        <v>6.0605534135044471E-2</v>
      </c>
      <c r="D61" s="2"/>
      <c r="E61" s="14">
        <f>IFERROR(E46+E47+E48+E49+E50+E51+E52+E53+E54+E55+E56+E57+E58+E59+E60, "NA")</f>
        <v>28400.04</v>
      </c>
      <c r="F61" s="15">
        <f>IFERROR(E61/E444, "NA")</f>
        <v>0.20299997805601919</v>
      </c>
      <c r="G61" s="2"/>
      <c r="H61" s="14">
        <f t="shared" si="12"/>
        <v>-21527.93</v>
      </c>
      <c r="I61" s="15">
        <f>IFERROR(H61/H444, "NA")</f>
        <v>0.81204101408892726</v>
      </c>
      <c r="J61" s="2"/>
      <c r="K61" s="14">
        <f>IFERROR(K46+K47+K48+K49+K50+K51+K52+K53+K54+K55+K56+K57+K58+K59+K60, "NA")</f>
        <v>20337.38</v>
      </c>
      <c r="L61" s="15">
        <f>IFERROR(K61/K444, "NA")</f>
        <v>0.16862812633416002</v>
      </c>
      <c r="M61" s="2"/>
      <c r="N61" s="14">
        <f t="shared" si="13"/>
        <v>-13465.27</v>
      </c>
      <c r="O61" s="15">
        <f>IFERROR(N61/N444, "NA")</f>
        <v>1.8665185310454095</v>
      </c>
      <c r="P61" s="2"/>
      <c r="Q61" s="14">
        <f>IFERROR(Q46+Q47+Q48+Q49+Q50+Q51+Q52+Q53+Q54+Q55+Q56+Q57+Q58+Q59+Q60, "NA")</f>
        <v>44056.350000000006</v>
      </c>
      <c r="R61" s="15">
        <f>IFERROR(Q61/Q444, "NA")</f>
        <v>7.8657483677175316E-2</v>
      </c>
      <c r="S61" s="2"/>
      <c r="T61" s="14">
        <f>IFERROR(T46+T47+T48+T49+T50+T51+T52+T53+T54+T55+T56+T57+T58+T59+T60, "NA")</f>
        <v>125704.35</v>
      </c>
      <c r="U61" s="15">
        <f>IFERROR(T61/T444, "NA")</f>
        <v>0.20299998073424053</v>
      </c>
      <c r="V61" s="2"/>
      <c r="W61" s="14">
        <f t="shared" si="14"/>
        <v>-81648</v>
      </c>
      <c r="X61" s="15">
        <f>IFERROR(W61/W444, "NA")</f>
        <v>1.3808317258468588</v>
      </c>
      <c r="Y61" s="2"/>
      <c r="Z61" s="14">
        <f>IFERROR(Z46+Z47+Z48+Z49+Z50+Z51+Z52+Z53+Z54+Z55+Z56+Z57+Z58+Z59+Z60, "NA")</f>
        <v>104577.96</v>
      </c>
      <c r="AA61" s="15">
        <f>IFERROR(Z61/Z444, "NA")</f>
        <v>0.19598931104646392</v>
      </c>
      <c r="AB61" s="2"/>
      <c r="AC61" s="14">
        <f t="shared" si="15"/>
        <v>-60521.61</v>
      </c>
      <c r="AD61" s="15">
        <f>IFERROR(AC61/AC444, "NA")</f>
        <v>-2.2826619988752959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8785.41</v>
      </c>
      <c r="C62" s="15">
        <f>IFERROR(B62/B444, "NA")</f>
        <v>7.7479037100011638E-2</v>
      </c>
      <c r="D62" s="2"/>
      <c r="E62" s="14">
        <f>IFERROR(E42+E43+E44+E46+E47+E48+E49+E50+E51+E52+E53+E54+E55+E56+E57+E58+E59+E60, "NA")</f>
        <v>28400.04</v>
      </c>
      <c r="F62" s="15">
        <f>IFERROR(E62/E444, "NA")</f>
        <v>0.20299997805601919</v>
      </c>
      <c r="G62" s="2"/>
      <c r="H62" s="14">
        <f t="shared" si="12"/>
        <v>-19614.63</v>
      </c>
      <c r="I62" s="15">
        <f>IFERROR(H62/H444, "NA")</f>
        <v>0.73987067201440626</v>
      </c>
      <c r="J62" s="2"/>
      <c r="K62" s="14">
        <f>IFERROR(K42+K43+K44+K46+K47+K48+K49+K50+K51+K52+K53+K54+K55+K56+K57+K58+K59+K60, "NA")</f>
        <v>22871.63</v>
      </c>
      <c r="L62" s="15">
        <f>IFERROR(K62/K444, "NA")</f>
        <v>0.18964095242888537</v>
      </c>
      <c r="M62" s="2"/>
      <c r="N62" s="14">
        <f t="shared" si="13"/>
        <v>-14086.220000000001</v>
      </c>
      <c r="O62" s="15">
        <f>IFERROR(N62/N444, "NA")</f>
        <v>1.9525929047380759</v>
      </c>
      <c r="P62" s="2"/>
      <c r="Q62" s="14">
        <f>IFERROR(Q42+Q43+Q44+Q46+Q47+Q48+Q49+Q50+Q51+Q52+Q53+Q54+Q55+Q56+Q57+Q58+Q59+Q60, "NA")</f>
        <v>67871.09</v>
      </c>
      <c r="R62" s="15">
        <f>IFERROR(Q62/Q444, "NA")</f>
        <v>0.12117592932294881</v>
      </c>
      <c r="S62" s="2"/>
      <c r="T62" s="14">
        <f>IFERROR(T42+T43+T44+T46+T47+T48+T49+T50+T51+T52+T53+T54+T55+T56+T57+T58+T59+T60, "NA")</f>
        <v>125704.35</v>
      </c>
      <c r="U62" s="15">
        <f>IFERROR(T62/T444, "NA")</f>
        <v>0.20299998073424053</v>
      </c>
      <c r="V62" s="2"/>
      <c r="W62" s="14">
        <f t="shared" si="14"/>
        <v>-57833.260000000009</v>
      </c>
      <c r="X62" s="15">
        <f>IFERROR(W62/W444, "NA")</f>
        <v>0.97807662425472897</v>
      </c>
      <c r="Y62" s="2"/>
      <c r="Z62" s="14">
        <f>IFERROR(Z42+Z43+Z44+Z46+Z47+Z48+Z49+Z50+Z51+Z52+Z53+Z54+Z55+Z56+Z57+Z58+Z59+Z60, "NA")</f>
        <v>107112.21</v>
      </c>
      <c r="AA62" s="15">
        <f>IFERROR(Z62/Z444, "NA")</f>
        <v>0.20073874306368342</v>
      </c>
      <c r="AB62" s="2"/>
      <c r="AC62" s="14">
        <f t="shared" si="15"/>
        <v>-39241.12000000001</v>
      </c>
      <c r="AD62" s="15">
        <f>IFERROR(AC62/AC444, "NA")</f>
        <v>-1.4800368565427353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3435.59</v>
      </c>
      <c r="C65" s="8">
        <f>IFERROR(B65/B444, "NA")</f>
        <v>3.0298666205723922E-2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3435.59</v>
      </c>
      <c r="I65" s="8">
        <f>IFERROR(H65/H444, "NA")</f>
        <v>-0.12959165082726382</v>
      </c>
      <c r="J65" s="9"/>
      <c r="K65" s="7">
        <v>496.76</v>
      </c>
      <c r="L65" s="8">
        <f>IFERROR(K65/K444, "NA")</f>
        <v>4.1189036167764643E-3</v>
      </c>
      <c r="M65" s="9"/>
      <c r="N65" s="10">
        <f t="shared" si="17"/>
        <v>2938.83</v>
      </c>
      <c r="O65" s="8">
        <f>IFERROR(N65/N444, "NA")</f>
        <v>-0.40737249639941719</v>
      </c>
      <c r="P65" s="9"/>
      <c r="Q65" s="7">
        <v>13492.85</v>
      </c>
      <c r="R65" s="8">
        <f>IFERROR(Q65/Q444, "NA")</f>
        <v>2.4089912773835664E-2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13492.85</v>
      </c>
      <c r="X65" s="8">
        <f>IFERROR(W65/W444, "NA")</f>
        <v>-0.22819120311695065</v>
      </c>
      <c r="Y65" s="9"/>
      <c r="Z65" s="7">
        <v>1295.22</v>
      </c>
      <c r="AA65" s="8">
        <f>IFERROR(Z65/Z444, "NA")</f>
        <v>2.4273687826153905E-3</v>
      </c>
      <c r="AB65" s="9"/>
      <c r="AC65" s="10">
        <f t="shared" si="19"/>
        <v>12197.630000000001</v>
      </c>
      <c r="AD65" s="8">
        <f>IFERROR(AC65/AC444, "NA")</f>
        <v>0.46005164894557954</v>
      </c>
    </row>
    <row r="66" spans="1:30" ht="16.5" hidden="1" customHeight="1" x14ac:dyDescent="0.45">
      <c r="A66" s="12" t="s">
        <v>63</v>
      </c>
      <c r="B66" s="7">
        <v>0</v>
      </c>
      <c r="C66" s="8">
        <f>IFERROR(B66/B444, "NA")</f>
        <v>0</v>
      </c>
      <c r="D66" s="9"/>
      <c r="E66" s="7">
        <v>0</v>
      </c>
      <c r="F66" s="8">
        <f>IFERROR(E66/E444, "NA")</f>
        <v>0</v>
      </c>
      <c r="G66" s="9"/>
      <c r="H66" s="10">
        <f t="shared" si="16"/>
        <v>0</v>
      </c>
      <c r="I66" s="8">
        <f>IFERROR(H66/H444, "NA")</f>
        <v>0</v>
      </c>
      <c r="J66" s="9"/>
      <c r="K66" s="7">
        <v>0</v>
      </c>
      <c r="L66" s="8">
        <f>IFERROR(K66/K444, "NA")</f>
        <v>0</v>
      </c>
      <c r="M66" s="9"/>
      <c r="N66" s="10">
        <f t="shared" si="17"/>
        <v>0</v>
      </c>
      <c r="O66" s="8">
        <f>IFERROR(N66/N444, "NA")</f>
        <v>0</v>
      </c>
      <c r="P66" s="9"/>
      <c r="Q66" s="7">
        <v>0</v>
      </c>
      <c r="R66" s="8">
        <f>IFERROR(Q66/Q444, "NA")</f>
        <v>0</v>
      </c>
      <c r="S66" s="9"/>
      <c r="T66" s="7">
        <v>0</v>
      </c>
      <c r="U66" s="8">
        <f>IFERROR(T66/T444, "NA")</f>
        <v>0</v>
      </c>
      <c r="V66" s="9"/>
      <c r="W66" s="10">
        <f t="shared" si="18"/>
        <v>0</v>
      </c>
      <c r="X66" s="8">
        <f>IFERROR(W66/W444, "NA")</f>
        <v>0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0</v>
      </c>
      <c r="AD66" s="8">
        <f>IFERROR(AC66/AC444, "NA")</f>
        <v>0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customHeight="1" x14ac:dyDescent="0.45">
      <c r="A68" s="12" t="s">
        <v>65</v>
      </c>
      <c r="B68" s="7">
        <v>5799</v>
      </c>
      <c r="C68" s="8">
        <f>IFERROR(B68/B444, "NA")</f>
        <v>5.114171520088049E-2</v>
      </c>
      <c r="D68" s="9"/>
      <c r="E68" s="7">
        <v>0</v>
      </c>
      <c r="F68" s="8">
        <f>IFERROR(E68/E444, "NA")</f>
        <v>0</v>
      </c>
      <c r="G68" s="9"/>
      <c r="H68" s="10">
        <f t="shared" si="16"/>
        <v>5799</v>
      </c>
      <c r="I68" s="8">
        <f>IFERROR(H68/H444, "NA")</f>
        <v>-0.21874029879796567</v>
      </c>
      <c r="J68" s="9"/>
      <c r="K68" s="7">
        <v>0</v>
      </c>
      <c r="L68" s="8">
        <f>IFERROR(K68/K444, "NA")</f>
        <v>0</v>
      </c>
      <c r="M68" s="9"/>
      <c r="N68" s="10">
        <f t="shared" si="17"/>
        <v>5799</v>
      </c>
      <c r="O68" s="8">
        <f>IFERROR(N68/N444, "NA")</f>
        <v>-0.80384136088859193</v>
      </c>
      <c r="P68" s="9"/>
      <c r="Q68" s="7">
        <v>5799</v>
      </c>
      <c r="R68" s="8">
        <f>IFERROR(Q68/Q444, "NA")</f>
        <v>1.0353439353099828E-2</v>
      </c>
      <c r="S68" s="9"/>
      <c r="T68" s="7">
        <v>0</v>
      </c>
      <c r="U68" s="8">
        <f>IFERROR(T68/T444, "NA")</f>
        <v>0</v>
      </c>
      <c r="V68" s="9"/>
      <c r="W68" s="10">
        <f t="shared" si="18"/>
        <v>5799</v>
      </c>
      <c r="X68" s="8">
        <f>IFERROR(W68/W444, "NA")</f>
        <v>-9.8072741257421284E-2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5799</v>
      </c>
      <c r="AD68" s="8">
        <f>IFERROR(AC68/AC444, "NA")</f>
        <v>0.21871785848852732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9234.59</v>
      </c>
      <c r="C73" s="15">
        <f>IFERROR(B73/B444, "NA")</f>
        <v>8.1440381406604409E-2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9234.59</v>
      </c>
      <c r="I73" s="15">
        <f>IFERROR(H73/H444, "NA")</f>
        <v>-0.34833194962522951</v>
      </c>
      <c r="J73" s="2"/>
      <c r="K73" s="14">
        <f>IFERROR(K64+K65+K66+K67+K68+K69+K70+K71+K72, "NA")</f>
        <v>496.76</v>
      </c>
      <c r="L73" s="15">
        <f>IFERROR(K73/K444, "NA")</f>
        <v>4.1189036167764643E-3</v>
      </c>
      <c r="M73" s="2"/>
      <c r="N73" s="14">
        <f t="shared" si="17"/>
        <v>8737.83</v>
      </c>
      <c r="O73" s="15">
        <f>IFERROR(N73/N444, "NA")</f>
        <v>-1.2112138572880091</v>
      </c>
      <c r="P73" s="2"/>
      <c r="Q73" s="14">
        <f>IFERROR(Q64+Q65+Q66+Q67+Q68+Q69+Q70+Q71+Q72, "NA")</f>
        <v>19291.849999999999</v>
      </c>
      <c r="R73" s="15">
        <f>IFERROR(Q73/Q444, "NA")</f>
        <v>3.4443352126935486E-2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19291.849999999999</v>
      </c>
      <c r="X73" s="15">
        <f>IFERROR(W73/W444, "NA")</f>
        <v>-0.32626394437437189</v>
      </c>
      <c r="Y73" s="2"/>
      <c r="Z73" s="14">
        <f>IFERROR(Z64+Z65+Z66+Z67+Z68+Z69+Z70+Z71+Z72, "NA")</f>
        <v>1295.22</v>
      </c>
      <c r="AA73" s="15">
        <f>IFERROR(Z73/Z444, "NA")</f>
        <v>2.4273687826153905E-3</v>
      </c>
      <c r="AB73" s="2"/>
      <c r="AC73" s="14">
        <f t="shared" si="19"/>
        <v>17996.629999999997</v>
      </c>
      <c r="AD73" s="15">
        <f>IFERROR(AC73/AC444, "NA")</f>
        <v>0.67876950743410669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2378.33</v>
      </c>
      <c r="F75" s="8">
        <f>IFERROR(E75/E444, "NA")</f>
        <v>1.7000009077803132E-2</v>
      </c>
      <c r="G75" s="9"/>
      <c r="H75" s="10">
        <f t="shared" ref="H75:H92" si="20">IFERROR(B75-E75, "NA")</f>
        <v>-2378.33</v>
      </c>
      <c r="I75" s="8">
        <f>IFERROR(H75/H444, "NA")</f>
        <v>8.9711435564781117E-2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10526.96</v>
      </c>
      <c r="U75" s="8">
        <f>IFERROR(T75/T444, "NA")</f>
        <v>1.6999989874575704E-2</v>
      </c>
      <c r="V75" s="9"/>
      <c r="W75" s="10">
        <f t="shared" ref="W75:W92" si="22">IFERROR(Q75-T75, "NA")</f>
        <v>-10526.96</v>
      </c>
      <c r="X75" s="8">
        <f>IFERROR(W75/W444, "NA")</f>
        <v>0.17803204419852103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245.53</v>
      </c>
      <c r="C77" s="8">
        <f>IFERROR(B77/B444, "NA")</f>
        <v>2.1653432200848745E-3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245.53</v>
      </c>
      <c r="I77" s="8">
        <f>IFERROR(H77/H444, "NA")</f>
        <v>-9.2614770760242309E-3</v>
      </c>
      <c r="J77" s="9"/>
      <c r="K77" s="7">
        <v>167.44</v>
      </c>
      <c r="L77" s="8">
        <f>IFERROR(K77/K444, "NA")</f>
        <v>1.3883348530337612E-3</v>
      </c>
      <c r="M77" s="9"/>
      <c r="N77" s="10">
        <f t="shared" si="21"/>
        <v>78.09</v>
      </c>
      <c r="O77" s="8">
        <f>IFERROR(N77/N444, "NA")</f>
        <v>-1.0824620084806025E-2</v>
      </c>
      <c r="P77" s="9"/>
      <c r="Q77" s="7">
        <v>2301.5100000000002</v>
      </c>
      <c r="R77" s="8">
        <f>IFERROR(Q77/Q444, "NA")</f>
        <v>4.1090781523629568E-3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2301.5100000000002</v>
      </c>
      <c r="X77" s="8">
        <f>IFERROR(W77/W444, "NA")</f>
        <v>-3.8923158256831812E-2</v>
      </c>
      <c r="Y77" s="9"/>
      <c r="Z77" s="7">
        <v>681.72</v>
      </c>
      <c r="AA77" s="8">
        <f>IFERROR(Z77/Z444, "NA")</f>
        <v>1.2776098627913126E-3</v>
      </c>
      <c r="AB77" s="9"/>
      <c r="AC77" s="10">
        <f t="shared" si="23"/>
        <v>1619.7900000000002</v>
      </c>
      <c r="AD77" s="8">
        <f>IFERROR(AC77/AC444, "NA")</f>
        <v>6.1092774616508319E-2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8.9700000000000006</v>
      </c>
      <c r="L79" s="8">
        <f>IFERROR(K79/K444, "NA")</f>
        <v>7.4375081412522928E-5</v>
      </c>
      <c r="M79" s="9"/>
      <c r="N79" s="10">
        <f t="shared" si="21"/>
        <v>-8.9700000000000006</v>
      </c>
      <c r="O79" s="8">
        <f>IFERROR(N79/N444, "NA")</f>
        <v>1.2433966213434506E-3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56.81</v>
      </c>
      <c r="AA79" s="8">
        <f>IFERROR(Z79/Z444, "NA")</f>
        <v>1.0646748856594272E-4</v>
      </c>
      <c r="AB79" s="9"/>
      <c r="AC79" s="10">
        <f t="shared" si="23"/>
        <v>-56.81</v>
      </c>
      <c r="AD79" s="8">
        <f>IFERROR(AC79/AC444, "NA")</f>
        <v>-2.1426731403230278E-3</v>
      </c>
    </row>
    <row r="80" spans="1:30" ht="16.5" customHeight="1" x14ac:dyDescent="0.45">
      <c r="A80" s="12" t="s">
        <v>76</v>
      </c>
      <c r="B80" s="7">
        <v>635.1</v>
      </c>
      <c r="C80" s="8">
        <f>IFERROR(B80/B444, "NA")</f>
        <v>5.6009835013069841E-3</v>
      </c>
      <c r="D80" s="9"/>
      <c r="E80" s="7">
        <v>0</v>
      </c>
      <c r="F80" s="8">
        <f>IFERROR(E80/E444, "NA")</f>
        <v>0</v>
      </c>
      <c r="G80" s="9"/>
      <c r="H80" s="10">
        <f t="shared" si="20"/>
        <v>635.1</v>
      </c>
      <c r="I80" s="8">
        <f>IFERROR(H80/H444, "NA")</f>
        <v>-2.3956193096497328E-2</v>
      </c>
      <c r="J80" s="9"/>
      <c r="K80" s="7">
        <v>1909.93</v>
      </c>
      <c r="L80" s="8">
        <f>IFERROR(K80/K444, "NA")</f>
        <v>1.5836254096122621E-2</v>
      </c>
      <c r="M80" s="9"/>
      <c r="N80" s="10">
        <f t="shared" si="21"/>
        <v>-1274.83</v>
      </c>
      <c r="O80" s="8">
        <f>IFERROR(N80/N444, "NA")</f>
        <v>0.17671341301976262</v>
      </c>
      <c r="P80" s="9"/>
      <c r="Q80" s="7">
        <v>4516.8100000000004</v>
      </c>
      <c r="R80" s="8">
        <f>IFERROR(Q80/Q444, "NA")</f>
        <v>8.0642383867002652E-3</v>
      </c>
      <c r="S80" s="9"/>
      <c r="T80" s="7">
        <v>0</v>
      </c>
      <c r="U80" s="8">
        <f>IFERROR(T80/T444, "NA")</f>
        <v>0</v>
      </c>
      <c r="V80" s="9"/>
      <c r="W80" s="10">
        <f t="shared" si="22"/>
        <v>4516.8100000000004</v>
      </c>
      <c r="X80" s="8">
        <f>IFERROR(W80/W444, "NA")</f>
        <v>-7.6388332201919831E-2</v>
      </c>
      <c r="Y80" s="9"/>
      <c r="Z80" s="7">
        <v>9037.68</v>
      </c>
      <c r="AA80" s="8">
        <f>IFERROR(Z80/Z444, "NA")</f>
        <v>1.6937495019585445E-2</v>
      </c>
      <c r="AB80" s="9"/>
      <c r="AC80" s="10">
        <f t="shared" si="23"/>
        <v>-4520.87</v>
      </c>
      <c r="AD80" s="8">
        <f>IFERROR(AC80/AC444, "NA")</f>
        <v>-0.17051129589671124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customHeight="1" x14ac:dyDescent="0.45">
      <c r="A82" s="12" t="s">
        <v>78</v>
      </c>
      <c r="B82" s="7">
        <v>25</v>
      </c>
      <c r="C82" s="8">
        <f>IFERROR(B82/B444, "NA")</f>
        <v>2.2047644076944513E-4</v>
      </c>
      <c r="D82" s="9"/>
      <c r="E82" s="7">
        <v>0</v>
      </c>
      <c r="F82" s="8">
        <f>IFERROR(E82/E444, "NA")</f>
        <v>0</v>
      </c>
      <c r="G82" s="9"/>
      <c r="H82" s="10">
        <f t="shared" si="20"/>
        <v>25</v>
      </c>
      <c r="I82" s="8">
        <f>IFERROR(H82/H444, "NA")</f>
        <v>-9.4300870321592371E-4</v>
      </c>
      <c r="J82" s="9"/>
      <c r="K82" s="7">
        <v>0</v>
      </c>
      <c r="L82" s="8">
        <f>IFERROR(K82/K444, "NA")</f>
        <v>0</v>
      </c>
      <c r="M82" s="9"/>
      <c r="N82" s="10">
        <f t="shared" si="21"/>
        <v>25</v>
      </c>
      <c r="O82" s="8">
        <f>IFERROR(N82/N444, "NA")</f>
        <v>-3.4654309401991371E-3</v>
      </c>
      <c r="P82" s="9"/>
      <c r="Q82" s="7">
        <v>25</v>
      </c>
      <c r="R82" s="8">
        <f>IFERROR(Q82/Q444, "NA")</f>
        <v>4.4634589382220329E-5</v>
      </c>
      <c r="S82" s="9"/>
      <c r="T82" s="7">
        <v>0</v>
      </c>
      <c r="U82" s="8">
        <f>IFERROR(T82/T444, "NA")</f>
        <v>0</v>
      </c>
      <c r="V82" s="9"/>
      <c r="W82" s="10">
        <f t="shared" si="22"/>
        <v>25</v>
      </c>
      <c r="X82" s="8">
        <f>IFERROR(W82/W444, "NA")</f>
        <v>-4.2280022959743615E-4</v>
      </c>
      <c r="Y82" s="9"/>
      <c r="Z82" s="7">
        <v>25</v>
      </c>
      <c r="AA82" s="8">
        <f>IFERROR(Z82/Z444, "NA")</f>
        <v>4.6852441720622561E-5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905.63</v>
      </c>
      <c r="C88" s="15">
        <f>IFERROR(B88/B444, "NA")</f>
        <v>7.9868031621613041E-3</v>
      </c>
      <c r="D88" s="2"/>
      <c r="E88" s="14">
        <f>IFERROR(E75+E76+E77+E78+E79+E80+E81+E82+E83+E84+E85+E86+E87, "NA")</f>
        <v>2378.33</v>
      </c>
      <c r="F88" s="15">
        <f>IFERROR(E88/E444, "NA")</f>
        <v>1.7000009077803132E-2</v>
      </c>
      <c r="G88" s="2"/>
      <c r="H88" s="14">
        <f t="shared" si="20"/>
        <v>-1472.6999999999998</v>
      </c>
      <c r="I88" s="15">
        <f>IFERROR(H88/H444, "NA")</f>
        <v>5.5550756689043627E-2</v>
      </c>
      <c r="J88" s="2"/>
      <c r="K88" s="14">
        <f>IFERROR(K75+K76+K77+K78+K79+K80+K81+K82+K83+K84+K85+K86+K87, "NA")</f>
        <v>2086.34</v>
      </c>
      <c r="L88" s="15">
        <f>IFERROR(K88/K444, "NA")</f>
        <v>1.7298964030568905E-2</v>
      </c>
      <c r="M88" s="2"/>
      <c r="N88" s="14">
        <f t="shared" si="21"/>
        <v>-1180.71</v>
      </c>
      <c r="O88" s="15">
        <f>IFERROR(N88/N444, "NA")</f>
        <v>0.16366675861610094</v>
      </c>
      <c r="P88" s="2"/>
      <c r="Q88" s="14">
        <f>IFERROR(Q75+Q76+Q77+Q78+Q79+Q80+Q81+Q82+Q83+Q84+Q85+Q86+Q87, "NA")</f>
        <v>6843.3200000000006</v>
      </c>
      <c r="R88" s="15">
        <f>IFERROR(Q88/Q444, "NA")</f>
        <v>1.2217951128445441E-2</v>
      </c>
      <c r="S88" s="2"/>
      <c r="T88" s="14">
        <f>IFERROR(T75+T76+T77+T78+T79+T80+T81+T82+T83+T84+T85+T86+T87, "NA")</f>
        <v>10526.96</v>
      </c>
      <c r="U88" s="15">
        <f>IFERROR(T88/T444, "NA")</f>
        <v>1.6999989874575704E-2</v>
      </c>
      <c r="V88" s="2"/>
      <c r="W88" s="14">
        <f t="shared" si="22"/>
        <v>-3683.6399999999985</v>
      </c>
      <c r="X88" s="15">
        <f>IFERROR(W88/W444, "NA")</f>
        <v>6.2297753510171965E-2</v>
      </c>
      <c r="Y88" s="2"/>
      <c r="Z88" s="14">
        <f>IFERROR(Z75+Z76+Z77+Z78+Z79+Z80+Z81+Z82+Z83+Z84+Z85+Z86+Z87, "NA")</f>
        <v>9801.2100000000009</v>
      </c>
      <c r="AA88" s="15">
        <f>IFERROR(Z88/Z444, "NA")</f>
        <v>1.8368424812663323E-2</v>
      </c>
      <c r="AB88" s="2"/>
      <c r="AC88" s="14">
        <f t="shared" si="23"/>
        <v>-2957.8900000000003</v>
      </c>
      <c r="AD88" s="15">
        <f>IFERROR(AC88/AC444, "NA")</f>
        <v>-0.11156119442052598</v>
      </c>
    </row>
    <row r="89" spans="1:30" ht="16.5" customHeight="1" x14ac:dyDescent="0.45">
      <c r="A89" s="6" t="s">
        <v>85</v>
      </c>
      <c r="B89" s="7">
        <v>-13.7</v>
      </c>
      <c r="C89" s="8">
        <f>IFERROR(B89/B444, "NA")</f>
        <v>-1.2082108954165592E-4</v>
      </c>
      <c r="D89" s="9"/>
      <c r="E89" s="7">
        <v>0</v>
      </c>
      <c r="F89" s="8">
        <f>IFERROR(E89/E444, "NA")</f>
        <v>0</v>
      </c>
      <c r="G89" s="9"/>
      <c r="H89" s="10">
        <f t="shared" si="20"/>
        <v>-13.7</v>
      </c>
      <c r="I89" s="8">
        <f>IFERROR(H89/H444, "NA")</f>
        <v>5.1676876936232615E-4</v>
      </c>
      <c r="J89" s="9"/>
      <c r="K89" s="7">
        <v>-57.8</v>
      </c>
      <c r="L89" s="8">
        <f>IFERROR(K89/K444, "NA")</f>
        <v>-4.7925080330477423E-4</v>
      </c>
      <c r="M89" s="9"/>
      <c r="N89" s="10">
        <f t="shared" si="21"/>
        <v>44.099999999999994</v>
      </c>
      <c r="O89" s="8">
        <f>IFERROR(N89/N444, "NA")</f>
        <v>-6.1130201785112772E-3</v>
      </c>
      <c r="P89" s="9"/>
      <c r="Q89" s="7">
        <v>-140.33000000000001</v>
      </c>
      <c r="R89" s="8">
        <f>IFERROR(Q89/Q444, "NA")</f>
        <v>-2.5054287712027916E-4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-140.33000000000001</v>
      </c>
      <c r="X89" s="8">
        <f>IFERROR(W89/W444, "NA")</f>
        <v>2.3732622487763286E-3</v>
      </c>
      <c r="Y89" s="9"/>
      <c r="Z89" s="7">
        <v>858.8</v>
      </c>
      <c r="AA89" s="8">
        <f>IFERROR(Z89/Z444, "NA")</f>
        <v>1.6094750779868262E-3</v>
      </c>
      <c r="AB89" s="9"/>
      <c r="AC89" s="10">
        <f t="shared" si="23"/>
        <v>-999.13</v>
      </c>
      <c r="AD89" s="8">
        <f>IFERROR(AC89/AC444, "NA")</f>
        <v>-3.7683665106335973E-2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-4896.5600000000004</v>
      </c>
      <c r="F94" s="8">
        <f>IFERROR(E94/E444, "NA")</f>
        <v>-3.5000006075695013E-2</v>
      </c>
      <c r="G94" s="9"/>
      <c r="H94" s="10">
        <f t="shared" ref="H94:H124" si="24">IFERROR(B94-E94, "NA")</f>
        <v>4896.5600000000004</v>
      </c>
      <c r="I94" s="8">
        <f>IFERROR(H94/H444, "NA")</f>
        <v>-0.18469994783275856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-21673.17</v>
      </c>
      <c r="U94" s="8">
        <f>IFERROR(T94/T444, "NA")</f>
        <v>-3.5000006701835847E-2</v>
      </c>
      <c r="V94" s="9"/>
      <c r="W94" s="10">
        <f t="shared" ref="W94:W124" si="26">IFERROR(Q94-T94, "NA")</f>
        <v>21673.17</v>
      </c>
      <c r="X94" s="8">
        <f>IFERROR(W94/W444, "NA")</f>
        <v>-0.36653685008417058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-2371.4499999999998</v>
      </c>
      <c r="C96" s="8">
        <f>IFERROR(B96/B444, "NA")</f>
        <v>-2.0913954218508026E-2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-2371.4499999999998</v>
      </c>
      <c r="I96" s="8">
        <f>IFERROR(H96/H444, "NA")</f>
        <v>8.9451919569656091E-2</v>
      </c>
      <c r="J96" s="9"/>
      <c r="K96" s="7">
        <v>-72.5</v>
      </c>
      <c r="L96" s="8">
        <f>IFERROR(K96/K444, "NA")</f>
        <v>-6.0113638822830676E-4</v>
      </c>
      <c r="M96" s="9"/>
      <c r="N96" s="10">
        <f t="shared" si="25"/>
        <v>-2298.9499999999998</v>
      </c>
      <c r="O96" s="8">
        <f>IFERROR(N96/N444, "NA")</f>
        <v>0.31867409839883226</v>
      </c>
      <c r="P96" s="9"/>
      <c r="Q96" s="7">
        <v>-11337.75</v>
      </c>
      <c r="R96" s="8">
        <f>IFERROR(Q96/Q444, "NA")</f>
        <v>-2.0242232630730741E-2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-11337.75</v>
      </c>
      <c r="X96" s="8">
        <f>IFERROR(W96/W444, "NA")</f>
        <v>0.19174413212473326</v>
      </c>
      <c r="Y96" s="9"/>
      <c r="Z96" s="7">
        <v>-527.58000000000004</v>
      </c>
      <c r="AA96" s="8">
        <f>IFERROR(Z96/Z444, "NA")</f>
        <v>-9.8873644811864206E-4</v>
      </c>
      <c r="AB96" s="9"/>
      <c r="AC96" s="10">
        <f t="shared" si="27"/>
        <v>-10810.17</v>
      </c>
      <c r="AD96" s="8">
        <f>IFERROR(AC96/AC444, "NA")</f>
        <v>-0.40772154376563607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-2846.34</v>
      </c>
      <c r="C98" s="8">
        <f>IFERROR(B98/B444, "NA")</f>
        <v>-2.5102036496788101E-2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-2846.34</v>
      </c>
      <c r="I98" s="8">
        <f>IFERROR(H98/H444, "NA")</f>
        <v>0.1073649356924645</v>
      </c>
      <c r="J98" s="9"/>
      <c r="K98" s="7">
        <v>-1813.71</v>
      </c>
      <c r="L98" s="8">
        <f>IFERROR(K98/K444, "NA")</f>
        <v>-1.503844246473879E-2</v>
      </c>
      <c r="M98" s="9"/>
      <c r="N98" s="10">
        <f t="shared" si="25"/>
        <v>-1032.6300000000001</v>
      </c>
      <c r="O98" s="8">
        <f>IFERROR(N98/N444, "NA")</f>
        <v>0.14314031807111341</v>
      </c>
      <c r="P98" s="9"/>
      <c r="Q98" s="7">
        <v>-10279.59</v>
      </c>
      <c r="R98" s="8">
        <f>IFERROR(Q98/Q444, "NA")</f>
        <v>-1.8353011146703131E-2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-10279.59</v>
      </c>
      <c r="X98" s="8">
        <f>IFERROR(W98/W444, "NA")</f>
        <v>0.17384852048670035</v>
      </c>
      <c r="Y98" s="9"/>
      <c r="Z98" s="7">
        <v>-8125.69</v>
      </c>
      <c r="AA98" s="8">
        <f>IFERROR(Z98/Z444, "NA")</f>
        <v>-1.5228336686593822E-2</v>
      </c>
      <c r="AB98" s="9"/>
      <c r="AC98" s="10">
        <f t="shared" si="27"/>
        <v>-2153.9000000000005</v>
      </c>
      <c r="AD98" s="8">
        <f>IFERROR(AC98/AC444, "NA")</f>
        <v>-8.1237522917475283E-2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-377.36</v>
      </c>
      <c r="C100" s="8">
        <f>IFERROR(B100/B444, "NA")</f>
        <v>-3.3279595875503128E-3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-377.36</v>
      </c>
      <c r="I100" s="8">
        <f>IFERROR(H100/H444, "NA")</f>
        <v>1.423415056982244E-2</v>
      </c>
      <c r="J100" s="9"/>
      <c r="K100" s="7">
        <v>-70.41</v>
      </c>
      <c r="L100" s="8">
        <f>IFERROR(K100/K444, "NA")</f>
        <v>-5.8380707717455276E-4</v>
      </c>
      <c r="M100" s="9"/>
      <c r="N100" s="10">
        <f t="shared" si="25"/>
        <v>-306.95000000000005</v>
      </c>
      <c r="O100" s="8">
        <f>IFERROR(N100/N444, "NA")</f>
        <v>4.2548561083765014E-2</v>
      </c>
      <c r="P100" s="9"/>
      <c r="Q100" s="7">
        <v>-2131.38</v>
      </c>
      <c r="R100" s="8">
        <f>IFERROR(Q100/Q444, "NA")</f>
        <v>-3.8053308446990707E-3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-2131.38</v>
      </c>
      <c r="X100" s="8">
        <f>IFERROR(W100/W444, "NA")</f>
        <v>3.604591813437534E-2</v>
      </c>
      <c r="Y100" s="9"/>
      <c r="Z100" s="7">
        <v>-4398.01</v>
      </c>
      <c r="AA100" s="8">
        <f>IFERROR(Z100/Z444, "NA")</f>
        <v>-8.2423002884686094E-3</v>
      </c>
      <c r="AB100" s="9"/>
      <c r="AC100" s="10">
        <f t="shared" si="27"/>
        <v>2266.63</v>
      </c>
      <c r="AD100" s="8">
        <f>IFERROR(AC100/AC444, "NA")</f>
        <v>8.5489301532307424E-2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-923.65</v>
      </c>
      <c r="C102" s="8">
        <f>IFERROR(B102/B444, "NA")</f>
        <v>-8.1457225806679193E-3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-923.65</v>
      </c>
      <c r="I102" s="8">
        <f>IFERROR(H102/H444, "NA")</f>
        <v>3.4840399549015515E-2</v>
      </c>
      <c r="J102" s="9"/>
      <c r="K102" s="7">
        <v>-71.28</v>
      </c>
      <c r="L102" s="8">
        <f>IFERROR(K102/K444, "NA")</f>
        <v>-5.9102071383329254E-4</v>
      </c>
      <c r="M102" s="9"/>
      <c r="N102" s="10">
        <f t="shared" si="25"/>
        <v>-852.37</v>
      </c>
      <c r="O102" s="8">
        <f>IFERROR(N102/N444, "NA")</f>
        <v>0.11815317481990155</v>
      </c>
      <c r="P102" s="9"/>
      <c r="Q102" s="7">
        <v>-4478.25</v>
      </c>
      <c r="R102" s="8">
        <f>IFERROR(Q102/Q444, "NA")</f>
        <v>-7.9953939960371277E-3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-4478.25</v>
      </c>
      <c r="X102" s="8">
        <f>IFERROR(W102/W444, "NA")</f>
        <v>7.5736205127788739E-2</v>
      </c>
      <c r="Y102" s="9"/>
      <c r="Z102" s="7">
        <v>-1438.98</v>
      </c>
      <c r="AA102" s="8">
        <f>IFERROR(Z102/Z444, "NA")</f>
        <v>-2.6967890634856584E-3</v>
      </c>
      <c r="AB102" s="9"/>
      <c r="AC102" s="10">
        <f t="shared" si="27"/>
        <v>-3039.27</v>
      </c>
      <c r="AD102" s="8">
        <f>IFERROR(AC102/AC444, "NA")</f>
        <v>-0.11463056143618321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-682.24</v>
      </c>
      <c r="C104" s="8">
        <f>IFERROR(B104/B444, "NA")</f>
        <v>-6.0167138780218496E-3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-682.24</v>
      </c>
      <c r="I104" s="8">
        <f>IFERROR(H104/H444, "NA")</f>
        <v>2.5734330307281273E-2</v>
      </c>
      <c r="J104" s="9"/>
      <c r="K104" s="7">
        <v>-340.97</v>
      </c>
      <c r="L104" s="8">
        <f>IFERROR(K104/K444, "NA")</f>
        <v>-2.8271651626787003E-3</v>
      </c>
      <c r="M104" s="9"/>
      <c r="N104" s="10">
        <f t="shared" si="25"/>
        <v>-341.27</v>
      </c>
      <c r="O104" s="8">
        <f>IFERROR(N104/N444, "NA")</f>
        <v>4.730590467847038E-2</v>
      </c>
      <c r="P104" s="9"/>
      <c r="Q104" s="7">
        <v>-3232.4</v>
      </c>
      <c r="R104" s="8">
        <f>IFERROR(Q104/Q444, "NA")</f>
        <v>-5.7710738687635592E-3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-3232.4</v>
      </c>
      <c r="X104" s="8">
        <f>IFERROR(W104/W444, "NA")</f>
        <v>5.4666378486030107E-2</v>
      </c>
      <c r="Y104" s="9"/>
      <c r="Z104" s="7">
        <v>-3779.41</v>
      </c>
      <c r="AA104" s="8">
        <f>IFERROR(Z104/Z444, "NA")</f>
        <v>-7.0829834705335246E-3</v>
      </c>
      <c r="AB104" s="9"/>
      <c r="AC104" s="10">
        <f t="shared" si="27"/>
        <v>547.00999999999976</v>
      </c>
      <c r="AD104" s="8">
        <f>IFERROR(AC104/AC444, "NA")</f>
        <v>2.0631290872876233E-2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-734.25</v>
      </c>
      <c r="L106" s="8">
        <f>IFERROR(K106/K444, "NA")</f>
        <v>-6.0880605938846101E-3</v>
      </c>
      <c r="M106" s="9"/>
      <c r="N106" s="10">
        <f t="shared" si="25"/>
        <v>734.25</v>
      </c>
      <c r="O106" s="8">
        <f>IFERROR(N106/N444, "NA")</f>
        <v>-0.10177970671364867</v>
      </c>
      <c r="P106" s="9"/>
      <c r="Q106" s="7">
        <v>-62.25</v>
      </c>
      <c r="R106" s="8">
        <f>IFERROR(Q106/Q444, "NA")</f>
        <v>-1.1114012756172862E-4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-62.25</v>
      </c>
      <c r="X106" s="8">
        <f>IFERROR(W106/W444, "NA")</f>
        <v>1.0527725716976161E-3</v>
      </c>
      <c r="Y106" s="9"/>
      <c r="Z106" s="7">
        <v>-1447.29</v>
      </c>
      <c r="AA106" s="8">
        <f>IFERROR(Z106/Z444, "NA")</f>
        <v>-2.7123628151135932E-3</v>
      </c>
      <c r="AB106" s="9"/>
      <c r="AC106" s="10">
        <f t="shared" si="27"/>
        <v>1385.04</v>
      </c>
      <c r="AD106" s="8">
        <f>IFERROR(AC106/AC444, "NA")</f>
        <v>5.2238831302112411E-2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-30</v>
      </c>
      <c r="L108" s="8">
        <f>IFERROR(K108/K444, "NA")</f>
        <v>-2.4874609168067867E-4</v>
      </c>
      <c r="M108" s="9"/>
      <c r="N108" s="10">
        <f t="shared" si="25"/>
        <v>30</v>
      </c>
      <c r="O108" s="8">
        <f>IFERROR(N108/N444, "NA")</f>
        <v>-4.158517128238965E-3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-65</v>
      </c>
      <c r="AA108" s="8">
        <f>IFERROR(Z108/Z444, "NA")</f>
        <v>-1.2181634847361867E-4</v>
      </c>
      <c r="AB108" s="9"/>
      <c r="AC108" s="10">
        <f t="shared" si="27"/>
        <v>65</v>
      </c>
      <c r="AD108" s="8">
        <f>IFERROR(AC108/AC444, "NA")</f>
        <v>2.4515710987677661E-3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-7201.0399999999991</v>
      </c>
      <c r="C118" s="15">
        <f>IFERROR(B118/B444, "NA")</f>
        <v>-6.3506386761536193E-2</v>
      </c>
      <c r="D118" s="2"/>
      <c r="E118" s="14">
        <f>IFERROR(E94+E95+E96+E97+E98+E99+E100+E101+E102+E103+E104+E105+E106+E107+E108+E109+E110+E111+E112+E113+E114+E115+E116+E117, "NA")</f>
        <v>-4896.5600000000004</v>
      </c>
      <c r="F118" s="15">
        <f>IFERROR(E118/E444, "NA")</f>
        <v>-3.5000006075695013E-2</v>
      </c>
      <c r="G118" s="2"/>
      <c r="H118" s="14">
        <f t="shared" si="24"/>
        <v>-2304.4799999999987</v>
      </c>
      <c r="I118" s="15">
        <f>IFERROR(H118/H444, "NA")</f>
        <v>8.6925787855481232E-2</v>
      </c>
      <c r="J118" s="2"/>
      <c r="K118" s="14">
        <f>IFERROR(K94+K95+K96+K97+K98+K99+K100+K101+K102+K103+K104+K105+K106+K107+K108+K109+K110+K111+K112+K113+K114+K115+K116+K117, "NA")</f>
        <v>-3133.12</v>
      </c>
      <c r="L118" s="15">
        <f>IFERROR(K118/K444, "NA")</f>
        <v>-2.5978378492218929E-2</v>
      </c>
      <c r="M118" s="2"/>
      <c r="N118" s="14">
        <f t="shared" si="25"/>
        <v>-4067.9199999999992</v>
      </c>
      <c r="O118" s="15">
        <f>IFERROR(N118/N444, "NA")</f>
        <v>0.56388383321019486</v>
      </c>
      <c r="P118" s="2"/>
      <c r="Q118" s="14">
        <f>IFERROR(Q94+Q95+Q96+Q97+Q98+Q99+Q100+Q101+Q102+Q103+Q104+Q105+Q106+Q107+Q108+Q109+Q110+Q111+Q112+Q113+Q114+Q115+Q116+Q117, "NA")</f>
        <v>-31521.620000000003</v>
      </c>
      <c r="R118" s="15">
        <f>IFERROR(Q118/Q444, "NA")</f>
        <v>-5.627818261449536E-2</v>
      </c>
      <c r="S118" s="2"/>
      <c r="T118" s="14">
        <f>IFERROR(T94+T95+T96+T97+T98+T99+T100+T101+T102+T103+T104+T105+T106+T107+T108+T109+T110+T111+T112+T113+T114+T115+T116+T117, "NA")</f>
        <v>-21673.17</v>
      </c>
      <c r="U118" s="15">
        <f>IFERROR(T118/T444, "NA")</f>
        <v>-3.5000006701835847E-2</v>
      </c>
      <c r="V118" s="2"/>
      <c r="W118" s="14">
        <f t="shared" si="26"/>
        <v>-9848.4500000000044</v>
      </c>
      <c r="X118" s="15">
        <f>IFERROR(W118/W444, "NA")</f>
        <v>0.16655707684715487</v>
      </c>
      <c r="Y118" s="2"/>
      <c r="Z118" s="14">
        <f>IFERROR(Z94+Z95+Z96+Z97+Z98+Z99+Z100+Z101+Z102+Z103+Z104+Z105+Z106+Z107+Z108+Z109+Z110+Z111+Z112+Z113+Z114+Z115+Z116+Z117, "NA")</f>
        <v>-19781.96</v>
      </c>
      <c r="AA118" s="15">
        <f>IFERROR(Z118/Z444, "NA")</f>
        <v>-3.7073325120787468E-2</v>
      </c>
      <c r="AB118" s="2"/>
      <c r="AC118" s="14">
        <f t="shared" si="27"/>
        <v>-11739.660000000003</v>
      </c>
      <c r="AD118" s="15">
        <f>IFERROR(AC118/AC444, "NA")</f>
        <v>-0.44277863331323081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113390.8</v>
      </c>
      <c r="C122" s="15">
        <f>IFERROR(B122/B444, "NA")</f>
        <v>1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139901.69</v>
      </c>
      <c r="F122" s="15">
        <f>IFERROR(E122/E444, "NA")</f>
        <v>1</v>
      </c>
      <c r="G122" s="2"/>
      <c r="H122" s="14">
        <f t="shared" si="24"/>
        <v>-26510.89</v>
      </c>
      <c r="I122" s="15">
        <f>IFERROR(H122/H444, "NA")</f>
        <v>1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120604.90999999996</v>
      </c>
      <c r="L122" s="15">
        <f>IFERROR(K122/K444, "NA")</f>
        <v>0.99999999999999967</v>
      </c>
      <c r="M122" s="2"/>
      <c r="N122" s="14">
        <f t="shared" si="25"/>
        <v>-7214.1099999999569</v>
      </c>
      <c r="O122" s="15">
        <f>IFERROR(N122/N444, "NA")</f>
        <v>0.99999999999999389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560103.73</v>
      </c>
      <c r="R122" s="15">
        <f>IFERROR(Q122/Q444, "NA")</f>
        <v>1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619233.30999999994</v>
      </c>
      <c r="U122" s="15">
        <f>IFERROR(T122/T444, "NA")</f>
        <v>0.99999999999999978</v>
      </c>
      <c r="V122" s="2"/>
      <c r="W122" s="14">
        <f t="shared" si="26"/>
        <v>-59129.579999999958</v>
      </c>
      <c r="X122" s="15">
        <f>IFERROR(W122/W444, "NA")</f>
        <v>0.999999999999998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533590.12000000011</v>
      </c>
      <c r="AA122" s="15">
        <f>IFERROR(Z122/Z444, "NA")</f>
        <v>1.0000000000000002</v>
      </c>
      <c r="AB122" s="2"/>
      <c r="AC122" s="14">
        <f t="shared" si="27"/>
        <v>26513.60999999987</v>
      </c>
      <c r="AD122" s="15">
        <f>IFERROR(AC122/AC444, "NA")</f>
        <v>0.99999999999999556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113390.8</v>
      </c>
      <c r="C124" s="15">
        <f>IFERROR(B124/B444, "NA")</f>
        <v>1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139901.69</v>
      </c>
      <c r="F124" s="15">
        <f>IFERROR(E124/E444, "NA")</f>
        <v>1</v>
      </c>
      <c r="G124" s="2"/>
      <c r="H124" s="14">
        <f t="shared" si="24"/>
        <v>-26510.89</v>
      </c>
      <c r="I124" s="15">
        <f>IFERROR(H124/H444, "NA")</f>
        <v>1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120604.90999999996</v>
      </c>
      <c r="L124" s="15">
        <f>IFERROR(K124/K444, "NA")</f>
        <v>0.99999999999999967</v>
      </c>
      <c r="M124" s="2"/>
      <c r="N124" s="14">
        <f t="shared" si="25"/>
        <v>-7214.1099999999569</v>
      </c>
      <c r="O124" s="15">
        <f>IFERROR(N124/N444, "NA")</f>
        <v>0.99999999999999389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560103.73</v>
      </c>
      <c r="R124" s="15">
        <f>IFERROR(Q124/Q444, "NA")</f>
        <v>1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619233.30999999994</v>
      </c>
      <c r="U124" s="15">
        <f>IFERROR(T124/T444, "NA")</f>
        <v>0.99999999999999978</v>
      </c>
      <c r="V124" s="2"/>
      <c r="W124" s="14">
        <f t="shared" si="26"/>
        <v>-59129.579999999958</v>
      </c>
      <c r="X124" s="15">
        <f>IFERROR(W124/W444, "NA")</f>
        <v>0.999999999999998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533590.12000000011</v>
      </c>
      <c r="AA124" s="15">
        <f>IFERROR(Z124/Z444, "NA")</f>
        <v>1.0000000000000002</v>
      </c>
      <c r="AB124" s="2"/>
      <c r="AC124" s="14">
        <f t="shared" si="27"/>
        <v>26513.60999999987</v>
      </c>
      <c r="AD124" s="15">
        <f>IFERROR(AC124/AC444, "NA")</f>
        <v>0.99999999999999556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31058.18</v>
      </c>
      <c r="F129" s="8">
        <f>IFERROR(E129/E444, "NA")</f>
        <v>0.22200003445276464</v>
      </c>
      <c r="G129" s="9"/>
      <c r="H129" s="10">
        <f t="shared" ref="H129:H141" si="28">IFERROR(-(B129-E129), "NA")</f>
        <v>31058.18</v>
      </c>
      <c r="I129" s="8">
        <f>IFERROR(H129/H444, "NA")</f>
        <v>-1.1715253618418695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140207.35999999999</v>
      </c>
      <c r="U129" s="8">
        <f>IFERROR(T129/T444, "NA")</f>
        <v>0.2264208945736462</v>
      </c>
      <c r="V129" s="9"/>
      <c r="W129" s="10">
        <f t="shared" ref="W129:W141" si="30">IFERROR(-(Q129-T129), "NA")</f>
        <v>140207.35999999999</v>
      </c>
      <c r="X129" s="8">
        <f>IFERROR(W129/W444, "NA")</f>
        <v>-2.3711881599700151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5428.55</v>
      </c>
      <c r="C130" s="8">
        <f>IFERROR(B130/B444, "NA")</f>
        <v>4.7874695301558856E-2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-5428.55</v>
      </c>
      <c r="I130" s="8">
        <f>IFERROR(H130/H444, "NA")</f>
        <v>0.20476679583371213</v>
      </c>
      <c r="J130" s="9"/>
      <c r="K130" s="7">
        <v>7966.53</v>
      </c>
      <c r="L130" s="8">
        <f>IFERROR(K130/K444, "NA")</f>
        <v>6.6054773391895902E-2</v>
      </c>
      <c r="M130" s="9"/>
      <c r="N130" s="10">
        <f t="shared" si="29"/>
        <v>2537.9799999999996</v>
      </c>
      <c r="O130" s="8">
        <f>IFERROR(N130/N444, "NA")</f>
        <v>-0.35180777670426422</v>
      </c>
      <c r="P130" s="9"/>
      <c r="Q130" s="7">
        <v>29530.42</v>
      </c>
      <c r="R130" s="8">
        <f>IFERROR(Q130/Q444, "NA")</f>
        <v>5.2723126839380269E-2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-29530.42</v>
      </c>
      <c r="X130" s="8">
        <f>IFERROR(W130/W444, "NA")</f>
        <v>0.49941873424434879</v>
      </c>
      <c r="Y130" s="9"/>
      <c r="Z130" s="7">
        <v>31758.46</v>
      </c>
      <c r="AA130" s="8">
        <f>IFERROR(Z130/Z444, "NA")</f>
        <v>5.9518455851468914E-2</v>
      </c>
      <c r="AB130" s="9"/>
      <c r="AC130" s="10">
        <f t="shared" si="31"/>
        <v>2228.0400000000009</v>
      </c>
      <c r="AD130" s="8">
        <f>IFERROR(AC130/AC444, "NA")</f>
        <v>8.4033822629208249E-2</v>
      </c>
    </row>
    <row r="131" spans="1:30" ht="16.5" customHeight="1" x14ac:dyDescent="0.45">
      <c r="A131" s="12" t="s">
        <v>123</v>
      </c>
      <c r="B131" s="7">
        <v>3392.31</v>
      </c>
      <c r="C131" s="8">
        <f>IFERROR(B131/B444, "NA")</f>
        <v>2.9916977391463855E-2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-3392.31</v>
      </c>
      <c r="I131" s="8">
        <f>IFERROR(H131/H444, "NA")</f>
        <v>0.1279591141602564</v>
      </c>
      <c r="J131" s="9"/>
      <c r="K131" s="7">
        <v>4380.8900000000003</v>
      </c>
      <c r="L131" s="8">
        <f>IFERROR(K131/K444, "NA")</f>
        <v>3.6324308852765615E-2</v>
      </c>
      <c r="M131" s="9"/>
      <c r="N131" s="10">
        <f t="shared" si="29"/>
        <v>988.58000000000038</v>
      </c>
      <c r="O131" s="8">
        <f>IFERROR(N131/N444, "NA")</f>
        <v>-0.13703422875448257</v>
      </c>
      <c r="P131" s="9"/>
      <c r="Q131" s="7">
        <v>16933.22</v>
      </c>
      <c r="R131" s="8">
        <f>IFERROR(Q131/Q444, "NA")</f>
        <v>3.0232292864752038E-2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-16933.22</v>
      </c>
      <c r="X131" s="8">
        <f>IFERROR(W131/W444, "NA")</f>
        <v>0.28637477215295593</v>
      </c>
      <c r="Y131" s="9"/>
      <c r="Z131" s="7">
        <v>15293.42</v>
      </c>
      <c r="AA131" s="8">
        <f>IFERROR(Z131/Z444, "NA")</f>
        <v>2.866136277036014E-2</v>
      </c>
      <c r="AB131" s="9"/>
      <c r="AC131" s="10">
        <f t="shared" si="31"/>
        <v>-1639.8000000000011</v>
      </c>
      <c r="AD131" s="8">
        <f>IFERROR(AC131/AC444, "NA")</f>
        <v>-6.1847481350144395E-2</v>
      </c>
    </row>
    <row r="132" spans="1:30" ht="16.5" customHeight="1" x14ac:dyDescent="0.45">
      <c r="A132" s="12" t="s">
        <v>124</v>
      </c>
      <c r="B132" s="7">
        <v>6116.51</v>
      </c>
      <c r="C132" s="8">
        <f>IFERROR(B132/B444, "NA")</f>
        <v>5.3941854189228755E-2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-6116.51</v>
      </c>
      <c r="I132" s="8">
        <f>IFERROR(H132/H444, "NA")</f>
        <v>0.23071688653228919</v>
      </c>
      <c r="J132" s="9"/>
      <c r="K132" s="7">
        <v>4543.1400000000003</v>
      </c>
      <c r="L132" s="8">
        <f>IFERROR(K132/K444, "NA")</f>
        <v>3.7669610631938619E-2</v>
      </c>
      <c r="M132" s="9"/>
      <c r="N132" s="10">
        <f t="shared" si="29"/>
        <v>-1573.37</v>
      </c>
      <c r="O132" s="8">
        <f>IFERROR(N132/N444, "NA")</f>
        <v>0.21809620313524464</v>
      </c>
      <c r="P132" s="9"/>
      <c r="Q132" s="7">
        <v>23402.45</v>
      </c>
      <c r="R132" s="8">
        <f>IFERROR(Q132/Q444, "NA")</f>
        <v>4.1782349851517686E-2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-23402.45</v>
      </c>
      <c r="X132" s="8">
        <f>IFERROR(W132/W444, "NA")</f>
        <v>0.39578244932570078</v>
      </c>
      <c r="Y132" s="9"/>
      <c r="Z132" s="7">
        <v>18074.330000000002</v>
      </c>
      <c r="AA132" s="8">
        <f>IFERROR(Z132/Z444, "NA")</f>
        <v>3.3873059718572004E-2</v>
      </c>
      <c r="AB132" s="9"/>
      <c r="AC132" s="10">
        <f t="shared" si="31"/>
        <v>-5328.119999999999</v>
      </c>
      <c r="AD132" s="8">
        <f>IFERROR(AC132/AC444, "NA")</f>
        <v>-0.20095792311948474</v>
      </c>
    </row>
    <row r="133" spans="1:30" ht="16.5" customHeight="1" x14ac:dyDescent="0.45">
      <c r="A133" s="12" t="s">
        <v>125</v>
      </c>
      <c r="B133" s="7">
        <v>2847.96</v>
      </c>
      <c r="C133" s="8">
        <f>IFERROR(B133/B444, "NA")</f>
        <v>2.5116323370149959E-2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-2847.96</v>
      </c>
      <c r="I133" s="8">
        <f>IFERROR(H133/H444, "NA")</f>
        <v>0.10742604265643289</v>
      </c>
      <c r="J133" s="9"/>
      <c r="K133" s="7">
        <v>1851.63</v>
      </c>
      <c r="L133" s="8">
        <f>IFERROR(K133/K444, "NA")</f>
        <v>1.5352857524623169E-2</v>
      </c>
      <c r="M133" s="9"/>
      <c r="N133" s="10">
        <f t="shared" si="29"/>
        <v>-996.32999999999993</v>
      </c>
      <c r="O133" s="8">
        <f>IFERROR(N133/N444, "NA")</f>
        <v>0.13810851234594423</v>
      </c>
      <c r="P133" s="9"/>
      <c r="Q133" s="7">
        <v>13452.63</v>
      </c>
      <c r="R133" s="8">
        <f>IFERROR(Q133/Q444, "NA")</f>
        <v>2.4018104646437544E-2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-13452.63</v>
      </c>
      <c r="X133" s="8">
        <f>IFERROR(W133/W444, "NA")</f>
        <v>0.22751100210757427</v>
      </c>
      <c r="Y133" s="9"/>
      <c r="Z133" s="7">
        <v>10414.450000000001</v>
      </c>
      <c r="AA133" s="8">
        <f>IFERROR(Z133/Z444, "NA")</f>
        <v>1.9517696467093507E-2</v>
      </c>
      <c r="AB133" s="9"/>
      <c r="AC133" s="10">
        <f t="shared" si="31"/>
        <v>-3038.1799999999985</v>
      </c>
      <c r="AD133" s="8">
        <f>IFERROR(AC133/AC444, "NA")</f>
        <v>-0.11458945047468075</v>
      </c>
    </row>
    <row r="134" spans="1:30" ht="16.5" customHeight="1" x14ac:dyDescent="0.45">
      <c r="A134" s="12" t="s">
        <v>126</v>
      </c>
      <c r="B134" s="7">
        <v>949.53</v>
      </c>
      <c r="C134" s="8">
        <f>IFERROR(B134/B444, "NA")</f>
        <v>8.3739597921524498E-3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-949.53</v>
      </c>
      <c r="I134" s="8">
        <f>IFERROR(H134/H444, "NA")</f>
        <v>3.5816602158584641E-2</v>
      </c>
      <c r="J134" s="9"/>
      <c r="K134" s="7">
        <v>905.32</v>
      </c>
      <c r="L134" s="8">
        <f>IFERROR(K134/K444, "NA")</f>
        <v>7.5064937240117337E-3</v>
      </c>
      <c r="M134" s="9"/>
      <c r="N134" s="10">
        <f t="shared" si="29"/>
        <v>-44.209999999999923</v>
      </c>
      <c r="O134" s="8">
        <f>IFERROR(N134/N444, "NA")</f>
        <v>6.1282680746481437E-3</v>
      </c>
      <c r="P134" s="9"/>
      <c r="Q134" s="7">
        <v>4919.8</v>
      </c>
      <c r="R134" s="8">
        <f>IFERROR(Q134/Q444, "NA")</f>
        <v>8.7837301137059023E-3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-4919.8</v>
      </c>
      <c r="X134" s="8">
        <f>IFERROR(W134/W444, "NA")</f>
        <v>8.3203702782938663E-2</v>
      </c>
      <c r="Y134" s="9"/>
      <c r="Z134" s="7">
        <v>5557.3</v>
      </c>
      <c r="AA134" s="8">
        <f>IFERROR(Z134/Z444, "NA")</f>
        <v>1.0414922974960631E-2</v>
      </c>
      <c r="AB134" s="9"/>
      <c r="AC134" s="10">
        <f t="shared" si="31"/>
        <v>637.5</v>
      </c>
      <c r="AD134" s="8">
        <f>IFERROR(AC134/AC444, "NA")</f>
        <v>2.4044255007145399E-2</v>
      </c>
    </row>
    <row r="135" spans="1:30" ht="16.5" customHeight="1" x14ac:dyDescent="0.45">
      <c r="A135" s="12" t="s">
        <v>127</v>
      </c>
      <c r="B135" s="7">
        <v>873.1</v>
      </c>
      <c r="C135" s="8">
        <f>IFERROR(B135/B444, "NA")</f>
        <v>7.6999192174321022E-3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-873.1</v>
      </c>
      <c r="I135" s="8">
        <f>IFERROR(H135/H444, "NA")</f>
        <v>3.293363595111292E-2</v>
      </c>
      <c r="J135" s="9"/>
      <c r="K135" s="7">
        <v>1035.1600000000001</v>
      </c>
      <c r="L135" s="8">
        <f>IFERROR(K135/K444, "NA")</f>
        <v>8.5830668088057119E-3</v>
      </c>
      <c r="M135" s="9"/>
      <c r="N135" s="10">
        <f t="shared" si="29"/>
        <v>162.06000000000006</v>
      </c>
      <c r="O135" s="8">
        <f>IFERROR(N135/N444, "NA")</f>
        <v>-2.2464309526746894E-2</v>
      </c>
      <c r="P135" s="9"/>
      <c r="Q135" s="7">
        <v>4693.63</v>
      </c>
      <c r="R135" s="8">
        <f>IFERROR(Q135/Q444, "NA")</f>
        <v>8.3799299104828327E-3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-4693.63</v>
      </c>
      <c r="X135" s="8">
        <f>IFERROR(W135/W444, "NA")</f>
        <v>7.9378713665816572E-2</v>
      </c>
      <c r="Y135" s="9"/>
      <c r="Z135" s="7">
        <v>4790.24</v>
      </c>
      <c r="AA135" s="8">
        <f>IFERROR(Z135/Z444, "NA")</f>
        <v>8.9773776171118008E-3</v>
      </c>
      <c r="AB135" s="9"/>
      <c r="AC135" s="10">
        <f t="shared" si="31"/>
        <v>96.609999999999673</v>
      </c>
      <c r="AD135" s="8">
        <f>IFERROR(AC135/AC444, "NA")</f>
        <v>3.64378898233774E-3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705.02</v>
      </c>
      <c r="L136" s="8">
        <f>IFERROR(K136/K444, "NA")</f>
        <v>5.8456989852237358E-3</v>
      </c>
      <c r="M136" s="9"/>
      <c r="N136" s="10">
        <f t="shared" si="29"/>
        <v>705.02</v>
      </c>
      <c r="O136" s="8">
        <f>IFERROR(N136/N444, "NA")</f>
        <v>-9.7727924858367829E-2</v>
      </c>
      <c r="P136" s="9"/>
      <c r="Q136" s="7">
        <v>3954.02</v>
      </c>
      <c r="R136" s="8">
        <f>IFERROR(Q136/Q444, "NA")</f>
        <v>7.0594423643634725E-3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-3954.02</v>
      </c>
      <c r="X136" s="8">
        <f>IFERROR(W136/W444, "NA")</f>
        <v>6.6870422553314185E-2</v>
      </c>
      <c r="Y136" s="9"/>
      <c r="Z136" s="7">
        <v>4306.8500000000004</v>
      </c>
      <c r="AA136" s="8">
        <f>IFERROR(Z136/Z444, "NA")</f>
        <v>8.0714575449785317E-3</v>
      </c>
      <c r="AB136" s="9"/>
      <c r="AC136" s="10">
        <f t="shared" si="31"/>
        <v>352.83000000000038</v>
      </c>
      <c r="AD136" s="8">
        <f>IFERROR(AC136/AC444, "NA")</f>
        <v>1.3307505088895876E-2</v>
      </c>
    </row>
    <row r="137" spans="1:30" ht="16.5" customHeight="1" x14ac:dyDescent="0.45">
      <c r="A137" s="12" t="s">
        <v>129</v>
      </c>
      <c r="B137" s="7">
        <v>780.85</v>
      </c>
      <c r="C137" s="8">
        <f>IFERROR(B137/B444, "NA")</f>
        <v>6.8863611509928499E-3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-780.85</v>
      </c>
      <c r="I137" s="8">
        <f>IFERROR(H137/H444, "NA")</f>
        <v>2.9453933836246164E-2</v>
      </c>
      <c r="J137" s="9"/>
      <c r="K137" s="7">
        <v>653.83000000000004</v>
      </c>
      <c r="L137" s="8">
        <f>IFERROR(K137/K444, "NA")</f>
        <v>5.4212552374526051E-3</v>
      </c>
      <c r="M137" s="9"/>
      <c r="N137" s="10">
        <f t="shared" si="29"/>
        <v>-127.01999999999998</v>
      </c>
      <c r="O137" s="8">
        <f>IFERROR(N137/N444, "NA")</f>
        <v>1.7607161520963775E-2</v>
      </c>
      <c r="P137" s="9"/>
      <c r="Q137" s="7">
        <v>3313.52</v>
      </c>
      <c r="R137" s="8">
        <f>IFERROR(Q137/Q444, "NA")</f>
        <v>5.9159041843909882E-3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-3313.52</v>
      </c>
      <c r="X137" s="8">
        <f>IFERROR(W137/W444, "NA")</f>
        <v>5.6038280671027868E-2</v>
      </c>
      <c r="Y137" s="9"/>
      <c r="Z137" s="7">
        <v>2461.75</v>
      </c>
      <c r="AA137" s="8">
        <f>IFERROR(Z137/Z444, "NA")</f>
        <v>4.6135599362297037E-3</v>
      </c>
      <c r="AB137" s="9"/>
      <c r="AC137" s="10">
        <f t="shared" si="31"/>
        <v>-851.77</v>
      </c>
      <c r="AD137" s="8">
        <f>IFERROR(AC137/AC444, "NA")</f>
        <v>-3.2125764843037231E-2</v>
      </c>
    </row>
    <row r="138" spans="1:30" ht="16.5" customHeight="1" x14ac:dyDescent="0.45">
      <c r="A138" s="12" t="s">
        <v>130</v>
      </c>
      <c r="B138" s="7">
        <v>6823.09</v>
      </c>
      <c r="C138" s="8">
        <f>IFERROR(B138/B444, "NA")</f>
        <v>6.0173223929983741E-2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-6823.09</v>
      </c>
      <c r="I138" s="8">
        <f>IFERROR(H138/H444, "NA")</f>
        <v>0.25736933011302149</v>
      </c>
      <c r="J138" s="9"/>
      <c r="K138" s="7">
        <v>5781.53</v>
      </c>
      <c r="L138" s="8">
        <f>IFERROR(K138/K444, "NA")</f>
        <v>4.7937766381153137E-2</v>
      </c>
      <c r="M138" s="9"/>
      <c r="N138" s="10">
        <f t="shared" si="29"/>
        <v>-1041.5600000000004</v>
      </c>
      <c r="O138" s="8">
        <f>IFERROR(N138/N444, "NA")</f>
        <v>0.14437817000295258</v>
      </c>
      <c r="P138" s="9"/>
      <c r="Q138" s="7">
        <v>31785.85</v>
      </c>
      <c r="R138" s="8">
        <f>IFERROR(Q138/Q444, "NA")</f>
        <v>5.6749934516593915E-2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-31785.85</v>
      </c>
      <c r="X138" s="8">
        <f>IFERROR(W138/W444, "NA")</f>
        <v>0.53756258711798666</v>
      </c>
      <c r="Y138" s="9"/>
      <c r="Z138" s="7">
        <v>24561.25</v>
      </c>
      <c r="AA138" s="8">
        <f>IFERROR(Z138/Z444, "NA")</f>
        <v>4.6030181368425641E-2</v>
      </c>
      <c r="AB138" s="9"/>
      <c r="AC138" s="10">
        <f t="shared" si="31"/>
        <v>-7224.5999999999985</v>
      </c>
      <c r="AD138" s="8">
        <f>IFERROR(AC138/AC444, "NA")</f>
        <v>-0.27248647015627075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4.95</v>
      </c>
      <c r="L140" s="8">
        <f>IFERROR(K140/K444, "NA")</f>
        <v>4.104310512731198E-5</v>
      </c>
      <c r="M140" s="9"/>
      <c r="N140" s="10">
        <f t="shared" si="29"/>
        <v>4.95</v>
      </c>
      <c r="O140" s="8">
        <f>IFERROR(N140/N444, "NA")</f>
        <v>-6.8615532615942925E-4</v>
      </c>
      <c r="P140" s="9"/>
      <c r="Q140" s="7">
        <v>71.56</v>
      </c>
      <c r="R140" s="8">
        <f>IFERROR(Q140/Q444, "NA")</f>
        <v>1.2776204864766748E-4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-71.56</v>
      </c>
      <c r="X140" s="8">
        <f>IFERROR(W140/W444, "NA")</f>
        <v>1.2102233771997012E-3</v>
      </c>
      <c r="Y140" s="9"/>
      <c r="Z140" s="7">
        <v>111.87</v>
      </c>
      <c r="AA140" s="8">
        <f>IFERROR(Z140/Z444, "NA")</f>
        <v>2.0965530621144186E-4</v>
      </c>
      <c r="AB140" s="9"/>
      <c r="AC140" s="10">
        <f t="shared" si="31"/>
        <v>40.31</v>
      </c>
      <c r="AD140" s="8">
        <f>IFERROR(AC140/AC444, "NA")</f>
        <v>1.5203512460204409E-3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27211.899999999998</v>
      </c>
      <c r="C141" s="15">
        <f>IFERROR(B141/B444, "NA")</f>
        <v>0.23998331434296255</v>
      </c>
      <c r="D141" s="2"/>
      <c r="E141" s="14">
        <f>IFERROR(E129+E130+E131+E132+E133+E134+E135+E136+E137+E138+E139+E140, "NA")</f>
        <v>31058.18</v>
      </c>
      <c r="F141" s="15">
        <f>IFERROR(E141/E444, "NA")</f>
        <v>0.22200003445276464</v>
      </c>
      <c r="G141" s="2"/>
      <c r="H141" s="14">
        <f t="shared" si="28"/>
        <v>3846.2800000000025</v>
      </c>
      <c r="I141" s="15">
        <f>IFERROR(H141/H444, "NA")</f>
        <v>-0.14508302060021383</v>
      </c>
      <c r="J141" s="2"/>
      <c r="K141" s="14">
        <f>IFERROR(K129+K130+K131+K132+K133+K134+K135+K136+K137+K138+K139+K140, "NA")</f>
        <v>27828.000000000004</v>
      </c>
      <c r="L141" s="15">
        <f>IFERROR(K141/K444, "NA")</f>
        <v>0.23073687464299755</v>
      </c>
      <c r="M141" s="2"/>
      <c r="N141" s="14">
        <f t="shared" si="29"/>
        <v>616.10000000000582</v>
      </c>
      <c r="O141" s="15">
        <f>IFERROR(N141/N444, "NA")</f>
        <v>-8.540208009026834E-2</v>
      </c>
      <c r="P141" s="2"/>
      <c r="Q141" s="14">
        <f>IFERROR(Q129+Q130+Q131+Q132+Q133+Q134+Q135+Q136+Q137+Q138+Q139+Q140, "NA")</f>
        <v>132057.1</v>
      </c>
      <c r="R141" s="15">
        <f>IFERROR(Q141/Q444, "NA")</f>
        <v>0.23577257734027232</v>
      </c>
      <c r="S141" s="2"/>
      <c r="T141" s="14">
        <f>IFERROR(T129+T130+T131+T132+T133+T134+T135+T136+T137+T138+T139+T140, "NA")</f>
        <v>140207.35999999999</v>
      </c>
      <c r="U141" s="15">
        <f>IFERROR(T141/T444, "NA")</f>
        <v>0.2264208945736462</v>
      </c>
      <c r="V141" s="2"/>
      <c r="W141" s="14">
        <f t="shared" si="30"/>
        <v>8150.2599999999802</v>
      </c>
      <c r="X141" s="15">
        <f>IFERROR(W141/W444, "NA")</f>
        <v>-0.13783727197115167</v>
      </c>
      <c r="Y141" s="2"/>
      <c r="Z141" s="14">
        <f>IFERROR(Z129+Z130+Z131+Z132+Z133+Z134+Z135+Z136+Z137+Z138+Z139+Z140, "NA")</f>
        <v>117329.92000000001</v>
      </c>
      <c r="AA141" s="15">
        <f>IFERROR(Z141/Z444, "NA")</f>
        <v>0.21988772955541233</v>
      </c>
      <c r="AB141" s="2"/>
      <c r="AC141" s="14">
        <f t="shared" si="31"/>
        <v>-14727.179999999993</v>
      </c>
      <c r="AD141" s="15">
        <f>IFERROR(AC141/AC444, "NA")</f>
        <v>-0.55545736699001003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1711.74</v>
      </c>
      <c r="C144" s="8">
        <f>IFERROR(B144/B444, "NA")</f>
        <v>1.50959337089076E-2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-1711.74</v>
      </c>
      <c r="I144" s="8">
        <f>IFERROR(H144/H444, "NA")</f>
        <v>6.4567428705713012E-2</v>
      </c>
      <c r="J144" s="9"/>
      <c r="K144" s="7">
        <v>1197.6099999999999</v>
      </c>
      <c r="L144" s="8">
        <f>IFERROR(K144/K444, "NA")</f>
        <v>9.9300268952565857E-3</v>
      </c>
      <c r="M144" s="9"/>
      <c r="N144" s="10">
        <f t="shared" si="33"/>
        <v>-514.13000000000011</v>
      </c>
      <c r="O144" s="8">
        <f>IFERROR(N144/N444, "NA")</f>
        <v>7.1267280371383315E-2</v>
      </c>
      <c r="P144" s="9"/>
      <c r="Q144" s="7">
        <v>8540.67</v>
      </c>
      <c r="R144" s="8">
        <f>IFERROR(Q144/Q444, "NA")</f>
        <v>1.5248371939961907E-2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-8540.67</v>
      </c>
      <c r="X144" s="8">
        <f>IFERROR(W144/W444, "NA")</f>
        <v>0.14443988947663741</v>
      </c>
      <c r="Y144" s="9"/>
      <c r="Z144" s="7">
        <v>6219.22</v>
      </c>
      <c r="AA144" s="8">
        <f>IFERROR(Z144/Z444, "NA")</f>
        <v>1.1655425703909211E-2</v>
      </c>
      <c r="AB144" s="9"/>
      <c r="AC144" s="10">
        <f t="shared" si="35"/>
        <v>-2321.4499999999998</v>
      </c>
      <c r="AD144" s="8">
        <f>IFERROR(AC144/AC444, "NA")</f>
        <v>-8.7556918880529702E-2</v>
      </c>
    </row>
    <row r="145" spans="1:30" ht="16.5" customHeight="1" x14ac:dyDescent="0.45">
      <c r="A145" s="12" t="s">
        <v>136</v>
      </c>
      <c r="B145" s="7">
        <v>103.57</v>
      </c>
      <c r="C145" s="8">
        <f>IFERROR(B145/B444, "NA")</f>
        <v>9.1338979881965725E-4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-103.57</v>
      </c>
      <c r="I145" s="8">
        <f>IFERROR(H145/H444, "NA")</f>
        <v>3.9066964556829283E-3</v>
      </c>
      <c r="J145" s="9"/>
      <c r="K145" s="7">
        <v>20.09</v>
      </c>
      <c r="L145" s="8">
        <f>IFERROR(K145/K444, "NA")</f>
        <v>1.6657696606216113E-4</v>
      </c>
      <c r="M145" s="9"/>
      <c r="N145" s="10">
        <f t="shared" si="33"/>
        <v>-83.47999999999999</v>
      </c>
      <c r="O145" s="8">
        <f>IFERROR(N145/N444, "NA")</f>
        <v>1.1571766995512957E-2</v>
      </c>
      <c r="P145" s="9"/>
      <c r="Q145" s="7">
        <v>354.72</v>
      </c>
      <c r="R145" s="8">
        <f>IFERROR(Q145/Q444, "NA")</f>
        <v>6.3331126182644779E-4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-354.72</v>
      </c>
      <c r="X145" s="8">
        <f>IFERROR(W145/W444, "NA")</f>
        <v>5.9990278977121022E-3</v>
      </c>
      <c r="Y145" s="9"/>
      <c r="Z145" s="7">
        <v>273.95999999999998</v>
      </c>
      <c r="AA145" s="8">
        <f>IFERROR(Z145/Z444, "NA")</f>
        <v>5.134277973512703E-4</v>
      </c>
      <c r="AB145" s="9"/>
      <c r="AC145" s="10">
        <f t="shared" si="35"/>
        <v>-80.760000000000048</v>
      </c>
      <c r="AD145" s="8">
        <f>IFERROR(AC145/AC444, "NA")</f>
        <v>-3.0459827990228449E-3</v>
      </c>
    </row>
    <row r="146" spans="1:30" ht="16.5" customHeight="1" x14ac:dyDescent="0.45">
      <c r="A146" s="12" t="s">
        <v>137</v>
      </c>
      <c r="B146" s="7">
        <v>52.21</v>
      </c>
      <c r="C146" s="8">
        <f>IFERROR(B146/B444, "NA")</f>
        <v>4.6044299890290921E-4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-52.21</v>
      </c>
      <c r="I146" s="8">
        <f>IFERROR(H146/H444, "NA")</f>
        <v>1.9693793757961354E-3</v>
      </c>
      <c r="J146" s="9"/>
      <c r="K146" s="7">
        <v>567.89</v>
      </c>
      <c r="L146" s="8">
        <f>IFERROR(K146/K444, "NA")</f>
        <v>4.7086806001513538E-3</v>
      </c>
      <c r="M146" s="9"/>
      <c r="N146" s="10">
        <f t="shared" si="33"/>
        <v>515.67999999999995</v>
      </c>
      <c r="O146" s="8">
        <f>IFERROR(N146/N444, "NA")</f>
        <v>-7.1482137089675643E-2</v>
      </c>
      <c r="P146" s="9"/>
      <c r="Q146" s="7">
        <v>-61.36</v>
      </c>
      <c r="R146" s="8">
        <f>IFERROR(Q146/Q444, "NA")</f>
        <v>-1.0955113617972157E-4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61.36</v>
      </c>
      <c r="X146" s="8">
        <f>IFERROR(W146/W444, "NA")</f>
        <v>-1.0377208835239474E-3</v>
      </c>
      <c r="Y146" s="9"/>
      <c r="Z146" s="7">
        <v>2247.5</v>
      </c>
      <c r="AA146" s="8">
        <f>IFERROR(Z146/Z444, "NA")</f>
        <v>4.2120345106839681E-3</v>
      </c>
      <c r="AB146" s="9"/>
      <c r="AC146" s="10">
        <f t="shared" si="35"/>
        <v>2308.86</v>
      </c>
      <c r="AD146" s="8">
        <f>IFERROR(AC146/AC444, "NA")</f>
        <v>8.7082068416937622E-2</v>
      </c>
    </row>
    <row r="147" spans="1:30" ht="16.5" customHeight="1" x14ac:dyDescent="0.45">
      <c r="A147" s="12" t="s">
        <v>138</v>
      </c>
      <c r="B147" s="7">
        <v>12.35</v>
      </c>
      <c r="C147" s="8">
        <f>IFERROR(B147/B444, "NA")</f>
        <v>1.089153617401059E-4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-12.35</v>
      </c>
      <c r="I147" s="8">
        <f>IFERROR(H147/H444, "NA")</f>
        <v>4.6584629938866632E-4</v>
      </c>
      <c r="J147" s="9"/>
      <c r="K147" s="7">
        <v>-1.17</v>
      </c>
      <c r="L147" s="8">
        <f>IFERROR(K147/K444, "NA")</f>
        <v>-9.7010975755464679E-6</v>
      </c>
      <c r="M147" s="9"/>
      <c r="N147" s="10">
        <f t="shared" si="33"/>
        <v>-13.52</v>
      </c>
      <c r="O147" s="8">
        <f>IFERROR(N147/N444, "NA")</f>
        <v>1.8741050524596933E-3</v>
      </c>
      <c r="P147" s="9"/>
      <c r="Q147" s="7">
        <v>53.03</v>
      </c>
      <c r="R147" s="8">
        <f>IFERROR(Q147/Q444, "NA")</f>
        <v>9.4678890997565757E-5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-53.03</v>
      </c>
      <c r="X147" s="8">
        <f>IFERROR(W147/W444, "NA")</f>
        <v>8.9684384702208163E-4</v>
      </c>
      <c r="Y147" s="9"/>
      <c r="Z147" s="7">
        <v>-178.27</v>
      </c>
      <c r="AA147" s="8">
        <f>IFERROR(Z147/Z444, "NA")</f>
        <v>-3.3409539142141537E-4</v>
      </c>
      <c r="AB147" s="9"/>
      <c r="AC147" s="10">
        <f t="shared" si="35"/>
        <v>-231.3</v>
      </c>
      <c r="AD147" s="8">
        <f>IFERROR(AC147/AC444, "NA")</f>
        <v>-8.7238214637689899E-3</v>
      </c>
    </row>
    <row r="148" spans="1:30" ht="16.5" customHeight="1" x14ac:dyDescent="0.45">
      <c r="A148" s="13" t="s">
        <v>139</v>
      </c>
      <c r="B148" s="14">
        <f>IFERROR(B143+B144+B145+B146+B147, "NA")</f>
        <v>1879.87</v>
      </c>
      <c r="C148" s="15">
        <f>IFERROR(B148/B444, "NA")</f>
        <v>1.6578681868370273E-2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-1879.87</v>
      </c>
      <c r="I148" s="15">
        <f>IFERROR(H148/H444, "NA")</f>
        <v>7.0909350836580745E-2</v>
      </c>
      <c r="J148" s="2"/>
      <c r="K148" s="14">
        <f>IFERROR(K143+K144+K145+K146+K147, "NA")</f>
        <v>1784.4199999999996</v>
      </c>
      <c r="L148" s="15">
        <f>IFERROR(K148/K444, "NA")</f>
        <v>1.4795583363894551E-2</v>
      </c>
      <c r="M148" s="2"/>
      <c r="N148" s="14">
        <f t="shared" si="33"/>
        <v>-95.450000000000273</v>
      </c>
      <c r="O148" s="15">
        <f>IFERROR(N148/N444, "NA")</f>
        <v>1.3231015329680344E-2</v>
      </c>
      <c r="P148" s="2"/>
      <c r="Q148" s="14">
        <f>IFERROR(Q143+Q144+Q145+Q146+Q147, "NA")</f>
        <v>8887.06</v>
      </c>
      <c r="R148" s="15">
        <f>IFERROR(Q148/Q444, "NA")</f>
        <v>1.5866810956606199E-2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-8887.06</v>
      </c>
      <c r="X148" s="15">
        <f>IFERROR(W148/W444, "NA")</f>
        <v>0.15029804033784763</v>
      </c>
      <c r="Y148" s="2"/>
      <c r="Z148" s="14">
        <f>IFERROR(Z143+Z144+Z145+Z146+Z147, "NA")</f>
        <v>8562.41</v>
      </c>
      <c r="AA148" s="15">
        <f>IFERROR(Z148/Z444, "NA")</f>
        <v>1.6046792620523033E-2</v>
      </c>
      <c r="AB148" s="2"/>
      <c r="AC148" s="14">
        <f t="shared" si="35"/>
        <v>-324.64999999999964</v>
      </c>
      <c r="AD148" s="15">
        <f>IFERROR(AC148/AC444, "NA")</f>
        <v>-1.2244654726383914E-2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29091.769999999997</v>
      </c>
      <c r="C149" s="15">
        <f>IFERROR(B149/B444, "NA")</f>
        <v>0.2565619962113328</v>
      </c>
      <c r="D149" s="2"/>
      <c r="E149" s="14">
        <f>IFERROR(E127+E129+E130+E131+E132+E133+E134+E135+E136+E137+E138+E139+E140+E143+E144+E145+E146+E147, "NA")</f>
        <v>31058.18</v>
      </c>
      <c r="F149" s="15">
        <f>IFERROR(E149/E444, "NA")</f>
        <v>0.22200003445276464</v>
      </c>
      <c r="G149" s="2"/>
      <c r="H149" s="14">
        <f t="shared" si="32"/>
        <v>1966.4100000000035</v>
      </c>
      <c r="I149" s="15">
        <f>IFERROR(H149/H444, "NA")</f>
        <v>-7.4173669763633113E-2</v>
      </c>
      <c r="J149" s="2"/>
      <c r="K149" s="14">
        <f>IFERROR(K127+K129+K130+K131+K132+K133+K134+K135+K136+K137+K138+K139+K140+K143+K144+K145+K146+K147, "NA")</f>
        <v>29612.420000000006</v>
      </c>
      <c r="L149" s="15">
        <f>IFERROR(K149/K444, "NA")</f>
        <v>0.24553245800689213</v>
      </c>
      <c r="M149" s="2"/>
      <c r="N149" s="14">
        <f t="shared" si="33"/>
        <v>520.65000000000873</v>
      </c>
      <c r="O149" s="15">
        <f>IFERROR(N149/N444, "NA")</f>
        <v>-7.2171064760588446E-2</v>
      </c>
      <c r="P149" s="2"/>
      <c r="Q149" s="14">
        <f>IFERROR(Q127+Q129+Q130+Q131+Q132+Q133+Q134+Q135+Q136+Q137+Q138+Q139+Q140+Q143+Q144+Q145+Q146+Q147, "NA")</f>
        <v>140944.16000000003</v>
      </c>
      <c r="R149" s="15">
        <f>IFERROR(Q149/Q444, "NA")</f>
        <v>0.2516393882968786</v>
      </c>
      <c r="S149" s="2"/>
      <c r="T149" s="14">
        <f>IFERROR(T127+T129+T130+T131+T132+T133+T134+T135+T136+T137+T138+T139+T140+T143+T144+T145+T146+T147, "NA")</f>
        <v>140207.35999999999</v>
      </c>
      <c r="U149" s="15">
        <f>IFERROR(T149/T444, "NA")</f>
        <v>0.2264208945736462</v>
      </c>
      <c r="V149" s="2"/>
      <c r="W149" s="14">
        <f t="shared" si="34"/>
        <v>-736.80000000004657</v>
      </c>
      <c r="X149" s="15">
        <f>IFERROR(W149/W444, "NA")</f>
        <v>1.2460768366696425E-2</v>
      </c>
      <c r="Y149" s="2"/>
      <c r="Z149" s="14">
        <f>IFERROR(Z127+Z129+Z130+Z131+Z132+Z133+Z134+Z135+Z136+Z137+Z138+Z139+Z140+Z143+Z144+Z145+Z146+Z147, "NA")</f>
        <v>125892.33000000002</v>
      </c>
      <c r="AA149" s="15">
        <f>IFERROR(Z149/Z444, "NA")</f>
        <v>0.23593452217593539</v>
      </c>
      <c r="AB149" s="2"/>
      <c r="AC149" s="14">
        <f t="shared" si="35"/>
        <v>-15051.830000000016</v>
      </c>
      <c r="AD149" s="15">
        <f>IFERROR(AC149/AC444, "NA")</f>
        <v>-0.56770202171639483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2518.23</v>
      </c>
      <c r="F153" s="8">
        <f>IFERROR(E153/E444, "NA")</f>
        <v>1.7999996997891878E-2</v>
      </c>
      <c r="G153" s="9"/>
      <c r="H153" s="10">
        <f t="shared" ref="H153:H158" si="36">IFERROR(-(B153-E153), "NA")</f>
        <v>2518.23</v>
      </c>
      <c r="I153" s="8">
        <f>IFERROR(H153/H444, "NA")</f>
        <v>-9.4988512267977429E-2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12294.94</v>
      </c>
      <c r="U153" s="8">
        <f>IFERROR(T153/T444, "NA")</f>
        <v>1.9855101141119168E-2</v>
      </c>
      <c r="V153" s="9"/>
      <c r="W153" s="10">
        <f t="shared" ref="W153:W158" si="38">IFERROR(-(Q153-T153), "NA")</f>
        <v>12294.94</v>
      </c>
      <c r="X153" s="8">
        <f>IFERROR(W153/W444, "NA")</f>
        <v>-0.20793213819546807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4099.32</v>
      </c>
      <c r="C154" s="8">
        <f>IFERROR(B154/B444, "NA")</f>
        <v>3.6152139327000073E-2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-4099.32</v>
      </c>
      <c r="I154" s="8">
        <f>IFERROR(H154/H444, "NA")</f>
        <v>0.15462777749068402</v>
      </c>
      <c r="J154" s="9"/>
      <c r="K154" s="7">
        <v>3771.15</v>
      </c>
      <c r="L154" s="8">
        <f>IFERROR(K154/K444, "NA")</f>
        <v>3.1268627454719713E-2</v>
      </c>
      <c r="M154" s="9"/>
      <c r="N154" s="10">
        <f t="shared" si="37"/>
        <v>-328.16999999999962</v>
      </c>
      <c r="O154" s="8">
        <f>IFERROR(N154/N444, "NA")</f>
        <v>4.5490018865805983E-2</v>
      </c>
      <c r="P154" s="9"/>
      <c r="Q154" s="7">
        <v>19479.419999999998</v>
      </c>
      <c r="R154" s="8">
        <f>IFERROR(Q154/Q444, "NA")</f>
        <v>3.4778236524152406E-2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-19479.419999999998</v>
      </c>
      <c r="X154" s="8">
        <f>IFERROR(W154/W444, "NA")</f>
        <v>0.32943612993699556</v>
      </c>
      <c r="Y154" s="9"/>
      <c r="Z154" s="7">
        <v>18620.509999999998</v>
      </c>
      <c r="AA154" s="8">
        <f>IFERROR(Z154/Z444, "NA")</f>
        <v>3.4896654383330783E-2</v>
      </c>
      <c r="AB154" s="9"/>
      <c r="AC154" s="10">
        <f t="shared" si="39"/>
        <v>-858.90999999999985</v>
      </c>
      <c r="AD154" s="8">
        <f>IFERROR(AC154/AC444, "NA")</f>
        <v>-3.2395060499117258E-2</v>
      </c>
    </row>
    <row r="155" spans="1:30" ht="16.5" customHeight="1" x14ac:dyDescent="0.45">
      <c r="A155" s="12" t="s">
        <v>144</v>
      </c>
      <c r="B155" s="7">
        <v>706.62</v>
      </c>
      <c r="C155" s="8">
        <f>IFERROR(B155/B444, "NA")</f>
        <v>6.2317225030602127E-3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-706.62</v>
      </c>
      <c r="I155" s="8">
        <f>IFERROR(H155/H444, "NA")</f>
        <v>2.665395239465744E-2</v>
      </c>
      <c r="J155" s="9"/>
      <c r="K155" s="7">
        <v>1015.79</v>
      </c>
      <c r="L155" s="8">
        <f>IFERROR(K155/K444, "NA")</f>
        <v>8.4224597489438863E-3</v>
      </c>
      <c r="M155" s="9"/>
      <c r="N155" s="10">
        <f t="shared" si="37"/>
        <v>309.16999999999996</v>
      </c>
      <c r="O155" s="8">
        <f>IFERROR(N155/N444, "NA")</f>
        <v>-4.2856291351254683E-2</v>
      </c>
      <c r="P155" s="9"/>
      <c r="Q155" s="7">
        <v>4509.17</v>
      </c>
      <c r="R155" s="8">
        <f>IFERROR(Q155/Q444, "NA")</f>
        <v>8.0505980561850574E-3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-4509.17</v>
      </c>
      <c r="X155" s="8">
        <f>IFERROR(W155/W444, "NA")</f>
        <v>7.6259124451754853E-2</v>
      </c>
      <c r="Y155" s="9"/>
      <c r="Z155" s="7">
        <v>5184.78</v>
      </c>
      <c r="AA155" s="8">
        <f>IFERROR(Z155/Z444, "NA")</f>
        <v>9.7167841113699784E-3</v>
      </c>
      <c r="AB155" s="9"/>
      <c r="AC155" s="10">
        <f t="shared" si="39"/>
        <v>675.60999999999967</v>
      </c>
      <c r="AD155" s="8">
        <f>IFERROR(AC155/AC444, "NA")</f>
        <v>2.5481630000592149E-2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131.03</v>
      </c>
      <c r="AA156" s="8">
        <f>IFERROR(Z156/Z444, "NA")</f>
        <v>2.4556301754612701E-4</v>
      </c>
      <c r="AB156" s="9"/>
      <c r="AC156" s="10">
        <f t="shared" si="39"/>
        <v>131.03</v>
      </c>
      <c r="AD156" s="8">
        <f>IFERROR(AC156/AC444, "NA")</f>
        <v>4.9419901703313908E-3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4805.9399999999996</v>
      </c>
      <c r="C158" s="15">
        <f>IFERROR(B158/B444, "NA")</f>
        <v>4.2383861830060279E-2</v>
      </c>
      <c r="D158" s="2"/>
      <c r="E158" s="14">
        <f>IFERROR(E153+E154+E155+E156+E157, "NA")</f>
        <v>2518.23</v>
      </c>
      <c r="F158" s="15">
        <f>IFERROR(E158/E444, "NA")</f>
        <v>1.7999996997891878E-2</v>
      </c>
      <c r="G158" s="2"/>
      <c r="H158" s="14">
        <f t="shared" si="36"/>
        <v>-2287.7099999999996</v>
      </c>
      <c r="I158" s="15">
        <f>IFERROR(H158/H444, "NA")</f>
        <v>8.6293217617364026E-2</v>
      </c>
      <c r="J158" s="2"/>
      <c r="K158" s="14">
        <f>IFERROR(K153+K154+K155+K156+K157, "NA")</f>
        <v>4786.9400000000005</v>
      </c>
      <c r="L158" s="15">
        <f>IFERROR(K158/K444, "NA")</f>
        <v>3.96910872036636E-2</v>
      </c>
      <c r="M158" s="2"/>
      <c r="N158" s="14">
        <f t="shared" si="37"/>
        <v>-18.999999999999091</v>
      </c>
      <c r="O158" s="15">
        <f>IFERROR(N158/N444, "NA")</f>
        <v>2.6337275145512182E-3</v>
      </c>
      <c r="P158" s="2"/>
      <c r="Q158" s="14">
        <f>IFERROR(Q153+Q154+Q155+Q156+Q157, "NA")</f>
        <v>23988.589999999997</v>
      </c>
      <c r="R158" s="15">
        <f>IFERROR(Q158/Q444, "NA")</f>
        <v>4.2828834580337462E-2</v>
      </c>
      <c r="S158" s="2"/>
      <c r="T158" s="14">
        <f>IFERROR(T153+T154+T155+T156+T157, "NA")</f>
        <v>12294.94</v>
      </c>
      <c r="U158" s="15">
        <f>IFERROR(T158/T444, "NA")</f>
        <v>1.9855101141119168E-2</v>
      </c>
      <c r="V158" s="2"/>
      <c r="W158" s="14">
        <f t="shared" si="38"/>
        <v>-11693.649999999996</v>
      </c>
      <c r="X158" s="15">
        <f>IFERROR(W158/W444, "NA")</f>
        <v>0.1977631161932823</v>
      </c>
      <c r="Y158" s="2"/>
      <c r="Z158" s="14">
        <f>IFERROR(Z153+Z154+Z155+Z156+Z157, "NA")</f>
        <v>23936.319999999996</v>
      </c>
      <c r="AA158" s="15">
        <f>IFERROR(Z158/Z444, "NA")</f>
        <v>4.4859001512246886E-2</v>
      </c>
      <c r="AB158" s="2"/>
      <c r="AC158" s="14">
        <f t="shared" si="39"/>
        <v>-52.270000000000437</v>
      </c>
      <c r="AD158" s="15">
        <f>IFERROR(AC158/AC444, "NA")</f>
        <v>-1.9714403281937262E-3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422.13</v>
      </c>
      <c r="C161" s="8">
        <f>IFERROR(B161/B444, "NA")</f>
        <v>3.7227887976802351E-3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-422.13</v>
      </c>
      <c r="I161" s="8">
        <f>IFERROR(H161/H444, "NA")</f>
        <v>1.5922890555541514E-2</v>
      </c>
      <c r="J161" s="9"/>
      <c r="K161" s="7">
        <v>478.98</v>
      </c>
      <c r="L161" s="8">
        <f>IFERROR(K161/K444, "NA")</f>
        <v>3.9714800997737157E-3</v>
      </c>
      <c r="M161" s="9"/>
      <c r="N161" s="10">
        <f t="shared" si="41"/>
        <v>56.850000000000023</v>
      </c>
      <c r="O161" s="8">
        <f>IFERROR(N161/N444, "NA")</f>
        <v>-7.8803899580128407E-3</v>
      </c>
      <c r="P161" s="9"/>
      <c r="Q161" s="7">
        <v>1739.38</v>
      </c>
      <c r="R161" s="8">
        <f>IFERROR(Q161/Q444, "NA")</f>
        <v>3.1054604831858559E-3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-1739.38</v>
      </c>
      <c r="X161" s="8">
        <f>IFERROR(W161/W444, "NA")</f>
        <v>2.9416410534287542E-2</v>
      </c>
      <c r="Y161" s="9"/>
      <c r="Z161" s="7">
        <v>2460.5500000000002</v>
      </c>
      <c r="AA161" s="8">
        <f>IFERROR(Z161/Z444, "NA")</f>
        <v>4.611311019027114E-3</v>
      </c>
      <c r="AB161" s="9"/>
      <c r="AC161" s="10">
        <f t="shared" si="43"/>
        <v>721.17000000000007</v>
      </c>
      <c r="AD161" s="8">
        <f>IFERROR(AC161/AC444, "NA")</f>
        <v>2.7199992758436157E-2</v>
      </c>
    </row>
    <row r="162" spans="1:30" ht="16.5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2.72</v>
      </c>
      <c r="AA162" s="8">
        <f>IFERROR(Z162/Z444, "NA")</f>
        <v>5.0975456592037356E-6</v>
      </c>
      <c r="AB162" s="9"/>
      <c r="AC162" s="10">
        <f t="shared" si="43"/>
        <v>2.72</v>
      </c>
      <c r="AD162" s="8">
        <f>IFERROR(AC162/AC444, "NA")</f>
        <v>1.0258882136382038E-4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422.13</v>
      </c>
      <c r="C166" s="15">
        <f>IFERROR(B166/B444, "NA")</f>
        <v>3.7227887976802351E-3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-422.13</v>
      </c>
      <c r="I166" s="15">
        <f>IFERROR(H166/H444, "NA")</f>
        <v>1.5922890555541514E-2</v>
      </c>
      <c r="J166" s="2"/>
      <c r="K166" s="14">
        <f>IFERROR(K160+K161+K162+K163+K164+K165, "NA")</f>
        <v>478.98</v>
      </c>
      <c r="L166" s="15">
        <f>IFERROR(K166/K444, "NA")</f>
        <v>3.9714800997737157E-3</v>
      </c>
      <c r="M166" s="2"/>
      <c r="N166" s="14">
        <f t="shared" si="41"/>
        <v>56.850000000000023</v>
      </c>
      <c r="O166" s="15">
        <f>IFERROR(N166/N444, "NA")</f>
        <v>-7.8803899580128407E-3</v>
      </c>
      <c r="P166" s="2"/>
      <c r="Q166" s="14">
        <f>IFERROR(Q160+Q161+Q162+Q163+Q164+Q165, "NA")</f>
        <v>1739.38</v>
      </c>
      <c r="R166" s="15">
        <f>IFERROR(Q166/Q444, "NA")</f>
        <v>3.1054604831858559E-3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-1739.38</v>
      </c>
      <c r="X166" s="15">
        <f>IFERROR(W166/W444, "NA")</f>
        <v>2.9416410534287542E-2</v>
      </c>
      <c r="Y166" s="2"/>
      <c r="Z166" s="14">
        <f>IFERROR(Z160+Z161+Z162+Z163+Z164+Z165, "NA")</f>
        <v>2463.27</v>
      </c>
      <c r="AA166" s="15">
        <f>IFERROR(Z166/Z444, "NA")</f>
        <v>4.6164085646863175E-3</v>
      </c>
      <c r="AB166" s="2"/>
      <c r="AC166" s="14">
        <f t="shared" si="43"/>
        <v>723.88999999999987</v>
      </c>
      <c r="AD166" s="15">
        <f>IFERROR(AC166/AC444, "NA")</f>
        <v>2.7302581579799968E-2</v>
      </c>
    </row>
    <row r="167" spans="1:30" ht="16.5" customHeight="1" x14ac:dyDescent="0.45">
      <c r="A167" s="6" t="s">
        <v>155</v>
      </c>
      <c r="B167" s="7">
        <v>407.11</v>
      </c>
      <c r="C167" s="8">
        <f>IFERROR(B167/B444, "NA")</f>
        <v>3.5903265520659524E-3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-407.11</v>
      </c>
      <c r="I167" s="8">
        <f>IFERROR(H167/H444, "NA")</f>
        <v>1.5356330926649389E-2</v>
      </c>
      <c r="J167" s="9"/>
      <c r="K167" s="7">
        <v>405.29</v>
      </c>
      <c r="L167" s="8">
        <f>IFERROR(K167/K444, "NA")</f>
        <v>3.3604767832420752E-3</v>
      </c>
      <c r="M167" s="9"/>
      <c r="N167" s="10">
        <f t="shared" si="41"/>
        <v>-1.8199999999999932</v>
      </c>
      <c r="O167" s="8">
        <f>IFERROR(N167/N444, "NA")</f>
        <v>2.5228337244649623E-4</v>
      </c>
      <c r="P167" s="9"/>
      <c r="Q167" s="7">
        <v>1958.42</v>
      </c>
      <c r="R167" s="8">
        <f>IFERROR(Q167/Q444, "NA")</f>
        <v>3.4965309015171173E-3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-1958.42</v>
      </c>
      <c r="X167" s="8">
        <f>IFERROR(W167/W444, "NA")</f>
        <v>3.3120817025928437E-2</v>
      </c>
      <c r="Y167" s="9"/>
      <c r="Z167" s="7">
        <v>2122.04</v>
      </c>
      <c r="AA167" s="8">
        <f>IFERROR(Z167/Z444, "NA")</f>
        <v>3.9769102171531958E-3</v>
      </c>
      <c r="AB167" s="9"/>
      <c r="AC167" s="10">
        <f t="shared" si="43"/>
        <v>163.61999999999989</v>
      </c>
      <c r="AD167" s="8">
        <f>IFERROR(AC167/AC444, "NA")</f>
        <v>6.1711702027751024E-3</v>
      </c>
    </row>
    <row r="168" spans="1:30" ht="16.5" customHeight="1" x14ac:dyDescent="0.45">
      <c r="A168" s="6" t="s">
        <v>156</v>
      </c>
      <c r="B168" s="7">
        <v>38.799999999999997</v>
      </c>
      <c r="C168" s="8">
        <f>IFERROR(B168/B444, "NA")</f>
        <v>3.4217943607417885E-4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-38.799999999999997</v>
      </c>
      <c r="I168" s="8">
        <f>IFERROR(H168/H444, "NA")</f>
        <v>1.4635495073911135E-3</v>
      </c>
      <c r="J168" s="9"/>
      <c r="K168" s="7">
        <v>59</v>
      </c>
      <c r="L168" s="8">
        <f>IFERROR(K168/K444, "NA")</f>
        <v>4.8920064697200133E-4</v>
      </c>
      <c r="M168" s="9"/>
      <c r="N168" s="10">
        <f t="shared" si="41"/>
        <v>20.200000000000003</v>
      </c>
      <c r="O168" s="8">
        <f>IFERROR(N168/N444, "NA")</f>
        <v>-2.8000681996809035E-3</v>
      </c>
      <c r="P168" s="9"/>
      <c r="Q168" s="7">
        <v>214.4</v>
      </c>
      <c r="R168" s="8">
        <f>IFERROR(Q168/Q444, "NA")</f>
        <v>3.8278623854192154E-4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-214.4</v>
      </c>
      <c r="X168" s="8">
        <f>IFERROR(W168/W444, "NA")</f>
        <v>3.6259347690276124E-3</v>
      </c>
      <c r="Y168" s="9"/>
      <c r="Z168" s="7">
        <v>232.6</v>
      </c>
      <c r="AA168" s="8">
        <f>IFERROR(Z168/Z444, "NA")</f>
        <v>4.359151177686723E-4</v>
      </c>
      <c r="AB168" s="9"/>
      <c r="AC168" s="10">
        <f t="shared" si="43"/>
        <v>18.199999999999989</v>
      </c>
      <c r="AD168" s="8">
        <f>IFERROR(AC168/AC444, "NA")</f>
        <v>6.8643990765497414E-4</v>
      </c>
    </row>
    <row r="169" spans="1:30" ht="16.5" customHeight="1" x14ac:dyDescent="0.45">
      <c r="A169" s="6" t="s">
        <v>157</v>
      </c>
      <c r="B169" s="7">
        <v>-1720.29</v>
      </c>
      <c r="C169" s="8">
        <f>IFERROR(B169/B444, "NA")</f>
        <v>-1.5171336651650751E-2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1720.29</v>
      </c>
      <c r="I169" s="8">
        <f>IFERROR(H169/H444, "NA")</f>
        <v>-6.488993768221285E-2</v>
      </c>
      <c r="J169" s="9"/>
      <c r="K169" s="7">
        <v>-1758.97</v>
      </c>
      <c r="L169" s="8">
        <f>IFERROR(K169/K444, "NA")</f>
        <v>-1.4584563762785446E-2</v>
      </c>
      <c r="M169" s="9"/>
      <c r="N169" s="10">
        <f t="shared" si="41"/>
        <v>-38.680000000000064</v>
      </c>
      <c r="O169" s="8">
        <f>IFERROR(N169/N444, "NA")</f>
        <v>5.3617147506761142E-3</v>
      </c>
      <c r="P169" s="9"/>
      <c r="Q169" s="7">
        <v>-10249.14</v>
      </c>
      <c r="R169" s="8">
        <f>IFERROR(Q169/Q444, "NA")</f>
        <v>-1.8298646216835586E-2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10249.14</v>
      </c>
      <c r="X169" s="8">
        <f>IFERROR(W169/W444, "NA")</f>
        <v>-0.17333354980705065</v>
      </c>
      <c r="Y169" s="9"/>
      <c r="Z169" s="7">
        <v>-9339.7099999999991</v>
      </c>
      <c r="AA169" s="8">
        <f>IFERROR(Z169/Z444, "NA")</f>
        <v>-1.750352873850063E-2</v>
      </c>
      <c r="AB169" s="9"/>
      <c r="AC169" s="10">
        <f t="shared" si="43"/>
        <v>909.43000000000029</v>
      </c>
      <c r="AD169" s="8">
        <f>IFERROR(AC169/AC444, "NA")</f>
        <v>3.4300496990036469E-2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3953.6899999999996</v>
      </c>
      <c r="C170" s="15">
        <f>IFERROR(B170/B444, "NA")</f>
        <v>3.4867819964229899E-2</v>
      </c>
      <c r="D170" s="2"/>
      <c r="E170" s="14">
        <f>IFERROR(E151+E153+E154+E155+E156+E157+E160+E161+E162+E163+E164+E165+E167+E168+E169, "NA")</f>
        <v>2518.23</v>
      </c>
      <c r="F170" s="15">
        <f>IFERROR(E170/E444, "NA")</f>
        <v>1.7999996997891878E-2</v>
      </c>
      <c r="G170" s="2"/>
      <c r="H170" s="14">
        <f t="shared" si="40"/>
        <v>-1435.4599999999996</v>
      </c>
      <c r="I170" s="15">
        <f>IFERROR(H170/H444, "NA")</f>
        <v>5.414605092473318E-2</v>
      </c>
      <c r="J170" s="2"/>
      <c r="K170" s="14">
        <f>IFERROR(K151+K153+K154+K155+K156+K157+K160+K161+K162+K163+K164+K165+K167+K168+K169, "NA")</f>
        <v>3971.24</v>
      </c>
      <c r="L170" s="15">
        <f>IFERROR(K170/K444, "NA")</f>
        <v>3.2927680970865944E-2</v>
      </c>
      <c r="M170" s="2"/>
      <c r="N170" s="14">
        <f t="shared" si="41"/>
        <v>17.550000000000182</v>
      </c>
      <c r="O170" s="15">
        <f>IFERROR(N170/N444, "NA")</f>
        <v>-2.4327325200198197E-3</v>
      </c>
      <c r="P170" s="2"/>
      <c r="Q170" s="14">
        <f>IFERROR(Q151+Q153+Q154+Q155+Q156+Q157+Q160+Q161+Q162+Q163+Q164+Q165+Q167+Q168+Q169, "NA")</f>
        <v>17651.650000000001</v>
      </c>
      <c r="R170" s="15">
        <f>IFERROR(Q170/Q444, "NA")</f>
        <v>3.151496598674678E-2</v>
      </c>
      <c r="S170" s="2"/>
      <c r="T170" s="14">
        <f>IFERROR(T151+T153+T154+T155+T156+T157+T160+T161+T162+T163+T164+T165+T167+T168+T169, "NA")</f>
        <v>12294.94</v>
      </c>
      <c r="U170" s="15">
        <f>IFERROR(T170/T444, "NA")</f>
        <v>1.9855101141119168E-2</v>
      </c>
      <c r="V170" s="2"/>
      <c r="W170" s="14">
        <f t="shared" si="42"/>
        <v>-5356.7100000000009</v>
      </c>
      <c r="X170" s="15">
        <f>IFERROR(W170/W444, "NA")</f>
        <v>9.0592728715475301E-2</v>
      </c>
      <c r="Y170" s="2"/>
      <c r="Z170" s="14">
        <f>IFERROR(Z151+Z153+Z154+Z155+Z156+Z157+Z160+Z161+Z162+Z163+Z164+Z165+Z167+Z168+Z169, "NA")</f>
        <v>19414.519999999997</v>
      </c>
      <c r="AA170" s="15">
        <f>IFERROR(Z170/Z444, "NA")</f>
        <v>3.6384706673354444E-2</v>
      </c>
      <c r="AB170" s="2"/>
      <c r="AC170" s="14">
        <f t="shared" si="43"/>
        <v>1762.8699999999953</v>
      </c>
      <c r="AD170" s="15">
        <f>IFERROR(AC170/AC444, "NA")</f>
        <v>6.6489248352072622E-2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33045.46</v>
      </c>
      <c r="C171" s="15">
        <f>IFERROR(B171/B444, "NA")</f>
        <v>0.29142981617556274</v>
      </c>
      <c r="D171" s="2"/>
      <c r="E171" s="14">
        <f>IFERROR(E127+E129+E130+E131+E132+E133+E134+E135+E136+E137+E138+E139+E140+E143+E144+E145+E146+E147+E151+E153+E154+E155+E156+E157+E160+E161+E162+E163+E164+E165+E167+E168+E169, "NA")</f>
        <v>33576.410000000003</v>
      </c>
      <c r="F171" s="15">
        <f>IFERROR(E171/E444, "NA")</f>
        <v>0.24000003145065654</v>
      </c>
      <c r="G171" s="2"/>
      <c r="H171" s="14">
        <f t="shared" si="40"/>
        <v>530.95000000000437</v>
      </c>
      <c r="I171" s="15">
        <f>IFERROR(H171/H444, "NA")</f>
        <v>-2.0027618838899953E-2</v>
      </c>
      <c r="J171" s="2"/>
      <c r="K171" s="14">
        <f>IFERROR(K127+K129+K130+K131+K132+K133+K134+K135+K136+K137+K138+K139+K140+K143+K144+K145+K146+K147+K151+K153+K154+K155+K156+K157+K160+K161+K162+K163+K164+K165+K167+K168+K169, "NA")</f>
        <v>33583.660000000011</v>
      </c>
      <c r="L171" s="15">
        <f>IFERROR(K171/K444, "NA")</f>
        <v>0.27846013897775812</v>
      </c>
      <c r="M171" s="2"/>
      <c r="N171" s="14">
        <f t="shared" si="41"/>
        <v>538.20000000001164</v>
      </c>
      <c r="O171" s="15">
        <f>IFERROR(N171/N444, "NA")</f>
        <v>-7.4603797280608647E-2</v>
      </c>
      <c r="P171" s="2"/>
      <c r="Q171" s="14">
        <f>IFERROR(Q127+Q129+Q130+Q131+Q132+Q133+Q134+Q135+Q136+Q137+Q138+Q139+Q140+Q143+Q144+Q145+Q146+Q147+Q151+Q153+Q154+Q155+Q156+Q157+Q160+Q161+Q162+Q163+Q164+Q165+Q167+Q168+Q169, "NA")</f>
        <v>158595.81000000006</v>
      </c>
      <c r="R171" s="15">
        <f>IFERROR(Q171/Q444, "NA")</f>
        <v>0.2831543542836254</v>
      </c>
      <c r="S171" s="2"/>
      <c r="T171" s="14">
        <f>IFERROR(T127+T129+T130+T131+T132+T133+T134+T135+T136+T137+T138+T139+T140+T143+T144+T145+T146+T147+T151+T153+T154+T155+T156+T157+T160+T161+T162+T163+T164+T165+T167+T168+T169, "NA")</f>
        <v>152502.29999999999</v>
      </c>
      <c r="U171" s="15">
        <f>IFERROR(T171/T444, "NA")</f>
        <v>0.24627599571476536</v>
      </c>
      <c r="V171" s="2"/>
      <c r="W171" s="14">
        <f t="shared" si="42"/>
        <v>-6093.5100000000675</v>
      </c>
      <c r="X171" s="15">
        <f>IFERROR(W171/W444, "NA")</f>
        <v>0.10305349708217207</v>
      </c>
      <c r="Y171" s="2"/>
      <c r="Z171" s="14">
        <f>IFERROR(Z127+Z129+Z130+Z131+Z132+Z133+Z134+Z135+Z136+Z137+Z138+Z139+Z140+Z143+Z144+Z145+Z146+Z147+Z151+Z153+Z154+Z155+Z156+Z157+Z160+Z161+Z162+Z163+Z164+Z165+Z167+Z168+Z169, "NA")</f>
        <v>145306.85000000003</v>
      </c>
      <c r="AA171" s="15">
        <f>IFERROR(Z171/Z444, "NA")</f>
        <v>0.27231922884928983</v>
      </c>
      <c r="AB171" s="2"/>
      <c r="AC171" s="14">
        <f t="shared" si="43"/>
        <v>-13288.960000000021</v>
      </c>
      <c r="AD171" s="15">
        <f>IFERROR(AC171/AC444, "NA")</f>
        <v>-0.50121277336432224</v>
      </c>
    </row>
    <row r="172" spans="1:30" ht="16.5" customHeight="1" x14ac:dyDescent="0.45">
      <c r="A172" s="22" t="s">
        <v>160</v>
      </c>
      <c r="B172" s="23">
        <f>IFERROR(B124-B171, "NA")</f>
        <v>80345.34</v>
      </c>
      <c r="C172" s="24">
        <f>IFERROR(B172/B444, "NA")</f>
        <v>0.70857018382443726</v>
      </c>
      <c r="D172" s="25"/>
      <c r="E172" s="23">
        <f>IFERROR(E124-E171, "NA")</f>
        <v>106325.28</v>
      </c>
      <c r="F172" s="24">
        <f>IFERROR(E172/E444, "NA")</f>
        <v>0.75999996854934349</v>
      </c>
      <c r="G172" s="25"/>
      <c r="H172" s="23">
        <f>IFERROR(B172-E172, "NA")</f>
        <v>-25979.940000000002</v>
      </c>
      <c r="I172" s="24">
        <f>IFERROR(H172/H444, "NA")</f>
        <v>0.9799723811611003</v>
      </c>
      <c r="J172" s="25"/>
      <c r="K172" s="23">
        <f>IFERROR(K124-K171, "NA")</f>
        <v>87021.249999999942</v>
      </c>
      <c r="L172" s="24">
        <f>IFERROR(K172/K444, "NA")</f>
        <v>0.72153986102224144</v>
      </c>
      <c r="M172" s="25"/>
      <c r="N172" s="23">
        <f>IFERROR(B172-K172, "NA")</f>
        <v>-6675.9099999999453</v>
      </c>
      <c r="O172" s="24">
        <f>IFERROR(N172/N444, "NA")</f>
        <v>0.92539620271938527</v>
      </c>
      <c r="P172" s="25"/>
      <c r="Q172" s="23">
        <f>IFERROR(Q124-Q171, "NA")</f>
        <v>401507.91999999993</v>
      </c>
      <c r="R172" s="24">
        <f>IFERROR(Q172/Q444, "NA")</f>
        <v>0.71684564571637466</v>
      </c>
      <c r="S172" s="25"/>
      <c r="T172" s="23">
        <f>IFERROR(T124-T171, "NA")</f>
        <v>466731.00999999995</v>
      </c>
      <c r="U172" s="24">
        <f>IFERROR(T172/T444, "NA")</f>
        <v>0.75372400428523445</v>
      </c>
      <c r="V172" s="25"/>
      <c r="W172" s="23">
        <f>IFERROR(Q172-T172, "NA")</f>
        <v>-65223.090000000026</v>
      </c>
      <c r="X172" s="24">
        <f>IFERROR(W172/W444, "NA")</f>
        <v>1.1030534970821702</v>
      </c>
      <c r="Y172" s="25"/>
      <c r="Z172" s="23">
        <f>IFERROR(Z124-Z171, "NA")</f>
        <v>388283.27000000008</v>
      </c>
      <c r="AA172" s="24">
        <f>IFERROR(Z172/Z444, "NA")</f>
        <v>0.72768077115071039</v>
      </c>
      <c r="AB172" s="25"/>
      <c r="AC172" s="23">
        <f>IFERROR(Q172-Z172, "NA")</f>
        <v>13224.649999999849</v>
      </c>
      <c r="AD172" s="24">
        <f>IFERROR(AC172/AC444, "NA")</f>
        <v>0.49878722663567338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6775</v>
      </c>
      <c r="C178" s="8">
        <f>IFERROR(B178/B444, "NA")</f>
        <v>5.974911544851963E-2</v>
      </c>
      <c r="D178" s="9"/>
      <c r="E178" s="7">
        <v>6971.15</v>
      </c>
      <c r="F178" s="8">
        <f>IFERROR(E178/E444, "NA")</f>
        <v>4.9828919150297607E-2</v>
      </c>
      <c r="G178" s="9"/>
      <c r="H178" s="10">
        <f t="shared" si="44"/>
        <v>196.14999999999964</v>
      </c>
      <c r="I178" s="8">
        <f>IFERROR(H178/H444, "NA")</f>
        <v>-7.3988462854321238E-3</v>
      </c>
      <c r="J178" s="9"/>
      <c r="K178" s="7">
        <v>6778.85</v>
      </c>
      <c r="L178" s="8">
        <f>IFERROR(K178/K444, "NA")</f>
        <v>5.620708145298562E-2</v>
      </c>
      <c r="M178" s="9"/>
      <c r="N178" s="10">
        <f t="shared" si="45"/>
        <v>3.8500000000003638</v>
      </c>
      <c r="O178" s="8">
        <f>IFERROR(N178/N444, "NA")</f>
        <v>-5.3367636479071756E-4</v>
      </c>
      <c r="P178" s="9"/>
      <c r="Q178" s="7">
        <v>36385</v>
      </c>
      <c r="R178" s="8">
        <f>IFERROR(Q178/Q444, "NA")</f>
        <v>6.4961181386883463E-2</v>
      </c>
      <c r="S178" s="9"/>
      <c r="T178" s="7">
        <v>36249.980000000003</v>
      </c>
      <c r="U178" s="8">
        <f>IFERROR(T178/T444, "NA")</f>
        <v>5.8540100176458533E-2</v>
      </c>
      <c r="V178" s="9"/>
      <c r="W178" s="10">
        <f t="shared" si="46"/>
        <v>-135.0199999999968</v>
      </c>
      <c r="X178" s="8">
        <f>IFERROR(W178/W444, "NA")</f>
        <v>2.2834594800097792E-3</v>
      </c>
      <c r="Y178" s="9"/>
      <c r="Z178" s="7">
        <v>35250.019999999997</v>
      </c>
      <c r="AA178" s="8">
        <f>IFERROR(Z178/Z444, "NA")</f>
        <v>6.606198030803119E-2</v>
      </c>
      <c r="AB178" s="9"/>
      <c r="AC178" s="10">
        <f t="shared" si="47"/>
        <v>-1134.9800000000032</v>
      </c>
      <c r="AD178" s="8">
        <f>IFERROR(AC178/AC444, "NA")</f>
        <v>-4.2807448702760723E-2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23626.720000000001</v>
      </c>
      <c r="C180" s="8">
        <f>IFERROR(B180/B444, "NA")</f>
        <v>0.20836540530625061</v>
      </c>
      <c r="D180" s="9"/>
      <c r="E180" s="7">
        <v>27140.93</v>
      </c>
      <c r="F180" s="8">
        <f>IFERROR(E180/E444, "NA")</f>
        <v>0.19400001529645566</v>
      </c>
      <c r="G180" s="9"/>
      <c r="H180" s="10">
        <f t="shared" si="44"/>
        <v>3514.2099999999991</v>
      </c>
      <c r="I180" s="8">
        <f>IFERROR(H180/H444, "NA")</f>
        <v>-0.13255722459713723</v>
      </c>
      <c r="J180" s="9"/>
      <c r="K180" s="7">
        <v>24980.1</v>
      </c>
      <c r="L180" s="8">
        <f>IFERROR(K180/K444, "NA")</f>
        <v>0.20712340815975069</v>
      </c>
      <c r="M180" s="9"/>
      <c r="N180" s="10">
        <f t="shared" si="45"/>
        <v>1353.3799999999974</v>
      </c>
      <c r="O180" s="8">
        <f>IFERROR(N180/N444, "NA")</f>
        <v>-0.18760179703386798</v>
      </c>
      <c r="P180" s="9"/>
      <c r="Q180" s="7">
        <v>118249.81</v>
      </c>
      <c r="R180" s="8">
        <f>IFERROR(Q180/Q444, "NA")</f>
        <v>0.21112126855502283</v>
      </c>
      <c r="S180" s="9"/>
      <c r="T180" s="7">
        <v>123937.46</v>
      </c>
      <c r="U180" s="8">
        <f>IFERROR(T180/T444, "NA")</f>
        <v>0.20014662970892183</v>
      </c>
      <c r="V180" s="9"/>
      <c r="W180" s="10">
        <f t="shared" si="46"/>
        <v>5687.6500000000087</v>
      </c>
      <c r="X180" s="8">
        <f>IFERROR(W180/W444, "NA")</f>
        <v>-9.6189589034794451E-2</v>
      </c>
      <c r="Y180" s="9"/>
      <c r="Z180" s="7">
        <v>113683.52</v>
      </c>
      <c r="AA180" s="8">
        <f>IFERROR(Z180/Z444, "NA")</f>
        <v>0.21305401981580918</v>
      </c>
      <c r="AB180" s="9"/>
      <c r="AC180" s="10">
        <f t="shared" si="47"/>
        <v>-4566.2899999999936</v>
      </c>
      <c r="AD180" s="8">
        <f>IFERROR(AC180/AC444, "NA")</f>
        <v>-0.17222437834757304</v>
      </c>
    </row>
    <row r="181" spans="1:30" ht="16.5" customHeight="1" x14ac:dyDescent="0.45">
      <c r="A181" s="12" t="s">
        <v>166</v>
      </c>
      <c r="B181" s="7">
        <v>36.25</v>
      </c>
      <c r="C181" s="8">
        <f>IFERROR(B181/B444, "NA")</f>
        <v>3.1969083911569546E-4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-36.25</v>
      </c>
      <c r="I181" s="8">
        <f>IFERROR(H181/H444, "NA")</f>
        <v>1.3673626196630895E-3</v>
      </c>
      <c r="J181" s="9"/>
      <c r="K181" s="7">
        <v>0</v>
      </c>
      <c r="L181" s="8">
        <f>IFERROR(K181/K444, "NA")</f>
        <v>0</v>
      </c>
      <c r="M181" s="9"/>
      <c r="N181" s="10">
        <f t="shared" si="45"/>
        <v>-36.25</v>
      </c>
      <c r="O181" s="8">
        <f>IFERROR(N181/N444, "NA")</f>
        <v>5.024874863288749E-3</v>
      </c>
      <c r="P181" s="9"/>
      <c r="Q181" s="7">
        <v>1007.89</v>
      </c>
      <c r="R181" s="8">
        <f>IFERROR(Q181/Q444, "NA")</f>
        <v>1.7994702516978419E-3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-1007.89</v>
      </c>
      <c r="X181" s="8">
        <f>IFERROR(W181/W444, "NA")</f>
        <v>1.7045444936358397E-2</v>
      </c>
      <c r="Y181" s="9"/>
      <c r="Z181" s="7">
        <v>224.51</v>
      </c>
      <c r="AA181" s="8">
        <f>IFERROR(Z181/Z444, "NA")</f>
        <v>4.2075366762787887E-4</v>
      </c>
      <c r="AB181" s="9"/>
      <c r="AC181" s="10">
        <f t="shared" si="47"/>
        <v>-783.38</v>
      </c>
      <c r="AD181" s="8">
        <f>IFERROR(AC181/AC444, "NA")</f>
        <v>-2.9546334882349118E-2</v>
      </c>
    </row>
    <row r="182" spans="1:30" ht="16.5" customHeight="1" x14ac:dyDescent="0.45">
      <c r="A182" s="13" t="s">
        <v>167</v>
      </c>
      <c r="B182" s="14">
        <f>IFERROR(B177+B178+B179+B180+B181, "NA")</f>
        <v>30437.97</v>
      </c>
      <c r="C182" s="15">
        <f>IFERROR(B182/B444, "NA")</f>
        <v>0.26843421159388592</v>
      </c>
      <c r="D182" s="2"/>
      <c r="E182" s="14">
        <f>IFERROR(E177+E178+E179+E180+E181, "NA")</f>
        <v>34112.080000000002</v>
      </c>
      <c r="F182" s="15">
        <f>IFERROR(E182/E444, "NA")</f>
        <v>0.2438289344467533</v>
      </c>
      <c r="G182" s="2"/>
      <c r="H182" s="14">
        <f t="shared" si="44"/>
        <v>3674.1100000000006</v>
      </c>
      <c r="I182" s="15">
        <f>IFERROR(H182/H444, "NA")</f>
        <v>-0.13858870826290631</v>
      </c>
      <c r="J182" s="2"/>
      <c r="K182" s="14">
        <f>IFERROR(K177+K178+K179+K180+K181, "NA")</f>
        <v>31758.949999999997</v>
      </c>
      <c r="L182" s="15">
        <f>IFERROR(K182/K444, "NA")</f>
        <v>0.26333048961273631</v>
      </c>
      <c r="M182" s="2"/>
      <c r="N182" s="14">
        <f t="shared" si="45"/>
        <v>1320.9799999999959</v>
      </c>
      <c r="O182" s="15">
        <f>IFERROR(N182/N444, "NA")</f>
        <v>-0.18311059853536968</v>
      </c>
      <c r="P182" s="2"/>
      <c r="Q182" s="14">
        <f>IFERROR(Q177+Q178+Q179+Q180+Q181, "NA")</f>
        <v>155642.70000000001</v>
      </c>
      <c r="R182" s="15">
        <f>IFERROR(Q182/Q444, "NA")</f>
        <v>0.27788192019360419</v>
      </c>
      <c r="S182" s="2"/>
      <c r="T182" s="14">
        <f>IFERROR(T177+T178+T179+T180+T181, "NA")</f>
        <v>160187.44</v>
      </c>
      <c r="U182" s="15">
        <f>IFERROR(T182/T444, "NA")</f>
        <v>0.25868672988538033</v>
      </c>
      <c r="V182" s="2"/>
      <c r="W182" s="14">
        <f t="shared" si="46"/>
        <v>4544.7399999999907</v>
      </c>
      <c r="X182" s="15">
        <f>IFERROR(W182/W444, "NA")</f>
        <v>-7.686068461842592E-2</v>
      </c>
      <c r="Y182" s="2"/>
      <c r="Z182" s="14">
        <f>IFERROR(Z177+Z178+Z179+Z180+Z181, "NA")</f>
        <v>149158.05000000002</v>
      </c>
      <c r="AA182" s="15">
        <f>IFERROR(Z182/Z444, "NA")</f>
        <v>0.27953675379146831</v>
      </c>
      <c r="AB182" s="2"/>
      <c r="AC182" s="14">
        <f t="shared" si="47"/>
        <v>-6484.6499999999942</v>
      </c>
      <c r="AD182" s="15">
        <f>IFERROR(AC182/AC444, "NA")</f>
        <v>-0.24457816193268278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-300</v>
      </c>
      <c r="C184" s="8">
        <f>IFERROR(B184/B444, "NA")</f>
        <v>-2.6457172892333418E-3</v>
      </c>
      <c r="D184" s="9"/>
      <c r="E184" s="7">
        <v>500</v>
      </c>
      <c r="F184" s="8">
        <f>IFERROR(E184/E444, "NA")</f>
        <v>3.573938241918307E-3</v>
      </c>
      <c r="G184" s="9"/>
      <c r="H184" s="10">
        <f t="shared" si="44"/>
        <v>800</v>
      </c>
      <c r="I184" s="8">
        <f>IFERROR(H184/H444, "NA")</f>
        <v>-3.0176278502909559E-2</v>
      </c>
      <c r="J184" s="9"/>
      <c r="K184" s="7">
        <v>300</v>
      </c>
      <c r="L184" s="8">
        <f>IFERROR(K184/K444, "NA")</f>
        <v>2.4874609168067867E-3</v>
      </c>
      <c r="M184" s="9"/>
      <c r="N184" s="10">
        <f t="shared" si="45"/>
        <v>600</v>
      </c>
      <c r="O184" s="8">
        <f>IFERROR(N184/N444, "NA")</f>
        <v>-8.3170342564779287E-2</v>
      </c>
      <c r="P184" s="9"/>
      <c r="Q184" s="7">
        <v>2200</v>
      </c>
      <c r="R184" s="8">
        <f>IFERROR(Q184/Q444, "NA")</f>
        <v>3.9278438656353892E-3</v>
      </c>
      <c r="S184" s="9"/>
      <c r="T184" s="7">
        <v>3000</v>
      </c>
      <c r="U184" s="8">
        <f>IFERROR(T184/T444, "NA")</f>
        <v>4.8447006185762193E-3</v>
      </c>
      <c r="V184" s="9"/>
      <c r="W184" s="10">
        <f t="shared" si="46"/>
        <v>800</v>
      </c>
      <c r="X184" s="8">
        <f>IFERROR(W184/W444, "NA")</f>
        <v>-1.3529607347117957E-2</v>
      </c>
      <c r="Y184" s="9"/>
      <c r="Z184" s="7">
        <v>1350</v>
      </c>
      <c r="AA184" s="8">
        <f>IFERROR(Z184/Z444, "NA")</f>
        <v>2.5300318529136185E-3</v>
      </c>
      <c r="AB184" s="9"/>
      <c r="AC184" s="10">
        <f t="shared" si="47"/>
        <v>-850</v>
      </c>
      <c r="AD184" s="8">
        <f>IFERROR(AC184/AC444, "NA")</f>
        <v>-3.2059006676193866E-2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2679.48</v>
      </c>
      <c r="C186" s="8">
        <f>IFERROR(B186/B444, "NA")</f>
        <v>2.3630488540516515E-2</v>
      </c>
      <c r="D186" s="9"/>
      <c r="E186" s="7">
        <v>3535.08</v>
      </c>
      <c r="F186" s="8">
        <f>IFERROR(E186/E444, "NA")</f>
        <v>2.5268315200481138E-2</v>
      </c>
      <c r="G186" s="9"/>
      <c r="H186" s="10">
        <f t="shared" ref="H186:H197" si="48">IFERROR(-(B186-E186), "NA")</f>
        <v>855.59999999999991</v>
      </c>
      <c r="I186" s="8">
        <f>IFERROR(H186/H444, "NA")</f>
        <v>-3.2273529858861769E-2</v>
      </c>
      <c r="J186" s="9"/>
      <c r="K186" s="7">
        <v>2893.85</v>
      </c>
      <c r="L186" s="8">
        <f>IFERROR(K186/K444, "NA")</f>
        <v>2.399446258033773E-2</v>
      </c>
      <c r="M186" s="9"/>
      <c r="N186" s="10">
        <f t="shared" ref="N186:N197" si="49">IFERROR(-(B186-K186), "NA")</f>
        <v>214.36999999999989</v>
      </c>
      <c r="O186" s="8">
        <f>IFERROR(N186/N444, "NA")</f>
        <v>-2.9715377226019548E-2</v>
      </c>
      <c r="P186" s="9"/>
      <c r="Q186" s="7">
        <v>14095.62</v>
      </c>
      <c r="R186" s="8">
        <f>IFERROR(Q186/Q444, "NA")</f>
        <v>2.5166088431512502E-2</v>
      </c>
      <c r="S186" s="9"/>
      <c r="T186" s="7">
        <v>18361.060000000001</v>
      </c>
      <c r="U186" s="8">
        <f>IFERROR(T186/T444, "NA")</f>
        <v>2.9651279579905026E-2</v>
      </c>
      <c r="V186" s="9"/>
      <c r="W186" s="10">
        <f t="shared" ref="W186:W197" si="50">IFERROR(-(Q186-T186), "NA")</f>
        <v>4265.4400000000005</v>
      </c>
      <c r="X186" s="8">
        <f>IFERROR(W186/W444, "NA")</f>
        <v>-7.2137160453363533E-2</v>
      </c>
      <c r="Y186" s="9"/>
      <c r="Z186" s="7">
        <v>13706.96</v>
      </c>
      <c r="AA186" s="8">
        <f>IFERROR(Z186/Z444, "NA")</f>
        <v>2.5688181782676185E-2</v>
      </c>
      <c r="AB186" s="9"/>
      <c r="AC186" s="10">
        <f t="shared" ref="AC186:AC197" si="51">IFERROR(-(Q186-Z186), "NA")</f>
        <v>-388.66000000000167</v>
      </c>
      <c r="AD186" s="8">
        <f>IFERROR(AC186/AC444, "NA")</f>
        <v>-1.4658886511493602E-2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0.02</v>
      </c>
      <c r="AA187" s="8">
        <f>IFERROR(Z187/Z444, "NA")</f>
        <v>3.7481953376498051E-8</v>
      </c>
      <c r="AB187" s="9"/>
      <c r="AC187" s="10">
        <f t="shared" si="51"/>
        <v>0.02</v>
      </c>
      <c r="AD187" s="8">
        <f>IFERROR(AC187/AC444, "NA")</f>
        <v>7.543295688516204E-7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2679.48</v>
      </c>
      <c r="C193" s="15">
        <f>IFERROR(B193/B444, "NA")</f>
        <v>2.3630488540516515E-2</v>
      </c>
      <c r="D193" s="2"/>
      <c r="E193" s="14">
        <f>IFERROR(E186+E187+E188+E189+E190+E191+E192, "NA")</f>
        <v>3535.08</v>
      </c>
      <c r="F193" s="15">
        <f>IFERROR(E193/E444, "NA")</f>
        <v>2.5268315200481138E-2</v>
      </c>
      <c r="G193" s="2"/>
      <c r="H193" s="14">
        <f t="shared" si="48"/>
        <v>855.59999999999991</v>
      </c>
      <c r="I193" s="15">
        <f>IFERROR(H193/H444, "NA")</f>
        <v>-3.2273529858861769E-2</v>
      </c>
      <c r="J193" s="2"/>
      <c r="K193" s="14">
        <f>IFERROR(K186+K187+K188+K189+K190+K191+K192, "NA")</f>
        <v>2893.85</v>
      </c>
      <c r="L193" s="15">
        <f>IFERROR(K193/K444, "NA")</f>
        <v>2.399446258033773E-2</v>
      </c>
      <c r="M193" s="2"/>
      <c r="N193" s="14">
        <f t="shared" si="49"/>
        <v>214.36999999999989</v>
      </c>
      <c r="O193" s="15">
        <f>IFERROR(N193/N444, "NA")</f>
        <v>-2.9715377226019548E-2</v>
      </c>
      <c r="P193" s="2"/>
      <c r="Q193" s="14">
        <f>IFERROR(Q186+Q187+Q188+Q189+Q190+Q191+Q192, "NA")</f>
        <v>14095.62</v>
      </c>
      <c r="R193" s="15">
        <f>IFERROR(Q193/Q444, "NA")</f>
        <v>2.5166088431512502E-2</v>
      </c>
      <c r="S193" s="2"/>
      <c r="T193" s="14">
        <f>IFERROR(T186+T187+T188+T189+T190+T191+T192, "NA")</f>
        <v>18361.060000000001</v>
      </c>
      <c r="U193" s="15">
        <f>IFERROR(T193/T444, "NA")</f>
        <v>2.9651279579905026E-2</v>
      </c>
      <c r="V193" s="2"/>
      <c r="W193" s="14">
        <f t="shared" si="50"/>
        <v>4265.4400000000005</v>
      </c>
      <c r="X193" s="15">
        <f>IFERROR(W193/W444, "NA")</f>
        <v>-7.2137160453363533E-2</v>
      </c>
      <c r="Y193" s="2"/>
      <c r="Z193" s="14">
        <f>IFERROR(Z186+Z187+Z188+Z189+Z190+Z191+Z192, "NA")</f>
        <v>13706.98</v>
      </c>
      <c r="AA193" s="15">
        <f>IFERROR(Z193/Z444, "NA")</f>
        <v>2.5688219264629563E-2</v>
      </c>
      <c r="AB193" s="2"/>
      <c r="AC193" s="14">
        <f t="shared" si="51"/>
        <v>-388.64000000000124</v>
      </c>
      <c r="AD193" s="15">
        <f>IFERROR(AC193/AC444, "NA")</f>
        <v>-1.4658132181924733E-2</v>
      </c>
    </row>
    <row r="194" spans="1:30" ht="16.5" customHeight="1" x14ac:dyDescent="0.45">
      <c r="A194" s="6" t="s">
        <v>178</v>
      </c>
      <c r="B194" s="7">
        <v>272</v>
      </c>
      <c r="C194" s="8">
        <f>IFERROR(B194/B444, "NA")</f>
        <v>2.3987836755715629E-3</v>
      </c>
      <c r="D194" s="9"/>
      <c r="E194" s="7">
        <v>276.89999999999998</v>
      </c>
      <c r="F194" s="8">
        <f>IFERROR(E194/E444, "NA")</f>
        <v>1.9792469983743581E-3</v>
      </c>
      <c r="G194" s="9"/>
      <c r="H194" s="10">
        <f t="shared" si="48"/>
        <v>4.8999999999999773</v>
      </c>
      <c r="I194" s="8">
        <f>IFERROR(H194/H444, "NA")</f>
        <v>-1.848297058303202E-4</v>
      </c>
      <c r="J194" s="9"/>
      <c r="K194" s="7">
        <v>472</v>
      </c>
      <c r="L194" s="8">
        <f>IFERROR(K194/K444, "NA")</f>
        <v>3.9136051757760106E-3</v>
      </c>
      <c r="M194" s="9"/>
      <c r="N194" s="10">
        <f t="shared" si="49"/>
        <v>200</v>
      </c>
      <c r="O194" s="8">
        <f>IFERROR(N194/N444, "NA")</f>
        <v>-2.7723447521593097E-2</v>
      </c>
      <c r="P194" s="9"/>
      <c r="Q194" s="7">
        <v>1610</v>
      </c>
      <c r="R194" s="8">
        <f>IFERROR(Q194/Q444, "NA")</f>
        <v>2.8744675562149889E-3</v>
      </c>
      <c r="S194" s="9"/>
      <c r="T194" s="7">
        <v>1305.51</v>
      </c>
      <c r="U194" s="8">
        <f>IFERROR(T194/T444, "NA")</f>
        <v>2.1082683681858134E-3</v>
      </c>
      <c r="V194" s="9"/>
      <c r="W194" s="10">
        <f t="shared" si="50"/>
        <v>-304.49</v>
      </c>
      <c r="X194" s="8">
        <f>IFERROR(W194/W444, "NA")</f>
        <v>5.1495376764049338E-3</v>
      </c>
      <c r="Y194" s="9"/>
      <c r="Z194" s="7">
        <v>1353</v>
      </c>
      <c r="AA194" s="8">
        <f>IFERROR(Z194/Z444, "NA")</f>
        <v>2.5356541459200933E-3</v>
      </c>
      <c r="AB194" s="9"/>
      <c r="AC194" s="10">
        <f t="shared" si="51"/>
        <v>-257</v>
      </c>
      <c r="AD194" s="8">
        <f>IFERROR(AC194/AC444, "NA")</f>
        <v>-9.6931349597433221E-3</v>
      </c>
    </row>
    <row r="195" spans="1:30" ht="16.5" hidden="1" customHeight="1" x14ac:dyDescent="0.45">
      <c r="A195" s="6" t="s">
        <v>179</v>
      </c>
      <c r="B195" s="7">
        <v>0</v>
      </c>
      <c r="C195" s="8">
        <f>IFERROR(B195/B444, "NA")</f>
        <v>0</v>
      </c>
      <c r="D195" s="9"/>
      <c r="E195" s="7">
        <v>0</v>
      </c>
      <c r="F195" s="8">
        <f>IFERROR(E195/E444, "NA")</f>
        <v>0</v>
      </c>
      <c r="G195" s="9"/>
      <c r="H195" s="10">
        <f t="shared" si="48"/>
        <v>0</v>
      </c>
      <c r="I195" s="8">
        <f>IFERROR(H195/H444, "NA")</f>
        <v>0</v>
      </c>
      <c r="J195" s="9"/>
      <c r="K195" s="7">
        <v>0</v>
      </c>
      <c r="L195" s="8">
        <f>IFERROR(K195/K444, "NA")</f>
        <v>0</v>
      </c>
      <c r="M195" s="9"/>
      <c r="N195" s="10">
        <f t="shared" si="49"/>
        <v>0</v>
      </c>
      <c r="O195" s="8">
        <f>IFERROR(N195/N444, "NA")</f>
        <v>0</v>
      </c>
      <c r="P195" s="9"/>
      <c r="Q195" s="7">
        <v>0</v>
      </c>
      <c r="R195" s="8">
        <f>IFERROR(Q195/Q444, "NA")</f>
        <v>0</v>
      </c>
      <c r="S195" s="9"/>
      <c r="T195" s="7">
        <v>0</v>
      </c>
      <c r="U195" s="8">
        <f>IFERROR(T195/T444, "NA")</f>
        <v>0</v>
      </c>
      <c r="V195" s="9"/>
      <c r="W195" s="10">
        <f t="shared" si="50"/>
        <v>0</v>
      </c>
      <c r="X195" s="8">
        <f>IFERROR(W195/W444, "NA")</f>
        <v>0</v>
      </c>
      <c r="Y195" s="9"/>
      <c r="Z195" s="7">
        <v>0</v>
      </c>
      <c r="AA195" s="8">
        <f>IFERROR(Z195/Z444, "NA")</f>
        <v>0</v>
      </c>
      <c r="AB195" s="9"/>
      <c r="AC195" s="10">
        <f t="shared" si="51"/>
        <v>0</v>
      </c>
      <c r="AD195" s="8">
        <f>IFERROR(AC195/AC444, "NA")</f>
        <v>0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33089.450000000004</v>
      </c>
      <c r="C196" s="15">
        <f>IFERROR(B196/B444, "NA")</f>
        <v>0.29181776652074071</v>
      </c>
      <c r="D196" s="2"/>
      <c r="E196" s="14">
        <f>IFERROR(E175+E177+E178+E179+E180+E181+E183+E184+E186+E187+E188+E189+E190+E191+E192+E194+E195, "NA")</f>
        <v>38424.060000000005</v>
      </c>
      <c r="F196" s="15">
        <f>IFERROR(E196/E444, "NA")</f>
        <v>0.27465043488752711</v>
      </c>
      <c r="G196" s="2"/>
      <c r="H196" s="14">
        <f t="shared" si="48"/>
        <v>5334.6100000000006</v>
      </c>
      <c r="I196" s="15">
        <f>IFERROR(H196/H444, "NA")</f>
        <v>-0.20122334633050798</v>
      </c>
      <c r="J196" s="2"/>
      <c r="K196" s="14">
        <f>IFERROR(K175+K177+K178+K179+K180+K181+K183+K184+K186+K187+K188+K189+K190+K191+K192+K194+K195, "NA")</f>
        <v>35424.799999999996</v>
      </c>
      <c r="L196" s="15">
        <f>IFERROR(K196/K444, "NA")</f>
        <v>0.29372601828565681</v>
      </c>
      <c r="M196" s="2"/>
      <c r="N196" s="14">
        <f t="shared" si="49"/>
        <v>2335.3499999999913</v>
      </c>
      <c r="O196" s="15">
        <f>IFERROR(N196/N444, "NA")</f>
        <v>-0.32371976584776102</v>
      </c>
      <c r="P196" s="2"/>
      <c r="Q196" s="14">
        <f>IFERROR(Q175+Q177+Q178+Q179+Q180+Q181+Q183+Q184+Q186+Q187+Q188+Q189+Q190+Q191+Q192+Q194+Q195, "NA")</f>
        <v>173548.32</v>
      </c>
      <c r="R196" s="15">
        <f>IFERROR(Q196/Q444, "NA")</f>
        <v>0.30985032004696705</v>
      </c>
      <c r="S196" s="2"/>
      <c r="T196" s="14">
        <f>IFERROR(T175+T177+T178+T179+T180+T181+T183+T184+T186+T187+T188+T189+T190+T191+T192+T194+T195, "NA")</f>
        <v>182854.01</v>
      </c>
      <c r="U196" s="15">
        <f>IFERROR(T196/T444, "NA")</f>
        <v>0.29529097845204738</v>
      </c>
      <c r="V196" s="2"/>
      <c r="W196" s="14">
        <f t="shared" si="50"/>
        <v>9305.6900000000023</v>
      </c>
      <c r="X196" s="15">
        <f>IFERROR(W196/W444, "NA")</f>
        <v>-0.15737791474250265</v>
      </c>
      <c r="Y196" s="2"/>
      <c r="Z196" s="14">
        <f>IFERROR(Z175+Z177+Z178+Z179+Z180+Z181+Z183+Z184+Z186+Z187+Z188+Z189+Z190+Z191+Z192+Z194+Z195, "NA")</f>
        <v>165568.03</v>
      </c>
      <c r="AA196" s="15">
        <f>IFERROR(Z196/Z444, "NA")</f>
        <v>0.31029065905493153</v>
      </c>
      <c r="AB196" s="2"/>
      <c r="AC196" s="14">
        <f t="shared" si="51"/>
        <v>-7980.2900000000081</v>
      </c>
      <c r="AD196" s="15">
        <f>IFERROR(AC196/AC444, "NA")</f>
        <v>-0.30098843575054518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33089.450000000004</v>
      </c>
      <c r="C197" s="15">
        <f>IFERROR(B197/B444, "NA")</f>
        <v>0.29181776652074071</v>
      </c>
      <c r="D197" s="2"/>
      <c r="E197" s="14">
        <f>IFERROR(E175+E177+E178+E179+E180+E181+E183+E184+E186+E187+E188+E189+E190+E191+E192+E194+E195, "NA")</f>
        <v>38424.060000000005</v>
      </c>
      <c r="F197" s="15">
        <f>IFERROR(E197/E444, "NA")</f>
        <v>0.27465043488752711</v>
      </c>
      <c r="G197" s="2"/>
      <c r="H197" s="14">
        <f t="shared" si="48"/>
        <v>5334.6100000000006</v>
      </c>
      <c r="I197" s="15">
        <f>IFERROR(H197/H444, "NA")</f>
        <v>-0.20122334633050798</v>
      </c>
      <c r="J197" s="2"/>
      <c r="K197" s="14">
        <f>IFERROR(K175+K177+K178+K179+K180+K181+K183+K184+K186+K187+K188+K189+K190+K191+K192+K194+K195, "NA")</f>
        <v>35424.799999999996</v>
      </c>
      <c r="L197" s="15">
        <f>IFERROR(K197/K444, "NA")</f>
        <v>0.29372601828565681</v>
      </c>
      <c r="M197" s="2"/>
      <c r="N197" s="14">
        <f t="shared" si="49"/>
        <v>2335.3499999999913</v>
      </c>
      <c r="O197" s="15">
        <f>IFERROR(N197/N444, "NA")</f>
        <v>-0.32371976584776102</v>
      </c>
      <c r="P197" s="2"/>
      <c r="Q197" s="14">
        <f>IFERROR(Q175+Q177+Q178+Q179+Q180+Q181+Q183+Q184+Q186+Q187+Q188+Q189+Q190+Q191+Q192+Q194+Q195, "NA")</f>
        <v>173548.32</v>
      </c>
      <c r="R197" s="15">
        <f>IFERROR(Q197/Q444, "NA")</f>
        <v>0.30985032004696705</v>
      </c>
      <c r="S197" s="2"/>
      <c r="T197" s="14">
        <f>IFERROR(T175+T177+T178+T179+T180+T181+T183+T184+T186+T187+T188+T189+T190+T191+T192+T194+T195, "NA")</f>
        <v>182854.01</v>
      </c>
      <c r="U197" s="15">
        <f>IFERROR(T197/T444, "NA")</f>
        <v>0.29529097845204738</v>
      </c>
      <c r="V197" s="2"/>
      <c r="W197" s="14">
        <f t="shared" si="50"/>
        <v>9305.6900000000023</v>
      </c>
      <c r="X197" s="15">
        <f>IFERROR(W197/W444, "NA")</f>
        <v>-0.15737791474250265</v>
      </c>
      <c r="Y197" s="2"/>
      <c r="Z197" s="14">
        <f>IFERROR(Z175+Z177+Z178+Z179+Z180+Z181+Z183+Z184+Z186+Z187+Z188+Z189+Z190+Z191+Z192+Z194+Z195, "NA")</f>
        <v>165568.03</v>
      </c>
      <c r="AA197" s="15">
        <f>IFERROR(Z197/Z444, "NA")</f>
        <v>0.31029065905493153</v>
      </c>
      <c r="AB197" s="2"/>
      <c r="AC197" s="14">
        <f t="shared" si="51"/>
        <v>-7980.2900000000081</v>
      </c>
      <c r="AD197" s="15">
        <f>IFERROR(AC197/AC444, "NA")</f>
        <v>-0.30098843575054518</v>
      </c>
    </row>
    <row r="198" spans="1:30" ht="16.5" customHeight="1" x14ac:dyDescent="0.45">
      <c r="A198" s="22" t="s">
        <v>181</v>
      </c>
      <c r="B198" s="23">
        <f>IFERROR(B172-B197, "NA")</f>
        <v>47255.889999999992</v>
      </c>
      <c r="C198" s="24">
        <f>IFERROR(B198/B444, "NA")</f>
        <v>0.4167524173036965</v>
      </c>
      <c r="D198" s="25"/>
      <c r="E198" s="23">
        <f>IFERROR(E172-E197, "NA")</f>
        <v>67901.22</v>
      </c>
      <c r="F198" s="24">
        <f>IFERROR(E198/E444, "NA")</f>
        <v>0.48534953366181638</v>
      </c>
      <c r="G198" s="25"/>
      <c r="H198" s="23">
        <f>IFERROR(B198-E198, "NA")</f>
        <v>-20645.330000000009</v>
      </c>
      <c r="I198" s="24">
        <f>IFERROR(H198/H444, "NA")</f>
        <v>0.77874903483059266</v>
      </c>
      <c r="J198" s="25"/>
      <c r="K198" s="23">
        <f>IFERROR(K172-K197, "NA")</f>
        <v>51596.449999999946</v>
      </c>
      <c r="L198" s="24">
        <f>IFERROR(K198/K444, "NA")</f>
        <v>0.42781384273658463</v>
      </c>
      <c r="M198" s="25"/>
      <c r="N198" s="23">
        <f>IFERROR(B198-K198, "NA")</f>
        <v>-4340.559999999954</v>
      </c>
      <c r="O198" s="24">
        <f>IFERROR(N198/N444, "NA")</f>
        <v>0.60167643687162431</v>
      </c>
      <c r="P198" s="25"/>
      <c r="Q198" s="23">
        <f>IFERROR(Q172-Q197, "NA")</f>
        <v>227959.59999999992</v>
      </c>
      <c r="R198" s="24">
        <f>IFERROR(Q198/Q444, "NA")</f>
        <v>0.40699532566940755</v>
      </c>
      <c r="S198" s="25"/>
      <c r="T198" s="23">
        <f>IFERROR(T172-T197, "NA")</f>
        <v>283876.99999999994</v>
      </c>
      <c r="U198" s="24">
        <f>IFERROR(T198/T444, "NA")</f>
        <v>0.45843302583318701</v>
      </c>
      <c r="V198" s="25"/>
      <c r="W198" s="23">
        <f>IFERROR(Q198-T198, "NA")</f>
        <v>-55917.400000000023</v>
      </c>
      <c r="X198" s="24">
        <f>IFERROR(W198/W444, "NA")</f>
        <v>0.94567558233966742</v>
      </c>
      <c r="Y198" s="25"/>
      <c r="Z198" s="23">
        <f>IFERROR(Z172-Z197, "NA")</f>
        <v>222715.24000000008</v>
      </c>
      <c r="AA198" s="24">
        <f>IFERROR(Z198/Z444, "NA")</f>
        <v>0.41739011209577881</v>
      </c>
      <c r="AB198" s="25"/>
      <c r="AC198" s="23">
        <f>IFERROR(Q198-Z198, "NA")</f>
        <v>5244.3599999998405</v>
      </c>
      <c r="AD198" s="24">
        <f>IFERROR(AC198/AC444, "NA")</f>
        <v>0.19779879088512817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2518.23</v>
      </c>
      <c r="F201" s="8">
        <f>IFERROR(E201/E444, "NA")</f>
        <v>1.7999996997891878E-2</v>
      </c>
      <c r="G201" s="9"/>
      <c r="H201" s="10">
        <f t="shared" ref="H201:H209" si="52">IFERROR(-(B201-E201), "NA")</f>
        <v>2518.23</v>
      </c>
      <c r="I201" s="8">
        <f>IFERROR(H201/H444, "NA")</f>
        <v>-9.4988512267977429E-2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11401.47</v>
      </c>
      <c r="U201" s="8">
        <f>IFERROR(T201/T444, "NA")</f>
        <v>1.8412236253892735E-2</v>
      </c>
      <c r="V201" s="9"/>
      <c r="W201" s="10">
        <f t="shared" ref="W201:W209" si="54">IFERROR(-(Q201-T201), "NA")</f>
        <v>11401.47</v>
      </c>
      <c r="X201" s="8">
        <f>IFERROR(W201/W444, "NA")</f>
        <v>-0.1928217653499312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1202.58</v>
      </c>
      <c r="C202" s="8">
        <f>IFERROR(B202/B444, "NA")</f>
        <v>1.0605622325620772E-2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-1202.58</v>
      </c>
      <c r="I202" s="8">
        <f>IFERROR(H202/H444, "NA")</f>
        <v>4.5361736252536221E-2</v>
      </c>
      <c r="J202" s="9"/>
      <c r="K202" s="7">
        <v>1251.6199999999999</v>
      </c>
      <c r="L202" s="8">
        <f>IFERROR(K202/K444, "NA")</f>
        <v>1.03778527756457E-2</v>
      </c>
      <c r="M202" s="9"/>
      <c r="N202" s="10">
        <f t="shared" si="53"/>
        <v>49.039999999999964</v>
      </c>
      <c r="O202" s="8">
        <f>IFERROR(N202/N444, "NA")</f>
        <v>-6.7977893322946226E-3</v>
      </c>
      <c r="P202" s="9"/>
      <c r="Q202" s="7">
        <v>5802.08</v>
      </c>
      <c r="R202" s="8">
        <f>IFERROR(Q202/Q444, "NA")</f>
        <v>1.0358938334511717E-2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-5802.08</v>
      </c>
      <c r="X202" s="8">
        <f>IFERROR(W202/W444, "NA")</f>
        <v>9.8124830245707687E-2</v>
      </c>
      <c r="Y202" s="9"/>
      <c r="Z202" s="7">
        <v>5736.7</v>
      </c>
      <c r="AA202" s="8">
        <f>IFERROR(Z202/Z444, "NA")</f>
        <v>1.0751136096747818E-2</v>
      </c>
      <c r="AB202" s="9"/>
      <c r="AC202" s="10">
        <f t="shared" si="55"/>
        <v>-65.380000000000109</v>
      </c>
      <c r="AD202" s="8">
        <f>IFERROR(AC202/AC444, "NA")</f>
        <v>-2.4659033605759512E-3</v>
      </c>
    </row>
    <row r="203" spans="1:30" ht="16.5" customHeight="1" x14ac:dyDescent="0.45">
      <c r="A203" s="6" t="s">
        <v>185</v>
      </c>
      <c r="B203" s="7">
        <v>1982.67</v>
      </c>
      <c r="C203" s="8">
        <f>IFERROR(B203/B444, "NA")</f>
        <v>1.7485280992814232E-2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-1982.67</v>
      </c>
      <c r="I203" s="8">
        <f>IFERROR(H203/H444, "NA")</f>
        <v>7.4787002624204624E-2</v>
      </c>
      <c r="J203" s="9"/>
      <c r="K203" s="7">
        <v>892.65</v>
      </c>
      <c r="L203" s="8">
        <f>IFERROR(K203/K444, "NA")</f>
        <v>7.4014399579585936E-3</v>
      </c>
      <c r="M203" s="9"/>
      <c r="N203" s="10">
        <f t="shared" si="53"/>
        <v>-1090.02</v>
      </c>
      <c r="O203" s="8">
        <f>IFERROR(N203/N444, "NA")</f>
        <v>0.15109556133743454</v>
      </c>
      <c r="P203" s="9"/>
      <c r="Q203" s="7">
        <v>5235.3900000000003</v>
      </c>
      <c r="R203" s="8">
        <f>IFERROR(Q203/Q444, "NA")</f>
        <v>9.3471793162313004E-3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-5235.3900000000003</v>
      </c>
      <c r="X203" s="8">
        <f>IFERROR(W203/W444, "NA")</f>
        <v>8.8540963761284855E-2</v>
      </c>
      <c r="Y203" s="9"/>
      <c r="Z203" s="7">
        <v>2865.11</v>
      </c>
      <c r="AA203" s="8">
        <f>IFERROR(Z203/Z444, "NA")</f>
        <v>5.3694959719269167E-3</v>
      </c>
      <c r="AB203" s="9"/>
      <c r="AC203" s="10">
        <f t="shared" si="55"/>
        <v>-2370.2800000000002</v>
      </c>
      <c r="AD203" s="8">
        <f>IFERROR(AC203/AC444, "NA")</f>
        <v>-8.9398614522880948E-2</v>
      </c>
    </row>
    <row r="204" spans="1:30" ht="16.5" customHeight="1" x14ac:dyDescent="0.45">
      <c r="A204" s="6" t="s">
        <v>186</v>
      </c>
      <c r="B204" s="7">
        <v>409.47</v>
      </c>
      <c r="C204" s="8">
        <f>IFERROR(B204/B444, "NA")</f>
        <v>3.6111395280745882E-3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-409.47</v>
      </c>
      <c r="I204" s="8">
        <f>IFERROR(H204/H444, "NA")</f>
        <v>1.5445350948232973E-2</v>
      </c>
      <c r="J204" s="9"/>
      <c r="K204" s="7">
        <v>236.38</v>
      </c>
      <c r="L204" s="8">
        <f>IFERROR(K204/K444, "NA")</f>
        <v>1.9599533717159609E-3</v>
      </c>
      <c r="M204" s="9"/>
      <c r="N204" s="10">
        <f t="shared" si="53"/>
        <v>-173.09000000000003</v>
      </c>
      <c r="O204" s="8">
        <f>IFERROR(N204/N444, "NA")</f>
        <v>2.3993257657562751E-2</v>
      </c>
      <c r="P204" s="9"/>
      <c r="Q204" s="7">
        <v>1013.84</v>
      </c>
      <c r="R204" s="8">
        <f>IFERROR(Q204/Q444, "NA")</f>
        <v>1.8100932839708102E-3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-1013.84</v>
      </c>
      <c r="X204" s="8">
        <f>IFERROR(W204/W444, "NA")</f>
        <v>1.7146071391002587E-2</v>
      </c>
      <c r="Y204" s="9"/>
      <c r="Z204" s="7">
        <v>579.41999999999996</v>
      </c>
      <c r="AA204" s="8">
        <f>IFERROR(Z204/Z444, "NA")</f>
        <v>1.0858896712705249E-3</v>
      </c>
      <c r="AB204" s="9"/>
      <c r="AC204" s="10">
        <f t="shared" si="55"/>
        <v>-434.42000000000007</v>
      </c>
      <c r="AD204" s="8">
        <f>IFERROR(AC204/AC444, "NA")</f>
        <v>-1.6384792565026049E-2</v>
      </c>
    </row>
    <row r="205" spans="1:30" ht="16.5" customHeight="1" x14ac:dyDescent="0.45">
      <c r="A205" s="6" t="s">
        <v>187</v>
      </c>
      <c r="B205" s="7">
        <v>348.96</v>
      </c>
      <c r="C205" s="8">
        <f>IFERROR(B205/B444, "NA")</f>
        <v>3.0774983508362226E-3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-348.96</v>
      </c>
      <c r="I205" s="8">
        <f>IFERROR(H205/H444, "NA")</f>
        <v>1.3162892682969149E-2</v>
      </c>
      <c r="J205" s="9"/>
      <c r="K205" s="7">
        <v>595.71</v>
      </c>
      <c r="L205" s="8">
        <f>IFERROR(K205/K444, "NA")</f>
        <v>4.9393511425032365E-3</v>
      </c>
      <c r="M205" s="9"/>
      <c r="N205" s="10">
        <f t="shared" si="53"/>
        <v>246.75000000000006</v>
      </c>
      <c r="O205" s="8">
        <f>IFERROR(N205/N444, "NA")</f>
        <v>-3.4203803379765495E-2</v>
      </c>
      <c r="P205" s="9"/>
      <c r="Q205" s="7">
        <v>2088.8200000000002</v>
      </c>
      <c r="R205" s="8">
        <f>IFERROR(Q205/Q444, "NA")</f>
        <v>3.7293449197347787E-3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-2088.8200000000002</v>
      </c>
      <c r="X205" s="8">
        <f>IFERROR(W205/W444, "NA")</f>
        <v>3.5326143023508665E-2</v>
      </c>
      <c r="Y205" s="9"/>
      <c r="Z205" s="7">
        <v>2070.09</v>
      </c>
      <c r="AA205" s="8">
        <f>IFERROR(Z205/Z444, "NA")</f>
        <v>3.879550843257743E-3</v>
      </c>
      <c r="AB205" s="9"/>
      <c r="AC205" s="10">
        <f t="shared" si="55"/>
        <v>-18.730000000000018</v>
      </c>
      <c r="AD205" s="8">
        <f>IFERROR(AC205/AC444, "NA")</f>
        <v>-7.0642964122954316E-4</v>
      </c>
    </row>
    <row r="206" spans="1:30" ht="16.5" customHeight="1" x14ac:dyDescent="0.45">
      <c r="A206" s="6" t="s">
        <v>188</v>
      </c>
      <c r="B206" s="7">
        <v>241.1</v>
      </c>
      <c r="C206" s="8">
        <f>IFERROR(B206/B444, "NA")</f>
        <v>2.1262747947805288E-3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-241.1</v>
      </c>
      <c r="I206" s="8">
        <f>IFERROR(H206/H444, "NA")</f>
        <v>9.0943759338143679E-3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-241.1</v>
      </c>
      <c r="O206" s="8">
        <f>IFERROR(N206/N444, "NA")</f>
        <v>3.342061598728048E-2</v>
      </c>
      <c r="P206" s="9"/>
      <c r="Q206" s="7">
        <v>490.43</v>
      </c>
      <c r="R206" s="8">
        <f>IFERROR(Q206/Q444, "NA")</f>
        <v>8.7560566682889256E-4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-490.43</v>
      </c>
      <c r="X206" s="8">
        <f>IFERROR(W206/W444, "NA")</f>
        <v>8.294156664058824E-3</v>
      </c>
      <c r="Y206" s="9"/>
      <c r="Z206" s="7">
        <v>196.18</v>
      </c>
      <c r="AA206" s="8">
        <f>IFERROR(Z206/Z444, "NA")</f>
        <v>3.6766048067006941E-4</v>
      </c>
      <c r="AB206" s="9"/>
      <c r="AC206" s="10">
        <f t="shared" si="55"/>
        <v>-294.25</v>
      </c>
      <c r="AD206" s="8">
        <f>IFERROR(AC206/AC444, "NA")</f>
        <v>-1.1098073781729464E-2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0</v>
      </c>
      <c r="I207" s="8">
        <f>IFERROR(H207/H444, "NA")</f>
        <v>0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0</v>
      </c>
      <c r="O207" s="8">
        <f>IFERROR(N207/N444, "NA")</f>
        <v>0</v>
      </c>
      <c r="P207" s="9"/>
      <c r="Q207" s="7">
        <v>588.29999999999995</v>
      </c>
      <c r="R207" s="8">
        <f>IFERROR(Q207/Q444, "NA")</f>
        <v>1.0503411573424086E-3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-588.29999999999995</v>
      </c>
      <c r="X207" s="8">
        <f>IFERROR(W207/W444, "NA")</f>
        <v>9.9493350028868662E-3</v>
      </c>
      <c r="Y207" s="9"/>
      <c r="Z207" s="7">
        <v>308.3</v>
      </c>
      <c r="AA207" s="8">
        <f>IFERROR(Z207/Z444, "NA")</f>
        <v>5.7778431129871751E-4</v>
      </c>
      <c r="AB207" s="9"/>
      <c r="AC207" s="10">
        <f t="shared" si="55"/>
        <v>-279.99999999999994</v>
      </c>
      <c r="AD207" s="8">
        <f>IFERROR(AC207/AC444, "NA")</f>
        <v>-1.0560613963922683E-2</v>
      </c>
    </row>
    <row r="208" spans="1:30" ht="16.5" customHeight="1" x14ac:dyDescent="0.45">
      <c r="A208" s="6" t="s">
        <v>190</v>
      </c>
      <c r="B208" s="7">
        <v>74.489999999999995</v>
      </c>
      <c r="C208" s="8">
        <f>IFERROR(B208/B444, "NA")</f>
        <v>6.5693160291663863E-4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-74.489999999999995</v>
      </c>
      <c r="I208" s="8">
        <f>IFERROR(H208/H444, "NA")</f>
        <v>2.8097887321021663E-3</v>
      </c>
      <c r="J208" s="9"/>
      <c r="K208" s="7">
        <v>247.48</v>
      </c>
      <c r="L208" s="8">
        <f>IFERROR(K208/K444, "NA")</f>
        <v>2.0519894256378116E-3</v>
      </c>
      <c r="M208" s="9"/>
      <c r="N208" s="10">
        <f t="shared" si="53"/>
        <v>172.99</v>
      </c>
      <c r="O208" s="8">
        <f>IFERROR(N208/N444, "NA")</f>
        <v>-2.3979395933801953E-2</v>
      </c>
      <c r="P208" s="9"/>
      <c r="Q208" s="7">
        <v>707.82</v>
      </c>
      <c r="R208" s="8">
        <f>IFERROR(Q208/Q444, "NA")</f>
        <v>1.2637302022609279E-3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-707.82</v>
      </c>
      <c r="X208" s="8">
        <f>IFERROR(W208/W444, "NA")</f>
        <v>1.1970658340546291E-2</v>
      </c>
      <c r="Y208" s="9"/>
      <c r="Z208" s="7">
        <v>1007.91</v>
      </c>
      <c r="AA208" s="8">
        <f>IFERROR(Z208/Z444, "NA")</f>
        <v>1.8889217813853074E-3</v>
      </c>
      <c r="AB208" s="9"/>
      <c r="AC208" s="10">
        <f t="shared" si="55"/>
        <v>300.08999999999992</v>
      </c>
      <c r="AD208" s="8">
        <f>IFERROR(AC208/AC444, "NA")</f>
        <v>1.1318338015834135E-2</v>
      </c>
    </row>
    <row r="209" spans="1:30" ht="16.5" customHeight="1" x14ac:dyDescent="0.45">
      <c r="A209" s="19" t="s">
        <v>191</v>
      </c>
      <c r="B209" s="14">
        <f>IFERROR(B201+B202+B203+B204+B205+B206+B207+B208, "NA")</f>
        <v>4259.2700000000004</v>
      </c>
      <c r="C209" s="15">
        <f>IFERROR(B209/B444, "NA")</f>
        <v>3.7562747595042988E-2</v>
      </c>
      <c r="D209" s="2"/>
      <c r="E209" s="14">
        <f>IFERROR(E201+E202+E203+E204+E205+E206+E207+E208, "NA")</f>
        <v>2518.23</v>
      </c>
      <c r="F209" s="15">
        <f>IFERROR(E209/E444, "NA")</f>
        <v>1.7999996997891878E-2</v>
      </c>
      <c r="G209" s="2"/>
      <c r="H209" s="14">
        <f t="shared" si="52"/>
        <v>-1741.0400000000004</v>
      </c>
      <c r="I209" s="15">
        <f>IFERROR(H209/H444, "NA")</f>
        <v>6.5672634905882085E-2</v>
      </c>
      <c r="J209" s="2"/>
      <c r="K209" s="14">
        <f>IFERROR(K201+K202+K203+K204+K205+K206+K207+K208, "NA")</f>
        <v>3223.84</v>
      </c>
      <c r="L209" s="15">
        <f>IFERROR(K209/K444, "NA")</f>
        <v>2.6730586673461305E-2</v>
      </c>
      <c r="M209" s="2"/>
      <c r="N209" s="14">
        <f t="shared" si="53"/>
        <v>-1035.4300000000003</v>
      </c>
      <c r="O209" s="15">
        <f>IFERROR(N209/N444, "NA")</f>
        <v>0.14352844633641576</v>
      </c>
      <c r="P209" s="2"/>
      <c r="Q209" s="14">
        <f>IFERROR(Q201+Q202+Q203+Q204+Q205+Q206+Q207+Q208, "NA")</f>
        <v>15926.68</v>
      </c>
      <c r="R209" s="15">
        <f>IFERROR(Q209/Q444, "NA")</f>
        <v>2.8435232880880835E-2</v>
      </c>
      <c r="S209" s="2"/>
      <c r="T209" s="14">
        <f>IFERROR(T201+T202+T203+T204+T205+T206+T207+T208, "NA")</f>
        <v>11401.47</v>
      </c>
      <c r="U209" s="15">
        <f>IFERROR(T209/T444, "NA")</f>
        <v>1.8412236253892735E-2</v>
      </c>
      <c r="V209" s="2"/>
      <c r="W209" s="14">
        <f t="shared" si="54"/>
        <v>-4525.2100000000009</v>
      </c>
      <c r="X209" s="15">
        <f>IFERROR(W209/W444, "NA")</f>
        <v>7.6530393079064576E-2</v>
      </c>
      <c r="Y209" s="2"/>
      <c r="Z209" s="14">
        <f>IFERROR(Z201+Z202+Z203+Z204+Z205+Z206+Z207+Z208, "NA")</f>
        <v>12763.71</v>
      </c>
      <c r="AA209" s="15">
        <f>IFERROR(Z209/Z444, "NA")</f>
        <v>2.3920439156557095E-2</v>
      </c>
      <c r="AB209" s="2"/>
      <c r="AC209" s="14">
        <f t="shared" si="55"/>
        <v>-3162.9700000000012</v>
      </c>
      <c r="AD209" s="15">
        <f>IFERROR(AC209/AC444, "NA")</f>
        <v>-0.11929608981953053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5376.72</v>
      </c>
      <c r="F213" s="8">
        <f>IFERROR(E213/E444, "NA")</f>
        <v>3.8432130448174E-2</v>
      </c>
      <c r="G213" s="9"/>
      <c r="H213" s="10">
        <f t="shared" ref="H213:H227" si="56">IFERROR(-(B213-E213), "NA")</f>
        <v>5376.72</v>
      </c>
      <c r="I213" s="8">
        <f>IFERROR(H213/H444, "NA")</f>
        <v>-0.20281175019020486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23788.15</v>
      </c>
      <c r="U213" s="8">
        <f>IFERROR(T213/T444, "NA")</f>
        <v>3.8415488339927965E-2</v>
      </c>
      <c r="V213" s="9"/>
      <c r="W213" s="10">
        <f t="shared" ref="W213:W227" si="58">IFERROR(-(Q213-T213), "NA")</f>
        <v>23788.15</v>
      </c>
      <c r="X213" s="8">
        <f>IFERROR(W213/W444, "NA")</f>
        <v>-0.40230541126793007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3311.35</v>
      </c>
      <c r="C214" s="8">
        <f>IFERROR(B214/B444, "NA")</f>
        <v>2.9202986485676086E-2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-3311.35</v>
      </c>
      <c r="I214" s="8">
        <f>IFERROR(H214/H444, "NA")</f>
        <v>0.12490527477576197</v>
      </c>
      <c r="J214" s="9"/>
      <c r="K214" s="7">
        <v>705</v>
      </c>
      <c r="L214" s="8">
        <f>IFERROR(K214/K444, "NA")</f>
        <v>5.845533154495949E-3</v>
      </c>
      <c r="M214" s="9"/>
      <c r="N214" s="10">
        <f t="shared" si="57"/>
        <v>-2606.35</v>
      </c>
      <c r="O214" s="8">
        <f>IFERROR(N214/N444, "NA")</f>
        <v>0.36128503723952082</v>
      </c>
      <c r="P214" s="9"/>
      <c r="Q214" s="7">
        <v>16957.57</v>
      </c>
      <c r="R214" s="8">
        <f>IFERROR(Q214/Q444, "NA")</f>
        <v>3.0275766954810317E-2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-16957.57</v>
      </c>
      <c r="X214" s="8">
        <f>IFERROR(W214/W444, "NA")</f>
        <v>0.28678657957658382</v>
      </c>
      <c r="Y214" s="9"/>
      <c r="Z214" s="7">
        <v>2775</v>
      </c>
      <c r="AA214" s="8">
        <f>IFERROR(Z214/Z444, "NA")</f>
        <v>5.2006210309891044E-3</v>
      </c>
      <c r="AB214" s="9"/>
      <c r="AC214" s="10">
        <f t="shared" si="59"/>
        <v>-14182.57</v>
      </c>
      <c r="AD214" s="8">
        <f>IFERROR(AC214/AC444, "NA")</f>
        <v>-0.53491659566539629</v>
      </c>
    </row>
    <row r="215" spans="1:30" ht="16.5" customHeight="1" x14ac:dyDescent="0.45">
      <c r="A215" s="12" t="s">
        <v>195</v>
      </c>
      <c r="B215" s="7">
        <v>22.41</v>
      </c>
      <c r="C215" s="8">
        <f>IFERROR(B215/B444, "NA")</f>
        <v>1.9763508150573062E-4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-22.41</v>
      </c>
      <c r="I215" s="8">
        <f>IFERROR(H215/H444, "NA")</f>
        <v>8.4531300156275404E-4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-22.41</v>
      </c>
      <c r="O215" s="8">
        <f>IFERROR(N215/N444, "NA")</f>
        <v>3.1064122947945067E-3</v>
      </c>
      <c r="P215" s="9"/>
      <c r="Q215" s="7">
        <v>22.41</v>
      </c>
      <c r="R215" s="8">
        <f>IFERROR(Q215/Q444, "NA")</f>
        <v>4.0010445922222302E-5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-22.41</v>
      </c>
      <c r="X215" s="8">
        <f>IFERROR(W215/W444, "NA")</f>
        <v>3.7899812581114174E-4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-22.41</v>
      </c>
      <c r="AD215" s="8">
        <f>IFERROR(AC215/AC444, "NA")</f>
        <v>-8.4522628189824067E-4</v>
      </c>
    </row>
    <row r="216" spans="1:30" ht="16.5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0</v>
      </c>
      <c r="O216" s="8">
        <f>IFERROR(N216/N444, "NA")</f>
        <v>0</v>
      </c>
      <c r="P216" s="9"/>
      <c r="Q216" s="7">
        <v>5.73</v>
      </c>
      <c r="R216" s="8">
        <f>IFERROR(Q216/Q444, "NA")</f>
        <v>1.02302478864049E-5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-5.73</v>
      </c>
      <c r="X216" s="8">
        <f>IFERROR(W216/W444, "NA")</f>
        <v>9.6905812623732378E-5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-5.73</v>
      </c>
      <c r="AD216" s="8">
        <f>IFERROR(AC216/AC444, "NA")</f>
        <v>-2.1611542147598924E-4</v>
      </c>
    </row>
    <row r="217" spans="1:30" ht="16.5" customHeight="1" x14ac:dyDescent="0.45">
      <c r="A217" s="12" t="s">
        <v>197</v>
      </c>
      <c r="B217" s="7">
        <v>1633.95</v>
      </c>
      <c r="C217" s="8">
        <f>IFERROR(B217/B444, "NA")</f>
        <v>1.4409899215809395E-2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-1633.95</v>
      </c>
      <c r="I217" s="8">
        <f>IFERROR(H217/H444, "NA")</f>
        <v>6.1633162824786349E-2</v>
      </c>
      <c r="J217" s="9"/>
      <c r="K217" s="7">
        <v>328</v>
      </c>
      <c r="L217" s="8">
        <f>IFERROR(K217/K444, "NA")</f>
        <v>2.7196239357087535E-3</v>
      </c>
      <c r="M217" s="9"/>
      <c r="N217" s="10">
        <f t="shared" si="57"/>
        <v>-1305.95</v>
      </c>
      <c r="O217" s="8">
        <f>IFERROR(N217/N444, "NA")</f>
        <v>0.18102718145412253</v>
      </c>
      <c r="P217" s="9"/>
      <c r="Q217" s="7">
        <v>16642.27</v>
      </c>
      <c r="R217" s="8">
        <f>IFERROR(Q217/Q444, "NA")</f>
        <v>2.9712835513521756E-2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-16642.27</v>
      </c>
      <c r="X217" s="8">
        <f>IFERROR(W217/W444, "NA")</f>
        <v>0.28145422308090096</v>
      </c>
      <c r="Y217" s="9"/>
      <c r="Z217" s="7">
        <v>1528.97</v>
      </c>
      <c r="AA217" s="8">
        <f>IFERROR(Z217/Z444, "NA")</f>
        <v>2.8654391127032114E-3</v>
      </c>
      <c r="AB217" s="9"/>
      <c r="AC217" s="10">
        <f t="shared" si="59"/>
        <v>-15113.300000000001</v>
      </c>
      <c r="AD217" s="8">
        <f>IFERROR(AC217/AC444, "NA")</f>
        <v>-0.57002045364625975</v>
      </c>
    </row>
    <row r="218" spans="1:30" ht="16.5" customHeight="1" x14ac:dyDescent="0.45">
      <c r="A218" s="13" t="s">
        <v>198</v>
      </c>
      <c r="B218" s="14">
        <f>IFERROR(B213+B214+B215+B216+B217, "NA")</f>
        <v>4967.71</v>
      </c>
      <c r="C218" s="15">
        <f>IFERROR(B218/B444, "NA")</f>
        <v>4.3810520782991212E-2</v>
      </c>
      <c r="D218" s="2"/>
      <c r="E218" s="14">
        <f>IFERROR(E213+E214+E215+E216+E217, "NA")</f>
        <v>5376.72</v>
      </c>
      <c r="F218" s="15">
        <f>IFERROR(E218/E444, "NA")</f>
        <v>3.8432130448174E-2</v>
      </c>
      <c r="G218" s="2"/>
      <c r="H218" s="14">
        <f t="shared" si="56"/>
        <v>409.01000000000022</v>
      </c>
      <c r="I218" s="15">
        <f>IFERROR(H218/H444, "NA")</f>
        <v>-1.5427999588093808E-2</v>
      </c>
      <c r="J218" s="2"/>
      <c r="K218" s="14">
        <f>IFERROR(K213+K214+K215+K216+K217, "NA")</f>
        <v>1033</v>
      </c>
      <c r="L218" s="15">
        <f>IFERROR(K218/K444, "NA")</f>
        <v>8.5651570902047017E-3</v>
      </c>
      <c r="M218" s="2"/>
      <c r="N218" s="14">
        <f t="shared" si="57"/>
        <v>-3934.71</v>
      </c>
      <c r="O218" s="15">
        <f>IFERROR(N218/N444, "NA")</f>
        <v>0.5454186309884379</v>
      </c>
      <c r="P218" s="2"/>
      <c r="Q218" s="14">
        <f>IFERROR(Q213+Q214+Q215+Q216+Q217, "NA")</f>
        <v>33627.979999999996</v>
      </c>
      <c r="R218" s="15">
        <f>IFERROR(Q218/Q444, "NA")</f>
        <v>6.0038843162140691E-2</v>
      </c>
      <c r="S218" s="2"/>
      <c r="T218" s="14">
        <f>IFERROR(T213+T214+T215+T216+T217, "NA")</f>
        <v>23788.15</v>
      </c>
      <c r="U218" s="15">
        <f>IFERROR(T218/T444, "NA")</f>
        <v>3.8415488339927965E-2</v>
      </c>
      <c r="V218" s="2"/>
      <c r="W218" s="14">
        <f t="shared" si="58"/>
        <v>-9839.8299999999945</v>
      </c>
      <c r="X218" s="15">
        <f>IFERROR(W218/W444, "NA")</f>
        <v>0.16641129532798951</v>
      </c>
      <c r="Y218" s="2"/>
      <c r="Z218" s="14">
        <f>IFERROR(Z213+Z214+Z215+Z216+Z217, "NA")</f>
        <v>4303.97</v>
      </c>
      <c r="AA218" s="15">
        <f>IFERROR(Z218/Z444, "NA")</f>
        <v>8.0660601436923166E-3</v>
      </c>
      <c r="AB218" s="2"/>
      <c r="AC218" s="14">
        <f t="shared" si="59"/>
        <v>-29324.009999999995</v>
      </c>
      <c r="AD218" s="15">
        <f>IFERROR(AC218/AC444, "NA")</f>
        <v>-1.1059983910150299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349.68</v>
      </c>
      <c r="C222" s="8">
        <f>IFERROR(B222/B444, "NA")</f>
        <v>3.0838480723303831E-3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-349.68</v>
      </c>
      <c r="I222" s="8">
        <f>IFERROR(H222/H444, "NA")</f>
        <v>1.3190051333621769E-2</v>
      </c>
      <c r="J222" s="9"/>
      <c r="K222" s="7">
        <v>0</v>
      </c>
      <c r="L222" s="8">
        <f>IFERROR(K222/K444, "NA")</f>
        <v>0</v>
      </c>
      <c r="M222" s="9"/>
      <c r="N222" s="10">
        <f t="shared" si="57"/>
        <v>-349.68</v>
      </c>
      <c r="O222" s="8">
        <f>IFERROR(N222/N444, "NA")</f>
        <v>4.8471675646753372E-2</v>
      </c>
      <c r="P222" s="9"/>
      <c r="Q222" s="7">
        <v>1108.42</v>
      </c>
      <c r="R222" s="8">
        <f>IFERROR(Q222/Q444, "NA")</f>
        <v>1.9789548625216264E-3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-1108.42</v>
      </c>
      <c r="X222" s="8">
        <f>IFERROR(W222/W444, "NA")</f>
        <v>1.8745609219615607E-2</v>
      </c>
      <c r="Y222" s="9"/>
      <c r="Z222" s="7">
        <v>0</v>
      </c>
      <c r="AA222" s="8">
        <f>IFERROR(Z222/Z444, "NA")</f>
        <v>0</v>
      </c>
      <c r="AB222" s="9"/>
      <c r="AC222" s="10">
        <f t="shared" si="59"/>
        <v>-1108.42</v>
      </c>
      <c r="AD222" s="8">
        <f>IFERROR(AC222/AC444, "NA")</f>
        <v>-4.1805699035325654E-2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139.9</v>
      </c>
      <c r="F226" s="8">
        <f>IFERROR(E226/E444, "NA")</f>
        <v>9.9998792008874232E-4</v>
      </c>
      <c r="G226" s="9"/>
      <c r="H226" s="10">
        <f t="shared" si="56"/>
        <v>139.9</v>
      </c>
      <c r="I226" s="8">
        <f>IFERROR(H226/H444, "NA")</f>
        <v>-5.2770767031963097E-3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619.23</v>
      </c>
      <c r="U226" s="8">
        <f>IFERROR(T226/T444, "NA")</f>
        <v>9.9999465468031748E-4</v>
      </c>
      <c r="V226" s="9"/>
      <c r="W226" s="10">
        <f t="shared" si="58"/>
        <v>619.23</v>
      </c>
      <c r="X226" s="8">
        <f>IFERROR(W226/W444, "NA")</f>
        <v>-1.0472423446944816E-2</v>
      </c>
      <c r="Y226" s="9"/>
      <c r="Z226" s="7">
        <v>1334.74</v>
      </c>
      <c r="AA226" s="8">
        <f>IFERROR(Z226/Z444, "NA")</f>
        <v>2.5014331224873505E-3</v>
      </c>
      <c r="AB226" s="9"/>
      <c r="AC226" s="10">
        <f t="shared" si="59"/>
        <v>1334.74</v>
      </c>
      <c r="AD226" s="8">
        <f>IFERROR(AC226/AC444, "NA")</f>
        <v>5.0341692436450591E-2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5317.39</v>
      </c>
      <c r="C227" s="15">
        <f>IFERROR(B227/B444, "NA")</f>
        <v>4.6894368855321597E-2</v>
      </c>
      <c r="D227" s="2"/>
      <c r="E227" s="14">
        <f>IFERROR(E211+E213+E214+E215+E216+E217+E219+E220+E221+E222+E223+E224+E225+E226, "NA")</f>
        <v>5516.62</v>
      </c>
      <c r="F227" s="15">
        <f>IFERROR(E227/E444, "NA")</f>
        <v>3.9432118368262742E-2</v>
      </c>
      <c r="G227" s="2"/>
      <c r="H227" s="14">
        <f t="shared" si="56"/>
        <v>199.22999999999956</v>
      </c>
      <c r="I227" s="15">
        <f>IFERROR(H227/H444, "NA")</f>
        <v>-7.5150249576683226E-3</v>
      </c>
      <c r="J227" s="2"/>
      <c r="K227" s="14">
        <f>IFERROR(K211+K213+K214+K215+K216+K217+K219+K220+K221+K222+K223+K224+K225+K226, "NA")</f>
        <v>1033</v>
      </c>
      <c r="L227" s="15">
        <f>IFERROR(K227/K444, "NA")</f>
        <v>8.5651570902047017E-3</v>
      </c>
      <c r="M227" s="2"/>
      <c r="N227" s="14">
        <f t="shared" si="57"/>
        <v>-4284.3900000000003</v>
      </c>
      <c r="O227" s="15">
        <f>IFERROR(N227/N444, "NA")</f>
        <v>0.59389030663519127</v>
      </c>
      <c r="P227" s="2"/>
      <c r="Q227" s="14">
        <f>IFERROR(Q211+Q213+Q214+Q215+Q216+Q217+Q219+Q220+Q221+Q222+Q223+Q224+Q225+Q226, "NA")</f>
        <v>34736.399999999994</v>
      </c>
      <c r="R227" s="15">
        <f>IFERROR(Q227/Q444, "NA")</f>
        <v>6.2017798024662313E-2</v>
      </c>
      <c r="S227" s="2"/>
      <c r="T227" s="14">
        <f>IFERROR(T211+T213+T214+T215+T216+T217+T219+T220+T221+T222+T223+T224+T225+T226, "NA")</f>
        <v>24407.38</v>
      </c>
      <c r="U227" s="15">
        <f>IFERROR(T227/T444, "NA")</f>
        <v>3.9415482994608279E-2</v>
      </c>
      <c r="V227" s="2"/>
      <c r="W227" s="14">
        <f t="shared" si="58"/>
        <v>-10329.019999999993</v>
      </c>
      <c r="X227" s="15">
        <f>IFERROR(W227/W444, "NA")</f>
        <v>0.17468448110066029</v>
      </c>
      <c r="Y227" s="2"/>
      <c r="Z227" s="14">
        <f>IFERROR(Z211+Z213+Z214+Z215+Z216+Z217+Z219+Z220+Z221+Z222+Z223+Z224+Z225+Z226, "NA")</f>
        <v>5638.71</v>
      </c>
      <c r="AA227" s="15">
        <f>IFERROR(Z227/Z444, "NA")</f>
        <v>1.0567493266179666E-2</v>
      </c>
      <c r="AB227" s="2"/>
      <c r="AC227" s="14">
        <f t="shared" si="59"/>
        <v>-29097.689999999995</v>
      </c>
      <c r="AD227" s="15">
        <f>IFERROR(AC227/AC444, "NA")</f>
        <v>-1.0974623976139051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1846.7</v>
      </c>
      <c r="F229" s="8">
        <f>IFERROR(E229/E444, "NA")</f>
        <v>1.3199983502701075E-2</v>
      </c>
      <c r="G229" s="9"/>
      <c r="H229" s="10">
        <f t="shared" ref="H229:H236" si="60">IFERROR(-(B229-E229), "NA")</f>
        <v>1846.7</v>
      </c>
      <c r="I229" s="8">
        <f>IFERROR(H229/H444, "NA")</f>
        <v>-6.9658166889153855E-2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8173.89</v>
      </c>
      <c r="U229" s="8">
        <f>IFERROR(T229/T444, "NA")</f>
        <v>1.3200016646391324E-2</v>
      </c>
      <c r="V229" s="9"/>
      <c r="W229" s="10">
        <f t="shared" ref="W229:W236" si="62">IFERROR(-(Q229-T229), "NA")</f>
        <v>8173.89</v>
      </c>
      <c r="X229" s="8">
        <f>IFERROR(W229/W444, "NA")</f>
        <v>-0.1382369027481675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-45</v>
      </c>
      <c r="AA230" s="8">
        <f>IFERROR(Z230/Z444, "NA")</f>
        <v>-8.4334395097120611E-5</v>
      </c>
      <c r="AB230" s="9"/>
      <c r="AC230" s="10">
        <f t="shared" si="63"/>
        <v>-45</v>
      </c>
      <c r="AD230" s="8">
        <f>IFERROR(AC230/AC444, "NA")</f>
        <v>-1.6972415299161458E-3</v>
      </c>
    </row>
    <row r="231" spans="1:30" ht="16.5" customHeight="1" x14ac:dyDescent="0.45">
      <c r="A231" s="6" t="s">
        <v>210</v>
      </c>
      <c r="B231" s="7">
        <v>203</v>
      </c>
      <c r="C231" s="8">
        <f>IFERROR(B231/B444, "NA")</f>
        <v>1.7902686990478945E-3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-203</v>
      </c>
      <c r="I231" s="8">
        <f>IFERROR(H231/H444, "NA")</f>
        <v>7.6572306701133009E-3</v>
      </c>
      <c r="J231" s="9"/>
      <c r="K231" s="7">
        <v>418.67</v>
      </c>
      <c r="L231" s="8">
        <f>IFERROR(K231/K444, "NA")</f>
        <v>3.4714175401316582E-3</v>
      </c>
      <c r="M231" s="9"/>
      <c r="N231" s="10">
        <f t="shared" si="61"/>
        <v>215.67000000000002</v>
      </c>
      <c r="O231" s="8">
        <f>IFERROR(N231/N444, "NA")</f>
        <v>-2.9895579634909918E-2</v>
      </c>
      <c r="P231" s="9"/>
      <c r="Q231" s="7">
        <v>1424.13</v>
      </c>
      <c r="R231" s="8">
        <f>IFERROR(Q231/Q444, "NA")</f>
        <v>2.5426183110760577E-3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-1424.13</v>
      </c>
      <c r="X231" s="8">
        <f>IFERROR(W231/W444, "NA")</f>
        <v>2.4084899639063871E-2</v>
      </c>
      <c r="Y231" s="9"/>
      <c r="Z231" s="7">
        <v>1954.69</v>
      </c>
      <c r="AA231" s="8">
        <f>IFERROR(Z231/Z444, "NA")</f>
        <v>3.663279972275349E-3</v>
      </c>
      <c r="AB231" s="9"/>
      <c r="AC231" s="10">
        <f t="shared" si="63"/>
        <v>530.55999999999995</v>
      </c>
      <c r="AD231" s="8">
        <f>IFERROR(AC231/AC444, "NA")</f>
        <v>2.0010854802495783E-2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755.35</v>
      </c>
      <c r="C234" s="8">
        <f>IFERROR(B234/B444, "NA")</f>
        <v>6.6614751814080154E-3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-755.35</v>
      </c>
      <c r="I234" s="8">
        <f>IFERROR(H234/H444, "NA")</f>
        <v>2.8492064958965922E-2</v>
      </c>
      <c r="J234" s="9"/>
      <c r="K234" s="7">
        <v>1849.08</v>
      </c>
      <c r="L234" s="8">
        <f>IFERROR(K234/K444, "NA")</f>
        <v>1.533171410683031E-2</v>
      </c>
      <c r="M234" s="9"/>
      <c r="N234" s="10">
        <f t="shared" si="61"/>
        <v>1093.73</v>
      </c>
      <c r="O234" s="8">
        <f>IFERROR(N234/N444, "NA")</f>
        <v>-0.15160983128896011</v>
      </c>
      <c r="P234" s="9"/>
      <c r="Q234" s="7">
        <v>6325.29</v>
      </c>
      <c r="R234" s="8">
        <f>IFERROR(Q234/Q444, "NA")</f>
        <v>1.1293068874938576E-2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-6325.29</v>
      </c>
      <c r="X234" s="8">
        <f>IFERROR(W234/W444, "NA")</f>
        <v>0.10697336257081468</v>
      </c>
      <c r="Y234" s="9"/>
      <c r="Z234" s="7">
        <v>8876.98</v>
      </c>
      <c r="AA234" s="8">
        <f>IFERROR(Z234/Z444, "NA")</f>
        <v>1.6636327524205283E-2</v>
      </c>
      <c r="AB234" s="9"/>
      <c r="AC234" s="10">
        <f t="shared" si="63"/>
        <v>2551.6899999999996</v>
      </c>
      <c r="AD234" s="8">
        <f>IFERROR(AC234/AC444, "NA")</f>
        <v>9.6240760877149542E-2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958.35</v>
      </c>
      <c r="C236" s="15">
        <f>IFERROR(B236/B444, "NA")</f>
        <v>8.4517438804559107E-3</v>
      </c>
      <c r="D236" s="2"/>
      <c r="E236" s="14">
        <f>IFERROR(E229+E230+E231+E232+E233+E234+E235, "NA")</f>
        <v>1846.7</v>
      </c>
      <c r="F236" s="15">
        <f>IFERROR(E236/E444, "NA")</f>
        <v>1.3199983502701075E-2</v>
      </c>
      <c r="G236" s="2"/>
      <c r="H236" s="14">
        <f t="shared" si="60"/>
        <v>888.35</v>
      </c>
      <c r="I236" s="15">
        <f>IFERROR(H236/H444, "NA")</f>
        <v>-3.3508871260074638E-2</v>
      </c>
      <c r="J236" s="2"/>
      <c r="K236" s="14">
        <f>IFERROR(K229+K230+K231+K232+K233+K234+K235, "NA")</f>
        <v>2267.75</v>
      </c>
      <c r="L236" s="15">
        <f>IFERROR(K236/K444, "NA")</f>
        <v>1.8803131646961967E-2</v>
      </c>
      <c r="M236" s="2"/>
      <c r="N236" s="14">
        <f t="shared" si="61"/>
        <v>1309.4000000000001</v>
      </c>
      <c r="O236" s="15">
        <f>IFERROR(N236/N444, "NA")</f>
        <v>-0.18150541092387001</v>
      </c>
      <c r="P236" s="2"/>
      <c r="Q236" s="14">
        <f>IFERROR(Q229+Q230+Q231+Q232+Q233+Q234+Q235, "NA")</f>
        <v>7749.42</v>
      </c>
      <c r="R236" s="15">
        <f>IFERROR(Q236/Q444, "NA")</f>
        <v>1.3835687186014634E-2</v>
      </c>
      <c r="S236" s="2"/>
      <c r="T236" s="14">
        <f>IFERROR(T229+T230+T231+T232+T233+T234+T235, "NA")</f>
        <v>8173.89</v>
      </c>
      <c r="U236" s="15">
        <f>IFERROR(T236/T444, "NA")</f>
        <v>1.3200016646391324E-2</v>
      </c>
      <c r="V236" s="2"/>
      <c r="W236" s="14">
        <f t="shared" si="62"/>
        <v>424.47000000000025</v>
      </c>
      <c r="X236" s="15">
        <f>IFERROR(W236/W444, "NA")</f>
        <v>-7.1786405382889534E-3</v>
      </c>
      <c r="Y236" s="2"/>
      <c r="Z236" s="14">
        <f>IFERROR(Z229+Z230+Z231+Z232+Z233+Z234+Z235, "NA")</f>
        <v>10786.67</v>
      </c>
      <c r="AA236" s="15">
        <f>IFERROR(Z236/Z444, "NA")</f>
        <v>2.0215273101383512E-2</v>
      </c>
      <c r="AB236" s="2"/>
      <c r="AC236" s="14">
        <f t="shared" si="63"/>
        <v>3037.25</v>
      </c>
      <c r="AD236" s="15">
        <f>IFERROR(AC236/AC444, "NA")</f>
        <v>0.1145543741497292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8542.9599999999991</v>
      </c>
      <c r="F240" s="8">
        <f>IFERROR(E240/E444, "NA")</f>
        <v>6.1064022886356831E-2</v>
      </c>
      <c r="G240" s="9"/>
      <c r="H240" s="10">
        <f t="shared" ref="H240:H263" si="64">IFERROR(-(B240-E240), "NA")</f>
        <v>8542.9599999999991</v>
      </c>
      <c r="I240" s="8">
        <f>IFERROR(H240/H444, "NA")</f>
        <v>-0.32224342524902028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38137.85</v>
      </c>
      <c r="U240" s="8">
        <f>IFERROR(T240/T444, "NA")</f>
        <v>6.158882182872235E-2</v>
      </c>
      <c r="V240" s="9"/>
      <c r="W240" s="10">
        <f t="shared" ref="W240:W263" si="66">IFERROR(-(Q240-T240), "NA")</f>
        <v>38137.85</v>
      </c>
      <c r="X240" s="8">
        <f>IFERROR(W240/W444, "NA")</f>
        <v>-0.64498766945410313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2018.54</v>
      </c>
      <c r="C242" s="8">
        <f>IFERROR(B242/B444, "NA")</f>
        <v>1.780162059003023E-2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-2018.54</v>
      </c>
      <c r="I242" s="8">
        <f>IFERROR(H242/H444, "NA")</f>
        <v>7.6140031511578832E-2</v>
      </c>
      <c r="J242" s="9"/>
      <c r="K242" s="7">
        <v>1557.85</v>
      </c>
      <c r="L242" s="8">
        <f>IFERROR(K242/K444, "NA")</f>
        <v>1.2916969964158174E-2</v>
      </c>
      <c r="M242" s="9"/>
      <c r="N242" s="10">
        <f t="shared" si="65"/>
        <v>-460.69000000000005</v>
      </c>
      <c r="O242" s="8">
        <f>IFERROR(N242/N444, "NA")</f>
        <v>6.3859575193613627E-2</v>
      </c>
      <c r="P242" s="9"/>
      <c r="Q242" s="7">
        <v>8632.31</v>
      </c>
      <c r="R242" s="8">
        <f>IFERROR(Q242/Q444, "NA")</f>
        <v>1.5411984490801374E-2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-8632.31</v>
      </c>
      <c r="X242" s="8">
        <f>IFERROR(W242/W444, "NA")</f>
        <v>0.14598970599824976</v>
      </c>
      <c r="Y242" s="9"/>
      <c r="Z242" s="7">
        <v>6503.27</v>
      </c>
      <c r="AA242" s="8">
        <f>IFERROR(Z242/Z444, "NA")</f>
        <v>1.2187763146738926E-2</v>
      </c>
      <c r="AB242" s="9"/>
      <c r="AC242" s="10">
        <f t="shared" si="67"/>
        <v>-2129.0399999999991</v>
      </c>
      <c r="AD242" s="8">
        <f>IFERROR(AC242/AC444, "NA")</f>
        <v>-8.0299891263392653E-2</v>
      </c>
    </row>
    <row r="243" spans="1:30" ht="16.5" customHeight="1" x14ac:dyDescent="0.45">
      <c r="A243" s="12" t="s">
        <v>220</v>
      </c>
      <c r="B243" s="7">
        <v>1047.8900000000001</v>
      </c>
      <c r="C243" s="8">
        <f>IFERROR(B243/B444, "NA")</f>
        <v>9.2414023007157554E-3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-1047.8900000000001</v>
      </c>
      <c r="I243" s="8">
        <f>IFERROR(H243/H444, "NA")</f>
        <v>3.9526775600517379E-2</v>
      </c>
      <c r="J243" s="9"/>
      <c r="K243" s="7">
        <v>2846.49</v>
      </c>
      <c r="L243" s="8">
        <f>IFERROR(K243/K444, "NA")</f>
        <v>2.3601775416937833E-2</v>
      </c>
      <c r="M243" s="9"/>
      <c r="N243" s="10">
        <f t="shared" si="65"/>
        <v>1798.5999999999997</v>
      </c>
      <c r="O243" s="8">
        <f>IFERROR(N243/N444, "NA")</f>
        <v>-0.24931696356168667</v>
      </c>
      <c r="P243" s="9"/>
      <c r="Q243" s="7">
        <v>7629.57</v>
      </c>
      <c r="R243" s="8">
        <f>IFERROR(Q243/Q444, "NA")</f>
        <v>1.3621708964516269E-2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-7629.57</v>
      </c>
      <c r="X243" s="8">
        <f>IFERROR(W243/W444, "NA")</f>
        <v>0.12903135790918843</v>
      </c>
      <c r="Y243" s="9"/>
      <c r="Z243" s="7">
        <v>13732.15</v>
      </c>
      <c r="AA243" s="8">
        <f>IFERROR(Z243/Z444, "NA")</f>
        <v>2.5735390302953885E-2</v>
      </c>
      <c r="AB243" s="9"/>
      <c r="AC243" s="10">
        <f t="shared" si="67"/>
        <v>6102.58</v>
      </c>
      <c r="AD243" s="8">
        <f>IFERROR(AC243/AC444, "NA")</f>
        <v>0.23016782701412608</v>
      </c>
    </row>
    <row r="244" spans="1:30" ht="16.5" customHeight="1" x14ac:dyDescent="0.45">
      <c r="A244" s="12" t="s">
        <v>221</v>
      </c>
      <c r="B244" s="7">
        <v>790.09</v>
      </c>
      <c r="C244" s="8">
        <f>IFERROR(B244/B444, "NA")</f>
        <v>6.9678492435012365E-3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-790.09</v>
      </c>
      <c r="I244" s="8">
        <f>IFERROR(H244/H444, "NA")</f>
        <v>2.9802469852954767E-2</v>
      </c>
      <c r="J244" s="9"/>
      <c r="K244" s="7">
        <v>122.63</v>
      </c>
      <c r="L244" s="8">
        <f>IFERROR(K244/K444, "NA")</f>
        <v>1.0167911074267207E-3</v>
      </c>
      <c r="M244" s="9"/>
      <c r="N244" s="10">
        <f t="shared" si="65"/>
        <v>-667.46</v>
      </c>
      <c r="O244" s="8">
        <f>IFERROR(N244/N444, "NA")</f>
        <v>9.252146141381265E-2</v>
      </c>
      <c r="P244" s="9"/>
      <c r="Q244" s="7">
        <v>3120.06</v>
      </c>
      <c r="R244" s="8">
        <f>IFERROR(Q244/Q444, "NA")</f>
        <v>5.5705038779156144E-3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-3120.06</v>
      </c>
      <c r="X244" s="8">
        <f>IFERROR(W244/W444, "NA")</f>
        <v>5.2766483374311064E-2</v>
      </c>
      <c r="Y244" s="9"/>
      <c r="Z244" s="7">
        <v>321.39</v>
      </c>
      <c r="AA244" s="8">
        <f>IFERROR(Z244/Z444, "NA")</f>
        <v>6.0231624978363538E-4</v>
      </c>
      <c r="AB244" s="9"/>
      <c r="AC244" s="10">
        <f t="shared" si="67"/>
        <v>-2798.67</v>
      </c>
      <c r="AD244" s="8">
        <f>IFERROR(AC244/AC444, "NA")</f>
        <v>-0.10555597672289822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629.65</v>
      </c>
      <c r="C246" s="8">
        <f>IFERROR(B246/B444, "NA")</f>
        <v>5.5529196372192452E-3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-629.65</v>
      </c>
      <c r="I246" s="8">
        <f>IFERROR(H246/H444, "NA")</f>
        <v>2.3750617199196255E-2</v>
      </c>
      <c r="J246" s="9"/>
      <c r="K246" s="7">
        <v>0</v>
      </c>
      <c r="L246" s="8">
        <f>IFERROR(K246/K444, "NA")</f>
        <v>0</v>
      </c>
      <c r="M246" s="9"/>
      <c r="N246" s="10">
        <f t="shared" si="65"/>
        <v>-629.65</v>
      </c>
      <c r="O246" s="8">
        <f>IFERROR(N246/N444, "NA")</f>
        <v>8.7280343659855472E-2</v>
      </c>
      <c r="P246" s="9"/>
      <c r="Q246" s="7">
        <v>2636.25</v>
      </c>
      <c r="R246" s="8">
        <f>IFERROR(Q246/Q444, "NA")</f>
        <v>4.7067174503551334E-3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-2636.25</v>
      </c>
      <c r="X246" s="8">
        <f>IFERROR(W246/W444, "NA")</f>
        <v>4.4584284211049645E-2</v>
      </c>
      <c r="Y246" s="9"/>
      <c r="Z246" s="7">
        <v>0</v>
      </c>
      <c r="AA246" s="8">
        <f>IFERROR(Z246/Z444, "NA")</f>
        <v>0</v>
      </c>
      <c r="AB246" s="9"/>
      <c r="AC246" s="10">
        <f t="shared" si="67"/>
        <v>-2636.25</v>
      </c>
      <c r="AD246" s="8">
        <f>IFERROR(AC246/AC444, "NA")</f>
        <v>-9.9430066294254216E-2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10.07</v>
      </c>
      <c r="L247" s="8">
        <f>IFERROR(K247/K444, "NA")</f>
        <v>8.3495771440814481E-5</v>
      </c>
      <c r="M247" s="9"/>
      <c r="N247" s="10">
        <f t="shared" si="65"/>
        <v>10.07</v>
      </c>
      <c r="O247" s="8">
        <f>IFERROR(N247/N444, "NA")</f>
        <v>-1.3958755827122124E-3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139.34</v>
      </c>
      <c r="AA247" s="8">
        <f>IFERROR(Z247/Z444, "NA")</f>
        <v>2.6113676917406193E-4</v>
      </c>
      <c r="AB247" s="9"/>
      <c r="AC247" s="10">
        <f t="shared" si="67"/>
        <v>139.34</v>
      </c>
      <c r="AD247" s="8">
        <f>IFERROR(AC247/AC444, "NA")</f>
        <v>5.2554141061892396E-3</v>
      </c>
    </row>
    <row r="248" spans="1:30" ht="16.5" customHeight="1" x14ac:dyDescent="0.45">
      <c r="A248" s="12" t="s">
        <v>225</v>
      </c>
      <c r="B248" s="7">
        <v>266.70999999999998</v>
      </c>
      <c r="C248" s="8">
        <f>IFERROR(B248/B444, "NA")</f>
        <v>2.3521308607047484E-3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-266.70999999999998</v>
      </c>
      <c r="I248" s="8">
        <f>IFERROR(H248/H444, "NA")</f>
        <v>1.0060394049388761E-2</v>
      </c>
      <c r="J248" s="9"/>
      <c r="K248" s="7">
        <v>268.5</v>
      </c>
      <c r="L248" s="8">
        <f>IFERROR(K248/K444, "NA")</f>
        <v>2.2262775205420739E-3</v>
      </c>
      <c r="M248" s="9"/>
      <c r="N248" s="10">
        <f t="shared" si="65"/>
        <v>1.7900000000000205</v>
      </c>
      <c r="O248" s="8">
        <f>IFERROR(N248/N444, "NA")</f>
        <v>-2.4812485531826105E-4</v>
      </c>
      <c r="P248" s="9"/>
      <c r="Q248" s="7">
        <v>1596.61</v>
      </c>
      <c r="R248" s="8">
        <f>IFERROR(Q248/Q444, "NA")</f>
        <v>2.8505612701418717E-3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-1596.61</v>
      </c>
      <c r="X248" s="8">
        <f>IFERROR(W248/W444, "NA")</f>
        <v>2.70018829831025E-2</v>
      </c>
      <c r="Y248" s="9"/>
      <c r="Z248" s="7">
        <v>1451.09</v>
      </c>
      <c r="AA248" s="8">
        <f>IFERROR(Z248/Z444, "NA")</f>
        <v>2.7194843862551276E-3</v>
      </c>
      <c r="AB248" s="9"/>
      <c r="AC248" s="10">
        <f t="shared" si="67"/>
        <v>-145.51999999999998</v>
      </c>
      <c r="AD248" s="8">
        <f>IFERROR(AC248/AC444, "NA")</f>
        <v>-5.4885019429643895E-3</v>
      </c>
    </row>
    <row r="249" spans="1:30" ht="16.5" customHeight="1" x14ac:dyDescent="0.45">
      <c r="A249" s="12" t="s">
        <v>226</v>
      </c>
      <c r="B249" s="7">
        <v>1761.74</v>
      </c>
      <c r="C249" s="8">
        <f>IFERROR(B249/B444, "NA")</f>
        <v>1.553688659044649E-2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-1761.74</v>
      </c>
      <c r="I249" s="8">
        <f>IFERROR(H249/H444, "NA")</f>
        <v>6.6453446112144862E-2</v>
      </c>
      <c r="J249" s="9"/>
      <c r="K249" s="7">
        <v>1885.9</v>
      </c>
      <c r="L249" s="8">
        <f>IFERROR(K249/K444, "NA")</f>
        <v>1.5637008476686396E-2</v>
      </c>
      <c r="M249" s="9"/>
      <c r="N249" s="10">
        <f t="shared" si="65"/>
        <v>124.16000000000008</v>
      </c>
      <c r="O249" s="8">
        <f>IFERROR(N249/N444, "NA")</f>
        <v>-1.7210716221405006E-2</v>
      </c>
      <c r="P249" s="9"/>
      <c r="Q249" s="7">
        <v>11417.28</v>
      </c>
      <c r="R249" s="8">
        <f>IFERROR(Q249/Q444, "NA")</f>
        <v>2.0384224186473461E-2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-11417.28</v>
      </c>
      <c r="X249" s="8">
        <f>IFERROR(W249/W444, "NA")</f>
        <v>0.19308914421512866</v>
      </c>
      <c r="Y249" s="9"/>
      <c r="Z249" s="7">
        <v>8435.57</v>
      </c>
      <c r="AA249" s="8">
        <f>IFERROR(Z249/Z444, "NA")</f>
        <v>1.5809082072209282E-2</v>
      </c>
      <c r="AB249" s="9"/>
      <c r="AC249" s="10">
        <f t="shared" si="67"/>
        <v>-2981.7100000000009</v>
      </c>
      <c r="AD249" s="8">
        <f>IFERROR(AC249/AC444, "NA")</f>
        <v>-0.11245960093702828</v>
      </c>
    </row>
    <row r="250" spans="1:30" ht="16.5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0.6</v>
      </c>
      <c r="AA250" s="8">
        <f>IFERROR(Z250/Z444, "NA")</f>
        <v>1.1244586012949416E-6</v>
      </c>
      <c r="AB250" s="9"/>
      <c r="AC250" s="10">
        <f t="shared" si="67"/>
        <v>0.6</v>
      </c>
      <c r="AD250" s="8">
        <f>IFERROR(AC250/AC444, "NA")</f>
        <v>2.262988706554861E-5</v>
      </c>
    </row>
    <row r="251" spans="1:30" ht="16.5" customHeight="1" x14ac:dyDescent="0.45">
      <c r="A251" s="12" t="s">
        <v>228</v>
      </c>
      <c r="B251" s="7">
        <v>83.46</v>
      </c>
      <c r="C251" s="8">
        <f>IFERROR(B251/B444, "NA")</f>
        <v>7.3603854986471556E-4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-83.46</v>
      </c>
      <c r="I251" s="8">
        <f>IFERROR(H251/H444, "NA")</f>
        <v>3.1481402548160396E-3</v>
      </c>
      <c r="J251" s="9"/>
      <c r="K251" s="7">
        <v>126.69</v>
      </c>
      <c r="L251" s="8">
        <f>IFERROR(K251/K444, "NA")</f>
        <v>1.050454745167506E-3</v>
      </c>
      <c r="M251" s="9"/>
      <c r="N251" s="10">
        <f t="shared" si="65"/>
        <v>43.230000000000004</v>
      </c>
      <c r="O251" s="8">
        <f>IFERROR(N251/N444, "NA")</f>
        <v>-5.9924231817923487E-3</v>
      </c>
      <c r="P251" s="9"/>
      <c r="Q251" s="7">
        <v>348.47</v>
      </c>
      <c r="R251" s="8">
        <f>IFERROR(Q251/Q444, "NA")</f>
        <v>6.2215261448089277E-4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-348.47</v>
      </c>
      <c r="X251" s="8">
        <f>IFERROR(W251/W444, "NA")</f>
        <v>5.8933278403127433E-3</v>
      </c>
      <c r="Y251" s="9"/>
      <c r="Z251" s="7">
        <v>359.11</v>
      </c>
      <c r="AA251" s="8">
        <f>IFERROR(Z251/Z444, "NA")</f>
        <v>6.7300721385171074E-4</v>
      </c>
      <c r="AB251" s="9"/>
      <c r="AC251" s="10">
        <f t="shared" si="67"/>
        <v>10.639999999999986</v>
      </c>
      <c r="AD251" s="8">
        <f>IFERROR(AC251/AC444, "NA")</f>
        <v>4.013033306290615E-4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hidden="1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0</v>
      </c>
      <c r="O254" s="8">
        <f>IFERROR(N254/N444, "NA")</f>
        <v>0</v>
      </c>
      <c r="P254" s="9"/>
      <c r="Q254" s="7">
        <v>0</v>
      </c>
      <c r="R254" s="8">
        <f>IFERROR(Q254/Q444, "NA")</f>
        <v>0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0</v>
      </c>
      <c r="X254" s="8">
        <f>IFERROR(W254/W444, "NA")</f>
        <v>0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0</v>
      </c>
      <c r="AD254" s="8">
        <f>IFERROR(AC254/AC444, "NA")</f>
        <v>0</v>
      </c>
    </row>
    <row r="255" spans="1:30" ht="16.5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36.200000000000003</v>
      </c>
      <c r="L255" s="8">
        <f>IFERROR(K255/K444, "NA")</f>
        <v>3.0015361729468563E-4</v>
      </c>
      <c r="M255" s="9"/>
      <c r="N255" s="10">
        <f t="shared" si="65"/>
        <v>36.200000000000003</v>
      </c>
      <c r="O255" s="8">
        <f>IFERROR(N255/N444, "NA")</f>
        <v>-5.0179440014083507E-3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214.66</v>
      </c>
      <c r="AA255" s="8">
        <f>IFERROR(Z255/Z444, "NA")</f>
        <v>4.022938055899536E-4</v>
      </c>
      <c r="AB255" s="9"/>
      <c r="AC255" s="10">
        <f t="shared" si="67"/>
        <v>214.66</v>
      </c>
      <c r="AD255" s="8">
        <f>IFERROR(AC255/AC444, "NA")</f>
        <v>8.0962192624844422E-3</v>
      </c>
    </row>
    <row r="256" spans="1:30" ht="16.5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37.549999999999997</v>
      </c>
      <c r="AA256" s="8">
        <f>IFERROR(Z256/Z444, "NA")</f>
        <v>7.0372367464375087E-5</v>
      </c>
      <c r="AB256" s="9"/>
      <c r="AC256" s="10">
        <f t="shared" si="67"/>
        <v>37.549999999999997</v>
      </c>
      <c r="AD256" s="8">
        <f>IFERROR(AC256/AC444, "NA")</f>
        <v>1.416253765518917E-3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customHeight="1" x14ac:dyDescent="0.45">
      <c r="A258" s="12" t="s">
        <v>235</v>
      </c>
      <c r="B258" s="7">
        <v>1449.67</v>
      </c>
      <c r="C258" s="8">
        <f>IFERROR(B258/B444, "NA")</f>
        <v>1.2784723275609661E-2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-1449.67</v>
      </c>
      <c r="I258" s="8">
        <f>IFERROR(H258/H444, "NA")</f>
        <v>5.468205707164113E-2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-1449.67</v>
      </c>
      <c r="O258" s="8">
        <f>IFERROR(N258/N444, "NA")</f>
        <v>0.20094925084313933</v>
      </c>
      <c r="P258" s="9"/>
      <c r="Q258" s="7">
        <v>1449.67</v>
      </c>
      <c r="R258" s="8">
        <f>IFERROR(Q258/Q444, "NA")</f>
        <v>2.5882170075889337E-3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-1449.67</v>
      </c>
      <c r="X258" s="8">
        <f>IFERROR(W258/W444, "NA")</f>
        <v>2.4516832353620611E-2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-1449.67</v>
      </c>
      <c r="AD258" s="8">
        <f>IFERROR(AC258/AC444, "NA")</f>
        <v>-5.4676447303856429E-2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8047.75</v>
      </c>
      <c r="C262" s="15">
        <f>IFERROR(B262/B444, "NA")</f>
        <v>7.0973571048092085E-2</v>
      </c>
      <c r="D262" s="2"/>
      <c r="E262" s="14">
        <f>IFERROR(E240+E241+E242+E243+E244+E245+E246+E247+E248+E249+E250+E251+E252+E253+E254+E255+E256+E257+E258+E259+E260+E261, "NA")</f>
        <v>8542.9599999999991</v>
      </c>
      <c r="F262" s="15">
        <f>IFERROR(E262/E444, "NA")</f>
        <v>6.1064022886356831E-2</v>
      </c>
      <c r="G262" s="2"/>
      <c r="H262" s="14">
        <f t="shared" si="64"/>
        <v>495.20999999999913</v>
      </c>
      <c r="I262" s="15">
        <f>IFERROR(H262/H444, "NA")</f>
        <v>-1.8679493596782271E-2</v>
      </c>
      <c r="J262" s="2"/>
      <c r="K262" s="14">
        <f>IFERROR(K240+K241+K242+K243+K244+K245+K246+K247+K248+K249+K250+K251+K252+K253+K254+K255+K256+K257+K258+K259+K260+K261, "NA")</f>
        <v>6854.33</v>
      </c>
      <c r="L262" s="15">
        <f>IFERROR(K262/K444, "NA")</f>
        <v>5.6832926619654209E-2</v>
      </c>
      <c r="M262" s="2"/>
      <c r="N262" s="14">
        <f t="shared" si="65"/>
        <v>-1193.42</v>
      </c>
      <c r="O262" s="15">
        <f>IFERROR(N262/N444, "NA")</f>
        <v>0.1654285837060982</v>
      </c>
      <c r="P262" s="2"/>
      <c r="Q262" s="14">
        <f>IFERROR(Q240+Q241+Q242+Q243+Q244+Q245+Q246+Q247+Q248+Q249+Q250+Q251+Q252+Q253+Q254+Q255+Q256+Q257+Q258+Q259+Q260+Q261, "NA")</f>
        <v>36830.22</v>
      </c>
      <c r="R262" s="15">
        <f>IFERROR(Q262/Q444, "NA")</f>
        <v>6.5756069862273545E-2</v>
      </c>
      <c r="S262" s="2"/>
      <c r="T262" s="14">
        <f>IFERROR(T240+T241+T242+T243+T244+T245+T246+T247+T248+T249+T250+T251+T252+T253+T254+T255+T256+T257+T258+T259+T260+T261, "NA")</f>
        <v>38137.85</v>
      </c>
      <c r="U262" s="15">
        <f>IFERROR(T262/T444, "NA")</f>
        <v>6.158882182872235E-2</v>
      </c>
      <c r="V262" s="2"/>
      <c r="W262" s="14">
        <f t="shared" si="66"/>
        <v>1307.6299999999974</v>
      </c>
      <c r="X262" s="15">
        <f>IFERROR(W262/W444, "NA")</f>
        <v>-2.2114650569139773E-2</v>
      </c>
      <c r="Y262" s="2"/>
      <c r="Z262" s="14">
        <f>IFERROR(Z240+Z241+Z242+Z243+Z244+Z245+Z246+Z247+Z248+Z249+Z250+Z251+Z252+Z253+Z254+Z255+Z256+Z257+Z258+Z259+Z260+Z261, "NA")</f>
        <v>31194.729999999996</v>
      </c>
      <c r="AA262" s="15">
        <f>IFERROR(Z262/Z444, "NA")</f>
        <v>5.8461970772622246E-2</v>
      </c>
      <c r="AB262" s="2"/>
      <c r="AC262" s="14">
        <f t="shared" si="67"/>
        <v>-5635.4900000000052</v>
      </c>
      <c r="AD262" s="15">
        <f>IFERROR(AC262/AC444, "NA")</f>
        <v>-0.2125508370983811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8047.75</v>
      </c>
      <c r="C263" s="15">
        <f>IFERROR(B263/B444, "NA")</f>
        <v>7.0973571048092085E-2</v>
      </c>
      <c r="D263" s="2"/>
      <c r="E263" s="14">
        <f>IFERROR(E238+E240+E241+E242+E243+E244+E245+E246+E247+E248+E249+E250+E251+E252+E253+E254+E255+E256+E257+E258+E259+E260+E261, "NA")</f>
        <v>8542.9599999999991</v>
      </c>
      <c r="F263" s="15">
        <f>IFERROR(E263/E444, "NA")</f>
        <v>6.1064022886356831E-2</v>
      </c>
      <c r="G263" s="2"/>
      <c r="H263" s="14">
        <f t="shared" si="64"/>
        <v>495.20999999999913</v>
      </c>
      <c r="I263" s="15">
        <f>IFERROR(H263/H444, "NA")</f>
        <v>-1.8679493596782271E-2</v>
      </c>
      <c r="J263" s="2"/>
      <c r="K263" s="14">
        <f>IFERROR(K238+K240+K241+K242+K243+K244+K245+K246+K247+K248+K249+K250+K251+K252+K253+K254+K255+K256+K257+K258+K259+K260+K261, "NA")</f>
        <v>6854.33</v>
      </c>
      <c r="L263" s="15">
        <f>IFERROR(K263/K444, "NA")</f>
        <v>5.6832926619654209E-2</v>
      </c>
      <c r="M263" s="2"/>
      <c r="N263" s="14">
        <f t="shared" si="65"/>
        <v>-1193.42</v>
      </c>
      <c r="O263" s="15">
        <f>IFERROR(N263/N444, "NA")</f>
        <v>0.1654285837060982</v>
      </c>
      <c r="P263" s="2"/>
      <c r="Q263" s="14">
        <f>IFERROR(Q238+Q240+Q241+Q242+Q243+Q244+Q245+Q246+Q247+Q248+Q249+Q250+Q251+Q252+Q253+Q254+Q255+Q256+Q257+Q258+Q259+Q260+Q261, "NA")</f>
        <v>36830.22</v>
      </c>
      <c r="R263" s="15">
        <f>IFERROR(Q263/Q444, "NA")</f>
        <v>6.5756069862273545E-2</v>
      </c>
      <c r="S263" s="2"/>
      <c r="T263" s="14">
        <f>IFERROR(T238+T240+T241+T242+T243+T244+T245+T246+T247+T248+T249+T250+T251+T252+T253+T254+T255+T256+T257+T258+T259+T260+T261, "NA")</f>
        <v>38137.85</v>
      </c>
      <c r="U263" s="15">
        <f>IFERROR(T263/T444, "NA")</f>
        <v>6.158882182872235E-2</v>
      </c>
      <c r="V263" s="2"/>
      <c r="W263" s="14">
        <f t="shared" si="66"/>
        <v>1307.6299999999974</v>
      </c>
      <c r="X263" s="15">
        <f>IFERROR(W263/W444, "NA")</f>
        <v>-2.2114650569139773E-2</v>
      </c>
      <c r="Y263" s="2"/>
      <c r="Z263" s="14">
        <f>IFERROR(Z238+Z240+Z241+Z242+Z243+Z244+Z245+Z246+Z247+Z248+Z249+Z250+Z251+Z252+Z253+Z254+Z255+Z256+Z257+Z258+Z259+Z260+Z261, "NA")</f>
        <v>31194.729999999996</v>
      </c>
      <c r="AA263" s="15">
        <f>IFERROR(Z263/Z444, "NA")</f>
        <v>5.8461970772622246E-2</v>
      </c>
      <c r="AB263" s="2"/>
      <c r="AC263" s="14">
        <f t="shared" si="67"/>
        <v>-5635.4900000000052</v>
      </c>
      <c r="AD263" s="15">
        <f>IFERROR(AC263/AC444, "NA")</f>
        <v>-0.2125508370983811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2758.27</v>
      </c>
      <c r="C265" s="8">
        <f>IFERROR(B265/B444, "NA")</f>
        <v>2.4325342091245497E-2</v>
      </c>
      <c r="D265" s="9"/>
      <c r="E265" s="7">
        <v>3637.44</v>
      </c>
      <c r="F265" s="8">
        <f>IFERROR(E265/E444, "NA")</f>
        <v>2.5999971837366652E-2</v>
      </c>
      <c r="G265" s="9"/>
      <c r="H265" s="10">
        <f>IFERROR(-(B265-E265), "NA")</f>
        <v>879.17000000000007</v>
      </c>
      <c r="I265" s="8">
        <f>IFERROR(H265/H444, "NA")</f>
        <v>-3.3162598464253748E-2</v>
      </c>
      <c r="J265" s="9"/>
      <c r="K265" s="7">
        <v>3219.53</v>
      </c>
      <c r="L265" s="8">
        <f>IFERROR(K265/K444, "NA")</f>
        <v>2.6694850151623182E-2</v>
      </c>
      <c r="M265" s="9"/>
      <c r="N265" s="10">
        <f>IFERROR(-(B265-K265), "NA")</f>
        <v>461.26000000000022</v>
      </c>
      <c r="O265" s="8">
        <f>IFERROR(N265/N444, "NA")</f>
        <v>-6.3938587019050197E-2</v>
      </c>
      <c r="P265" s="9"/>
      <c r="Q265" s="7">
        <v>13380.44</v>
      </c>
      <c r="R265" s="8">
        <f>IFERROR(Q265/Q444, "NA")</f>
        <v>2.3889217806137446E-2</v>
      </c>
      <c r="S265" s="9"/>
      <c r="T265" s="7">
        <v>16227.7</v>
      </c>
      <c r="U265" s="8">
        <f>IFERROR(T265/T444, "NA")</f>
        <v>2.6206116076023106E-2</v>
      </c>
      <c r="V265" s="9"/>
      <c r="W265" s="10">
        <f>IFERROR(-(Q265-T265), "NA")</f>
        <v>2847.26</v>
      </c>
      <c r="X265" s="8">
        <f>IFERROR(W265/W444, "NA")</f>
        <v>-4.8152887268943845E-2</v>
      </c>
      <c r="Y265" s="9"/>
      <c r="Z265" s="7">
        <v>14305.27</v>
      </c>
      <c r="AA265" s="8">
        <f>IFERROR(Z265/Z444, "NA")</f>
        <v>2.6809473158910815E-2</v>
      </c>
      <c r="AB265" s="9"/>
      <c r="AC265" s="10">
        <f>IFERROR(-(Q265-Z265), "NA")</f>
        <v>924.82999999999993</v>
      </c>
      <c r="AD265" s="8">
        <f>IFERROR(AC265/AC444, "NA")</f>
        <v>3.4881330758052199E-2</v>
      </c>
    </row>
    <row r="266" spans="1:30" ht="16.5" hidden="1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0</v>
      </c>
      <c r="R266" s="8">
        <f>IFERROR(Q266/Q444, "NA")</f>
        <v>0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0</v>
      </c>
      <c r="X266" s="8">
        <f>IFERROR(W266/W444, "NA")</f>
        <v>0</v>
      </c>
      <c r="Y266" s="9"/>
      <c r="Z266" s="7">
        <v>0</v>
      </c>
      <c r="AA266" s="8">
        <f>IFERROR(Z266/Z444, "NA")</f>
        <v>0</v>
      </c>
      <c r="AB266" s="9"/>
      <c r="AC266" s="10">
        <f>IFERROR(-(Q266-Z266), "NA")</f>
        <v>0</v>
      </c>
      <c r="AD266" s="8">
        <f>IFERROR(AC266/AC444, "NA")</f>
        <v>0</v>
      </c>
    </row>
    <row r="267" spans="1:30" ht="16.5" customHeight="1" x14ac:dyDescent="0.45">
      <c r="A267" s="19" t="s">
        <v>243</v>
      </c>
      <c r="B267" s="14">
        <f>IFERROR(B265+B266, "NA")</f>
        <v>2758.27</v>
      </c>
      <c r="C267" s="15">
        <f>IFERROR(B267/B444, "NA")</f>
        <v>2.4325342091245497E-2</v>
      </c>
      <c r="D267" s="2"/>
      <c r="E267" s="14">
        <f>IFERROR(E265+E266, "NA")</f>
        <v>3637.44</v>
      </c>
      <c r="F267" s="15">
        <f>IFERROR(E267/E444, "NA")</f>
        <v>2.5999971837366652E-2</v>
      </c>
      <c r="G267" s="2"/>
      <c r="H267" s="14">
        <f>IFERROR(-(B267-E267), "NA")</f>
        <v>879.17000000000007</v>
      </c>
      <c r="I267" s="15">
        <f>IFERROR(H267/H444, "NA")</f>
        <v>-3.3162598464253748E-2</v>
      </c>
      <c r="J267" s="2"/>
      <c r="K267" s="14">
        <f>IFERROR(K265+K266, "NA")</f>
        <v>3219.53</v>
      </c>
      <c r="L267" s="15">
        <f>IFERROR(K267/K444, "NA")</f>
        <v>2.6694850151623182E-2</v>
      </c>
      <c r="M267" s="2"/>
      <c r="N267" s="14">
        <f>IFERROR(-(B267-K267), "NA")</f>
        <v>461.26000000000022</v>
      </c>
      <c r="O267" s="15">
        <f>IFERROR(N267/N444, "NA")</f>
        <v>-6.3938587019050197E-2</v>
      </c>
      <c r="P267" s="2"/>
      <c r="Q267" s="14">
        <f>IFERROR(Q265+Q266, "NA")</f>
        <v>13380.44</v>
      </c>
      <c r="R267" s="15">
        <f>IFERROR(Q267/Q444, "NA")</f>
        <v>2.3889217806137446E-2</v>
      </c>
      <c r="S267" s="2"/>
      <c r="T267" s="14">
        <f>IFERROR(T265+T266, "NA")</f>
        <v>16227.7</v>
      </c>
      <c r="U267" s="15">
        <f>IFERROR(T267/T444, "NA")</f>
        <v>2.6206116076023106E-2</v>
      </c>
      <c r="V267" s="2"/>
      <c r="W267" s="14">
        <f>IFERROR(-(Q267-T267), "NA")</f>
        <v>2847.26</v>
      </c>
      <c r="X267" s="15">
        <f>IFERROR(W267/W444, "NA")</f>
        <v>-4.8152887268943845E-2</v>
      </c>
      <c r="Y267" s="2"/>
      <c r="Z267" s="14">
        <f>IFERROR(Z265+Z266, "NA")</f>
        <v>14305.27</v>
      </c>
      <c r="AA267" s="15">
        <f>IFERROR(Z267/Z444, "NA")</f>
        <v>2.6809473158910815E-2</v>
      </c>
      <c r="AB267" s="2"/>
      <c r="AC267" s="14">
        <f>IFERROR(-(Q267-Z267), "NA")</f>
        <v>924.82999999999993</v>
      </c>
      <c r="AD267" s="15">
        <f>IFERROR(AC267/AC444, "NA")</f>
        <v>3.4881330758052199E-2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429.38</v>
      </c>
      <c r="C270" s="8">
        <f>IFERROR(B270/B444, "NA")</f>
        <v>3.7867269655033741E-3</v>
      </c>
      <c r="D270" s="9"/>
      <c r="E270" s="7">
        <v>207.67</v>
      </c>
      <c r="F270" s="8">
        <f>IFERROR(E270/E444, "NA")</f>
        <v>1.4843995093983496E-3</v>
      </c>
      <c r="G270" s="9"/>
      <c r="H270" s="10">
        <f>IFERROR(-(B270-E270), "NA")</f>
        <v>-221.71</v>
      </c>
      <c r="I270" s="8">
        <f>IFERROR(H270/H444, "NA")</f>
        <v>8.3629783836000979E-3</v>
      </c>
      <c r="J270" s="9"/>
      <c r="K270" s="7">
        <v>296.5</v>
      </c>
      <c r="L270" s="8">
        <f>IFERROR(K270/K444, "NA")</f>
        <v>2.4584405394440408E-3</v>
      </c>
      <c r="M270" s="9"/>
      <c r="N270" s="10">
        <f>IFERROR(-(B270-K270), "NA")</f>
        <v>-132.88</v>
      </c>
      <c r="O270" s="8">
        <f>IFERROR(N270/N444, "NA")</f>
        <v>1.8419458533346453E-2</v>
      </c>
      <c r="P270" s="9"/>
      <c r="Q270" s="7">
        <v>2401.9899999999998</v>
      </c>
      <c r="R270" s="8">
        <f>IFERROR(Q270/Q444, "NA")</f>
        <v>4.2884734940079761E-3</v>
      </c>
      <c r="S270" s="9"/>
      <c r="T270" s="7">
        <v>1117.79</v>
      </c>
      <c r="U270" s="8">
        <f>IFERROR(T270/T444, "NA")</f>
        <v>1.8051193014794373E-3</v>
      </c>
      <c r="V270" s="9"/>
      <c r="W270" s="10">
        <f>IFERROR(-(Q270-T270), "NA")</f>
        <v>-1284.1999999999998</v>
      </c>
      <c r="X270" s="8">
        <f>IFERROR(W270/W444, "NA")</f>
        <v>2.1718402193961098E-2</v>
      </c>
      <c r="Y270" s="9"/>
      <c r="Z270" s="7">
        <v>1779</v>
      </c>
      <c r="AA270" s="8">
        <f>IFERROR(Z270/Z444, "NA")</f>
        <v>3.3340197528395018E-3</v>
      </c>
      <c r="AB270" s="9"/>
      <c r="AC270" s="10">
        <f>IFERROR(-(Q270-Z270), "NA")</f>
        <v>-622.98999999999978</v>
      </c>
      <c r="AD270" s="8">
        <f>IFERROR(AC270/AC444, "NA")</f>
        <v>-2.349698890494354E-2</v>
      </c>
    </row>
    <row r="271" spans="1:30" ht="16.5" customHeight="1" x14ac:dyDescent="0.45">
      <c r="A271" s="6" t="s">
        <v>246</v>
      </c>
      <c r="B271" s="7">
        <v>952.81</v>
      </c>
      <c r="C271" s="8">
        <f>IFERROR(B271/B444, "NA")</f>
        <v>8.402886301181401E-3</v>
      </c>
      <c r="D271" s="9"/>
      <c r="E271" s="7">
        <v>839.41</v>
      </c>
      <c r="F271" s="8">
        <f>IFERROR(E271/E444, "NA")</f>
        <v>5.9999989992972919E-3</v>
      </c>
      <c r="G271" s="9"/>
      <c r="H271" s="10">
        <f>IFERROR(-(B271-E271), "NA")</f>
        <v>-113.39999999999998</v>
      </c>
      <c r="I271" s="8">
        <f>IFERROR(H271/H444, "NA")</f>
        <v>4.2774874777874294E-3</v>
      </c>
      <c r="J271" s="9"/>
      <c r="K271" s="7">
        <v>762</v>
      </c>
      <c r="L271" s="8">
        <f>IFERROR(K271/K444, "NA")</f>
        <v>6.3181507286892381E-3</v>
      </c>
      <c r="M271" s="9"/>
      <c r="N271" s="10">
        <f>IFERROR(-(B271-K271), "NA")</f>
        <v>-190.80999999999995</v>
      </c>
      <c r="O271" s="8">
        <f>IFERROR(N271/N444, "NA")</f>
        <v>2.6449555107975888E-2</v>
      </c>
      <c r="P271" s="9"/>
      <c r="Q271" s="7">
        <v>5716.51</v>
      </c>
      <c r="R271" s="8">
        <f>IFERROR(Q271/Q444, "NA")</f>
        <v>1.0206163061974253E-2</v>
      </c>
      <c r="S271" s="9"/>
      <c r="T271" s="7">
        <v>3715.4</v>
      </c>
      <c r="U271" s="8">
        <f>IFERROR(T271/T444, "NA")</f>
        <v>6.0000002260860285E-3</v>
      </c>
      <c r="V271" s="9"/>
      <c r="W271" s="10">
        <f>IFERROR(-(Q271-T271), "NA")</f>
        <v>-2001.1100000000001</v>
      </c>
      <c r="X271" s="8">
        <f>IFERROR(W271/W444, "NA")</f>
        <v>3.3842790697989018E-2</v>
      </c>
      <c r="Y271" s="9"/>
      <c r="Z271" s="7">
        <v>4572.1000000000004</v>
      </c>
      <c r="AA271" s="8">
        <f>IFERROR(Z271/Z444, "NA")</f>
        <v>8.5685619516343379E-3</v>
      </c>
      <c r="AB271" s="9"/>
      <c r="AC271" s="10">
        <f>IFERROR(-(Q271-Z271), "NA")</f>
        <v>-1144.4099999999999</v>
      </c>
      <c r="AD271" s="8">
        <f>IFERROR(AC271/AC444, "NA")</f>
        <v>-4.3163115094474139E-2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1382.19</v>
      </c>
      <c r="C273" s="15">
        <f>IFERROR(B273/B444, "NA")</f>
        <v>1.2189613266684775E-2</v>
      </c>
      <c r="D273" s="2"/>
      <c r="E273" s="14">
        <f>IFERROR(E269+E270+E271+E272, "NA")</f>
        <v>1047.08</v>
      </c>
      <c r="F273" s="15">
        <f>IFERROR(E273/E444, "NA")</f>
        <v>7.4843985086956409E-3</v>
      </c>
      <c r="G273" s="2"/>
      <c r="H273" s="14">
        <f>IFERROR(-(B273-E273), "NA")</f>
        <v>-335.11000000000013</v>
      </c>
      <c r="I273" s="15">
        <f>IFERROR(H273/H444, "NA")</f>
        <v>1.2640465861387533E-2</v>
      </c>
      <c r="J273" s="2"/>
      <c r="K273" s="14">
        <f>IFERROR(K269+K270+K271+K272, "NA")</f>
        <v>1058.5</v>
      </c>
      <c r="L273" s="15">
        <f>IFERROR(K273/K444, "NA")</f>
        <v>8.7765912681332797E-3</v>
      </c>
      <c r="M273" s="2"/>
      <c r="N273" s="14">
        <f>IFERROR(-(B273-K273), "NA")</f>
        <v>-323.69000000000005</v>
      </c>
      <c r="O273" s="15">
        <f>IFERROR(N273/N444, "NA")</f>
        <v>4.4869013641322356E-2</v>
      </c>
      <c r="P273" s="2"/>
      <c r="Q273" s="14">
        <f>IFERROR(Q269+Q270+Q271+Q272, "NA")</f>
        <v>8118.5</v>
      </c>
      <c r="R273" s="15">
        <f>IFERROR(Q273/Q444, "NA")</f>
        <v>1.4494636555982229E-2</v>
      </c>
      <c r="S273" s="2"/>
      <c r="T273" s="14">
        <f>IFERROR(T269+T270+T271+T272, "NA")</f>
        <v>4833.1900000000005</v>
      </c>
      <c r="U273" s="15">
        <f>IFERROR(T273/T444, "NA")</f>
        <v>7.8051195275654663E-3</v>
      </c>
      <c r="V273" s="2"/>
      <c r="W273" s="14">
        <f>IFERROR(-(Q273-T273), "NA")</f>
        <v>-3285.3099999999995</v>
      </c>
      <c r="X273" s="15">
        <f>IFERROR(W273/W444, "NA")</f>
        <v>5.5561192891950106E-2</v>
      </c>
      <c r="Y273" s="2"/>
      <c r="Z273" s="14">
        <f>IFERROR(Z269+Z270+Z271+Z272, "NA")</f>
        <v>6351.1</v>
      </c>
      <c r="AA273" s="15">
        <f>IFERROR(Z273/Z444, "NA")</f>
        <v>1.1902581704473839E-2</v>
      </c>
      <c r="AB273" s="2"/>
      <c r="AC273" s="14">
        <f>IFERROR(-(Q273-Z273), "NA")</f>
        <v>-1767.3999999999996</v>
      </c>
      <c r="AD273" s="15">
        <f>IFERROR(AC273/AC444, "NA")</f>
        <v>-6.6660103999417686E-2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331</v>
      </c>
      <c r="F287" s="8">
        <f>IFERROR(E287/E444, "NA")</f>
        <v>2.3659471161499193E-3</v>
      </c>
      <c r="G287" s="9"/>
      <c r="H287" s="10">
        <f t="shared" si="72"/>
        <v>331</v>
      </c>
      <c r="I287" s="8">
        <f>IFERROR(H287/H444, "NA")</f>
        <v>-1.248543523057883E-2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1986</v>
      </c>
      <c r="U287" s="8">
        <f>IFERROR(T287/T444, "NA")</f>
        <v>3.2071918094974572E-3</v>
      </c>
      <c r="V287" s="9"/>
      <c r="W287" s="10">
        <f t="shared" si="74"/>
        <v>1986</v>
      </c>
      <c r="X287" s="8">
        <f>IFERROR(W287/W444, "NA")</f>
        <v>-3.358725023922033E-2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137.5</v>
      </c>
      <c r="C288" s="8">
        <f>IFERROR(B288/B444, "NA")</f>
        <v>1.2126204242319482E-3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-137.5</v>
      </c>
      <c r="I288" s="8">
        <f>IFERROR(H288/H444, "NA")</f>
        <v>5.1865478676875803E-3</v>
      </c>
      <c r="J288" s="9"/>
      <c r="K288" s="7">
        <v>142.19999999999999</v>
      </c>
      <c r="L288" s="8">
        <f>IFERROR(K288/K444, "NA")</f>
        <v>1.1790564745664167E-3</v>
      </c>
      <c r="M288" s="9"/>
      <c r="N288" s="10">
        <f t="shared" si="73"/>
        <v>4.6999999999999886</v>
      </c>
      <c r="O288" s="8">
        <f>IFERROR(N288/N444, "NA")</f>
        <v>-6.5150101675743623E-4</v>
      </c>
      <c r="P288" s="9"/>
      <c r="Q288" s="7">
        <v>825</v>
      </c>
      <c r="R288" s="8">
        <f>IFERROR(Q288/Q444, "NA")</f>
        <v>1.4729414496132708E-3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-825</v>
      </c>
      <c r="X288" s="8">
        <f>IFERROR(W288/W444, "NA")</f>
        <v>1.3952407576715392E-2</v>
      </c>
      <c r="Y288" s="9"/>
      <c r="Z288" s="7">
        <v>782.7</v>
      </c>
      <c r="AA288" s="8">
        <f>IFERROR(Z288/Z444, "NA")</f>
        <v>1.4668562453892513E-3</v>
      </c>
      <c r="AB288" s="9"/>
      <c r="AC288" s="10">
        <f t="shared" si="75"/>
        <v>-42.299999999999955</v>
      </c>
      <c r="AD288" s="8">
        <f>IFERROR(AC288/AC444, "NA")</f>
        <v>-1.5954070381211753E-3</v>
      </c>
    </row>
    <row r="289" spans="1:30" ht="16.5" customHeight="1" x14ac:dyDescent="0.45">
      <c r="A289" s="6" t="s">
        <v>262</v>
      </c>
      <c r="B289" s="7">
        <v>228.86</v>
      </c>
      <c r="C289" s="8">
        <f>IFERROR(B289/B444, "NA")</f>
        <v>2.0183295293798088E-3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-228.86</v>
      </c>
      <c r="I289" s="8">
        <f>IFERROR(H289/H444, "NA")</f>
        <v>8.6326788727198525E-3</v>
      </c>
      <c r="J289" s="9"/>
      <c r="K289" s="7">
        <v>198.58</v>
      </c>
      <c r="L289" s="8">
        <f>IFERROR(K289/K444, "NA")</f>
        <v>1.6465332961983058E-3</v>
      </c>
      <c r="M289" s="9"/>
      <c r="N289" s="10">
        <f t="shared" si="73"/>
        <v>-30.28</v>
      </c>
      <c r="O289" s="8">
        <f>IFERROR(N289/N444, "NA")</f>
        <v>4.1973299547691948E-3</v>
      </c>
      <c r="P289" s="9"/>
      <c r="Q289" s="7">
        <v>1335.42</v>
      </c>
      <c r="R289" s="8">
        <f>IFERROR(Q289/Q444, "NA")</f>
        <v>2.384236934112187E-3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-1335.42</v>
      </c>
      <c r="X289" s="8">
        <f>IFERROR(W289/W444, "NA")</f>
        <v>2.2584635304360327E-2</v>
      </c>
      <c r="Y289" s="9"/>
      <c r="Z289" s="7">
        <v>1191.48</v>
      </c>
      <c r="AA289" s="8">
        <f>IFERROR(Z289/Z444, "NA")</f>
        <v>2.2329498904514948E-3</v>
      </c>
      <c r="AB289" s="9"/>
      <c r="AC289" s="10">
        <f t="shared" si="75"/>
        <v>-143.94000000000005</v>
      </c>
      <c r="AD289" s="8">
        <f>IFERROR(AC289/AC444, "NA")</f>
        <v>-5.4289099070251139E-3</v>
      </c>
    </row>
    <row r="290" spans="1:30" ht="16.5" customHeight="1" x14ac:dyDescent="0.45">
      <c r="A290" s="6" t="s">
        <v>263</v>
      </c>
      <c r="B290" s="7">
        <v>1262.92</v>
      </c>
      <c r="C290" s="8">
        <f>IFERROR(B290/B444, "NA")</f>
        <v>1.1137764263061907E-2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-1262.92</v>
      </c>
      <c r="I290" s="8">
        <f>IFERROR(H290/H444, "NA")</f>
        <v>4.7637782058618176E-2</v>
      </c>
      <c r="J290" s="9"/>
      <c r="K290" s="7">
        <v>862.07</v>
      </c>
      <c r="L290" s="8">
        <f>IFERROR(K290/K444, "NA")</f>
        <v>7.147884775172089E-3</v>
      </c>
      <c r="M290" s="9"/>
      <c r="N290" s="10">
        <f t="shared" si="73"/>
        <v>-400.85</v>
      </c>
      <c r="O290" s="8">
        <f>IFERROR(N290/N444, "NA")</f>
        <v>5.5564719695152968E-2</v>
      </c>
      <c r="P290" s="9"/>
      <c r="Q290" s="7">
        <v>6030.04</v>
      </c>
      <c r="R290" s="8">
        <f>IFERROR(Q290/Q444, "NA")</f>
        <v>1.0765934374334554E-2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-6030.04</v>
      </c>
      <c r="X290" s="8">
        <f>IFERROR(W290/W444, "NA")</f>
        <v>0.10198009185926896</v>
      </c>
      <c r="Y290" s="9"/>
      <c r="Z290" s="7">
        <v>5181.43</v>
      </c>
      <c r="AA290" s="8">
        <f>IFERROR(Z290/Z444, "NA")</f>
        <v>9.7105058841794149E-3</v>
      </c>
      <c r="AB290" s="9"/>
      <c r="AC290" s="10">
        <f t="shared" si="75"/>
        <v>-848.60999999999967</v>
      </c>
      <c r="AD290" s="8">
        <f>IFERROR(AC290/AC444, "NA")</f>
        <v>-3.2006580771158664E-2</v>
      </c>
    </row>
    <row r="291" spans="1:30" ht="16.5" customHeight="1" x14ac:dyDescent="0.45">
      <c r="A291" s="6" t="s">
        <v>264</v>
      </c>
      <c r="B291" s="7">
        <v>327.07</v>
      </c>
      <c r="C291" s="8">
        <f>IFERROR(B291/B444, "NA")</f>
        <v>2.8844491792984969E-3</v>
      </c>
      <c r="D291" s="9"/>
      <c r="E291" s="7">
        <v>1678.82</v>
      </c>
      <c r="F291" s="8">
        <f>IFERROR(E291/E444, "NA")</f>
        <v>1.1999997998594584E-2</v>
      </c>
      <c r="G291" s="9"/>
      <c r="H291" s="10">
        <f t="shared" si="72"/>
        <v>1351.75</v>
      </c>
      <c r="I291" s="8">
        <f>IFERROR(H291/H444, "NA")</f>
        <v>-5.0988480582885E-2</v>
      </c>
      <c r="J291" s="9"/>
      <c r="K291" s="7">
        <v>0</v>
      </c>
      <c r="L291" s="8">
        <f>IFERROR(K291/K444, "NA")</f>
        <v>0</v>
      </c>
      <c r="M291" s="9"/>
      <c r="N291" s="10">
        <f t="shared" si="73"/>
        <v>-327.07</v>
      </c>
      <c r="O291" s="8">
        <f>IFERROR(N291/N444, "NA")</f>
        <v>4.5337539904437271E-2</v>
      </c>
      <c r="P291" s="9"/>
      <c r="Q291" s="7">
        <v>8760.5499999999993</v>
      </c>
      <c r="R291" s="8">
        <f>IFERROR(Q291/Q444, "NA")</f>
        <v>1.564094208049641E-2</v>
      </c>
      <c r="S291" s="9"/>
      <c r="T291" s="7">
        <v>7430.8</v>
      </c>
      <c r="U291" s="8">
        <f>IFERROR(T291/T444, "NA")</f>
        <v>1.2000000452172057E-2</v>
      </c>
      <c r="V291" s="9"/>
      <c r="W291" s="10">
        <f t="shared" si="74"/>
        <v>-1329.7499999999991</v>
      </c>
      <c r="X291" s="8">
        <f>IFERROR(W291/W444, "NA")</f>
        <v>2.2488744212287613E-2</v>
      </c>
      <c r="Y291" s="9"/>
      <c r="Z291" s="7">
        <v>1564.43</v>
      </c>
      <c r="AA291" s="8">
        <f>IFERROR(Z291/Z444, "NA")</f>
        <v>2.9318946160397422E-3</v>
      </c>
      <c r="AB291" s="9"/>
      <c r="AC291" s="10">
        <f t="shared" si="75"/>
        <v>-7196.119999999999</v>
      </c>
      <c r="AD291" s="8">
        <f>IFERROR(AC291/AC444, "NA")</f>
        <v>-0.2714123048502261</v>
      </c>
    </row>
    <row r="292" spans="1:30" ht="16.5" customHeight="1" x14ac:dyDescent="0.45">
      <c r="A292" s="6" t="s">
        <v>265</v>
      </c>
      <c r="B292" s="7">
        <v>771.6</v>
      </c>
      <c r="C292" s="8">
        <f>IFERROR(B292/B444, "NA")</f>
        <v>6.8047848679081546E-3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-771.6</v>
      </c>
      <c r="I292" s="8">
        <f>IFERROR(H292/H444, "NA")</f>
        <v>2.9105020616056271E-2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-771.6</v>
      </c>
      <c r="O292" s="8">
        <f>IFERROR(N292/N444, "NA")</f>
        <v>0.10695706053830617</v>
      </c>
      <c r="P292" s="9"/>
      <c r="Q292" s="7">
        <v>1810.42</v>
      </c>
      <c r="R292" s="8">
        <f>IFERROR(Q292/Q444, "NA")</f>
        <v>3.2322941323743733E-3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-1810.42</v>
      </c>
      <c r="X292" s="8">
        <f>IFERROR(W292/W444, "NA")</f>
        <v>3.0617839666711614E-2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-1810.42</v>
      </c>
      <c r="AD292" s="8">
        <f>IFERROR(AC292/AC444, "NA")</f>
        <v>-6.8282666902017536E-2</v>
      </c>
    </row>
    <row r="293" spans="1:30" ht="16.5" customHeight="1" x14ac:dyDescent="0.45">
      <c r="A293" s="6" t="s">
        <v>266</v>
      </c>
      <c r="B293" s="7">
        <v>1106.0999999999999</v>
      </c>
      <c r="C293" s="8">
        <f>IFERROR(B293/B444, "NA")</f>
        <v>9.7547596454033297E-3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-1106.0999999999999</v>
      </c>
      <c r="I293" s="8">
        <f>IFERROR(H293/H444, "NA")</f>
        <v>4.1722477065085327E-2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-1106.0999999999999</v>
      </c>
      <c r="O293" s="8">
        <f>IFERROR(N293/N444, "NA")</f>
        <v>0.15332452651817061</v>
      </c>
      <c r="P293" s="9"/>
      <c r="Q293" s="7">
        <v>1398.84</v>
      </c>
      <c r="R293" s="8">
        <f>IFERROR(Q293/Q444, "NA")</f>
        <v>2.4974659604570034E-3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-1398.84</v>
      </c>
      <c r="X293" s="8">
        <f>IFERROR(W293/W444, "NA")</f>
        <v>2.3657194926803102E-2</v>
      </c>
      <c r="Y293" s="9"/>
      <c r="Z293" s="7">
        <v>1091.2</v>
      </c>
      <c r="AA293" s="8">
        <f>IFERROR(Z293/Z444, "NA")</f>
        <v>2.0450153762217337E-3</v>
      </c>
      <c r="AB293" s="9"/>
      <c r="AC293" s="10">
        <f t="shared" si="75"/>
        <v>-307.63999999999987</v>
      </c>
      <c r="AD293" s="8">
        <f>IFERROR(AC293/AC444, "NA")</f>
        <v>-1.160309742807562E-2</v>
      </c>
    </row>
    <row r="294" spans="1:30" ht="16.5" customHeight="1" x14ac:dyDescent="0.45">
      <c r="A294" s="6" t="s">
        <v>267</v>
      </c>
      <c r="B294" s="7">
        <v>312.49</v>
      </c>
      <c r="C294" s="8">
        <f>IFERROR(B294/B444, "NA")</f>
        <v>2.7558673190417565E-3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-312.49</v>
      </c>
      <c r="I294" s="8">
        <f>IFERROR(H294/H444, "NA")</f>
        <v>1.178723158671776E-2</v>
      </c>
      <c r="J294" s="9"/>
      <c r="K294" s="7">
        <v>345</v>
      </c>
      <c r="L294" s="8">
        <f>IFERROR(K294/K444, "NA")</f>
        <v>2.8605800543278046E-3</v>
      </c>
      <c r="M294" s="9"/>
      <c r="N294" s="10">
        <f t="shared" si="73"/>
        <v>32.509999999999991</v>
      </c>
      <c r="O294" s="8">
        <f>IFERROR(N294/N444, "NA")</f>
        <v>-4.5064463946349565E-3</v>
      </c>
      <c r="P294" s="9"/>
      <c r="Q294" s="7">
        <v>2310.44</v>
      </c>
      <c r="R294" s="8">
        <f>IFERROR(Q294/Q444, "NA")</f>
        <v>4.1250216276902856E-3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-2310.44</v>
      </c>
      <c r="X294" s="8">
        <f>IFERROR(W294/W444, "NA")</f>
        <v>3.9074182498844014E-2</v>
      </c>
      <c r="Y294" s="9"/>
      <c r="Z294" s="7">
        <v>2070</v>
      </c>
      <c r="AA294" s="8">
        <f>IFERROR(Z294/Z444, "NA")</f>
        <v>3.8793821744675483E-3</v>
      </c>
      <c r="AB294" s="9"/>
      <c r="AC294" s="10">
        <f t="shared" si="75"/>
        <v>-240.44000000000005</v>
      </c>
      <c r="AD294" s="8">
        <f>IFERROR(AC294/AC444, "NA")</f>
        <v>-9.0685500767341814E-3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4146.54</v>
      </c>
      <c r="C295" s="15">
        <f>IFERROR(B295/B444, "NA")</f>
        <v>3.6568575228325399E-2</v>
      </c>
      <c r="D295" s="2"/>
      <c r="E295" s="14">
        <f>IFERROR(E286+E287+E288+E289+E290+E291+E292+E293+E294, "NA")</f>
        <v>2009.82</v>
      </c>
      <c r="F295" s="15">
        <f>IFERROR(E295/E444, "NA")</f>
        <v>1.4365945114744504E-2</v>
      </c>
      <c r="G295" s="2"/>
      <c r="H295" s="14">
        <f t="shared" si="72"/>
        <v>-2136.7200000000003</v>
      </c>
      <c r="I295" s="15">
        <f>IFERROR(H295/H444, "NA")</f>
        <v>8.0597822253421159E-2</v>
      </c>
      <c r="J295" s="2"/>
      <c r="K295" s="14">
        <f>IFERROR(K286+K287+K288+K289+K290+K291+K292+K293+K294, "NA")</f>
        <v>1547.85</v>
      </c>
      <c r="L295" s="15">
        <f>IFERROR(K295/K444, "NA")</f>
        <v>1.2834054600264615E-2</v>
      </c>
      <c r="M295" s="2"/>
      <c r="N295" s="14">
        <f t="shared" si="73"/>
        <v>-2598.69</v>
      </c>
      <c r="O295" s="15">
        <f>IFERROR(N295/N444, "NA")</f>
        <v>0.36022322919944383</v>
      </c>
      <c r="P295" s="2"/>
      <c r="Q295" s="14">
        <f>IFERROR(Q286+Q287+Q288+Q289+Q290+Q291+Q292+Q293+Q294, "NA")</f>
        <v>22470.71</v>
      </c>
      <c r="R295" s="15">
        <f>IFERROR(Q295/Q444, "NA")</f>
        <v>4.011883655907808E-2</v>
      </c>
      <c r="S295" s="2"/>
      <c r="T295" s="14">
        <f>IFERROR(T286+T287+T288+T289+T290+T291+T292+T293+T294, "NA")</f>
        <v>9416.7999999999993</v>
      </c>
      <c r="U295" s="15">
        <f>IFERROR(T295/T444, "NA")</f>
        <v>1.5207192261669512E-2</v>
      </c>
      <c r="V295" s="2"/>
      <c r="W295" s="14">
        <f t="shared" si="74"/>
        <v>-13053.91</v>
      </c>
      <c r="X295" s="15">
        <f>IFERROR(W295/W444, "NA")</f>
        <v>0.22076784580577072</v>
      </c>
      <c r="Y295" s="2"/>
      <c r="Z295" s="14">
        <f>IFERROR(Z286+Z287+Z288+Z289+Z290+Z291+Z292+Z293+Z294, "NA")</f>
        <v>11881.240000000002</v>
      </c>
      <c r="AA295" s="15">
        <f>IFERROR(Z295/Z444, "NA")</f>
        <v>2.2266604186749188E-2</v>
      </c>
      <c r="AB295" s="2"/>
      <c r="AC295" s="14">
        <f t="shared" si="75"/>
        <v>-10589.469999999998</v>
      </c>
      <c r="AD295" s="15">
        <f>IFERROR(AC295/AC444, "NA")</f>
        <v>-0.39939751697335835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1818.72</v>
      </c>
      <c r="F297" s="8">
        <f>IFERROR(E297/E444, "NA")</f>
        <v>1.2999985918683326E-2</v>
      </c>
      <c r="G297" s="9"/>
      <c r="H297" s="10">
        <f t="shared" ref="H297:H325" si="76">IFERROR(-(B297-E297), "NA")</f>
        <v>1818.72</v>
      </c>
      <c r="I297" s="8">
        <f>IFERROR(H297/H444, "NA")</f>
        <v>-6.8602751548514598E-2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8050.03</v>
      </c>
      <c r="U297" s="8">
        <f>IFERROR(T297/T444, "NA")</f>
        <v>1.2999995106852374E-2</v>
      </c>
      <c r="V297" s="9"/>
      <c r="W297" s="10">
        <f t="shared" ref="W297:W325" si="78">IFERROR(-(Q297-T297), "NA")</f>
        <v>8050.03</v>
      </c>
      <c r="X297" s="8">
        <f>IFERROR(W297/W444, "NA")</f>
        <v>-0.13614218129064995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0</v>
      </c>
      <c r="C299" s="8">
        <f>IFERROR(B299/B444, "NA")</f>
        <v>0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0</v>
      </c>
      <c r="I299" s="8">
        <f>IFERROR(H299/H444, "NA")</f>
        <v>0</v>
      </c>
      <c r="J299" s="9"/>
      <c r="K299" s="7">
        <v>0</v>
      </c>
      <c r="L299" s="8">
        <f>IFERROR(K299/K444, "NA")</f>
        <v>0</v>
      </c>
      <c r="M299" s="9"/>
      <c r="N299" s="10">
        <f t="shared" si="77"/>
        <v>0</v>
      </c>
      <c r="O299" s="8">
        <f>IFERROR(N299/N444, "NA")</f>
        <v>0</v>
      </c>
      <c r="P299" s="9"/>
      <c r="Q299" s="7">
        <v>411.65</v>
      </c>
      <c r="R299" s="8">
        <f>IFERROR(Q299/Q444, "NA")</f>
        <v>7.3495314876763991E-4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-411.65</v>
      </c>
      <c r="X299" s="8">
        <f>IFERROR(W299/W444, "NA")</f>
        <v>6.9618285805513836E-3</v>
      </c>
      <c r="Y299" s="9"/>
      <c r="Z299" s="7">
        <v>0</v>
      </c>
      <c r="AA299" s="8">
        <f>IFERROR(Z299/Z444, "NA")</f>
        <v>0</v>
      </c>
      <c r="AB299" s="9"/>
      <c r="AC299" s="10">
        <f t="shared" si="79"/>
        <v>-411.65</v>
      </c>
      <c r="AD299" s="8">
        <f>IFERROR(AC299/AC444, "NA")</f>
        <v>-1.5525988350888476E-2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268.25</v>
      </c>
      <c r="R304" s="8">
        <f>IFERROR(Q304/Q444, "NA")</f>
        <v>4.7892914407122409E-4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-268.25</v>
      </c>
      <c r="X304" s="8">
        <f>IFERROR(W304/W444, "NA")</f>
        <v>4.53664646358049E-3</v>
      </c>
      <c r="Y304" s="9"/>
      <c r="Z304" s="7">
        <v>74.680000000000007</v>
      </c>
      <c r="AA304" s="8">
        <f>IFERROR(Z304/Z444, "NA")</f>
        <v>1.3995761390784374E-4</v>
      </c>
      <c r="AB304" s="9"/>
      <c r="AC304" s="10">
        <f t="shared" si="79"/>
        <v>-193.57</v>
      </c>
      <c r="AD304" s="8">
        <f>IFERROR(AC304/AC444, "NA")</f>
        <v>-7.3007787321304075E-3</v>
      </c>
    </row>
    <row r="305" spans="1:30" ht="16.5" customHeight="1" x14ac:dyDescent="0.45">
      <c r="A305" s="6" t="s">
        <v>277</v>
      </c>
      <c r="B305" s="7">
        <v>57.2</v>
      </c>
      <c r="C305" s="8">
        <f>IFERROR(B305/B444, "NA")</f>
        <v>5.0445009648049052E-4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-57.2</v>
      </c>
      <c r="I305" s="8">
        <f>IFERROR(H305/H444, "NA")</f>
        <v>2.1576039129580335E-3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-57.2</v>
      </c>
      <c r="O305" s="8">
        <f>IFERROR(N305/N444, "NA")</f>
        <v>7.9289059911756259E-3</v>
      </c>
      <c r="P305" s="9"/>
      <c r="Q305" s="7">
        <v>62.79</v>
      </c>
      <c r="R305" s="8">
        <f>IFERROR(Q305/Q444, "NA")</f>
        <v>1.1210423469238457E-4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-62.79</v>
      </c>
      <c r="X305" s="8">
        <f>IFERROR(W305/W444, "NA")</f>
        <v>1.0619050566569206E-3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-62.79</v>
      </c>
      <c r="AD305" s="8">
        <f>IFERROR(AC305/AC444, "NA")</f>
        <v>-2.3682176814096624E-3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232.86</v>
      </c>
      <c r="C310" s="8">
        <f>IFERROR(B310/B444, "NA")</f>
        <v>2.0536057599029197E-3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-232.86</v>
      </c>
      <c r="I310" s="8">
        <f>IFERROR(H310/H444, "NA")</f>
        <v>8.7835602652344014E-3</v>
      </c>
      <c r="J310" s="9"/>
      <c r="K310" s="7">
        <v>0</v>
      </c>
      <c r="L310" s="8">
        <f>IFERROR(K310/K444, "NA")</f>
        <v>0</v>
      </c>
      <c r="M310" s="9"/>
      <c r="N310" s="10">
        <f t="shared" si="77"/>
        <v>-232.86</v>
      </c>
      <c r="O310" s="8">
        <f>IFERROR(N310/N444, "NA")</f>
        <v>3.2278409949390845E-2</v>
      </c>
      <c r="P310" s="9"/>
      <c r="Q310" s="7">
        <v>285.64999999999998</v>
      </c>
      <c r="R310" s="8">
        <f>IFERROR(Q310/Q444, "NA")</f>
        <v>5.0999481828124945E-4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-285.64999999999998</v>
      </c>
      <c r="X310" s="8">
        <f>IFERROR(W310/W444, "NA")</f>
        <v>4.8309154233803046E-3</v>
      </c>
      <c r="Y310" s="9"/>
      <c r="Z310" s="7">
        <v>40.119999999999997</v>
      </c>
      <c r="AA310" s="8">
        <f>IFERROR(Z310/Z444, "NA")</f>
        <v>7.5188798473255084E-5</v>
      </c>
      <c r="AB310" s="9"/>
      <c r="AC310" s="10">
        <f t="shared" si="79"/>
        <v>-245.52999999999997</v>
      </c>
      <c r="AD310" s="8">
        <f>IFERROR(AC310/AC444, "NA")</f>
        <v>-9.2605269520069158E-3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60.62</v>
      </c>
      <c r="R311" s="8">
        <f>IFERROR(Q311/Q444, "NA")</f>
        <v>1.0822995233400785E-4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-60.62</v>
      </c>
      <c r="X311" s="8">
        <f>IFERROR(W311/W444, "NA")</f>
        <v>1.0252059967278632E-3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-60.62</v>
      </c>
      <c r="AD311" s="8">
        <f>IFERROR(AC311/AC444, "NA")</f>
        <v>-2.2863729231892612E-3</v>
      </c>
    </row>
    <row r="312" spans="1:30" ht="16.5" customHeight="1" x14ac:dyDescent="0.45">
      <c r="A312" s="6" t="s">
        <v>284</v>
      </c>
      <c r="B312" s="7">
        <v>427.37</v>
      </c>
      <c r="C312" s="8">
        <f>IFERROR(B312/B444, "NA")</f>
        <v>3.7690006596655108E-3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-427.37</v>
      </c>
      <c r="I312" s="8">
        <f>IFERROR(H312/H444, "NA")</f>
        <v>1.6120545179735574E-2</v>
      </c>
      <c r="J312" s="9"/>
      <c r="K312" s="7">
        <v>19.989999999999998</v>
      </c>
      <c r="L312" s="8">
        <f>IFERROR(K312/K444, "NA")</f>
        <v>1.6574781242322553E-4</v>
      </c>
      <c r="M312" s="9"/>
      <c r="N312" s="10">
        <f t="shared" si="77"/>
        <v>-407.38</v>
      </c>
      <c r="O312" s="8">
        <f>IFERROR(N312/N444, "NA")</f>
        <v>5.6469890256732984E-2</v>
      </c>
      <c r="P312" s="9"/>
      <c r="Q312" s="7">
        <v>508.5</v>
      </c>
      <c r="R312" s="8">
        <f>IFERROR(Q312/Q444, "NA")</f>
        <v>9.0786754803436141E-4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-508.5</v>
      </c>
      <c r="X312" s="8">
        <f>IFERROR(W312/W444, "NA")</f>
        <v>8.5997566700118516E-3</v>
      </c>
      <c r="Y312" s="9"/>
      <c r="Z312" s="7">
        <v>146.1</v>
      </c>
      <c r="AA312" s="8">
        <f>IFERROR(Z312/Z444, "NA")</f>
        <v>2.7380566941531827E-4</v>
      </c>
      <c r="AB312" s="9"/>
      <c r="AC312" s="10">
        <f t="shared" si="79"/>
        <v>-362.4</v>
      </c>
      <c r="AD312" s="8">
        <f>IFERROR(AC312/AC444, "NA")</f>
        <v>-1.366845178759136E-2</v>
      </c>
    </row>
    <row r="313" spans="1:30" ht="16.5" customHeight="1" x14ac:dyDescent="0.45">
      <c r="A313" s="6" t="s">
        <v>285</v>
      </c>
      <c r="B313" s="7">
        <v>0</v>
      </c>
      <c r="C313" s="8">
        <f>IFERROR(B313/B444, "NA")</f>
        <v>0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0</v>
      </c>
      <c r="I313" s="8">
        <f>IFERROR(H313/H444, "NA")</f>
        <v>0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0</v>
      </c>
      <c r="O313" s="8">
        <f>IFERROR(N313/N444, "NA")</f>
        <v>0</v>
      </c>
      <c r="P313" s="9"/>
      <c r="Q313" s="7">
        <v>34</v>
      </c>
      <c r="R313" s="8">
        <f>IFERROR(Q313/Q444, "NA")</f>
        <v>6.0703041559819644E-5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-34</v>
      </c>
      <c r="X313" s="8">
        <f>IFERROR(W313/W444, "NA")</f>
        <v>5.7500831225251313E-4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-34</v>
      </c>
      <c r="AD313" s="8">
        <f>IFERROR(AC313/AC444, "NA")</f>
        <v>-1.2823602670477545E-3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455.52</v>
      </c>
      <c r="C315" s="8">
        <f>IFERROR(B315/B444, "NA")</f>
        <v>4.0172571319719054E-3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-455.52</v>
      </c>
      <c r="I315" s="8">
        <f>IFERROR(H315/H444, "NA")</f>
        <v>1.7182372979556701E-2</v>
      </c>
      <c r="J315" s="9"/>
      <c r="K315" s="7">
        <v>605.44000000000005</v>
      </c>
      <c r="L315" s="8">
        <f>IFERROR(K315/K444, "NA")</f>
        <v>5.02002779157167E-3</v>
      </c>
      <c r="M315" s="9"/>
      <c r="N315" s="10">
        <f t="shared" si="77"/>
        <v>149.92000000000007</v>
      </c>
      <c r="O315" s="8">
        <f>IFERROR(N315/N444, "NA")</f>
        <v>-2.0781496262186196E-2</v>
      </c>
      <c r="P315" s="9"/>
      <c r="Q315" s="7">
        <v>2733.12</v>
      </c>
      <c r="R315" s="8">
        <f>IFERROR(Q315/Q444, "NA")</f>
        <v>4.8796675572933606E-3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-2733.12</v>
      </c>
      <c r="X315" s="8">
        <f>IFERROR(W315/W444, "NA")</f>
        <v>4.6222550540693783E-2</v>
      </c>
      <c r="Y315" s="9"/>
      <c r="Z315" s="7">
        <v>3632.64</v>
      </c>
      <c r="AA315" s="8">
        <f>IFERROR(Z315/Z444, "NA")</f>
        <v>6.8079221556800939E-3</v>
      </c>
      <c r="AB315" s="9"/>
      <c r="AC315" s="10">
        <f t="shared" si="79"/>
        <v>899.52</v>
      </c>
      <c r="AD315" s="8">
        <f>IFERROR(AC315/AC444, "NA")</f>
        <v>3.3926726688670479E-2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414.58</v>
      </c>
      <c r="C318" s="8">
        <f>IFERROR(B318/B444, "NA")</f>
        <v>3.6562049125678626E-3</v>
      </c>
      <c r="D318" s="9"/>
      <c r="E318" s="7">
        <v>415</v>
      </c>
      <c r="F318" s="8">
        <f>IFERROR(E318/E444, "NA")</f>
        <v>2.966368740792195E-3</v>
      </c>
      <c r="G318" s="9"/>
      <c r="H318" s="10">
        <f t="shared" si="76"/>
        <v>0.42000000000001592</v>
      </c>
      <c r="I318" s="8">
        <f>IFERROR(H318/H444, "NA")</f>
        <v>-1.5842546214028118E-5</v>
      </c>
      <c r="J318" s="9"/>
      <c r="K318" s="7">
        <v>414.58</v>
      </c>
      <c r="L318" s="8">
        <f>IFERROR(K318/K444, "NA")</f>
        <v>3.4375051562991919E-3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2487.48</v>
      </c>
      <c r="R318" s="8">
        <f>IFERROR(Q318/Q444, "NA")</f>
        <v>4.4411059358594168E-3</v>
      </c>
      <c r="S318" s="9"/>
      <c r="T318" s="7">
        <v>2490</v>
      </c>
      <c r="U318" s="8">
        <f>IFERROR(T318/T444, "NA")</f>
        <v>4.0211015134182619E-3</v>
      </c>
      <c r="V318" s="9"/>
      <c r="W318" s="10">
        <f t="shared" si="78"/>
        <v>2.5199999999999818</v>
      </c>
      <c r="X318" s="8">
        <f>IFERROR(W318/W444, "NA")</f>
        <v>-4.2618263143421255E-5</v>
      </c>
      <c r="Y318" s="9"/>
      <c r="Z318" s="7">
        <v>2487.48</v>
      </c>
      <c r="AA318" s="8">
        <f>IFERROR(Z318/Z444, "NA")</f>
        <v>4.6617804692485687E-3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308.49</v>
      </c>
      <c r="C319" s="8">
        <f>IFERROR(B319/B444, "NA")</f>
        <v>2.7205910885186452E-3</v>
      </c>
      <c r="D319" s="9"/>
      <c r="E319" s="7">
        <v>249</v>
      </c>
      <c r="F319" s="8">
        <f>IFERROR(E319/E444, "NA")</f>
        <v>1.779821244475317E-3</v>
      </c>
      <c r="G319" s="9"/>
      <c r="H319" s="10">
        <f t="shared" si="76"/>
        <v>-59.490000000000009</v>
      </c>
      <c r="I319" s="8">
        <f>IFERROR(H319/H444, "NA")</f>
        <v>2.2439835101726127E-3</v>
      </c>
      <c r="J319" s="9"/>
      <c r="K319" s="7">
        <v>248.8</v>
      </c>
      <c r="L319" s="8">
        <f>IFERROR(K319/K444, "NA")</f>
        <v>2.0629342536717618E-3</v>
      </c>
      <c r="M319" s="9"/>
      <c r="N319" s="10">
        <f t="shared" si="77"/>
        <v>-59.69</v>
      </c>
      <c r="O319" s="8">
        <f>IFERROR(N319/N444, "NA")</f>
        <v>8.2740629128194593E-3</v>
      </c>
      <c r="P319" s="9"/>
      <c r="Q319" s="7">
        <v>1629.56</v>
      </c>
      <c r="R319" s="8">
        <f>IFERROR(Q319/Q444, "NA")</f>
        <v>2.9093896589476383E-3</v>
      </c>
      <c r="S319" s="9"/>
      <c r="T319" s="7">
        <v>1494</v>
      </c>
      <c r="U319" s="8">
        <f>IFERROR(T319/T444, "NA")</f>
        <v>2.412660908050957E-3</v>
      </c>
      <c r="V319" s="9"/>
      <c r="W319" s="10">
        <f t="shared" si="78"/>
        <v>-135.55999999999995</v>
      </c>
      <c r="X319" s="8">
        <f>IFERROR(W319/W444, "NA")</f>
        <v>2.2925919649691368E-3</v>
      </c>
      <c r="Y319" s="9"/>
      <c r="Z319" s="7">
        <v>1348.81</v>
      </c>
      <c r="AA319" s="8">
        <f>IFERROR(Z319/Z444, "NA")</f>
        <v>2.5278016766877168E-3</v>
      </c>
      <c r="AB319" s="9"/>
      <c r="AC319" s="10">
        <f t="shared" si="79"/>
        <v>-280.75</v>
      </c>
      <c r="AD319" s="8">
        <f>IFERROR(AC319/AC444, "NA")</f>
        <v>-1.0588901322754621E-2</v>
      </c>
    </row>
    <row r="320" spans="1:30" ht="16.5" customHeight="1" x14ac:dyDescent="0.45">
      <c r="A320" s="6" t="s">
        <v>292</v>
      </c>
      <c r="B320" s="7">
        <v>1221.2</v>
      </c>
      <c r="C320" s="8">
        <f>IFERROR(B320/B444, "NA")</f>
        <v>1.0769833178705857E-2</v>
      </c>
      <c r="D320" s="9"/>
      <c r="E320" s="7">
        <v>878</v>
      </c>
      <c r="F320" s="8">
        <f>IFERROR(E320/E444, "NA")</f>
        <v>6.2758355528085468E-3</v>
      </c>
      <c r="G320" s="9"/>
      <c r="H320" s="10">
        <f t="shared" si="76"/>
        <v>-343.20000000000005</v>
      </c>
      <c r="I320" s="8">
        <f>IFERROR(H320/H444, "NA")</f>
        <v>1.2945623477748204E-2</v>
      </c>
      <c r="J320" s="9"/>
      <c r="K320" s="7">
        <v>1027.8599999999999</v>
      </c>
      <c r="L320" s="8">
        <f>IFERROR(K320/K444, "NA")</f>
        <v>8.5225385931634121E-3</v>
      </c>
      <c r="M320" s="9"/>
      <c r="N320" s="10">
        <f t="shared" si="77"/>
        <v>-193.34000000000015</v>
      </c>
      <c r="O320" s="8">
        <f>IFERROR(N320/N444, "NA")</f>
        <v>2.6800256719124067E-2</v>
      </c>
      <c r="P320" s="9"/>
      <c r="Q320" s="7">
        <v>7131.16</v>
      </c>
      <c r="R320" s="8">
        <f>IFERROR(Q320/Q444, "NA")</f>
        <v>1.2731855936756572E-2</v>
      </c>
      <c r="S320" s="9"/>
      <c r="T320" s="7">
        <v>5268</v>
      </c>
      <c r="U320" s="8">
        <f>IFERROR(T320/T444, "NA")</f>
        <v>8.5072942862198415E-3</v>
      </c>
      <c r="V320" s="9"/>
      <c r="W320" s="10">
        <f t="shared" si="78"/>
        <v>-1863.1599999999999</v>
      </c>
      <c r="X320" s="8">
        <f>IFERROR(W320/W444, "NA")</f>
        <v>3.1509779031070363E-2</v>
      </c>
      <c r="Y320" s="9"/>
      <c r="Z320" s="7">
        <v>5499.86</v>
      </c>
      <c r="AA320" s="8">
        <f>IFERROR(Z320/Z444, "NA")</f>
        <v>1.0307274804863329E-2</v>
      </c>
      <c r="AB320" s="9"/>
      <c r="AC320" s="10">
        <f t="shared" si="79"/>
        <v>-1631.3000000000002</v>
      </c>
      <c r="AD320" s="8">
        <f>IFERROR(AC320/AC444, "NA")</f>
        <v>-6.1526891283382422E-2</v>
      </c>
    </row>
    <row r="321" spans="1:30" ht="16.5" customHeight="1" x14ac:dyDescent="0.45">
      <c r="A321" s="6" t="s">
        <v>293</v>
      </c>
      <c r="B321" s="7">
        <v>1720.29</v>
      </c>
      <c r="C321" s="8">
        <f>IFERROR(B321/B444, "NA")</f>
        <v>1.5171336651650751E-2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-1720.29</v>
      </c>
      <c r="I321" s="8">
        <f>IFERROR(H321/H444, "NA")</f>
        <v>6.488993768221285E-2</v>
      </c>
      <c r="J321" s="9"/>
      <c r="K321" s="7">
        <v>1758.97</v>
      </c>
      <c r="L321" s="8">
        <f>IFERROR(K321/K444, "NA")</f>
        <v>1.4584563762785446E-2</v>
      </c>
      <c r="M321" s="9"/>
      <c r="N321" s="10">
        <f t="shared" si="77"/>
        <v>38.680000000000064</v>
      </c>
      <c r="O321" s="8">
        <f>IFERROR(N321/N444, "NA")</f>
        <v>-5.3617147506761142E-3</v>
      </c>
      <c r="P321" s="9"/>
      <c r="Q321" s="7">
        <v>10249.14</v>
      </c>
      <c r="R321" s="8">
        <f>IFERROR(Q321/Q444, "NA")</f>
        <v>1.8298646216835586E-2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-10249.14</v>
      </c>
      <c r="X321" s="8">
        <f>IFERROR(W321/W444, "NA")</f>
        <v>0.17333354980705065</v>
      </c>
      <c r="Y321" s="9"/>
      <c r="Z321" s="7">
        <v>9339.7099999999991</v>
      </c>
      <c r="AA321" s="8">
        <f>IFERROR(Z321/Z444, "NA")</f>
        <v>1.750352873850063E-2</v>
      </c>
      <c r="AB321" s="9"/>
      <c r="AC321" s="10">
        <f t="shared" si="79"/>
        <v>-909.43000000000029</v>
      </c>
      <c r="AD321" s="8">
        <f>IFERROR(AC321/AC444, "NA")</f>
        <v>-3.4300496990036469E-2</v>
      </c>
    </row>
    <row r="322" spans="1:30" ht="16.5" customHeight="1" x14ac:dyDescent="0.45">
      <c r="A322" s="6" t="s">
        <v>294</v>
      </c>
      <c r="B322" s="7">
        <v>558.66</v>
      </c>
      <c r="C322" s="8">
        <f>IFERROR(B322/B444, "NA")</f>
        <v>4.9268547360103287E-3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-558.66</v>
      </c>
      <c r="I322" s="8">
        <f>IFERROR(H322/H444, "NA")</f>
        <v>2.1072849685544317E-2</v>
      </c>
      <c r="J322" s="9"/>
      <c r="K322" s="7">
        <v>299.72000000000003</v>
      </c>
      <c r="L322" s="8">
        <f>IFERROR(K322/K444, "NA")</f>
        <v>2.4851392866177672E-3</v>
      </c>
      <c r="M322" s="9"/>
      <c r="N322" s="10">
        <f t="shared" si="77"/>
        <v>-258.93999999999994</v>
      </c>
      <c r="O322" s="8">
        <f>IFERROR(N322/N444, "NA")</f>
        <v>3.5893547506206575E-2</v>
      </c>
      <c r="P322" s="9"/>
      <c r="Q322" s="7">
        <v>2389.25</v>
      </c>
      <c r="R322" s="8">
        <f>IFERROR(Q322/Q444, "NA")</f>
        <v>4.2657277072587971E-3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-2389.25</v>
      </c>
      <c r="X322" s="8">
        <f>IFERROR(W322/W444, "NA")</f>
        <v>4.0407017942626973E-2</v>
      </c>
      <c r="Y322" s="9"/>
      <c r="Z322" s="7">
        <v>2317.29</v>
      </c>
      <c r="AA322" s="8">
        <f>IFERROR(Z322/Z444, "NA")</f>
        <v>4.3428277869912582E-3</v>
      </c>
      <c r="AB322" s="9"/>
      <c r="AC322" s="10">
        <f t="shared" si="79"/>
        <v>-71.960000000000036</v>
      </c>
      <c r="AD322" s="8">
        <f>IFERROR(AC322/AC444, "NA")</f>
        <v>-2.7140777887281315E-3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5396.17</v>
      </c>
      <c r="C324" s="15">
        <f>IFERROR(B324/B444, "NA")</f>
        <v>4.7589134215474269E-2</v>
      </c>
      <c r="D324" s="2"/>
      <c r="E324" s="14">
        <f>IFERROR(E297+E298+E299+E300+E301+E302+E303+E304+E305+E306+E307+E308+E309+E310+E311+E312+E313+E314+E315+E316+E317+E318+E319+E320+E321+E322+E323, "NA")</f>
        <v>3360.7200000000003</v>
      </c>
      <c r="F324" s="15">
        <f>IFERROR(E324/E444, "NA")</f>
        <v>2.4022011456759387E-2</v>
      </c>
      <c r="G324" s="2"/>
      <c r="H324" s="14">
        <f t="shared" si="76"/>
        <v>-2035.4499999999998</v>
      </c>
      <c r="I324" s="15">
        <f>IFERROR(H324/H444, "NA")</f>
        <v>7.6777882598434072E-2</v>
      </c>
      <c r="J324" s="2"/>
      <c r="K324" s="14">
        <f>IFERROR(K297+K298+K299+K300+K301+K302+K303+K304+K305+K306+K307+K308+K309+K310+K311+K312+K313+K314+K315+K316+K317+K318+K319+K320+K321+K322+K323, "NA")</f>
        <v>4375.3600000000006</v>
      </c>
      <c r="L324" s="15">
        <f>IFERROR(K324/K444, "NA")</f>
        <v>3.6278456656532482E-2</v>
      </c>
      <c r="M324" s="2"/>
      <c r="N324" s="14">
        <f t="shared" si="77"/>
        <v>-1020.8099999999995</v>
      </c>
      <c r="O324" s="15">
        <f>IFERROR(N324/N444, "NA")</f>
        <v>0.14150186232258719</v>
      </c>
      <c r="P324" s="2"/>
      <c r="Q324" s="14">
        <f>IFERROR(Q297+Q298+Q299+Q300+Q301+Q302+Q303+Q304+Q305+Q306+Q307+Q308+Q309+Q310+Q311+Q312+Q313+Q314+Q315+Q316+Q317+Q318+Q319+Q320+Q321+Q322+Q323, "NA")</f>
        <v>28251.17</v>
      </c>
      <c r="R324" s="15">
        <f>IFERROR(Q324/Q444, "NA")</f>
        <v>5.0439174900692052E-2</v>
      </c>
      <c r="S324" s="2"/>
      <c r="T324" s="14">
        <f>IFERROR(T297+T298+T299+T300+T301+T302+T303+T304+T305+T306+T307+T308+T309+T310+T311+T312+T313+T314+T315+T316+T317+T318+T319+T320+T321+T322+T323, "NA")</f>
        <v>17302.03</v>
      </c>
      <c r="U324" s="15">
        <f>IFERROR(T324/T444, "NA")</f>
        <v>2.7941051814541432E-2</v>
      </c>
      <c r="V324" s="2"/>
      <c r="W324" s="14">
        <f t="shared" si="78"/>
        <v>-10949.14</v>
      </c>
      <c r="X324" s="15">
        <f>IFERROR(W324/W444, "NA")</f>
        <v>0.18517195623577887</v>
      </c>
      <c r="Y324" s="2"/>
      <c r="Z324" s="14">
        <f>IFERROR(Z297+Z298+Z299+Z300+Z301+Z302+Z303+Z304+Z305+Z306+Z307+Z308+Z309+Z310+Z311+Z312+Z313+Z314+Z315+Z316+Z317+Z318+Z319+Z320+Z321+Z322+Z323, "NA")</f>
        <v>24886.69</v>
      </c>
      <c r="AA324" s="15">
        <f>IFERROR(Z324/Z444, "NA")</f>
        <v>4.6640087713768014E-2</v>
      </c>
      <c r="AB324" s="2"/>
      <c r="AC324" s="14">
        <f t="shared" si="79"/>
        <v>-3364.4799999999996</v>
      </c>
      <c r="AD324" s="15">
        <f>IFERROR(AC324/AC444, "NA")</f>
        <v>-0.12689633739049497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32265.930000000011</v>
      </c>
      <c r="C325" s="15">
        <f>IFERROR(B325/B444, "NA")</f>
        <v>0.28455509618064262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28479.57</v>
      </c>
      <c r="F325" s="15">
        <f>IFERROR(E325/E444, "NA")</f>
        <v>0.20356844867277871</v>
      </c>
      <c r="G325" s="2"/>
      <c r="H325" s="14">
        <f t="shared" si="76"/>
        <v>-3786.3600000000115</v>
      </c>
      <c r="I325" s="15">
        <f>IFERROR(H325/H444, "NA")</f>
        <v>0.14282281734034624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23580.160000000007</v>
      </c>
      <c r="L325" s="15">
        <f>IFERROR(K325/K444, "NA")</f>
        <v>0.1955157547068358</v>
      </c>
      <c r="M325" s="2"/>
      <c r="N325" s="14">
        <f t="shared" si="77"/>
        <v>-8685.7700000000041</v>
      </c>
      <c r="O325" s="15">
        <f>IFERROR(N325/N444, "NA")</f>
        <v>1.2039974438981389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167463.53999999998</v>
      </c>
      <c r="R325" s="15">
        <f>IFERROR(Q325/Q444, "NA")</f>
        <v>0.29898665377572115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129900.30999999998</v>
      </c>
      <c r="U325" s="15">
        <f>IFERROR(T325/T444, "NA")</f>
        <v>0.20977603740341419</v>
      </c>
      <c r="V325" s="2"/>
      <c r="W325" s="14">
        <f t="shared" si="78"/>
        <v>-37563.229999999996</v>
      </c>
      <c r="X325" s="15">
        <f>IFERROR(W325/W444, "NA")</f>
        <v>0.63526969073685202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117808.11999999995</v>
      </c>
      <c r="AA325" s="15">
        <f>IFERROR(Z325/Z444, "NA")</f>
        <v>0.22078392306064429</v>
      </c>
      <c r="AB325" s="2"/>
      <c r="AC325" s="14">
        <f t="shared" si="79"/>
        <v>-49655.420000000027</v>
      </c>
      <c r="AD325" s="15">
        <f>IFERROR(AC325/AC444, "NA")</f>
        <v>-1.8728275779873074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11108.66</v>
      </c>
      <c r="C329" s="8">
        <f>IFERROR(B329/B444, "NA")</f>
        <v>9.7967912740716173E-2</v>
      </c>
      <c r="D329" s="9"/>
      <c r="E329" s="7">
        <v>12819</v>
      </c>
      <c r="F329" s="8">
        <f>IFERROR(E329/E444, "NA")</f>
        <v>9.1628628646301558E-2</v>
      </c>
      <c r="G329" s="9"/>
      <c r="H329" s="10">
        <f t="shared" si="80"/>
        <v>1710.3400000000001</v>
      </c>
      <c r="I329" s="8">
        <f>IFERROR(H329/H444, "NA")</f>
        <v>-6.451462021833293E-2</v>
      </c>
      <c r="J329" s="9"/>
      <c r="K329" s="7">
        <v>4125.3</v>
      </c>
      <c r="L329" s="8">
        <f>IFERROR(K329/K444, "NA")</f>
        <v>3.4205075067010128E-2</v>
      </c>
      <c r="M329" s="9"/>
      <c r="N329" s="10">
        <f t="shared" si="81"/>
        <v>-6983.36</v>
      </c>
      <c r="O329" s="8">
        <f>IFERROR(N329/N444, "NA")</f>
        <v>0.9680140724219618</v>
      </c>
      <c r="P329" s="9"/>
      <c r="Q329" s="7">
        <v>49505.37</v>
      </c>
      <c r="R329" s="8">
        <f>IFERROR(Q329/Q444, "NA")</f>
        <v>8.8386074486595551E-2</v>
      </c>
      <c r="S329" s="9"/>
      <c r="T329" s="7">
        <v>49502</v>
      </c>
      <c r="U329" s="8">
        <f>IFERROR(T329/T444, "NA")</f>
        <v>7.9940790006920004E-2</v>
      </c>
      <c r="V329" s="9"/>
      <c r="W329" s="10">
        <f t="shared" si="82"/>
        <v>-3.3700000000026193</v>
      </c>
      <c r="X329" s="8">
        <f>IFERROR(W329/W444, "NA")</f>
        <v>5.6993470949778688E-5</v>
      </c>
      <c r="Y329" s="9"/>
      <c r="Z329" s="7">
        <v>24751.8</v>
      </c>
      <c r="AA329" s="8">
        <f>IFERROR(Z329/Z444, "NA")</f>
        <v>4.6387290679220219E-2</v>
      </c>
      <c r="AB329" s="9"/>
      <c r="AC329" s="10">
        <f t="shared" si="83"/>
        <v>-24753.570000000003</v>
      </c>
      <c r="AD329" s="8">
        <f>IFERROR(AC329/AC444, "NA")</f>
        <v>-0.93361748928192034</v>
      </c>
    </row>
    <row r="330" spans="1:30" ht="16.5" customHeight="1" x14ac:dyDescent="0.45">
      <c r="A330" s="6" t="s">
        <v>301</v>
      </c>
      <c r="B330" s="7">
        <v>1026.43</v>
      </c>
      <c r="C330" s="8">
        <f>IFERROR(B330/B444, "NA")</f>
        <v>9.0521453239592632E-3</v>
      </c>
      <c r="D330" s="9"/>
      <c r="E330" s="7">
        <v>1117</v>
      </c>
      <c r="F330" s="8">
        <f>IFERROR(E330/E444, "NA")</f>
        <v>7.9841780324454974E-3</v>
      </c>
      <c r="G330" s="9"/>
      <c r="H330" s="10">
        <f t="shared" si="80"/>
        <v>90.569999999999936</v>
      </c>
      <c r="I330" s="8">
        <f>IFERROR(H330/H444, "NA")</f>
        <v>-3.4163319300106461E-3</v>
      </c>
      <c r="J330" s="9"/>
      <c r="K330" s="7">
        <v>1117.48</v>
      </c>
      <c r="L330" s="8">
        <f>IFERROR(K330/K444, "NA")</f>
        <v>9.2656260843774936E-3</v>
      </c>
      <c r="M330" s="9"/>
      <c r="N330" s="10">
        <f t="shared" si="81"/>
        <v>91.049999999999955</v>
      </c>
      <c r="O330" s="8">
        <f>IFERROR(N330/N444, "NA")</f>
        <v>-1.2621099484205251E-2</v>
      </c>
      <c r="P330" s="9"/>
      <c r="Q330" s="7">
        <v>3948.88</v>
      </c>
      <c r="R330" s="8">
        <f>IFERROR(Q330/Q444, "NA")</f>
        <v>7.0502654927864887E-3</v>
      </c>
      <c r="S330" s="9"/>
      <c r="T330" s="7">
        <v>6702</v>
      </c>
      <c r="U330" s="8">
        <f>IFERROR(T330/T444, "NA")</f>
        <v>1.0823061181899274E-2</v>
      </c>
      <c r="V330" s="9"/>
      <c r="W330" s="10">
        <f t="shared" si="82"/>
        <v>2753.12</v>
      </c>
      <c r="X330" s="8">
        <f>IFERROR(W330/W444, "NA")</f>
        <v>-4.6560790724371734E-2</v>
      </c>
      <c r="Y330" s="9"/>
      <c r="Z330" s="7">
        <v>5732.16</v>
      </c>
      <c r="AA330" s="8">
        <f>IFERROR(Z330/Z444, "NA")</f>
        <v>1.0742627693331354E-2</v>
      </c>
      <c r="AB330" s="9"/>
      <c r="AC330" s="10">
        <f t="shared" si="83"/>
        <v>1783.2799999999997</v>
      </c>
      <c r="AD330" s="8">
        <f>IFERROR(AC330/AC444, "NA")</f>
        <v>6.7259041677085865E-2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860.16</v>
      </c>
      <c r="C333" s="8">
        <f>IFERROR(B333/B444, "NA")</f>
        <v>7.585800611689837E-3</v>
      </c>
      <c r="D333" s="9"/>
      <c r="E333" s="7">
        <v>726</v>
      </c>
      <c r="F333" s="8">
        <f>IFERROR(E333/E444, "NA")</f>
        <v>5.1893583272653821E-3</v>
      </c>
      <c r="G333" s="9"/>
      <c r="H333" s="10">
        <f t="shared" si="80"/>
        <v>-134.15999999999997</v>
      </c>
      <c r="I333" s="8">
        <f>IFERROR(H333/H444, "NA")</f>
        <v>5.0605619049379318E-3</v>
      </c>
      <c r="J333" s="9"/>
      <c r="K333" s="7">
        <v>726.35</v>
      </c>
      <c r="L333" s="8">
        <f>IFERROR(K333/K444, "NA")</f>
        <v>6.0225574564086986E-3</v>
      </c>
      <c r="M333" s="9"/>
      <c r="N333" s="10">
        <f t="shared" si="81"/>
        <v>-133.80999999999995</v>
      </c>
      <c r="O333" s="8">
        <f>IFERROR(N333/N444, "NA")</f>
        <v>1.8548372564321854E-2</v>
      </c>
      <c r="P333" s="9"/>
      <c r="Q333" s="7">
        <v>6449.99</v>
      </c>
      <c r="R333" s="8">
        <f>IFERROR(Q333/Q444, "NA")</f>
        <v>1.1515706206777091E-2</v>
      </c>
      <c r="S333" s="9"/>
      <c r="T333" s="7">
        <v>4356</v>
      </c>
      <c r="U333" s="8">
        <f>IFERROR(T333/T444, "NA")</f>
        <v>7.0345052981726705E-3</v>
      </c>
      <c r="V333" s="9"/>
      <c r="W333" s="10">
        <f t="shared" si="82"/>
        <v>-2093.9899999999998</v>
      </c>
      <c r="X333" s="8">
        <f>IFERROR(W333/W444, "NA")</f>
        <v>3.5413578110989406E-2</v>
      </c>
      <c r="Y333" s="9"/>
      <c r="Z333" s="7">
        <v>4148.7700000000004</v>
      </c>
      <c r="AA333" s="8">
        <f>IFERROR(Z333/Z444, "NA")</f>
        <v>7.7752001854906917E-3</v>
      </c>
      <c r="AB333" s="9"/>
      <c r="AC333" s="10">
        <f t="shared" si="83"/>
        <v>-2301.2199999999993</v>
      </c>
      <c r="AD333" s="8">
        <f>IFERROR(AC333/AC444, "NA")</f>
        <v>-8.6793914521636262E-2</v>
      </c>
    </row>
    <row r="334" spans="1:30" ht="16.5" customHeight="1" x14ac:dyDescent="0.45">
      <c r="A334" s="6" t="s">
        <v>305</v>
      </c>
      <c r="B334" s="7">
        <v>1710.74</v>
      </c>
      <c r="C334" s="8">
        <f>IFERROR(B334/B444, "NA")</f>
        <v>1.5087114651276823E-2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-1710.74</v>
      </c>
      <c r="I334" s="8">
        <f>IFERROR(H334/H444, "NA")</f>
        <v>6.452970835758437E-2</v>
      </c>
      <c r="J334" s="9"/>
      <c r="K334" s="7">
        <v>635.29999999999995</v>
      </c>
      <c r="L334" s="8">
        <f>IFERROR(K334/K444, "NA")</f>
        <v>5.2676130681578379E-3</v>
      </c>
      <c r="M334" s="9"/>
      <c r="N334" s="10">
        <f t="shared" si="81"/>
        <v>-1075.44</v>
      </c>
      <c r="O334" s="8">
        <f>IFERROR(N334/N444, "NA")</f>
        <v>0.14907452201311042</v>
      </c>
      <c r="P334" s="9"/>
      <c r="Q334" s="7">
        <v>0</v>
      </c>
      <c r="R334" s="8">
        <f>IFERROR(Q334/Q444, "NA")</f>
        <v>0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0</v>
      </c>
      <c r="AA334" s="8">
        <f>IFERROR(Z334/Z444, "NA")</f>
        <v>0</v>
      </c>
      <c r="AB334" s="9"/>
      <c r="AC334" s="10">
        <f t="shared" si="83"/>
        <v>0</v>
      </c>
      <c r="AD334" s="8">
        <f>IFERROR(AC334/AC444, "NA")</f>
        <v>0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2317.9</v>
      </c>
      <c r="F337" s="8">
        <f>IFERROR(E337/E444, "NA")</f>
        <v>1.6568062901884888E-2</v>
      </c>
      <c r="G337" s="9"/>
      <c r="H337" s="10">
        <f t="shared" ref="H337:H344" si="84">IFERROR(-(B337-E337), "NA")</f>
        <v>2317.9</v>
      </c>
      <c r="I337" s="8">
        <f>IFERROR(H337/H444, "NA")</f>
        <v>-8.7431994927367584E-2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10833.48</v>
      </c>
      <c r="U337" s="8">
        <f>IFERROR(T337/T444, "NA")</f>
        <v>1.74949890857777E-2</v>
      </c>
      <c r="V337" s="9"/>
      <c r="W337" s="10">
        <f t="shared" ref="W337:W344" si="86">IFERROR(-(Q337-T337), "NA")</f>
        <v>10833.48</v>
      </c>
      <c r="X337" s="8">
        <f>IFERROR(W337/W444, "NA")</f>
        <v>-0.18321591325356928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1391.1</v>
      </c>
      <c r="C338" s="8">
        <f>IFERROR(B338/B444, "NA")</f>
        <v>1.2268191070175004E-2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-1391.1</v>
      </c>
      <c r="I338" s="8">
        <f>IFERROR(H338/H444, "NA")</f>
        <v>5.2472776281746854E-2</v>
      </c>
      <c r="J338" s="9"/>
      <c r="K338" s="7">
        <v>1614.66</v>
      </c>
      <c r="L338" s="8">
        <f>IFERROR(K338/K444, "NA")</f>
        <v>1.3388012146437488E-2</v>
      </c>
      <c r="M338" s="9"/>
      <c r="N338" s="10">
        <f t="shared" si="85"/>
        <v>223.56000000000017</v>
      </c>
      <c r="O338" s="8">
        <f>IFERROR(N338/N444, "NA")</f>
        <v>-3.0989269639636788E-2</v>
      </c>
      <c r="P338" s="9"/>
      <c r="Q338" s="7">
        <v>6240.03</v>
      </c>
      <c r="R338" s="8">
        <f>IFERROR(Q338/Q444, "NA")</f>
        <v>1.1140847071309452E-2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-6240.03</v>
      </c>
      <c r="X338" s="8">
        <f>IFERROR(W338/W444, "NA")</f>
        <v>0.10553144466779557</v>
      </c>
      <c r="Y338" s="9"/>
      <c r="Z338" s="7">
        <v>5992.53</v>
      </c>
      <c r="AA338" s="8">
        <f>IFERROR(Z338/Z444, "NA")</f>
        <v>1.1230586503363293E-2</v>
      </c>
      <c r="AB338" s="9"/>
      <c r="AC338" s="10">
        <f t="shared" si="87"/>
        <v>-247.5</v>
      </c>
      <c r="AD338" s="8">
        <f>IFERROR(AC338/AC444, "NA")</f>
        <v>-9.3348284145388025E-3</v>
      </c>
    </row>
    <row r="339" spans="1:30" ht="16.5" customHeight="1" x14ac:dyDescent="0.45">
      <c r="A339" s="12" t="s">
        <v>309</v>
      </c>
      <c r="B339" s="7">
        <v>379.16</v>
      </c>
      <c r="C339" s="8">
        <f>IFERROR(B339/B444, "NA")</f>
        <v>3.3438338912857128E-3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-379.16</v>
      </c>
      <c r="I339" s="8">
        <f>IFERROR(H339/H444, "NA")</f>
        <v>1.4302047196453987E-2</v>
      </c>
      <c r="J339" s="9"/>
      <c r="K339" s="7">
        <v>325.24</v>
      </c>
      <c r="L339" s="8">
        <f>IFERROR(K339/K444, "NA")</f>
        <v>2.6967392952741312E-3</v>
      </c>
      <c r="M339" s="9"/>
      <c r="N339" s="10">
        <f t="shared" si="85"/>
        <v>-53.920000000000016</v>
      </c>
      <c r="O339" s="8">
        <f>IFERROR(N339/N444, "NA")</f>
        <v>7.4742414518215016E-3</v>
      </c>
      <c r="P339" s="9"/>
      <c r="Q339" s="7">
        <v>3174.21</v>
      </c>
      <c r="R339" s="8">
        <f>IFERROR(Q339/Q444, "NA")</f>
        <v>5.6671823985175035E-3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-3174.21</v>
      </c>
      <c r="X339" s="8">
        <f>IFERROR(W339/W444, "NA")</f>
        <v>5.3682268671619113E-2</v>
      </c>
      <c r="Y339" s="9"/>
      <c r="Z339" s="7">
        <v>2599.6799999999998</v>
      </c>
      <c r="AA339" s="8">
        <f>IFERROR(Z339/Z444, "NA")</f>
        <v>4.872054227690722E-3</v>
      </c>
      <c r="AB339" s="9"/>
      <c r="AC339" s="10">
        <f t="shared" si="87"/>
        <v>-574.5300000000002</v>
      </c>
      <c r="AD339" s="8">
        <f>IFERROR(AC339/AC444, "NA")</f>
        <v>-2.1669248359616082E-2</v>
      </c>
    </row>
    <row r="340" spans="1:30" ht="16.5" customHeight="1" x14ac:dyDescent="0.45">
      <c r="A340" s="12" t="s">
        <v>310</v>
      </c>
      <c r="B340" s="7">
        <v>475.17</v>
      </c>
      <c r="C340" s="8">
        <f>IFERROR(B340/B444, "NA")</f>
        <v>4.1905516144166901E-3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-475.17</v>
      </c>
      <c r="I340" s="8">
        <f>IFERROR(H340/H444, "NA")</f>
        <v>1.792357782028442E-2</v>
      </c>
      <c r="J340" s="9"/>
      <c r="K340" s="7">
        <v>300</v>
      </c>
      <c r="L340" s="8">
        <f>IFERROR(K340/K444, "NA")</f>
        <v>2.4874609168067867E-3</v>
      </c>
      <c r="M340" s="9"/>
      <c r="N340" s="10">
        <f t="shared" si="85"/>
        <v>-175.17000000000002</v>
      </c>
      <c r="O340" s="8">
        <f>IFERROR(N340/N444, "NA")</f>
        <v>2.4281581511787317E-2</v>
      </c>
      <c r="P340" s="9"/>
      <c r="Q340" s="7">
        <v>2288.7199999999998</v>
      </c>
      <c r="R340" s="8">
        <f>IFERROR(Q340/Q444, "NA")</f>
        <v>4.0862430964350117E-3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-2288.7199999999998</v>
      </c>
      <c r="X340" s="8">
        <f>IFERROR(W340/W444, "NA")</f>
        <v>3.870685365936976E-2</v>
      </c>
      <c r="Y340" s="9"/>
      <c r="Z340" s="7">
        <v>1802.2</v>
      </c>
      <c r="AA340" s="8">
        <f>IFERROR(Z340/Z444, "NA")</f>
        <v>3.3774988187562395E-3</v>
      </c>
      <c r="AB340" s="9"/>
      <c r="AC340" s="10">
        <f t="shared" si="87"/>
        <v>-486.51999999999975</v>
      </c>
      <c r="AD340" s="8">
        <f>IFERROR(AC340/AC444, "NA")</f>
        <v>-1.8349821091884509E-2</v>
      </c>
    </row>
    <row r="341" spans="1:30" ht="16.5" hidden="1" customHeight="1" x14ac:dyDescent="0.45">
      <c r="A341" s="12" t="s">
        <v>311</v>
      </c>
      <c r="B341" s="7">
        <v>0</v>
      </c>
      <c r="C341" s="8">
        <f>IFERROR(B341/B444, "NA")</f>
        <v>0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0</v>
      </c>
      <c r="I341" s="8">
        <f>IFERROR(H341/H444, "NA")</f>
        <v>0</v>
      </c>
      <c r="J341" s="9"/>
      <c r="K341" s="7">
        <v>0</v>
      </c>
      <c r="L341" s="8">
        <f>IFERROR(K341/K444, "NA")</f>
        <v>0</v>
      </c>
      <c r="M341" s="9"/>
      <c r="N341" s="10">
        <f t="shared" si="85"/>
        <v>0</v>
      </c>
      <c r="O341" s="8">
        <f>IFERROR(N341/N444, "NA")</f>
        <v>0</v>
      </c>
      <c r="P341" s="9"/>
      <c r="Q341" s="7">
        <v>0</v>
      </c>
      <c r="R341" s="8">
        <f>IFERROR(Q341/Q444, "NA")</f>
        <v>0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0</v>
      </c>
      <c r="X341" s="8">
        <f>IFERROR(W341/W444, "NA")</f>
        <v>0</v>
      </c>
      <c r="Y341" s="9"/>
      <c r="Z341" s="7">
        <v>0</v>
      </c>
      <c r="AA341" s="8">
        <f>IFERROR(Z341/Z444, "NA")</f>
        <v>0</v>
      </c>
      <c r="AB341" s="9"/>
      <c r="AC341" s="10">
        <f t="shared" si="87"/>
        <v>0</v>
      </c>
      <c r="AD341" s="8">
        <f>IFERROR(AC341/AC444, "NA")</f>
        <v>0</v>
      </c>
    </row>
    <row r="342" spans="1:30" ht="16.5" customHeight="1" x14ac:dyDescent="0.45">
      <c r="A342" s="13" t="s">
        <v>312</v>
      </c>
      <c r="B342" s="14">
        <f>IFERROR(B337+B338+B339+B340+B341, "NA")</f>
        <v>2245.4299999999998</v>
      </c>
      <c r="C342" s="15">
        <f>IFERROR(B342/B444, "NA")</f>
        <v>1.9802576575877407E-2</v>
      </c>
      <c r="D342" s="2"/>
      <c r="E342" s="14">
        <f>IFERROR(E337+E338+E339+E340+E341, "NA")</f>
        <v>2317.9</v>
      </c>
      <c r="F342" s="15">
        <f>IFERROR(E342/E444, "NA")</f>
        <v>1.6568062901884888E-2</v>
      </c>
      <c r="G342" s="2"/>
      <c r="H342" s="14">
        <f t="shared" si="84"/>
        <v>72.470000000000255</v>
      </c>
      <c r="I342" s="15">
        <f>IFERROR(H342/H444, "NA")</f>
        <v>-2.7335936288823293E-3</v>
      </c>
      <c r="J342" s="2"/>
      <c r="K342" s="14">
        <f>IFERROR(K337+K338+K339+K340+K341, "NA")</f>
        <v>2239.9</v>
      </c>
      <c r="L342" s="15">
        <f>IFERROR(K342/K444, "NA")</f>
        <v>1.8572212358518407E-2</v>
      </c>
      <c r="M342" s="2"/>
      <c r="N342" s="14">
        <f t="shared" si="85"/>
        <v>-5.5299999999997453</v>
      </c>
      <c r="O342" s="15">
        <f>IFERROR(N342/N444, "NA")</f>
        <v>7.6655332397201383E-4</v>
      </c>
      <c r="P342" s="2"/>
      <c r="Q342" s="14">
        <f>IFERROR(Q337+Q338+Q339+Q340+Q341, "NA")</f>
        <v>11702.96</v>
      </c>
      <c r="R342" s="15">
        <f>IFERROR(Q342/Q444, "NA")</f>
        <v>2.0894272566261966E-2</v>
      </c>
      <c r="S342" s="2"/>
      <c r="T342" s="14">
        <f>IFERROR(T337+T338+T339+T340+T341, "NA")</f>
        <v>10833.48</v>
      </c>
      <c r="U342" s="15">
        <f>IFERROR(T342/T444, "NA")</f>
        <v>1.74949890857777E-2</v>
      </c>
      <c r="V342" s="2"/>
      <c r="W342" s="14">
        <f t="shared" si="86"/>
        <v>-869.47999999999956</v>
      </c>
      <c r="X342" s="15">
        <f>IFERROR(W342/W444, "NA")</f>
        <v>1.4704653745215145E-2</v>
      </c>
      <c r="Y342" s="2"/>
      <c r="Z342" s="14">
        <f>IFERROR(Z337+Z338+Z339+Z340+Z341, "NA")</f>
        <v>10394.41</v>
      </c>
      <c r="AA342" s="15">
        <f>IFERROR(Z342/Z444, "NA")</f>
        <v>1.9480139549810253E-2</v>
      </c>
      <c r="AB342" s="2"/>
      <c r="AC342" s="14">
        <f t="shared" si="87"/>
        <v>-1308.5499999999993</v>
      </c>
      <c r="AD342" s="15">
        <f>IFERROR(AC342/AC444, "NA")</f>
        <v>-4.9353897866039366E-2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16951.419999999998</v>
      </c>
      <c r="C343" s="15">
        <f>IFERROR(B343/B444, "NA")</f>
        <v>0.14949554990351949</v>
      </c>
      <c r="D343" s="2"/>
      <c r="E343" s="14">
        <f>IFERROR(E328+E329+E330+E331+E332+E333+E334+E335+E337+E338+E339+E340+E341, "NA")</f>
        <v>16979.900000000001</v>
      </c>
      <c r="F343" s="15">
        <f>IFERROR(E343/E444, "NA")</f>
        <v>0.12137022790789734</v>
      </c>
      <c r="G343" s="2"/>
      <c r="H343" s="14">
        <f t="shared" si="84"/>
        <v>28.480000000003201</v>
      </c>
      <c r="I343" s="15">
        <f>IFERROR(H343/H444, "NA")</f>
        <v>-1.0742755147037011E-3</v>
      </c>
      <c r="J343" s="2"/>
      <c r="K343" s="14">
        <f>IFERROR(K328+K329+K330+K331+K332+K333+K334+K335+K337+K338+K339+K340+K341, "NA")</f>
        <v>8844.3300000000017</v>
      </c>
      <c r="L343" s="15">
        <f>IFERROR(K343/K444, "NA")</f>
        <v>7.333308403447257E-2</v>
      </c>
      <c r="M343" s="2"/>
      <c r="N343" s="14">
        <f t="shared" si="85"/>
        <v>-8107.0899999999965</v>
      </c>
      <c r="O343" s="15">
        <f>IFERROR(N343/N444, "NA")</f>
        <v>1.1237824208391605</v>
      </c>
      <c r="P343" s="2"/>
      <c r="Q343" s="14">
        <f>IFERROR(Q328+Q329+Q330+Q331+Q332+Q333+Q334+Q335+Q337+Q338+Q339+Q340+Q341, "NA")</f>
        <v>71607.200000000012</v>
      </c>
      <c r="R343" s="15">
        <f>IFERROR(Q343/Q444, "NA")</f>
        <v>0.12784631875242111</v>
      </c>
      <c r="S343" s="2"/>
      <c r="T343" s="14">
        <f>IFERROR(T328+T329+T330+T331+T332+T333+T334+T335+T337+T338+T339+T340+T341, "NA")</f>
        <v>71393.48</v>
      </c>
      <c r="U343" s="15">
        <f>IFERROR(T343/T444, "NA")</f>
        <v>0.11529334557276964</v>
      </c>
      <c r="V343" s="2"/>
      <c r="W343" s="14">
        <f t="shared" si="86"/>
        <v>-213.72000000001572</v>
      </c>
      <c r="X343" s="15">
        <f>IFERROR(W343/W444, "NA")</f>
        <v>3.6144346027828281E-3</v>
      </c>
      <c r="Y343" s="2"/>
      <c r="Z343" s="14">
        <f>IFERROR(Z328+Z329+Z330+Z331+Z332+Z333+Z334+Z335+Z337+Z338+Z339+Z340+Z341, "NA")</f>
        <v>45027.139999999992</v>
      </c>
      <c r="AA343" s="15">
        <f>IFERROR(Z343/Z444, "NA")</f>
        <v>8.4385258107852509E-2</v>
      </c>
      <c r="AB343" s="2"/>
      <c r="AC343" s="14">
        <f t="shared" si="87"/>
        <v>-26580.060000000019</v>
      </c>
      <c r="AD343" s="15">
        <f>IFERROR(AC343/AC444, "NA")</f>
        <v>-1.0025062599925108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16951.419999999998</v>
      </c>
      <c r="C344" s="15">
        <f>IFERROR(B344/B444, "NA")</f>
        <v>0.14949554990351949</v>
      </c>
      <c r="D344" s="2"/>
      <c r="E344" s="14">
        <f>IFERROR(E328+E329+E330+E331+E332+E333+E334+E335+E337+E338+E339+E340+E341, "NA")</f>
        <v>16979.900000000001</v>
      </c>
      <c r="F344" s="15">
        <f>IFERROR(E344/E444, "NA")</f>
        <v>0.12137022790789734</v>
      </c>
      <c r="G344" s="2"/>
      <c r="H344" s="14">
        <f t="shared" si="84"/>
        <v>28.480000000003201</v>
      </c>
      <c r="I344" s="15">
        <f>IFERROR(H344/H444, "NA")</f>
        <v>-1.0742755147037011E-3</v>
      </c>
      <c r="J344" s="2"/>
      <c r="K344" s="14">
        <f>IFERROR(K328+K329+K330+K331+K332+K333+K334+K335+K337+K338+K339+K340+K341, "NA")</f>
        <v>8844.3300000000017</v>
      </c>
      <c r="L344" s="15">
        <f>IFERROR(K344/K444, "NA")</f>
        <v>7.333308403447257E-2</v>
      </c>
      <c r="M344" s="2"/>
      <c r="N344" s="14">
        <f t="shared" si="85"/>
        <v>-8107.0899999999965</v>
      </c>
      <c r="O344" s="15">
        <f>IFERROR(N344/N444, "NA")</f>
        <v>1.1237824208391605</v>
      </c>
      <c r="P344" s="2"/>
      <c r="Q344" s="14">
        <f>IFERROR(Q328+Q329+Q330+Q331+Q332+Q333+Q334+Q335+Q337+Q338+Q339+Q340+Q341, "NA")</f>
        <v>71607.200000000012</v>
      </c>
      <c r="R344" s="15">
        <f>IFERROR(Q344/Q444, "NA")</f>
        <v>0.12784631875242111</v>
      </c>
      <c r="S344" s="2"/>
      <c r="T344" s="14">
        <f>IFERROR(T328+T329+T330+T331+T332+T333+T334+T335+T337+T338+T339+T340+T341, "NA")</f>
        <v>71393.48</v>
      </c>
      <c r="U344" s="15">
        <f>IFERROR(T344/T444, "NA")</f>
        <v>0.11529334557276964</v>
      </c>
      <c r="V344" s="2"/>
      <c r="W344" s="14">
        <f t="shared" si="86"/>
        <v>-213.72000000001572</v>
      </c>
      <c r="X344" s="15">
        <f>IFERROR(W344/W444, "NA")</f>
        <v>3.6144346027828281E-3</v>
      </c>
      <c r="Y344" s="2"/>
      <c r="Z344" s="14">
        <f>IFERROR(Z328+Z329+Z330+Z331+Z332+Z333+Z334+Z335+Z337+Z338+Z339+Z340+Z341, "NA")</f>
        <v>45027.139999999992</v>
      </c>
      <c r="AA344" s="15">
        <f>IFERROR(Z344/Z444, "NA")</f>
        <v>8.4385258107852509E-2</v>
      </c>
      <c r="AB344" s="2"/>
      <c r="AC344" s="14">
        <f t="shared" si="87"/>
        <v>-26580.060000000019</v>
      </c>
      <c r="AD344" s="15">
        <f>IFERROR(AC344/AC444, "NA")</f>
        <v>-1.0025062599925108</v>
      </c>
    </row>
    <row r="345" spans="1:30" ht="16.5" customHeight="1" x14ac:dyDescent="0.45">
      <c r="A345" s="22" t="s">
        <v>315</v>
      </c>
      <c r="B345" s="23">
        <f>IFERROR(B198-B325-B344, "NA")</f>
        <v>-1961.4600000000173</v>
      </c>
      <c r="C345" s="24">
        <f>IFERROR(B345/B444, "NA")</f>
        <v>-1.7298228780465587E-2</v>
      </c>
      <c r="D345" s="25"/>
      <c r="E345" s="23">
        <f>IFERROR(E198-E325-E344, "NA")</f>
        <v>22441.75</v>
      </c>
      <c r="F345" s="24">
        <f>IFERROR(E345/E444, "NA")</f>
        <v>0.16041085708114033</v>
      </c>
      <c r="G345" s="25"/>
      <c r="H345" s="23">
        <f>IFERROR(B345-E345, "NA")</f>
        <v>-24403.210000000017</v>
      </c>
      <c r="I345" s="24">
        <f>IFERROR(H345/H444, "NA")</f>
        <v>0.92049757665623511</v>
      </c>
      <c r="J345" s="25"/>
      <c r="K345" s="23">
        <f>IFERROR(K198-K325-K344, "NA")</f>
        <v>19171.959999999937</v>
      </c>
      <c r="L345" s="24">
        <f>IFERROR(K345/K444, "NA")</f>
        <v>0.15896500399527627</v>
      </c>
      <c r="M345" s="25"/>
      <c r="N345" s="23">
        <f>IFERROR(B345-K345, "NA")</f>
        <v>-21133.419999999955</v>
      </c>
      <c r="O345" s="24">
        <f>IFERROR(N345/N444, "NA")</f>
        <v>2.9294563016089237</v>
      </c>
      <c r="P345" s="25"/>
      <c r="Q345" s="23">
        <f>IFERROR(Q198-Q325-Q344, "NA")</f>
        <v>-11111.140000000072</v>
      </c>
      <c r="R345" s="24">
        <f>IFERROR(Q345/Q444, "NA")</f>
        <v>-1.9837646858734671E-2</v>
      </c>
      <c r="S345" s="25"/>
      <c r="T345" s="23">
        <f>IFERROR(T198-T325-T344, "NA")</f>
        <v>82583.209999999948</v>
      </c>
      <c r="U345" s="24">
        <f>IFERROR(T345/T444, "NA")</f>
        <v>0.1333636428570032</v>
      </c>
      <c r="V345" s="25"/>
      <c r="W345" s="23">
        <f>IFERROR(Q345-T345, "NA")</f>
        <v>-93694.35000000002</v>
      </c>
      <c r="X345" s="24">
        <f>IFERROR(W345/W444, "NA")</f>
        <v>1.5845597076793021</v>
      </c>
      <c r="Y345" s="25"/>
      <c r="Z345" s="23">
        <f>IFERROR(Z198-Z325-Z344, "NA")</f>
        <v>59879.980000000134</v>
      </c>
      <c r="AA345" s="24">
        <f>IFERROR(Z345/Z444, "NA")</f>
        <v>0.11222093092728204</v>
      </c>
      <c r="AB345" s="25"/>
      <c r="AC345" s="23">
        <f>IFERROR(Q345-Z345, "NA")</f>
        <v>-70991.120000000199</v>
      </c>
      <c r="AD345" s="24">
        <f>IFERROR(AC345/AC444, "NA")</f>
        <v>-2.6775350470946897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-1961.4600000000173</v>
      </c>
      <c r="C404" s="24">
        <f>IFERROR(B404/B444, "NA")</f>
        <v>-1.7298228780465587E-2</v>
      </c>
      <c r="D404" s="25"/>
      <c r="E404" s="23">
        <f>IFERROR(E345-E403, "NA")</f>
        <v>22441.75</v>
      </c>
      <c r="F404" s="24">
        <f>IFERROR(E404/E444, "NA")</f>
        <v>0.16041085708114033</v>
      </c>
      <c r="G404" s="25"/>
      <c r="H404" s="23">
        <f>IFERROR(B404-E404, "NA")</f>
        <v>-24403.210000000017</v>
      </c>
      <c r="I404" s="24">
        <f>IFERROR(H404/H444, "NA")</f>
        <v>0.92049757665623511</v>
      </c>
      <c r="J404" s="25"/>
      <c r="K404" s="23">
        <f>IFERROR(K345-K403, "NA")</f>
        <v>19171.959999999937</v>
      </c>
      <c r="L404" s="24">
        <f>IFERROR(K404/K444, "NA")</f>
        <v>0.15896500399527627</v>
      </c>
      <c r="M404" s="25"/>
      <c r="N404" s="23">
        <f>IFERROR(B404-K404, "NA")</f>
        <v>-21133.419999999955</v>
      </c>
      <c r="O404" s="24">
        <f>IFERROR(N404/N444, "NA")</f>
        <v>2.9294563016089237</v>
      </c>
      <c r="P404" s="25"/>
      <c r="Q404" s="23">
        <f>IFERROR(Q345-Q403, "NA")</f>
        <v>-11111.140000000072</v>
      </c>
      <c r="R404" s="24">
        <f>IFERROR(Q404/Q444, "NA")</f>
        <v>-1.9837646858734671E-2</v>
      </c>
      <c r="S404" s="25"/>
      <c r="T404" s="23">
        <f>IFERROR(T345-T403, "NA")</f>
        <v>82583.209999999948</v>
      </c>
      <c r="U404" s="24">
        <f>IFERROR(T404/T444, "NA")</f>
        <v>0.1333636428570032</v>
      </c>
      <c r="V404" s="25"/>
      <c r="W404" s="23">
        <f>IFERROR(Q404-T404, "NA")</f>
        <v>-93694.35000000002</v>
      </c>
      <c r="X404" s="24">
        <f>IFERROR(W404/W444, "NA")</f>
        <v>1.5845597076793021</v>
      </c>
      <c r="Y404" s="25"/>
      <c r="Z404" s="23">
        <f>IFERROR(Z345-Z403, "NA")</f>
        <v>59879.980000000134</v>
      </c>
      <c r="AA404" s="24">
        <f>IFERROR(Z404/Z444, "NA")</f>
        <v>0.11222093092728204</v>
      </c>
      <c r="AB404" s="25"/>
      <c r="AC404" s="23">
        <f>IFERROR(Q404-Z404, "NA")</f>
        <v>-70991.120000000199</v>
      </c>
      <c r="AD404" s="24">
        <f>IFERROR(AC404/AC444, "NA")</f>
        <v>-2.6775350470946897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648</v>
      </c>
      <c r="AA408" s="8">
        <f>IFERROR(Z408/Z444, "NA")</f>
        <v>1.2144152893985368E-3</v>
      </c>
      <c r="AB408" s="9"/>
      <c r="AC408" s="10">
        <f t="shared" si="103"/>
        <v>648</v>
      </c>
      <c r="AD408" s="8">
        <f>IFERROR(AC408/AC444, "NA")</f>
        <v>2.44402780307925E-2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2891.92</v>
      </c>
      <c r="C410" s="8">
        <f>IFERROR(B410/B444, "NA")</f>
        <v>2.5504009143598953E-2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-2891.92</v>
      </c>
      <c r="I410" s="8">
        <f>IFERROR(H410/H444, "NA")</f>
        <v>0.10908422916016777</v>
      </c>
      <c r="J410" s="9"/>
      <c r="K410" s="7">
        <v>3009.38</v>
      </c>
      <c r="L410" s="8">
        <f>IFERROR(K410/K444, "NA")</f>
        <v>2.4952383779400025E-2</v>
      </c>
      <c r="M410" s="9"/>
      <c r="N410" s="10">
        <f t="shared" si="101"/>
        <v>117.46000000000004</v>
      </c>
      <c r="O410" s="8">
        <f>IFERROR(N410/N444, "NA")</f>
        <v>-1.6281980729431631E-2</v>
      </c>
      <c r="P410" s="9"/>
      <c r="Q410" s="7">
        <v>17794.099999999999</v>
      </c>
      <c r="R410" s="8">
        <f>IFERROR(Q410/Q444, "NA")</f>
        <v>3.1769293877046668E-2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-17794.099999999999</v>
      </c>
      <c r="X410" s="8">
        <f>IFERROR(W410/W444, "NA")</f>
        <v>0.30093398261918952</v>
      </c>
      <c r="Y410" s="9"/>
      <c r="Z410" s="7">
        <v>42038.61</v>
      </c>
      <c r="AA410" s="8">
        <f>IFERROR(Z410/Z444, "NA")</f>
        <v>7.8784461001639244E-2</v>
      </c>
      <c r="AB410" s="9"/>
      <c r="AC410" s="10">
        <f t="shared" si="103"/>
        <v>24244.510000000002</v>
      </c>
      <c r="AD410" s="8">
        <f>IFERROR(AC410/AC444, "NA")</f>
        <v>0.91441753876594001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-26.29</v>
      </c>
      <c r="C416" s="8">
        <f>IFERROR(B416/B444, "NA")</f>
        <v>-2.318530251131485E-4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26.29</v>
      </c>
      <c r="I416" s="8">
        <f>IFERROR(H416/H444, "NA")</f>
        <v>-9.916679523018653E-4</v>
      </c>
      <c r="J416" s="9"/>
      <c r="K416" s="7">
        <v>-39.630000000000003</v>
      </c>
      <c r="L416" s="8">
        <f>IFERROR(K416/K444, "NA")</f>
        <v>-3.2859358711017652E-4</v>
      </c>
      <c r="M416" s="9"/>
      <c r="N416" s="10">
        <f t="shared" si="101"/>
        <v>-13.340000000000003</v>
      </c>
      <c r="O416" s="8">
        <f>IFERROR(N416/N444, "NA")</f>
        <v>1.8491539496902601E-3</v>
      </c>
      <c r="P416" s="9"/>
      <c r="Q416" s="7">
        <v>-138.91999999999999</v>
      </c>
      <c r="R416" s="8">
        <f>IFERROR(Q416/Q444, "NA")</f>
        <v>-2.4802548627912187E-4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138.91999999999999</v>
      </c>
      <c r="X416" s="8">
        <f>IFERROR(W416/W444, "NA")</f>
        <v>-2.3494163158270329E-3</v>
      </c>
      <c r="Y416" s="9"/>
      <c r="Z416" s="7">
        <v>-181.62</v>
      </c>
      <c r="AA416" s="8">
        <f>IFERROR(Z416/Z444, "NA")</f>
        <v>-3.403736186119788E-4</v>
      </c>
      <c r="AB416" s="9"/>
      <c r="AC416" s="10">
        <f t="shared" si="103"/>
        <v>-42.700000000000017</v>
      </c>
      <c r="AD416" s="8">
        <f>IFERROR(AC416/AC444, "NA")</f>
        <v>-1.6104936294982102E-3</v>
      </c>
    </row>
    <row r="417" spans="1:30" ht="16.5" customHeight="1" x14ac:dyDescent="0.45">
      <c r="A417" s="6" t="s">
        <v>382</v>
      </c>
      <c r="B417" s="7">
        <v>-36.1</v>
      </c>
      <c r="C417" s="8">
        <f>IFERROR(B417/B444, "NA")</f>
        <v>-3.1836798047107879E-4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36.1</v>
      </c>
      <c r="I417" s="8">
        <f>IFERROR(H417/H444, "NA")</f>
        <v>-1.361704567443794E-3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36.1</v>
      </c>
      <c r="O417" s="8">
        <f>IFERROR(N417/N444, "NA")</f>
        <v>-5.0040822776475542E-3</v>
      </c>
      <c r="P417" s="9"/>
      <c r="Q417" s="7">
        <v>12.17</v>
      </c>
      <c r="R417" s="8">
        <f>IFERROR(Q417/Q444, "NA")</f>
        <v>2.1728118111264854E-5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-12.17</v>
      </c>
      <c r="X417" s="8">
        <f>IFERROR(W417/W444, "NA")</f>
        <v>2.0581915176803191E-4</v>
      </c>
      <c r="Y417" s="9"/>
      <c r="Z417" s="7">
        <v>17.27</v>
      </c>
      <c r="AA417" s="8">
        <f>IFERROR(Z417/Z444, "NA")</f>
        <v>3.2365666740606064E-5</v>
      </c>
      <c r="AB417" s="9"/>
      <c r="AC417" s="10">
        <f t="shared" si="103"/>
        <v>5.0999999999999996</v>
      </c>
      <c r="AD417" s="8">
        <f>IFERROR(AC417/AC444, "NA")</f>
        <v>1.9235404005716318E-4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2829.53</v>
      </c>
      <c r="C428" s="15">
        <f>IFERROR(B428/B444, "NA")</f>
        <v>2.4953788138014726E-2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-2829.53</v>
      </c>
      <c r="I428" s="15">
        <f>IFERROR(H428/H444, "NA")</f>
        <v>0.10673085664042212</v>
      </c>
      <c r="J428" s="2"/>
      <c r="K428" s="14">
        <f>IFERROR(K407+K408+K409+K410+K411+K412+K413+K414+K415+K416+K417+K418+K419+K420+K421+K422+K423+K424+K425+K426+K427, "NA")</f>
        <v>2969.75</v>
      </c>
      <c r="L428" s="15">
        <f>IFERROR(K428/K444, "NA")</f>
        <v>2.462379019228985E-2</v>
      </c>
      <c r="M428" s="2"/>
      <c r="N428" s="14">
        <f t="shared" si="101"/>
        <v>140.2199999999998</v>
      </c>
      <c r="O428" s="15">
        <f>IFERROR(N428/N444, "NA")</f>
        <v>-1.9436909057388894E-2</v>
      </c>
      <c r="P428" s="2"/>
      <c r="Q428" s="14">
        <f>IFERROR(Q407+Q408+Q409+Q410+Q411+Q412+Q413+Q414+Q415+Q416+Q417+Q418+Q419+Q420+Q421+Q422+Q423+Q424+Q425+Q426+Q427, "NA")</f>
        <v>17667.349999999999</v>
      </c>
      <c r="R428" s="15">
        <f>IFERROR(Q428/Q444, "NA")</f>
        <v>3.1542996508878811E-2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-17667.349999999999</v>
      </c>
      <c r="X428" s="15">
        <f>IFERROR(W428/W444, "NA")</f>
        <v>0.29879038545513054</v>
      </c>
      <c r="Y428" s="2"/>
      <c r="Z428" s="14">
        <f>IFERROR(Z407+Z408+Z409+Z410+Z411+Z412+Z413+Z414+Z415+Z416+Z417+Z418+Z419+Z420+Z421+Z422+Z423+Z424+Z425+Z426+Z427, "NA")</f>
        <v>42522.259999999995</v>
      </c>
      <c r="AA428" s="15">
        <f>IFERROR(Z428/Z444, "NA")</f>
        <v>7.9690868339166387E-2</v>
      </c>
      <c r="AB428" s="2"/>
      <c r="AC428" s="14">
        <f t="shared" si="103"/>
        <v>24854.909999999996</v>
      </c>
      <c r="AD428" s="15">
        <f>IFERROR(AC428/AC444, "NA")</f>
        <v>0.93743967720729127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2829.53</v>
      </c>
      <c r="C429" s="15">
        <f>IFERROR(B429/B444, "NA")</f>
        <v>2.4953788138014726E-2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-2829.53</v>
      </c>
      <c r="I429" s="15">
        <f>IFERROR(H429/H444, "NA")</f>
        <v>0.10673085664042212</v>
      </c>
      <c r="J429" s="2"/>
      <c r="K429" s="14">
        <f>IFERROR(K407+K408+K409+K410+K411+K412+K413+K414+K415+K416+K417+K418+K419+K420+K421+K422+K423+K424+K425+K426+K427, "NA")</f>
        <v>2969.75</v>
      </c>
      <c r="L429" s="15">
        <f>IFERROR(K429/K444, "NA")</f>
        <v>2.462379019228985E-2</v>
      </c>
      <c r="M429" s="2"/>
      <c r="N429" s="14">
        <f t="shared" si="101"/>
        <v>140.2199999999998</v>
      </c>
      <c r="O429" s="15">
        <f>IFERROR(N429/N444, "NA")</f>
        <v>-1.9436909057388894E-2</v>
      </c>
      <c r="P429" s="2"/>
      <c r="Q429" s="14">
        <f>IFERROR(Q407+Q408+Q409+Q410+Q411+Q412+Q413+Q414+Q415+Q416+Q417+Q418+Q419+Q420+Q421+Q422+Q423+Q424+Q425+Q426+Q427, "NA")</f>
        <v>17667.349999999999</v>
      </c>
      <c r="R429" s="15">
        <f>IFERROR(Q429/Q444, "NA")</f>
        <v>3.1542996508878811E-2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-17667.349999999999</v>
      </c>
      <c r="X429" s="15">
        <f>IFERROR(W429/W444, "NA")</f>
        <v>0.29879038545513054</v>
      </c>
      <c r="Y429" s="2"/>
      <c r="Z429" s="14">
        <f>IFERROR(Z407+Z408+Z409+Z410+Z411+Z412+Z413+Z414+Z415+Z416+Z417+Z418+Z419+Z420+Z421+Z422+Z423+Z424+Z425+Z426+Z427, "NA")</f>
        <v>42522.259999999995</v>
      </c>
      <c r="AA429" s="15">
        <f>IFERROR(Z429/Z444, "NA")</f>
        <v>7.9690868339166387E-2</v>
      </c>
      <c r="AB429" s="2"/>
      <c r="AC429" s="14">
        <f t="shared" si="103"/>
        <v>24854.909999999996</v>
      </c>
      <c r="AD429" s="15">
        <f>IFERROR(AC429/AC444, "NA")</f>
        <v>0.93743967720729127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-4790.990000000018</v>
      </c>
      <c r="C443" s="24">
        <f>IFERROR(B443/B444, "NA")</f>
        <v>-4.2252016918480316E-2</v>
      </c>
      <c r="D443" s="25"/>
      <c r="E443" s="23">
        <f>IFERROR(E404-E429-E442, "NA")</f>
        <v>22441.75</v>
      </c>
      <c r="F443" s="24">
        <f>IFERROR(E443/E444, "NA")</f>
        <v>0.16041085708114033</v>
      </c>
      <c r="G443" s="25"/>
      <c r="H443" s="23">
        <f>IFERROR(B443-E443, "NA")</f>
        <v>-27232.74000000002</v>
      </c>
      <c r="I443" s="24">
        <f>IFERROR(H443/H444, "NA")</f>
        <v>1.0272284332966573</v>
      </c>
      <c r="J443" s="25"/>
      <c r="K443" s="23">
        <f>IFERROR(K404-K429-K442, "NA")</f>
        <v>16202.209999999937</v>
      </c>
      <c r="L443" s="24">
        <f>IFERROR(K443/K444, "NA")</f>
        <v>0.13434121380298644</v>
      </c>
      <c r="M443" s="25"/>
      <c r="N443" s="23">
        <f>IFERROR(B443-K443, "NA")</f>
        <v>-20993.199999999953</v>
      </c>
      <c r="O443" s="24">
        <f>IFERROR(N443/N444, "NA")</f>
        <v>2.9100193925515345</v>
      </c>
      <c r="P443" s="25"/>
      <c r="Q443" s="23">
        <f>IFERROR(Q404-Q429-Q442, "NA")</f>
        <v>-28778.490000000071</v>
      </c>
      <c r="R443" s="24">
        <f>IFERROR(Q443/Q444, "NA")</f>
        <v>-5.1380643367613478E-2</v>
      </c>
      <c r="S443" s="25"/>
      <c r="T443" s="23">
        <f>IFERROR(T404-T429-T442, "NA")</f>
        <v>82583.209999999948</v>
      </c>
      <c r="U443" s="24">
        <f>IFERROR(T443/T444, "NA")</f>
        <v>0.1333636428570032</v>
      </c>
      <c r="V443" s="25"/>
      <c r="W443" s="23">
        <f>IFERROR(Q443-T443, "NA")</f>
        <v>-111361.70000000001</v>
      </c>
      <c r="X443" s="24">
        <f>IFERROR(W443/W444, "NA")</f>
        <v>1.8833500931344325</v>
      </c>
      <c r="Y443" s="25"/>
      <c r="Z443" s="23">
        <f>IFERROR(Z404-Z429-Z442, "NA")</f>
        <v>17357.720000000139</v>
      </c>
      <c r="AA443" s="24">
        <f>IFERROR(Z443/Z444, "NA")</f>
        <v>3.2530062588115652E-2</v>
      </c>
      <c r="AB443" s="25"/>
      <c r="AC443" s="23">
        <f>IFERROR(Q443-Z443, "NA")</f>
        <v>-46136.21000000021</v>
      </c>
      <c r="AD443" s="24">
        <f>IFERROR(AC443/AC444, "NA")</f>
        <v>-1.7400953698873987</v>
      </c>
    </row>
    <row r="444" spans="1:30" ht="15.75" hidden="1" x14ac:dyDescent="0.45">
      <c r="A444" s="26" t="s">
        <v>117</v>
      </c>
      <c r="B444" s="7">
        <v>113390.8</v>
      </c>
      <c r="C444" s="27"/>
      <c r="D444" s="9"/>
      <c r="E444" s="7">
        <v>139901.69</v>
      </c>
      <c r="F444" s="27"/>
      <c r="G444" s="9"/>
      <c r="H444" s="10">
        <f>IFERROR(B444-E444, "NA")</f>
        <v>-26510.89</v>
      </c>
      <c r="I444" s="27"/>
      <c r="J444" s="9"/>
      <c r="K444" s="7">
        <v>120604.91</v>
      </c>
      <c r="L444" s="27"/>
      <c r="M444" s="9"/>
      <c r="N444" s="10">
        <f>IFERROR(B444-K444, "NA")</f>
        <v>-7214.1100000000006</v>
      </c>
      <c r="O444" s="27"/>
      <c r="P444" s="9"/>
      <c r="Q444" s="7">
        <v>560103.73</v>
      </c>
      <c r="R444" s="27"/>
      <c r="S444" s="9"/>
      <c r="T444" s="7">
        <v>619233.31000000006</v>
      </c>
      <c r="U444" s="27"/>
      <c r="V444" s="9"/>
      <c r="W444" s="10">
        <f>IFERROR(Q444-T444, "NA")</f>
        <v>-59129.580000000075</v>
      </c>
      <c r="X444" s="27"/>
      <c r="Y444" s="9"/>
      <c r="Z444" s="7">
        <v>533590.12</v>
      </c>
      <c r="AA444" s="27"/>
      <c r="AB444" s="9"/>
      <c r="AC444" s="10">
        <f>IFERROR(Q444-Z444, "NA")</f>
        <v>26513.609999999986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415</v>
      </c>
      <c r="B3" s="31" t="s">
        <v>415</v>
      </c>
      <c r="C3" s="31" t="s">
        <v>415</v>
      </c>
      <c r="D3" s="31" t="s">
        <v>415</v>
      </c>
      <c r="E3" s="31" t="s">
        <v>415</v>
      </c>
      <c r="F3" s="31" t="s">
        <v>415</v>
      </c>
      <c r="G3" s="31" t="s">
        <v>415</v>
      </c>
      <c r="H3" s="31" t="s">
        <v>415</v>
      </c>
      <c r="I3" s="31" t="s">
        <v>415</v>
      </c>
      <c r="J3" s="31" t="s">
        <v>415</v>
      </c>
      <c r="K3" s="31" t="s">
        <v>415</v>
      </c>
      <c r="L3" s="31" t="s">
        <v>415</v>
      </c>
      <c r="M3" s="31" t="s">
        <v>415</v>
      </c>
      <c r="N3" s="31" t="s">
        <v>415</v>
      </c>
      <c r="O3" s="31" t="s">
        <v>415</v>
      </c>
      <c r="P3" s="31" t="s">
        <v>415</v>
      </c>
      <c r="Q3" s="31" t="s">
        <v>415</v>
      </c>
      <c r="R3" s="31" t="s">
        <v>415</v>
      </c>
      <c r="S3" s="31" t="s">
        <v>415</v>
      </c>
      <c r="T3" s="31" t="s">
        <v>415</v>
      </c>
      <c r="U3" s="31" t="s">
        <v>415</v>
      </c>
      <c r="V3" s="31" t="s">
        <v>415</v>
      </c>
      <c r="W3" s="31" t="s">
        <v>415</v>
      </c>
      <c r="X3" s="31" t="s">
        <v>415</v>
      </c>
      <c r="Y3" s="31" t="s">
        <v>415</v>
      </c>
      <c r="Z3" s="31" t="s">
        <v>415</v>
      </c>
      <c r="AA3" s="31" t="s">
        <v>415</v>
      </c>
      <c r="AB3" s="31" t="s">
        <v>415</v>
      </c>
      <c r="AC3" s="31" t="s">
        <v>415</v>
      </c>
      <c r="AD3" s="31" t="s">
        <v>415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94213.11</v>
      </c>
      <c r="F10" s="8">
        <f>IFERROR(E10/E444, "NA")</f>
        <v>0.58899994973566216</v>
      </c>
      <c r="G10" s="9"/>
      <c r="H10" s="10">
        <f t="shared" ref="H10:H19" si="0">IFERROR(B10-E10, "NA")</f>
        <v>-94213.11</v>
      </c>
      <c r="I10" s="8">
        <f>IFERROR(H10/H444, "NA")</f>
        <v>3.7830938510391263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409616.09</v>
      </c>
      <c r="U10" s="8">
        <f>IFERROR(T10/T444, "NA")</f>
        <v>0.58899998030033507</v>
      </c>
      <c r="V10" s="9"/>
      <c r="W10" s="10">
        <f t="shared" ref="W10:W19" si="2">IFERROR(Q10-T10, "NA")</f>
        <v>-409616.09</v>
      </c>
      <c r="X10" s="8">
        <f>IFERROR(W10/W444, "NA")</f>
        <v>46.171561869829183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72991.38</v>
      </c>
      <c r="C11" s="8">
        <f>IFERROR(B11/B444, "NA")</f>
        <v>0.54047415102956931</v>
      </c>
      <c r="D11" s="9"/>
      <c r="E11" s="7">
        <v>0</v>
      </c>
      <c r="F11" s="8">
        <f>IFERROR(E11/E444, "NA")</f>
        <v>0</v>
      </c>
      <c r="G11" s="9"/>
      <c r="H11" s="10">
        <f t="shared" si="0"/>
        <v>72991.38</v>
      </c>
      <c r="I11" s="8">
        <f>IFERROR(H11/H444, "NA")</f>
        <v>-2.930942847092727</v>
      </c>
      <c r="J11" s="9"/>
      <c r="K11" s="7">
        <v>74202.42</v>
      </c>
      <c r="L11" s="8">
        <f>IFERROR(K11/K444, "NA")</f>
        <v>0.55667698386041997</v>
      </c>
      <c r="M11" s="9"/>
      <c r="N11" s="10">
        <f t="shared" si="1"/>
        <v>-1211.0399999999936</v>
      </c>
      <c r="O11" s="8">
        <f>IFERROR(N11/N444, "NA")</f>
        <v>-0.68991369242600598</v>
      </c>
      <c r="P11" s="9"/>
      <c r="Q11" s="7">
        <v>359849.14</v>
      </c>
      <c r="R11" s="8">
        <f>IFERROR(Q11/Q444, "NA")</f>
        <v>0.52412464021055116</v>
      </c>
      <c r="S11" s="9"/>
      <c r="T11" s="7">
        <v>0</v>
      </c>
      <c r="U11" s="8">
        <f>IFERROR(T11/T444, "NA")</f>
        <v>0</v>
      </c>
      <c r="V11" s="9"/>
      <c r="W11" s="10">
        <f t="shared" si="2"/>
        <v>359849.14</v>
      </c>
      <c r="X11" s="8">
        <f>IFERROR(W11/W444, "NA")</f>
        <v>-40.561875465670362</v>
      </c>
      <c r="Y11" s="9"/>
      <c r="Z11" s="7">
        <v>331575.49</v>
      </c>
      <c r="AA11" s="8">
        <f>IFERROR(Z11/Z444, "NA")</f>
        <v>0.5463259590298728</v>
      </c>
      <c r="AB11" s="9"/>
      <c r="AC11" s="10">
        <f t="shared" si="3"/>
        <v>28273.650000000023</v>
      </c>
      <c r="AD11" s="8">
        <f>IFERROR(AC11/AC444, "NA")</f>
        <v>0.35496071078391439</v>
      </c>
    </row>
    <row r="12" spans="1:30" ht="16.5" customHeight="1" x14ac:dyDescent="0.45">
      <c r="A12" s="12" t="s">
        <v>14</v>
      </c>
      <c r="B12" s="7">
        <v>8539.1</v>
      </c>
      <c r="C12" s="8">
        <f>IFERROR(B12/B444, "NA")</f>
        <v>6.3228874739134883E-2</v>
      </c>
      <c r="D12" s="9"/>
      <c r="E12" s="7">
        <v>0</v>
      </c>
      <c r="F12" s="8">
        <f>IFERROR(E12/E444, "NA")</f>
        <v>0</v>
      </c>
      <c r="G12" s="9"/>
      <c r="H12" s="10">
        <f t="shared" si="0"/>
        <v>8539.1</v>
      </c>
      <c r="I12" s="8">
        <f>IFERROR(H12/H444, "NA")</f>
        <v>-0.34288451685129812</v>
      </c>
      <c r="J12" s="9"/>
      <c r="K12" s="7">
        <v>9355.75</v>
      </c>
      <c r="L12" s="8">
        <f>IFERROR(K12/K444, "NA")</f>
        <v>7.0188151434307997E-2</v>
      </c>
      <c r="M12" s="9"/>
      <c r="N12" s="10">
        <f t="shared" si="1"/>
        <v>-816.64999999999964</v>
      </c>
      <c r="O12" s="8">
        <f>IFERROR(N12/N444, "NA")</f>
        <v>-0.46523485344802856</v>
      </c>
      <c r="P12" s="9"/>
      <c r="Q12" s="7">
        <v>40831.800000000003</v>
      </c>
      <c r="R12" s="8">
        <f>IFERROR(Q12/Q444, "NA")</f>
        <v>5.947201231090668E-2</v>
      </c>
      <c r="S12" s="9"/>
      <c r="T12" s="7">
        <v>0</v>
      </c>
      <c r="U12" s="8">
        <f>IFERROR(T12/T444, "NA")</f>
        <v>0</v>
      </c>
      <c r="V12" s="9"/>
      <c r="W12" s="10">
        <f t="shared" si="2"/>
        <v>40831.800000000003</v>
      </c>
      <c r="X12" s="8">
        <f>IFERROR(W12/W444, "NA")</f>
        <v>-4.60252423179102</v>
      </c>
      <c r="Y12" s="9"/>
      <c r="Z12" s="7">
        <v>36462.65</v>
      </c>
      <c r="AA12" s="8">
        <f>IFERROR(Z12/Z444, "NA")</f>
        <v>6.0078301414922416E-2</v>
      </c>
      <c r="AB12" s="9"/>
      <c r="AC12" s="10">
        <f t="shared" si="3"/>
        <v>4369.1500000000015</v>
      </c>
      <c r="AD12" s="8">
        <f>IFERROR(AC12/AC444, "NA")</f>
        <v>5.4852365701688284E-2</v>
      </c>
    </row>
    <row r="13" spans="1:30" ht="16.5" customHeight="1" x14ac:dyDescent="0.45">
      <c r="A13" s="12" t="s">
        <v>15</v>
      </c>
      <c r="B13" s="7">
        <v>179</v>
      </c>
      <c r="C13" s="8">
        <f>IFERROR(B13/B444, "NA")</f>
        <v>1.3254287428774863E-3</v>
      </c>
      <c r="D13" s="9"/>
      <c r="E13" s="7">
        <v>0</v>
      </c>
      <c r="F13" s="8">
        <f>IFERROR(E13/E444, "NA")</f>
        <v>0</v>
      </c>
      <c r="G13" s="9"/>
      <c r="H13" s="10">
        <f t="shared" si="0"/>
        <v>179</v>
      </c>
      <c r="I13" s="8">
        <f>IFERROR(H13/H444, "NA")</f>
        <v>-7.1876811978290878E-3</v>
      </c>
      <c r="J13" s="9"/>
      <c r="K13" s="7">
        <v>402.5</v>
      </c>
      <c r="L13" s="8">
        <f>IFERROR(K13/K444, "NA")</f>
        <v>3.0196115706714018E-3</v>
      </c>
      <c r="M13" s="9"/>
      <c r="N13" s="10">
        <f t="shared" si="1"/>
        <v>-223.5</v>
      </c>
      <c r="O13" s="8">
        <f>IFERROR(N13/N444, "NA")</f>
        <v>-0.12732503489332569</v>
      </c>
      <c r="P13" s="9"/>
      <c r="Q13" s="7">
        <v>2213</v>
      </c>
      <c r="R13" s="8">
        <f>IFERROR(Q13/Q444, "NA")</f>
        <v>3.2232613610969018E-3</v>
      </c>
      <c r="S13" s="9"/>
      <c r="T13" s="7">
        <v>0</v>
      </c>
      <c r="U13" s="8">
        <f>IFERROR(T13/T444, "NA")</f>
        <v>0</v>
      </c>
      <c r="V13" s="9"/>
      <c r="W13" s="10">
        <f t="shared" si="2"/>
        <v>2213</v>
      </c>
      <c r="X13" s="8">
        <f>IFERROR(W13/W444, "NA")</f>
        <v>-0.24944739455408596</v>
      </c>
      <c r="Y13" s="9"/>
      <c r="Z13" s="7">
        <v>1190.49</v>
      </c>
      <c r="AA13" s="8">
        <f>IFERROR(Z13/Z444, "NA")</f>
        <v>1.9615309652877941E-3</v>
      </c>
      <c r="AB13" s="9"/>
      <c r="AC13" s="10">
        <f t="shared" si="3"/>
        <v>1022.51</v>
      </c>
      <c r="AD13" s="8">
        <f>IFERROR(AC13/AC444, "NA")</f>
        <v>1.2837071845469545E-2</v>
      </c>
    </row>
    <row r="14" spans="1:30" ht="16.5" customHeight="1" x14ac:dyDescent="0.45">
      <c r="A14" s="12" t="s">
        <v>16</v>
      </c>
      <c r="B14" s="7">
        <v>180</v>
      </c>
      <c r="C14" s="8">
        <f>IFERROR(B14/B444, "NA")</f>
        <v>1.3328333727259641E-3</v>
      </c>
      <c r="D14" s="9"/>
      <c r="E14" s="7">
        <v>0</v>
      </c>
      <c r="F14" s="8">
        <f>IFERROR(E14/E444, "NA")</f>
        <v>0</v>
      </c>
      <c r="G14" s="9"/>
      <c r="H14" s="10">
        <f t="shared" si="0"/>
        <v>180</v>
      </c>
      <c r="I14" s="8">
        <f>IFERROR(H14/H444, "NA")</f>
        <v>-7.2278358413923787E-3</v>
      </c>
      <c r="J14" s="9"/>
      <c r="K14" s="7">
        <v>955</v>
      </c>
      <c r="L14" s="8">
        <f>IFERROR(K14/K444, "NA")</f>
        <v>7.1645442235805925E-3</v>
      </c>
      <c r="M14" s="9"/>
      <c r="N14" s="10">
        <f t="shared" si="1"/>
        <v>-775</v>
      </c>
      <c r="O14" s="8">
        <f>IFERROR(N14/N444, "NA")</f>
        <v>-0.44150739168826586</v>
      </c>
      <c r="P14" s="9"/>
      <c r="Q14" s="7">
        <v>3075</v>
      </c>
      <c r="R14" s="8">
        <f>IFERROR(Q14/Q444, "NA")</f>
        <v>4.4787748239371776E-3</v>
      </c>
      <c r="S14" s="9"/>
      <c r="T14" s="7">
        <v>0</v>
      </c>
      <c r="U14" s="8">
        <f>IFERROR(T14/T444, "NA")</f>
        <v>0</v>
      </c>
      <c r="V14" s="9"/>
      <c r="W14" s="10">
        <f t="shared" si="2"/>
        <v>3075</v>
      </c>
      <c r="X14" s="8">
        <f>IFERROR(W14/W444, "NA")</f>
        <v>-0.34661126898048544</v>
      </c>
      <c r="Y14" s="9"/>
      <c r="Z14" s="7">
        <v>3605</v>
      </c>
      <c r="AA14" s="8">
        <f>IFERROR(Z14/Z444, "NA")</f>
        <v>5.9398391669501609E-3</v>
      </c>
      <c r="AB14" s="9"/>
      <c r="AC14" s="10">
        <f t="shared" si="3"/>
        <v>-530</v>
      </c>
      <c r="AD14" s="8">
        <f>IFERROR(AC14/AC444, "NA")</f>
        <v>-6.653869476189826E-3</v>
      </c>
    </row>
    <row r="15" spans="1:30" ht="16.5" customHeight="1" x14ac:dyDescent="0.45">
      <c r="A15" s="12" t="s">
        <v>17</v>
      </c>
      <c r="B15" s="7">
        <v>41</v>
      </c>
      <c r="C15" s="8">
        <f>IFERROR(B15/B444, "NA")</f>
        <v>3.0358982378758068E-4</v>
      </c>
      <c r="D15" s="9"/>
      <c r="E15" s="7">
        <v>0</v>
      </c>
      <c r="F15" s="8">
        <f>IFERROR(E15/E444, "NA")</f>
        <v>0</v>
      </c>
      <c r="G15" s="9"/>
      <c r="H15" s="10">
        <f t="shared" si="0"/>
        <v>41</v>
      </c>
      <c r="I15" s="8">
        <f>IFERROR(H15/H444, "NA")</f>
        <v>-1.6463403860949306E-3</v>
      </c>
      <c r="J15" s="9"/>
      <c r="K15" s="7">
        <v>39</v>
      </c>
      <c r="L15" s="8">
        <f>IFERROR(K15/K444, "NA")</f>
        <v>2.9258348138182526E-4</v>
      </c>
      <c r="M15" s="9"/>
      <c r="N15" s="10">
        <f t="shared" si="1"/>
        <v>2</v>
      </c>
      <c r="O15" s="8">
        <f>IFERROR(N15/N444, "NA")</f>
        <v>1.1393739140342343E-3</v>
      </c>
      <c r="P15" s="9"/>
      <c r="Q15" s="7">
        <v>355</v>
      </c>
      <c r="R15" s="8">
        <f>IFERROR(Q15/Q444, "NA")</f>
        <v>5.1706180894234082E-4</v>
      </c>
      <c r="S15" s="9"/>
      <c r="T15" s="7">
        <v>0</v>
      </c>
      <c r="U15" s="8">
        <f>IFERROR(T15/T444, "NA")</f>
        <v>0</v>
      </c>
      <c r="V15" s="9"/>
      <c r="W15" s="10">
        <f t="shared" si="2"/>
        <v>355</v>
      </c>
      <c r="X15" s="8">
        <f>IFERROR(W15/W444, "NA")</f>
        <v>-4.001528471156824E-2</v>
      </c>
      <c r="Y15" s="9"/>
      <c r="Z15" s="7">
        <v>368</v>
      </c>
      <c r="AA15" s="8">
        <f>IFERROR(Z15/Z444, "NA")</f>
        <v>6.0634141842930915E-4</v>
      </c>
      <c r="AB15" s="9"/>
      <c r="AC15" s="10">
        <f t="shared" si="3"/>
        <v>-13</v>
      </c>
      <c r="AD15" s="8">
        <f>IFERROR(AC15/AC444, "NA")</f>
        <v>-1.6320811922729763E-4</v>
      </c>
    </row>
    <row r="16" spans="1:30" ht="16.5" hidden="1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0</v>
      </c>
      <c r="R16" s="8">
        <f>IFERROR(Q16/Q444, "NA")</f>
        <v>0</v>
      </c>
      <c r="S16" s="9"/>
      <c r="T16" s="7">
        <v>0</v>
      </c>
      <c r="U16" s="8">
        <f>IFERROR(T16/T444, "NA")</f>
        <v>0</v>
      </c>
      <c r="V16" s="9"/>
      <c r="W16" s="10">
        <f t="shared" si="2"/>
        <v>0</v>
      </c>
      <c r="X16" s="8">
        <f>IFERROR(W16/W444, "NA")</f>
        <v>0</v>
      </c>
      <c r="Y16" s="9"/>
      <c r="Z16" s="7">
        <v>0</v>
      </c>
      <c r="AA16" s="8">
        <f>IFERROR(Z16/Z444, "NA")</f>
        <v>0</v>
      </c>
      <c r="AB16" s="9"/>
      <c r="AC16" s="10">
        <f t="shared" si="3"/>
        <v>0</v>
      </c>
      <c r="AD16" s="8">
        <f>IFERROR(AC16/AC444, "NA")</f>
        <v>0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81930.48000000001</v>
      </c>
      <c r="C18" s="15">
        <f>IFERROR(B18/B444, "NA")</f>
        <v>0.6066648777080953</v>
      </c>
      <c r="D18" s="2"/>
      <c r="E18" s="14">
        <f>IFERROR(E10+E11+E12+E13+E14+E15+E16+E17, "NA")</f>
        <v>94213.11</v>
      </c>
      <c r="F18" s="15">
        <f>IFERROR(E18/E444, "NA")</f>
        <v>0.58899994973566216</v>
      </c>
      <c r="G18" s="2"/>
      <c r="H18" s="14">
        <f t="shared" si="0"/>
        <v>-12282.62999999999</v>
      </c>
      <c r="I18" s="15">
        <f>IFERROR(H18/H444, "NA")</f>
        <v>0.49320462966978446</v>
      </c>
      <c r="J18" s="2"/>
      <c r="K18" s="14">
        <f>IFERROR(K10+K11+K12+K13+K14+K15+K16+K17, "NA")</f>
        <v>84954.67</v>
      </c>
      <c r="L18" s="15">
        <f>IFERROR(K18/K444, "NA")</f>
        <v>0.63734187457036173</v>
      </c>
      <c r="M18" s="2"/>
      <c r="N18" s="14">
        <f t="shared" si="1"/>
        <v>-3024.1899999999878</v>
      </c>
      <c r="O18" s="15">
        <f>IFERROR(N18/N444, "NA")</f>
        <v>-1.7228415985415888</v>
      </c>
      <c r="P18" s="2"/>
      <c r="Q18" s="14">
        <f>IFERROR(Q10+Q11+Q12+Q13+Q14+Q15+Q16+Q17, "NA")</f>
        <v>406323.94</v>
      </c>
      <c r="R18" s="15">
        <f>IFERROR(Q18/Q444, "NA")</f>
        <v>0.59181575051543422</v>
      </c>
      <c r="S18" s="2"/>
      <c r="T18" s="14">
        <f>IFERROR(T10+T11+T12+T13+T14+T15+T16+T17, "NA")</f>
        <v>409616.09</v>
      </c>
      <c r="U18" s="15">
        <f>IFERROR(T18/T444, "NA")</f>
        <v>0.58899998030033507</v>
      </c>
      <c r="V18" s="2"/>
      <c r="W18" s="14">
        <f t="shared" si="2"/>
        <v>-3292.1500000000233</v>
      </c>
      <c r="X18" s="15">
        <f>IFERROR(W18/W444, "NA")</f>
        <v>0.37108822412166281</v>
      </c>
      <c r="Y18" s="2"/>
      <c r="Z18" s="14">
        <f>IFERROR(Z10+Z11+Z12+Z13+Z14+Z15+Z16+Z17, "NA")</f>
        <v>373201.63</v>
      </c>
      <c r="AA18" s="15">
        <f>IFERROR(Z18/Z444, "NA")</f>
        <v>0.61491197199546255</v>
      </c>
      <c r="AB18" s="2"/>
      <c r="AC18" s="14">
        <f t="shared" si="3"/>
        <v>33122.31</v>
      </c>
      <c r="AD18" s="15">
        <f>IFERROR(AC18/AC444, "NA")</f>
        <v>0.41583307073565479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13276.21</v>
      </c>
      <c r="F21" s="8">
        <f>IFERROR(E21/E444, "NA")</f>
        <v>8.2999988246647352E-2</v>
      </c>
      <c r="G21" s="9"/>
      <c r="H21" s="10">
        <f t="shared" ref="H21:H29" si="4">IFERROR(B21-E21, "NA")</f>
        <v>-13276.21</v>
      </c>
      <c r="I21" s="8">
        <f>IFERROR(H21/H444, "NA")</f>
        <v>0.53310148042139949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57721.8</v>
      </c>
      <c r="U21" s="8">
        <f>IFERROR(T21/T444, "NA")</f>
        <v>8.3000008771383665E-2</v>
      </c>
      <c r="V21" s="9"/>
      <c r="W21" s="10">
        <f t="shared" ref="W21:W29" si="6">IFERROR(Q21-T21, "NA")</f>
        <v>-57721.8</v>
      </c>
      <c r="X21" s="8">
        <f>IFERROR(W21/W444, "NA")</f>
        <v>6.5063500311667593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10879.34</v>
      </c>
      <c r="C22" s="8">
        <f>IFERROR(B22/B444, "NA")</f>
        <v>8.055748569573605E-2</v>
      </c>
      <c r="D22" s="9"/>
      <c r="E22" s="7">
        <v>0</v>
      </c>
      <c r="F22" s="8">
        <f>IFERROR(E22/E444, "NA")</f>
        <v>0</v>
      </c>
      <c r="G22" s="9"/>
      <c r="H22" s="10">
        <f t="shared" si="4"/>
        <v>10879.34</v>
      </c>
      <c r="I22" s="8">
        <f>IFERROR(H22/H444, "NA")</f>
        <v>-0.4368560199038542</v>
      </c>
      <c r="J22" s="9"/>
      <c r="K22" s="7">
        <v>8646.5</v>
      </c>
      <c r="L22" s="8">
        <f>IFERROR(K22/K444, "NA")</f>
        <v>6.4867258250460302E-2</v>
      </c>
      <c r="M22" s="9"/>
      <c r="N22" s="10">
        <f t="shared" si="5"/>
        <v>2232.84</v>
      </c>
      <c r="O22" s="8">
        <f>IFERROR(N22/N444, "NA")</f>
        <v>1.2720198251061001</v>
      </c>
      <c r="P22" s="9"/>
      <c r="Q22" s="7">
        <v>47258.89</v>
      </c>
      <c r="R22" s="8">
        <f>IFERROR(Q22/Q444, "NA")</f>
        <v>6.8833146907062256E-2</v>
      </c>
      <c r="S22" s="9"/>
      <c r="T22" s="7">
        <v>0</v>
      </c>
      <c r="U22" s="8">
        <f>IFERROR(T22/T444, "NA")</f>
        <v>0</v>
      </c>
      <c r="V22" s="9"/>
      <c r="W22" s="10">
        <f t="shared" si="6"/>
        <v>47258.89</v>
      </c>
      <c r="X22" s="8">
        <f>IFERROR(W22/W444, "NA")</f>
        <v>-5.326980108458268</v>
      </c>
      <c r="Y22" s="9"/>
      <c r="Z22" s="7">
        <v>42580.14</v>
      </c>
      <c r="AA22" s="8">
        <f>IFERROR(Z22/Z444, "NA")</f>
        <v>7.0157887186191745E-2</v>
      </c>
      <c r="AB22" s="9"/>
      <c r="AC22" s="10">
        <f t="shared" si="7"/>
        <v>4678.75</v>
      </c>
      <c r="AD22" s="8">
        <f>IFERROR(AC22/AC444, "NA")</f>
        <v>5.8739229833439904E-2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1407.41</v>
      </c>
      <c r="C24" s="8">
        <f>IFERROR(B24/B444, "NA")</f>
        <v>1.0421350095045828E-2</v>
      </c>
      <c r="D24" s="9"/>
      <c r="E24" s="7">
        <v>0</v>
      </c>
      <c r="F24" s="8">
        <f>IFERROR(E24/E444, "NA")</f>
        <v>0</v>
      </c>
      <c r="G24" s="9"/>
      <c r="H24" s="10">
        <f t="shared" si="4"/>
        <v>1407.41</v>
      </c>
      <c r="I24" s="8">
        <f>IFERROR(H24/H444, "NA")</f>
        <v>-5.651404689741138E-2</v>
      </c>
      <c r="J24" s="9"/>
      <c r="K24" s="7">
        <v>392.68</v>
      </c>
      <c r="L24" s="8">
        <f>IFERROR(K24/K444, "NA")</f>
        <v>2.9459405504875676E-3</v>
      </c>
      <c r="M24" s="9"/>
      <c r="N24" s="10">
        <f t="shared" si="5"/>
        <v>1014.73</v>
      </c>
      <c r="O24" s="8">
        <f>IFERROR(N24/N444, "NA")</f>
        <v>0.57807844589397939</v>
      </c>
      <c r="P24" s="9"/>
      <c r="Q24" s="7">
        <v>6310.87</v>
      </c>
      <c r="R24" s="8">
        <f>IFERROR(Q24/Q444, "NA")</f>
        <v>9.1918587554928165E-3</v>
      </c>
      <c r="S24" s="9"/>
      <c r="T24" s="7">
        <v>0</v>
      </c>
      <c r="U24" s="8">
        <f>IFERROR(T24/T444, "NA")</f>
        <v>0</v>
      </c>
      <c r="V24" s="9"/>
      <c r="W24" s="10">
        <f t="shared" si="6"/>
        <v>6310.87</v>
      </c>
      <c r="X24" s="8">
        <f>IFERROR(W24/W444, "NA")</f>
        <v>-0.71135566148646379</v>
      </c>
      <c r="Y24" s="9"/>
      <c r="Z24" s="7">
        <v>1949.93</v>
      </c>
      <c r="AA24" s="8">
        <f>IFERROR(Z24/Z444, "NA")</f>
        <v>3.2128351142333227E-3</v>
      </c>
      <c r="AB24" s="9"/>
      <c r="AC24" s="10">
        <f t="shared" si="7"/>
        <v>4360.9399999999996</v>
      </c>
      <c r="AD24" s="8">
        <f>IFERROR(AC24/AC444, "NA")</f>
        <v>5.4749293497160866E-2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892.51</v>
      </c>
      <c r="C28" s="8">
        <f>IFERROR(B28/B444, "NA")</f>
        <v>6.6087061860647224E-3</v>
      </c>
      <c r="D28" s="9"/>
      <c r="E28" s="7">
        <v>0</v>
      </c>
      <c r="F28" s="8">
        <f>IFERROR(E28/E444, "NA")</f>
        <v>0</v>
      </c>
      <c r="G28" s="9"/>
      <c r="H28" s="10">
        <f t="shared" si="4"/>
        <v>892.51</v>
      </c>
      <c r="I28" s="8">
        <f>IFERROR(H28/H444, "NA")</f>
        <v>-3.5838420926672845E-2</v>
      </c>
      <c r="J28" s="9"/>
      <c r="K28" s="7">
        <v>886.05</v>
      </c>
      <c r="L28" s="8">
        <f>IFERROR(K28/K444, "NA")</f>
        <v>6.6472716327786218E-3</v>
      </c>
      <c r="M28" s="9"/>
      <c r="N28" s="10">
        <f t="shared" si="5"/>
        <v>6.4600000000000364</v>
      </c>
      <c r="O28" s="8">
        <f>IFERROR(N28/N444, "NA")</f>
        <v>3.6801777423305978E-3</v>
      </c>
      <c r="P28" s="9"/>
      <c r="Q28" s="7">
        <v>5325.11</v>
      </c>
      <c r="R28" s="8">
        <f>IFERROR(Q28/Q444, "NA")</f>
        <v>7.756087350470277E-3</v>
      </c>
      <c r="S28" s="9"/>
      <c r="T28" s="7">
        <v>0</v>
      </c>
      <c r="U28" s="8">
        <f>IFERROR(T28/T444, "NA")</f>
        <v>0</v>
      </c>
      <c r="V28" s="9"/>
      <c r="W28" s="10">
        <f t="shared" si="6"/>
        <v>5325.11</v>
      </c>
      <c r="X28" s="8">
        <f>IFERROR(W28/W444, "NA")</f>
        <v>-0.60024166977582849</v>
      </c>
      <c r="Y28" s="9"/>
      <c r="Z28" s="7">
        <v>5150.88</v>
      </c>
      <c r="AA28" s="8">
        <f>IFERROR(Z28/Z444, "NA")</f>
        <v>8.4869344710846728E-3</v>
      </c>
      <c r="AB28" s="9"/>
      <c r="AC28" s="10">
        <f t="shared" si="7"/>
        <v>174.22999999999956</v>
      </c>
      <c r="AD28" s="8">
        <f>IFERROR(AC28/AC444, "NA")</f>
        <v>2.1873654317670767E-3</v>
      </c>
    </row>
    <row r="29" spans="1:30" ht="16.5" customHeight="1" x14ac:dyDescent="0.45">
      <c r="A29" s="13" t="s">
        <v>30</v>
      </c>
      <c r="B29" s="14">
        <f>IFERROR(B21+B22+B23+B24+B25+B26+B27+B28, "NA")</f>
        <v>13179.26</v>
      </c>
      <c r="C29" s="15">
        <f>IFERROR(B29/B444, "NA")</f>
        <v>9.7587541976846603E-2</v>
      </c>
      <c r="D29" s="2"/>
      <c r="E29" s="14">
        <f>IFERROR(E21+E22+E23+E24+E25+E26+E27+E28, "NA")</f>
        <v>13276.21</v>
      </c>
      <c r="F29" s="15">
        <f>IFERROR(E29/E444, "NA")</f>
        <v>8.2999988246647352E-2</v>
      </c>
      <c r="G29" s="2"/>
      <c r="H29" s="14">
        <f t="shared" si="4"/>
        <v>-96.949999999998909</v>
      </c>
      <c r="I29" s="15">
        <f>IFERROR(H29/H444, "NA")</f>
        <v>3.8929926934610178E-3</v>
      </c>
      <c r="J29" s="2"/>
      <c r="K29" s="14">
        <f>IFERROR(K21+K22+K23+K24+K25+K26+K27+K28, "NA")</f>
        <v>9925.23</v>
      </c>
      <c r="L29" s="15">
        <f>IFERROR(K29/K444, "NA")</f>
        <v>7.44604704337265E-2</v>
      </c>
      <c r="M29" s="2"/>
      <c r="N29" s="14">
        <f t="shared" si="5"/>
        <v>3254.0300000000007</v>
      </c>
      <c r="O29" s="15">
        <f>IFERROR(N29/N444, "NA")</f>
        <v>1.8537784487424103</v>
      </c>
      <c r="P29" s="2"/>
      <c r="Q29" s="14">
        <f>IFERROR(Q21+Q22+Q23+Q24+Q25+Q26+Q27+Q28, "NA")</f>
        <v>58894.87</v>
      </c>
      <c r="R29" s="15">
        <f>IFERROR(Q29/Q444, "NA")</f>
        <v>8.5781093013025347E-2</v>
      </c>
      <c r="S29" s="2"/>
      <c r="T29" s="14">
        <f>IFERROR(T21+T22+T23+T24+T25+T26+T27+T28, "NA")</f>
        <v>57721.8</v>
      </c>
      <c r="U29" s="15">
        <f>IFERROR(T29/T444, "NA")</f>
        <v>8.3000008771383665E-2</v>
      </c>
      <c r="V29" s="2"/>
      <c r="W29" s="14">
        <f t="shared" si="6"/>
        <v>1173.0699999999997</v>
      </c>
      <c r="X29" s="15">
        <f>IFERROR(W29/W444, "NA")</f>
        <v>-0.13222740855380097</v>
      </c>
      <c r="Y29" s="2"/>
      <c r="Z29" s="14">
        <f>IFERROR(Z21+Z22+Z23+Z24+Z25+Z26+Z27+Z28, "NA")</f>
        <v>49680.95</v>
      </c>
      <c r="AA29" s="15">
        <f>IFERROR(Z29/Z444, "NA")</f>
        <v>8.1857656771509732E-2</v>
      </c>
      <c r="AB29" s="2"/>
      <c r="AC29" s="14">
        <f t="shared" si="7"/>
        <v>9213.9200000000055</v>
      </c>
      <c r="AD29" s="15">
        <f>IFERROR(AC29/AC444, "NA")</f>
        <v>0.11567588876236792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24153.11</v>
      </c>
      <c r="F31" s="8">
        <f>IFERROR(E31/E444, "NA")</f>
        <v>0.15100001025292467</v>
      </c>
      <c r="G31" s="9"/>
      <c r="H31" s="10">
        <f t="shared" ref="H31:H40" si="8">IFERROR(B31-E31, "NA")</f>
        <v>-24153.11</v>
      </c>
      <c r="I31" s="8">
        <f>IFERROR(H31/H444, "NA")</f>
        <v>0.96985952299495926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105011.94</v>
      </c>
      <c r="U31" s="8">
        <f>IFERROR(T31/T444, "NA")</f>
        <v>0.15100000244448397</v>
      </c>
      <c r="V31" s="9"/>
      <c r="W31" s="10">
        <f t="shared" ref="W31:W40" si="10">IFERROR(Q31-T31, "NA")</f>
        <v>-105011.94</v>
      </c>
      <c r="X31" s="8">
        <f>IFERROR(W31/W444, "NA")</f>
        <v>11.836852611870764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13584.19</v>
      </c>
      <c r="C33" s="8">
        <f>IFERROR(B33/B444, "NA")</f>
        <v>0.10058589874139064</v>
      </c>
      <c r="D33" s="9"/>
      <c r="E33" s="7">
        <v>0</v>
      </c>
      <c r="F33" s="8">
        <f>IFERROR(E33/E444, "NA")</f>
        <v>0</v>
      </c>
      <c r="G33" s="9"/>
      <c r="H33" s="10">
        <f t="shared" si="8"/>
        <v>13584.19</v>
      </c>
      <c r="I33" s="8">
        <f>IFERROR(H33/H444, "NA")</f>
        <v>-0.54546830754602182</v>
      </c>
      <c r="J33" s="9"/>
      <c r="K33" s="7">
        <v>6410.46</v>
      </c>
      <c r="L33" s="8">
        <f>IFERROR(K33/K444, "NA")</f>
        <v>4.8092171898947066E-2</v>
      </c>
      <c r="M33" s="9"/>
      <c r="N33" s="10">
        <f t="shared" si="9"/>
        <v>7173.7300000000005</v>
      </c>
      <c r="O33" s="8">
        <f>IFERROR(N33/N444, "NA")</f>
        <v>4.0867804141624049</v>
      </c>
      <c r="P33" s="9"/>
      <c r="Q33" s="7">
        <v>56982.96</v>
      </c>
      <c r="R33" s="8">
        <f>IFERROR(Q33/Q444, "NA")</f>
        <v>8.2996372891518441E-2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56982.96</v>
      </c>
      <c r="X33" s="8">
        <f>IFERROR(W33/W444, "NA")</f>
        <v>-6.4230686425574772</v>
      </c>
      <c r="Y33" s="9"/>
      <c r="Z33" s="7">
        <v>34677.46</v>
      </c>
      <c r="AA33" s="8">
        <f>IFERROR(Z33/Z444, "NA")</f>
        <v>5.7136902945450076E-2</v>
      </c>
      <c r="AB33" s="9"/>
      <c r="AC33" s="10">
        <f t="shared" si="11"/>
        <v>22305.5</v>
      </c>
      <c r="AD33" s="8">
        <f>IFERROR(AC33/AC444, "NA")</f>
        <v>0.28003374641726825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1021.13</v>
      </c>
      <c r="C35" s="8">
        <f>IFERROR(B35/B444, "NA")</f>
        <v>7.5610896771759091E-3</v>
      </c>
      <c r="D35" s="9"/>
      <c r="E35" s="7">
        <v>0</v>
      </c>
      <c r="F35" s="8">
        <f>IFERROR(E35/E444, "NA")</f>
        <v>0</v>
      </c>
      <c r="G35" s="9"/>
      <c r="H35" s="10">
        <f t="shared" si="8"/>
        <v>1021.13</v>
      </c>
      <c r="I35" s="8">
        <f>IFERROR(H35/H444, "NA")</f>
        <v>-4.1003111181783326E-2</v>
      </c>
      <c r="J35" s="9"/>
      <c r="K35" s="7">
        <v>0</v>
      </c>
      <c r="L35" s="8">
        <f>IFERROR(K35/K444, "NA")</f>
        <v>0</v>
      </c>
      <c r="M35" s="9"/>
      <c r="N35" s="10">
        <f t="shared" si="9"/>
        <v>1021.13</v>
      </c>
      <c r="O35" s="8">
        <f>IFERROR(N35/N444, "NA")</f>
        <v>0.58172444241888888</v>
      </c>
      <c r="P35" s="9"/>
      <c r="Q35" s="7">
        <v>6357.36</v>
      </c>
      <c r="R35" s="8">
        <f>IFERROR(Q35/Q444, "NA")</f>
        <v>9.2595720047821961E-3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6357.36</v>
      </c>
      <c r="X35" s="8">
        <f>IFERROR(W35/W444, "NA")</f>
        <v>-0.71659597299700128</v>
      </c>
      <c r="Y35" s="9"/>
      <c r="Z35" s="7">
        <v>0</v>
      </c>
      <c r="AA35" s="8">
        <f>IFERROR(Z35/Z444, "NA")</f>
        <v>0</v>
      </c>
      <c r="AB35" s="9"/>
      <c r="AC35" s="10">
        <f t="shared" si="11"/>
        <v>6357.36</v>
      </c>
      <c r="AD35" s="8">
        <f>IFERROR(AC35/AC444, "NA")</f>
        <v>7.9813289911604066E-2</v>
      </c>
    </row>
    <row r="36" spans="1:30" ht="16.5" customHeight="1" x14ac:dyDescent="0.45">
      <c r="A36" s="12" t="s">
        <v>36</v>
      </c>
      <c r="B36" s="7">
        <v>7743.98</v>
      </c>
      <c r="C36" s="8">
        <f>IFERROR(B36/B444, "NA")</f>
        <v>5.7341305454013392E-2</v>
      </c>
      <c r="D36" s="9"/>
      <c r="E36" s="7">
        <v>0</v>
      </c>
      <c r="F36" s="8">
        <f>IFERROR(E36/E444, "NA")</f>
        <v>0</v>
      </c>
      <c r="G36" s="9"/>
      <c r="H36" s="10">
        <f t="shared" si="8"/>
        <v>7743.98</v>
      </c>
      <c r="I36" s="8">
        <f>IFERROR(H36/H444, "NA")</f>
        <v>-0.31095675666125416</v>
      </c>
      <c r="J36" s="9"/>
      <c r="K36" s="7">
        <v>5252.92</v>
      </c>
      <c r="L36" s="8">
        <f>IFERROR(K36/K444, "NA")</f>
        <v>3.9408144128723524E-2</v>
      </c>
      <c r="M36" s="9"/>
      <c r="N36" s="10">
        <f t="shared" si="9"/>
        <v>2491.0599999999995</v>
      </c>
      <c r="O36" s="8">
        <f>IFERROR(N36/N444, "NA")</f>
        <v>1.4191243911470597</v>
      </c>
      <c r="P36" s="9"/>
      <c r="Q36" s="7">
        <v>50615.65</v>
      </c>
      <c r="R36" s="8">
        <f>IFERROR(Q36/Q444, "NA")</f>
        <v>7.3722308590964486E-2</v>
      </c>
      <c r="S36" s="9"/>
      <c r="T36" s="7">
        <v>0</v>
      </c>
      <c r="U36" s="8">
        <f>IFERROR(T36/T444, "NA")</f>
        <v>0</v>
      </c>
      <c r="V36" s="9"/>
      <c r="W36" s="10">
        <f t="shared" si="10"/>
        <v>50615.65</v>
      </c>
      <c r="X36" s="8">
        <f>IFERROR(W36/W444, "NA")</f>
        <v>-5.705351114397434</v>
      </c>
      <c r="Y36" s="9"/>
      <c r="Z36" s="7">
        <v>26242.9</v>
      </c>
      <c r="AA36" s="8">
        <f>IFERROR(Z36/Z444, "NA")</f>
        <v>4.3239557635050316E-2</v>
      </c>
      <c r="AB36" s="9"/>
      <c r="AC36" s="10">
        <f t="shared" si="11"/>
        <v>24372.75</v>
      </c>
      <c r="AD36" s="8">
        <f>IFERROR(AC36/AC444, "NA")</f>
        <v>0.30598697599208602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858.52</v>
      </c>
      <c r="C39" s="8">
        <f>IFERROR(B39/B444, "NA")</f>
        <v>6.3570228175149701E-3</v>
      </c>
      <c r="D39" s="9"/>
      <c r="E39" s="7">
        <v>0</v>
      </c>
      <c r="F39" s="8">
        <f>IFERROR(E39/E444, "NA")</f>
        <v>0</v>
      </c>
      <c r="G39" s="9"/>
      <c r="H39" s="10">
        <f t="shared" si="8"/>
        <v>858.52</v>
      </c>
      <c r="I39" s="8">
        <f>IFERROR(H39/H444, "NA")</f>
        <v>-3.4473564591956579E-2</v>
      </c>
      <c r="J39" s="9"/>
      <c r="K39" s="7">
        <v>1317.5</v>
      </c>
      <c r="L39" s="8">
        <f>IFERROR(K39/K444, "NA")</f>
        <v>9.8840701723219172E-3</v>
      </c>
      <c r="M39" s="9"/>
      <c r="N39" s="10">
        <f t="shared" si="9"/>
        <v>-458.98</v>
      </c>
      <c r="O39" s="8">
        <f>IFERROR(N39/N444, "NA")</f>
        <v>-0.26147491953171648</v>
      </c>
      <c r="P39" s="9"/>
      <c r="Q39" s="7">
        <v>5216.97</v>
      </c>
      <c r="R39" s="8">
        <f>IFERROR(Q39/Q444, "NA")</f>
        <v>7.5985801278814751E-3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5216.97</v>
      </c>
      <c r="X39" s="8">
        <f>IFERROR(W39/W444, "NA")</f>
        <v>-0.58805222501890186</v>
      </c>
      <c r="Y39" s="9"/>
      <c r="Z39" s="7">
        <v>6643.17</v>
      </c>
      <c r="AA39" s="8">
        <f>IFERROR(Z39/Z444, "NA")</f>
        <v>1.0945731306160417E-2</v>
      </c>
      <c r="AB39" s="9"/>
      <c r="AC39" s="10">
        <f t="shared" si="11"/>
        <v>-1426.1999999999998</v>
      </c>
      <c r="AD39" s="8">
        <f>IFERROR(AC39/AC444, "NA")</f>
        <v>-1.7905186126305525E-2</v>
      </c>
    </row>
    <row r="40" spans="1:30" ht="16.5" customHeight="1" x14ac:dyDescent="0.45">
      <c r="A40" s="13" t="s">
        <v>40</v>
      </c>
      <c r="B40" s="14">
        <f>IFERROR(B31+B32+B33+B34+B35+B36+B37+B38+B39, "NA")</f>
        <v>23207.82</v>
      </c>
      <c r="C40" s="15">
        <f>IFERROR(B40/B444, "NA")</f>
        <v>0.1718453166900949</v>
      </c>
      <c r="D40" s="2"/>
      <c r="E40" s="14">
        <f>IFERROR(E31+E32+E33+E34+E35+E36+E37+E38+E39, "NA")</f>
        <v>24153.11</v>
      </c>
      <c r="F40" s="15">
        <f>IFERROR(E40/E444, "NA")</f>
        <v>0.15100001025292467</v>
      </c>
      <c r="G40" s="2"/>
      <c r="H40" s="14">
        <f t="shared" si="8"/>
        <v>-945.29000000000087</v>
      </c>
      <c r="I40" s="15">
        <f>IFERROR(H40/H444, "NA")</f>
        <v>3.7957783013943376E-2</v>
      </c>
      <c r="J40" s="2"/>
      <c r="K40" s="14">
        <f>IFERROR(K31+K32+K33+K34+K35+K36+K37+K38+K39, "NA")</f>
        <v>12980.880000000001</v>
      </c>
      <c r="L40" s="15">
        <f>IFERROR(K40/K444, "NA")</f>
        <v>9.7384386199992512E-2</v>
      </c>
      <c r="M40" s="2"/>
      <c r="N40" s="14">
        <f t="shared" si="9"/>
        <v>10226.939999999999</v>
      </c>
      <c r="O40" s="15">
        <f>IFERROR(N40/N444, "NA")</f>
        <v>5.8261543281966359</v>
      </c>
      <c r="P40" s="2"/>
      <c r="Q40" s="14">
        <f>IFERROR(Q31+Q32+Q33+Q34+Q35+Q36+Q37+Q38+Q39, "NA")</f>
        <v>119172.94</v>
      </c>
      <c r="R40" s="15">
        <f>IFERROR(Q40/Q444, "NA")</f>
        <v>0.17357683361514661</v>
      </c>
      <c r="S40" s="2"/>
      <c r="T40" s="14">
        <f>IFERROR(T31+T32+T33+T34+T35+T36+T37+T38+T39, "NA")</f>
        <v>105011.94</v>
      </c>
      <c r="U40" s="15">
        <f>IFERROR(T40/T444, "NA")</f>
        <v>0.15100000244448397</v>
      </c>
      <c r="V40" s="2"/>
      <c r="W40" s="14">
        <f t="shared" si="10"/>
        <v>14161</v>
      </c>
      <c r="X40" s="15">
        <f>IFERROR(W40/W444, "NA")</f>
        <v>-1.5962153431000503</v>
      </c>
      <c r="Y40" s="2"/>
      <c r="Z40" s="14">
        <f>IFERROR(Z31+Z32+Z33+Z34+Z35+Z36+Z37+Z38+Z39, "NA")</f>
        <v>67563.53</v>
      </c>
      <c r="AA40" s="15">
        <f>IFERROR(Z40/Z444, "NA")</f>
        <v>0.1113221918866608</v>
      </c>
      <c r="AB40" s="2"/>
      <c r="AC40" s="14">
        <f t="shared" si="11"/>
        <v>51609.41</v>
      </c>
      <c r="AD40" s="15">
        <f>IFERROR(AC40/AC444, "NA")</f>
        <v>0.64792882619465286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3847.13</v>
      </c>
      <c r="C43" s="8">
        <f>IFERROR(B43/B444, "NA")</f>
        <v>2.8486573628973545E-2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3847.13</v>
      </c>
      <c r="I43" s="8">
        <f>IFERROR(H43/H444, "NA")</f>
        <v>-0.15448013389164367</v>
      </c>
      <c r="J43" s="9"/>
      <c r="K43" s="7">
        <v>0</v>
      </c>
      <c r="L43" s="8">
        <f>IFERROR(K43/K444, "NA")</f>
        <v>0</v>
      </c>
      <c r="M43" s="9"/>
      <c r="N43" s="10">
        <f>IFERROR(B43-K43, "NA")</f>
        <v>3847.13</v>
      </c>
      <c r="O43" s="8">
        <f>IFERROR(N43/N444, "NA")</f>
        <v>2.1916597829492623</v>
      </c>
      <c r="P43" s="9"/>
      <c r="Q43" s="7">
        <v>15468.14</v>
      </c>
      <c r="R43" s="8">
        <f>IFERROR(Q43/Q444, "NA")</f>
        <v>2.2529533660206703E-2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15468.14</v>
      </c>
      <c r="X43" s="8">
        <f>IFERROR(W43/W444, "NA")</f>
        <v>-1.7435550029814002</v>
      </c>
      <c r="Y43" s="9"/>
      <c r="Z43" s="7">
        <v>13536.25</v>
      </c>
      <c r="AA43" s="8">
        <f>IFERROR(Z43/Z444, "NA")</f>
        <v>2.2303231046776454E-2</v>
      </c>
      <c r="AB43" s="9"/>
      <c r="AC43" s="10">
        <f>IFERROR(Q43-Z43, "NA")</f>
        <v>1931.8899999999994</v>
      </c>
      <c r="AD43" s="8">
        <f>IFERROR(AC43/AC444, "NA")</f>
        <v>2.4253856419540303E-2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31830.92</v>
      </c>
      <c r="F46" s="8">
        <f>IFERROR(E46/E444, "NA")</f>
        <v>0.19900001475420864</v>
      </c>
      <c r="G46" s="9"/>
      <c r="H46" s="10">
        <f t="shared" ref="H46:H62" si="12">IFERROR(B46-E46, "NA")</f>
        <v>-31830.92</v>
      </c>
      <c r="I46" s="8">
        <f>IFERROR(H46/H444, "NA")</f>
        <v>1.2781592468916303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138393.22</v>
      </c>
      <c r="U46" s="8">
        <f>IFERROR(T46/T444, "NA")</f>
        <v>0.19900000474517476</v>
      </c>
      <c r="V46" s="9"/>
      <c r="W46" s="10">
        <f t="shared" ref="W46:W62" si="14">IFERROR(Q46-T46, "NA")</f>
        <v>-138393.22</v>
      </c>
      <c r="X46" s="8">
        <f>IFERROR(W46/W444, "NA")</f>
        <v>15.599560846339999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9577.2199999999993</v>
      </c>
      <c r="C48" s="8">
        <f>IFERROR(B48/B444, "NA")</f>
        <v>7.0915769077436422E-2</v>
      </c>
      <c r="D48" s="9"/>
      <c r="E48" s="7">
        <v>0</v>
      </c>
      <c r="F48" s="8">
        <f>IFERROR(E48/E444, "NA")</f>
        <v>0</v>
      </c>
      <c r="G48" s="9"/>
      <c r="H48" s="10">
        <f t="shared" si="12"/>
        <v>9577.2199999999993</v>
      </c>
      <c r="I48" s="8">
        <f>IFERROR(H48/H444, "NA")</f>
        <v>-0.38456985542722172</v>
      </c>
      <c r="J48" s="9"/>
      <c r="K48" s="7">
        <v>19887.23</v>
      </c>
      <c r="L48" s="8">
        <f>IFERROR(K48/K444, "NA")</f>
        <v>0.14919679457541221</v>
      </c>
      <c r="M48" s="9"/>
      <c r="N48" s="10">
        <f t="shared" si="13"/>
        <v>-10310.01</v>
      </c>
      <c r="O48" s="8">
        <f>IFERROR(N48/N444, "NA")</f>
        <v>-5.8734782237160488</v>
      </c>
      <c r="P48" s="9"/>
      <c r="Q48" s="7">
        <v>87168.13</v>
      </c>
      <c r="R48" s="8">
        <f>IFERROR(Q48/Q444, "NA")</f>
        <v>0.12696143938005952</v>
      </c>
      <c r="S48" s="9"/>
      <c r="T48" s="7">
        <v>0</v>
      </c>
      <c r="U48" s="8">
        <f>IFERROR(T48/T444, "NA")</f>
        <v>0</v>
      </c>
      <c r="V48" s="9"/>
      <c r="W48" s="10">
        <f t="shared" si="14"/>
        <v>87168.13</v>
      </c>
      <c r="X48" s="8">
        <f>IFERROR(W48/W444, "NA")</f>
        <v>-9.8255141964084309</v>
      </c>
      <c r="Y48" s="9"/>
      <c r="Z48" s="7">
        <v>104997.84</v>
      </c>
      <c r="AA48" s="8">
        <f>IFERROR(Z48/Z444, "NA")</f>
        <v>0.17300146531960231</v>
      </c>
      <c r="AB48" s="9"/>
      <c r="AC48" s="10">
        <f t="shared" si="15"/>
        <v>-17829.709999999992</v>
      </c>
      <c r="AD48" s="8">
        <f>IFERROR(AC48/AC444, "NA")</f>
        <v>-0.22384257195908766</v>
      </c>
    </row>
    <row r="49" spans="1:30" ht="16.5" customHeight="1" x14ac:dyDescent="0.45">
      <c r="A49" s="17" t="s">
        <v>47</v>
      </c>
      <c r="B49" s="7">
        <v>10500</v>
      </c>
      <c r="C49" s="8">
        <f>IFERROR(B49/B444, "NA")</f>
        <v>7.7748613409014566E-2</v>
      </c>
      <c r="D49" s="9"/>
      <c r="E49" s="7">
        <v>0</v>
      </c>
      <c r="F49" s="8">
        <f>IFERROR(E49/E444, "NA")</f>
        <v>0</v>
      </c>
      <c r="G49" s="9"/>
      <c r="H49" s="10">
        <f t="shared" si="12"/>
        <v>10500</v>
      </c>
      <c r="I49" s="8">
        <f>IFERROR(H49/H444, "NA")</f>
        <v>-0.42162375741455543</v>
      </c>
      <c r="J49" s="9"/>
      <c r="K49" s="7">
        <v>0</v>
      </c>
      <c r="L49" s="8">
        <f>IFERROR(K49/K444, "NA")</f>
        <v>0</v>
      </c>
      <c r="M49" s="9"/>
      <c r="N49" s="10">
        <f t="shared" si="13"/>
        <v>10500</v>
      </c>
      <c r="O49" s="8">
        <f>IFERROR(N49/N444, "NA")</f>
        <v>5.9817130486797305</v>
      </c>
      <c r="P49" s="9"/>
      <c r="Q49" s="7">
        <v>28653.55</v>
      </c>
      <c r="R49" s="8">
        <f>IFERROR(Q49/Q444, "NA")</f>
        <v>4.1734243367943125E-2</v>
      </c>
      <c r="S49" s="9"/>
      <c r="T49" s="7">
        <v>0</v>
      </c>
      <c r="U49" s="8">
        <f>IFERROR(T49/T444, "NA")</f>
        <v>0</v>
      </c>
      <c r="V49" s="9"/>
      <c r="W49" s="10">
        <f t="shared" si="14"/>
        <v>28653.55</v>
      </c>
      <c r="X49" s="8">
        <f>IFERROR(W49/W444, "NA")</f>
        <v>-3.2298027077384677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28653.55</v>
      </c>
      <c r="AD49" s="8">
        <f>IFERROR(AC49/AC444, "NA")</f>
        <v>0.35973015420656412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11.65</v>
      </c>
      <c r="R54" s="8">
        <f>IFERROR(Q54/Q444, "NA")</f>
        <v>1.6968366406135973E-5</v>
      </c>
      <c r="S54" s="9"/>
      <c r="T54" s="7">
        <v>0</v>
      </c>
      <c r="U54" s="8">
        <f>IFERROR(T54/T444, "NA")</f>
        <v>0</v>
      </c>
      <c r="V54" s="9"/>
      <c r="W54" s="10">
        <f t="shared" si="14"/>
        <v>11.65</v>
      </c>
      <c r="X54" s="8">
        <f>IFERROR(W54/W444, "NA")</f>
        <v>-1.3131776532106197E-3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11.65</v>
      </c>
      <c r="AD54" s="8">
        <f>IFERROR(AC54/AC444, "NA")</f>
        <v>1.4625958376907825E-4</v>
      </c>
    </row>
    <row r="55" spans="1:30" ht="16.5" hidden="1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0</v>
      </c>
      <c r="R55" s="8">
        <f>IFERROR(Q55/Q444, "NA")</f>
        <v>0</v>
      </c>
      <c r="S55" s="9"/>
      <c r="T55" s="7">
        <v>0</v>
      </c>
      <c r="U55" s="8">
        <f>IFERROR(T55/T444, "NA")</f>
        <v>0</v>
      </c>
      <c r="V55" s="9"/>
      <c r="W55" s="10">
        <f t="shared" si="14"/>
        <v>0</v>
      </c>
      <c r="X55" s="8">
        <f>IFERROR(W55/W444, "NA")</f>
        <v>0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0</v>
      </c>
      <c r="AD55" s="8">
        <f>IFERROR(AC55/AC444, "NA")</f>
        <v>0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32.799999999999997</v>
      </c>
      <c r="R56" s="8">
        <f>IFERROR(Q56/Q444, "NA")</f>
        <v>4.777359812199655E-5</v>
      </c>
      <c r="S56" s="9"/>
      <c r="T56" s="7">
        <v>0</v>
      </c>
      <c r="U56" s="8">
        <f>IFERROR(T56/T444, "NA")</f>
        <v>0</v>
      </c>
      <c r="V56" s="9"/>
      <c r="W56" s="10">
        <f t="shared" si="14"/>
        <v>32.799999999999997</v>
      </c>
      <c r="X56" s="8">
        <f>IFERROR(W56/W444, "NA")</f>
        <v>-3.697186869125178E-3</v>
      </c>
      <c r="Y56" s="9"/>
      <c r="Z56" s="7">
        <v>887.25</v>
      </c>
      <c r="AA56" s="8">
        <f>IFERROR(Z56/Z444, "NA")</f>
        <v>1.4618924551668599E-3</v>
      </c>
      <c r="AB56" s="9"/>
      <c r="AC56" s="10">
        <f t="shared" si="15"/>
        <v>-854.45</v>
      </c>
      <c r="AD56" s="8">
        <f>IFERROR(AC56/AC444, "NA")</f>
        <v>-1.0727167497981882E-2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20077.22</v>
      </c>
      <c r="C61" s="15">
        <f>IFERROR(B61/B444, "NA")</f>
        <v>0.148664382486451</v>
      </c>
      <c r="D61" s="2"/>
      <c r="E61" s="14">
        <f>IFERROR(E46+E47+E48+E49+E50+E51+E52+E53+E54+E55+E56+E57+E58+E59+E60, "NA")</f>
        <v>31830.92</v>
      </c>
      <c r="F61" s="15">
        <f>IFERROR(E61/E444, "NA")</f>
        <v>0.19900001475420864</v>
      </c>
      <c r="G61" s="2"/>
      <c r="H61" s="14">
        <f t="shared" si="12"/>
        <v>-11753.699999999997</v>
      </c>
      <c r="I61" s="15">
        <f>IFERROR(H61/H444, "NA")</f>
        <v>0.4719656340498532</v>
      </c>
      <c r="J61" s="2"/>
      <c r="K61" s="14">
        <f>IFERROR(K46+K47+K48+K49+K50+K51+K52+K53+K54+K55+K56+K57+K58+K59+K60, "NA")</f>
        <v>19887.23</v>
      </c>
      <c r="L61" s="15">
        <f>IFERROR(K61/K444, "NA")</f>
        <v>0.14919679457541221</v>
      </c>
      <c r="M61" s="2"/>
      <c r="N61" s="14">
        <f t="shared" si="13"/>
        <v>189.9900000000016</v>
      </c>
      <c r="O61" s="15">
        <f>IFERROR(N61/N444, "NA")</f>
        <v>0.10823482496368302</v>
      </c>
      <c r="P61" s="2"/>
      <c r="Q61" s="14">
        <f>IFERROR(Q46+Q47+Q48+Q49+Q50+Q51+Q52+Q53+Q54+Q55+Q56+Q57+Q58+Q59+Q60, "NA")</f>
        <v>115866.13</v>
      </c>
      <c r="R61" s="15">
        <f>IFERROR(Q61/Q444, "NA")</f>
        <v>0.16876042471253078</v>
      </c>
      <c r="S61" s="2"/>
      <c r="T61" s="14">
        <f>IFERROR(T46+T47+T48+T49+T50+T51+T52+T53+T54+T55+T56+T57+T58+T59+T60, "NA")</f>
        <v>138393.22</v>
      </c>
      <c r="U61" s="15">
        <f>IFERROR(T61/T444, "NA")</f>
        <v>0.19900000474517476</v>
      </c>
      <c r="V61" s="2"/>
      <c r="W61" s="14">
        <f t="shared" si="14"/>
        <v>-22527.089999999997</v>
      </c>
      <c r="X61" s="15">
        <f>IFERROR(W61/W444, "NA")</f>
        <v>2.5392335776707653</v>
      </c>
      <c r="Y61" s="2"/>
      <c r="Z61" s="14">
        <f>IFERROR(Z46+Z47+Z48+Z49+Z50+Z51+Z52+Z53+Z54+Z55+Z56+Z57+Z58+Z59+Z60, "NA")</f>
        <v>105885.09</v>
      </c>
      <c r="AA61" s="15">
        <f>IFERROR(Z61/Z444, "NA")</f>
        <v>0.17446335777476915</v>
      </c>
      <c r="AB61" s="2"/>
      <c r="AC61" s="14">
        <f t="shared" si="15"/>
        <v>9981.0400000000081</v>
      </c>
      <c r="AD61" s="15">
        <f>IFERROR(AC61/AC444, "NA")</f>
        <v>0.1253066743332637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23924.35</v>
      </c>
      <c r="C62" s="15">
        <f>IFERROR(B62/B444, "NA")</f>
        <v>0.17715095611542453</v>
      </c>
      <c r="D62" s="2"/>
      <c r="E62" s="14">
        <f>IFERROR(E42+E43+E44+E46+E47+E48+E49+E50+E51+E52+E53+E54+E55+E56+E57+E58+E59+E60, "NA")</f>
        <v>31830.92</v>
      </c>
      <c r="F62" s="15">
        <f>IFERROR(E62/E444, "NA")</f>
        <v>0.19900001475420864</v>
      </c>
      <c r="G62" s="2"/>
      <c r="H62" s="14">
        <f t="shared" si="12"/>
        <v>-7906.57</v>
      </c>
      <c r="I62" s="15">
        <f>IFERROR(H62/H444, "NA")</f>
        <v>0.31748550015820964</v>
      </c>
      <c r="J62" s="2"/>
      <c r="K62" s="14">
        <f>IFERROR(K42+K43+K44+K46+K47+K48+K49+K50+K51+K52+K53+K54+K55+K56+K57+K58+K59+K60, "NA")</f>
        <v>19887.23</v>
      </c>
      <c r="L62" s="15">
        <f>IFERROR(K62/K444, "NA")</f>
        <v>0.14919679457541221</v>
      </c>
      <c r="M62" s="2"/>
      <c r="N62" s="14">
        <f t="shared" si="13"/>
        <v>4037.119999999999</v>
      </c>
      <c r="O62" s="15">
        <f>IFERROR(N62/N444, "NA")</f>
        <v>2.2998946079129436</v>
      </c>
      <c r="P62" s="2"/>
      <c r="Q62" s="14">
        <f>IFERROR(Q42+Q43+Q44+Q46+Q47+Q48+Q49+Q50+Q51+Q52+Q53+Q54+Q55+Q56+Q57+Q58+Q59+Q60, "NA")</f>
        <v>131334.26999999999</v>
      </c>
      <c r="R62" s="15">
        <f>IFERROR(Q62/Q444, "NA")</f>
        <v>0.19128995837273746</v>
      </c>
      <c r="S62" s="2"/>
      <c r="T62" s="14">
        <f>IFERROR(T42+T43+T44+T46+T47+T48+T49+T50+T51+T52+T53+T54+T55+T56+T57+T58+T59+T60, "NA")</f>
        <v>138393.22</v>
      </c>
      <c r="U62" s="15">
        <f>IFERROR(T62/T444, "NA")</f>
        <v>0.19900000474517476</v>
      </c>
      <c r="V62" s="2"/>
      <c r="W62" s="14">
        <f t="shared" si="14"/>
        <v>-7058.9500000000116</v>
      </c>
      <c r="X62" s="15">
        <f>IFERROR(W62/W444, "NA")</f>
        <v>0.79567857468936642</v>
      </c>
      <c r="Y62" s="2"/>
      <c r="Z62" s="14">
        <f>IFERROR(Z42+Z43+Z44+Z46+Z47+Z48+Z49+Z50+Z51+Z52+Z53+Z54+Z55+Z56+Z57+Z58+Z59+Z60, "NA")</f>
        <v>119421.34</v>
      </c>
      <c r="AA62" s="15">
        <f>IFERROR(Z62/Z444, "NA")</f>
        <v>0.1967665888215456</v>
      </c>
      <c r="AB62" s="2"/>
      <c r="AC62" s="14">
        <f t="shared" si="15"/>
        <v>11912.929999999993</v>
      </c>
      <c r="AD62" s="15">
        <f>IFERROR(AC62/AC444, "NA")</f>
        <v>0.14956053075280382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0</v>
      </c>
      <c r="C65" s="8">
        <f>IFERROR(B65/B444, "NA")</f>
        <v>0</v>
      </c>
      <c r="D65" s="9"/>
      <c r="E65" s="7">
        <v>0</v>
      </c>
      <c r="F65" s="8">
        <f>IFERROR(E65/E444, "NA")</f>
        <v>0</v>
      </c>
      <c r="G65" s="9"/>
      <c r="H65" s="10">
        <f t="shared" si="16"/>
        <v>0</v>
      </c>
      <c r="I65" s="8">
        <f>IFERROR(H65/H444, "NA")</f>
        <v>0</v>
      </c>
      <c r="J65" s="9"/>
      <c r="K65" s="7">
        <v>856.05</v>
      </c>
      <c r="L65" s="8">
        <f>IFERROR(K65/K444, "NA")</f>
        <v>6.4222074163310643E-3</v>
      </c>
      <c r="M65" s="9"/>
      <c r="N65" s="10">
        <f t="shared" si="17"/>
        <v>-856.05</v>
      </c>
      <c r="O65" s="8">
        <f>IFERROR(N65/N444, "NA")</f>
        <v>-0.48768051955450314</v>
      </c>
      <c r="P65" s="9"/>
      <c r="Q65" s="7">
        <v>2609.59</v>
      </c>
      <c r="R65" s="8">
        <f>IFERROR(Q65/Q444, "NA")</f>
        <v>3.8008995098530794E-3</v>
      </c>
      <c r="S65" s="9"/>
      <c r="T65" s="7">
        <v>0</v>
      </c>
      <c r="U65" s="8">
        <f>IFERROR(T65/T444, "NA")</f>
        <v>0</v>
      </c>
      <c r="V65" s="9"/>
      <c r="W65" s="10">
        <f t="shared" si="18"/>
        <v>2609.59</v>
      </c>
      <c r="X65" s="8">
        <f>IFERROR(W65/W444, "NA")</f>
        <v>-0.29415066712806021</v>
      </c>
      <c r="Y65" s="9"/>
      <c r="Z65" s="7">
        <v>1603.89</v>
      </c>
      <c r="AA65" s="8">
        <f>IFERROR(Z65/Z444, "NA")</f>
        <v>2.6426764608820236E-3</v>
      </c>
      <c r="AB65" s="9"/>
      <c r="AC65" s="10">
        <f t="shared" si="19"/>
        <v>1005.7</v>
      </c>
      <c r="AD65" s="8">
        <f>IFERROR(AC65/AC444, "NA")</f>
        <v>1.2626031192837941E-2</v>
      </c>
    </row>
    <row r="66" spans="1:30" ht="16.5" customHeight="1" x14ac:dyDescent="0.45">
      <c r="A66" s="12" t="s">
        <v>63</v>
      </c>
      <c r="B66" s="7">
        <v>11.85</v>
      </c>
      <c r="C66" s="8">
        <f>IFERROR(B66/B444, "NA")</f>
        <v>8.774486370445929E-5</v>
      </c>
      <c r="D66" s="9"/>
      <c r="E66" s="7">
        <v>0</v>
      </c>
      <c r="F66" s="8">
        <f>IFERROR(E66/E444, "NA")</f>
        <v>0</v>
      </c>
      <c r="G66" s="9"/>
      <c r="H66" s="10">
        <f t="shared" si="16"/>
        <v>11.85</v>
      </c>
      <c r="I66" s="8">
        <f>IFERROR(H66/H444, "NA")</f>
        <v>-4.7583252622499824E-4</v>
      </c>
      <c r="J66" s="9"/>
      <c r="K66" s="7">
        <v>6979.02</v>
      </c>
      <c r="L66" s="8">
        <f>IFERROR(K66/K444, "NA")</f>
        <v>5.2357588929061186E-2</v>
      </c>
      <c r="M66" s="9"/>
      <c r="N66" s="10">
        <f t="shared" si="17"/>
        <v>-6967.17</v>
      </c>
      <c r="O66" s="8">
        <f>IFERROR(N66/N444, "NA")</f>
        <v>-3.9691058763209486</v>
      </c>
      <c r="P66" s="9"/>
      <c r="Q66" s="7">
        <v>11.85</v>
      </c>
      <c r="R66" s="8">
        <f>IFERROR(Q66/Q444, "NA")</f>
        <v>1.7259668833709122E-5</v>
      </c>
      <c r="S66" s="9"/>
      <c r="T66" s="7">
        <v>0</v>
      </c>
      <c r="U66" s="8">
        <f>IFERROR(T66/T444, "NA")</f>
        <v>0</v>
      </c>
      <c r="V66" s="9"/>
      <c r="W66" s="10">
        <f t="shared" si="18"/>
        <v>11.85</v>
      </c>
      <c r="X66" s="8">
        <f>IFERROR(W66/W444, "NA")</f>
        <v>-1.3357214755833342E-3</v>
      </c>
      <c r="Y66" s="9"/>
      <c r="Z66" s="7">
        <v>6979.02</v>
      </c>
      <c r="AA66" s="8">
        <f>IFERROR(Z66/Z444, "NA")</f>
        <v>1.1499100233822057E-2</v>
      </c>
      <c r="AB66" s="9"/>
      <c r="AC66" s="10">
        <f t="shared" si="19"/>
        <v>-6967.17</v>
      </c>
      <c r="AD66" s="8">
        <f>IFERROR(AC66/AC444, "NA")</f>
        <v>-8.7469131695142407E-2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11.85</v>
      </c>
      <c r="C73" s="15">
        <f>IFERROR(B73/B444, "NA")</f>
        <v>8.774486370445929E-5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11.85</v>
      </c>
      <c r="I73" s="15">
        <f>IFERROR(H73/H444, "NA")</f>
        <v>-4.7583252622499824E-4</v>
      </c>
      <c r="J73" s="2"/>
      <c r="K73" s="14">
        <f>IFERROR(K64+K65+K66+K67+K68+K69+K70+K71+K72, "NA")</f>
        <v>7835.0700000000006</v>
      </c>
      <c r="L73" s="15">
        <f>IFERROR(K73/K444, "NA")</f>
        <v>5.8779796345392252E-2</v>
      </c>
      <c r="M73" s="2"/>
      <c r="N73" s="14">
        <f t="shared" si="17"/>
        <v>-7823.22</v>
      </c>
      <c r="O73" s="15">
        <f>IFERROR(N73/N444, "NA")</f>
        <v>-4.4567863958754517</v>
      </c>
      <c r="P73" s="2"/>
      <c r="Q73" s="14">
        <f>IFERROR(Q64+Q65+Q66+Q67+Q68+Q69+Q70+Q71+Q72, "NA")</f>
        <v>2621.44</v>
      </c>
      <c r="R73" s="15">
        <f>IFERROR(Q73/Q444, "NA")</f>
        <v>3.8181591786867882E-3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2621.44</v>
      </c>
      <c r="X73" s="15">
        <f>IFERROR(W73/W444, "NA")</f>
        <v>-0.29548638860364351</v>
      </c>
      <c r="Y73" s="2"/>
      <c r="Z73" s="14">
        <f>IFERROR(Z64+Z65+Z66+Z67+Z68+Z69+Z70+Z71+Z72, "NA")</f>
        <v>8582.91</v>
      </c>
      <c r="AA73" s="15">
        <f>IFERROR(Z73/Z444, "NA")</f>
        <v>1.4141776694704079E-2</v>
      </c>
      <c r="AB73" s="2"/>
      <c r="AC73" s="14">
        <f t="shared" si="19"/>
        <v>-5961.4699999999993</v>
      </c>
      <c r="AD73" s="15">
        <f>IFERROR(AC73/AC444, "NA")</f>
        <v>-7.4843100502304458E-2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2079.41</v>
      </c>
      <c r="F75" s="8">
        <f>IFERROR(E75/E444, "NA")</f>
        <v>1.3000020755920626E-2</v>
      </c>
      <c r="G75" s="9"/>
      <c r="H75" s="10">
        <f t="shared" ref="H75:H92" si="20">IFERROR(B75-E75, "NA")</f>
        <v>-2079.41</v>
      </c>
      <c r="I75" s="8">
        <f>IFERROR(H75/H444, "NA")</f>
        <v>8.3497967371942913E-2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9040.76</v>
      </c>
      <c r="U75" s="8">
        <f>IFERROR(T75/T444, "NA")</f>
        <v>1.299999582999793E-2</v>
      </c>
      <c r="V75" s="9"/>
      <c r="W75" s="10">
        <f t="shared" ref="W75:W92" si="22">IFERROR(Q75-T75, "NA")</f>
        <v>-9040.76</v>
      </c>
      <c r="X75" s="8">
        <f>IFERROR(W75/W444, "NA")</f>
        <v>1.0190664377717118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432.63</v>
      </c>
      <c r="C77" s="8">
        <f>IFERROR(B77/B444, "NA")</f>
        <v>3.2034650113468544E-3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432.63</v>
      </c>
      <c r="I77" s="8">
        <f>IFERROR(H77/H444, "NA")</f>
        <v>-1.7372103444786582E-2</v>
      </c>
      <c r="J77" s="9"/>
      <c r="K77" s="7">
        <v>95.68</v>
      </c>
      <c r="L77" s="8">
        <f>IFERROR(K77/K444, "NA")</f>
        <v>7.1780480765674471E-4</v>
      </c>
      <c r="M77" s="9"/>
      <c r="N77" s="10">
        <f t="shared" si="21"/>
        <v>336.95</v>
      </c>
      <c r="O77" s="8">
        <f>IFERROR(N77/N444, "NA")</f>
        <v>0.19195602016691762</v>
      </c>
      <c r="P77" s="9"/>
      <c r="Q77" s="7">
        <v>1769.06</v>
      </c>
      <c r="R77" s="8">
        <f>IFERROR(Q77/Q444, "NA")</f>
        <v>2.5766573626127814E-3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1769.06</v>
      </c>
      <c r="X77" s="8">
        <f>IFERROR(W77/W444, "NA")</f>
        <v>-0.19940687203337157</v>
      </c>
      <c r="Y77" s="9"/>
      <c r="Z77" s="7">
        <v>454.48</v>
      </c>
      <c r="AA77" s="8">
        <f>IFERROR(Z77/Z444, "NA")</f>
        <v>7.4883165176019674E-4</v>
      </c>
      <c r="AB77" s="9"/>
      <c r="AC77" s="10">
        <f t="shared" si="23"/>
        <v>1314.58</v>
      </c>
      <c r="AD77" s="8">
        <f>IFERROR(AC77/AC444, "NA")</f>
        <v>1.6503856105678533E-2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5.98</v>
      </c>
      <c r="L79" s="8">
        <f>IFERROR(K79/K444, "NA")</f>
        <v>4.4862800478546544E-5</v>
      </c>
      <c r="M79" s="9"/>
      <c r="N79" s="10">
        <f t="shared" si="21"/>
        <v>-5.98</v>
      </c>
      <c r="O79" s="8">
        <f>IFERROR(N79/N444, "NA")</f>
        <v>-3.4067280029623612E-3</v>
      </c>
      <c r="P79" s="9"/>
      <c r="Q79" s="7">
        <v>5.1100000000000003</v>
      </c>
      <c r="R79" s="8">
        <f>IFERROR(Q79/Q444, "NA")</f>
        <v>7.4427770244939767E-6</v>
      </c>
      <c r="S79" s="9"/>
      <c r="T79" s="7">
        <v>0</v>
      </c>
      <c r="U79" s="8">
        <f>IFERROR(T79/T444, "NA")</f>
        <v>0</v>
      </c>
      <c r="V79" s="9"/>
      <c r="W79" s="10">
        <f t="shared" si="22"/>
        <v>5.1100000000000003</v>
      </c>
      <c r="X79" s="8">
        <f>IFERROR(W79/W444, "NA")</f>
        <v>-5.7599466162285549E-4</v>
      </c>
      <c r="Y79" s="9"/>
      <c r="Z79" s="7">
        <v>17.940000000000001</v>
      </c>
      <c r="AA79" s="8">
        <f>IFERROR(Z79/Z444, "NA")</f>
        <v>2.9559144148428819E-5</v>
      </c>
      <c r="AB79" s="9"/>
      <c r="AC79" s="10">
        <f t="shared" si="23"/>
        <v>-12.830000000000002</v>
      </c>
      <c r="AD79" s="8">
        <f>IFERROR(AC79/AC444, "NA")</f>
        <v>-1.61073859206633E-4</v>
      </c>
    </row>
    <row r="80" spans="1:30" ht="16.5" customHeight="1" x14ac:dyDescent="0.45">
      <c r="A80" s="12" t="s">
        <v>76</v>
      </c>
      <c r="B80" s="7">
        <v>927.18</v>
      </c>
      <c r="C80" s="8">
        <f>IFERROR(B80/B444, "NA")</f>
        <v>6.8654247029114402E-3</v>
      </c>
      <c r="D80" s="9"/>
      <c r="E80" s="7">
        <v>0</v>
      </c>
      <c r="F80" s="8">
        <f>IFERROR(E80/E444, "NA")</f>
        <v>0</v>
      </c>
      <c r="G80" s="9"/>
      <c r="H80" s="10">
        <f t="shared" si="20"/>
        <v>927.18</v>
      </c>
      <c r="I80" s="8">
        <f>IFERROR(H80/H444, "NA")</f>
        <v>-3.7230582419012143E-2</v>
      </c>
      <c r="J80" s="9"/>
      <c r="K80" s="7">
        <v>1370</v>
      </c>
      <c r="L80" s="8">
        <f>IFERROR(K80/K444, "NA")</f>
        <v>1.0277932551105144E-2</v>
      </c>
      <c r="M80" s="9"/>
      <c r="N80" s="10">
        <f t="shared" si="21"/>
        <v>-442.82000000000005</v>
      </c>
      <c r="O80" s="8">
        <f>IFERROR(N80/N444, "NA")</f>
        <v>-0.25226877830631989</v>
      </c>
      <c r="P80" s="9"/>
      <c r="Q80" s="7">
        <v>7400.68</v>
      </c>
      <c r="R80" s="8">
        <f>IFERROR(Q80/Q444, "NA")</f>
        <v>1.077918024846029E-2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7400.68</v>
      </c>
      <c r="X80" s="8">
        <f>IFERROR(W80/W444, "NA")</f>
        <v>-0.83419807678650382</v>
      </c>
      <c r="Y80" s="9"/>
      <c r="Z80" s="7">
        <v>8880.27</v>
      </c>
      <c r="AA80" s="8">
        <f>IFERROR(Z80/Z444, "NA")</f>
        <v>1.4631726923465328E-2</v>
      </c>
      <c r="AB80" s="9"/>
      <c r="AC80" s="10">
        <f t="shared" si="23"/>
        <v>-1479.5900000000001</v>
      </c>
      <c r="AD80" s="8">
        <f>IFERROR(AC80/AC444, "NA")</f>
        <v>-1.8575469317501331E-2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1359.81</v>
      </c>
      <c r="C88" s="15">
        <f>IFERROR(B88/B444, "NA")</f>
        <v>1.0068889714258294E-2</v>
      </c>
      <c r="D88" s="2"/>
      <c r="E88" s="14">
        <f>IFERROR(E75+E76+E77+E78+E79+E80+E81+E82+E83+E84+E85+E86+E87, "NA")</f>
        <v>2079.41</v>
      </c>
      <c r="F88" s="15">
        <f>IFERROR(E88/E444, "NA")</f>
        <v>1.3000020755920626E-2</v>
      </c>
      <c r="G88" s="2"/>
      <c r="H88" s="14">
        <f t="shared" si="20"/>
        <v>-719.59999999999991</v>
      </c>
      <c r="I88" s="15">
        <f>IFERROR(H88/H444, "NA")</f>
        <v>2.8895281508144195E-2</v>
      </c>
      <c r="J88" s="2"/>
      <c r="K88" s="14">
        <f>IFERROR(K75+K76+K77+K78+K79+K80+K81+K82+K83+K84+K85+K86+K87, "NA")</f>
        <v>1471.66</v>
      </c>
      <c r="L88" s="15">
        <f>IFERROR(K88/K444, "NA")</f>
        <v>1.1040600159240434E-2</v>
      </c>
      <c r="M88" s="2"/>
      <c r="N88" s="14">
        <f t="shared" si="21"/>
        <v>-111.85000000000014</v>
      </c>
      <c r="O88" s="15">
        <f>IFERROR(N88/N444, "NA")</f>
        <v>-6.371948614236464E-2</v>
      </c>
      <c r="P88" s="2"/>
      <c r="Q88" s="14">
        <f>IFERROR(Q75+Q76+Q77+Q78+Q79+Q80+Q81+Q82+Q83+Q84+Q85+Q86+Q87, "NA")</f>
        <v>9174.85</v>
      </c>
      <c r="R88" s="15">
        <f>IFERROR(Q88/Q444, "NA")</f>
        <v>1.3363280388097564E-2</v>
      </c>
      <c r="S88" s="2"/>
      <c r="T88" s="14">
        <f>IFERROR(T75+T76+T77+T78+T79+T80+T81+T82+T83+T84+T85+T86+T87, "NA")</f>
        <v>9040.76</v>
      </c>
      <c r="U88" s="15">
        <f>IFERROR(T88/T444, "NA")</f>
        <v>1.299999582999793E-2</v>
      </c>
      <c r="V88" s="2"/>
      <c r="W88" s="14">
        <f t="shared" si="22"/>
        <v>134.09000000000015</v>
      </c>
      <c r="X88" s="15">
        <f>IFERROR(W88/W444, "NA")</f>
        <v>-1.5114505709786454E-2</v>
      </c>
      <c r="Y88" s="2"/>
      <c r="Z88" s="14">
        <f>IFERROR(Z75+Z76+Z77+Z78+Z79+Z80+Z81+Z82+Z83+Z84+Z85+Z86+Z87, "NA")</f>
        <v>9352.69</v>
      </c>
      <c r="AA88" s="15">
        <f>IFERROR(Z88/Z444, "NA")</f>
        <v>1.5410117719373954E-2</v>
      </c>
      <c r="AB88" s="2"/>
      <c r="AC88" s="14">
        <f t="shared" si="23"/>
        <v>-177.84000000000015</v>
      </c>
      <c r="AD88" s="15">
        <f>IFERROR(AC88/AC444, "NA")</f>
        <v>-2.2326870710294333E-3</v>
      </c>
    </row>
    <row r="89" spans="1:30" ht="16.5" customHeight="1" x14ac:dyDescent="0.45">
      <c r="A89" s="6" t="s">
        <v>85</v>
      </c>
      <c r="B89" s="7">
        <v>24.57</v>
      </c>
      <c r="C89" s="8">
        <f>IFERROR(B89/B444, "NA")</f>
        <v>1.8193175537709408E-4</v>
      </c>
      <c r="D89" s="9"/>
      <c r="E89" s="7">
        <v>0</v>
      </c>
      <c r="F89" s="8">
        <f>IFERROR(E89/E444, "NA")</f>
        <v>0</v>
      </c>
      <c r="G89" s="9"/>
      <c r="H89" s="10">
        <f t="shared" si="20"/>
        <v>24.57</v>
      </c>
      <c r="I89" s="8">
        <f>IFERROR(H89/H444, "NA")</f>
        <v>-9.8659959235005974E-4</v>
      </c>
      <c r="J89" s="9"/>
      <c r="K89" s="7">
        <v>72.540000000000006</v>
      </c>
      <c r="L89" s="8">
        <f>IFERROR(K89/K444, "NA")</f>
        <v>5.4420527537019504E-4</v>
      </c>
      <c r="M89" s="9"/>
      <c r="N89" s="10">
        <f t="shared" si="21"/>
        <v>-47.970000000000006</v>
      </c>
      <c r="O89" s="8">
        <f>IFERROR(N89/N444, "NA")</f>
        <v>-2.7327883328111115E-2</v>
      </c>
      <c r="P89" s="9"/>
      <c r="Q89" s="7">
        <v>250.67</v>
      </c>
      <c r="R89" s="8">
        <f>IFERROR(Q89/Q444, "NA")</f>
        <v>3.6510389759880722E-4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250.67</v>
      </c>
      <c r="X89" s="8">
        <f>IFERROR(W89/W444, "NA")</f>
        <v>-2.8255299770841718E-2</v>
      </c>
      <c r="Y89" s="9"/>
      <c r="Z89" s="7">
        <v>957.44</v>
      </c>
      <c r="AA89" s="8">
        <f>IFERROR(Z89/Z444, "NA")</f>
        <v>1.5775421947308635E-3</v>
      </c>
      <c r="AB89" s="9"/>
      <c r="AC89" s="10">
        <f t="shared" si="23"/>
        <v>-706.7700000000001</v>
      </c>
      <c r="AD89" s="8">
        <f>IFERROR(AC89/AC444, "NA")</f>
        <v>-8.8731232635597818E-3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-5598.4</v>
      </c>
      <c r="F94" s="8">
        <f>IFERROR(E94/E444, "NA")</f>
        <v>-3.4999983745363367E-2</v>
      </c>
      <c r="G94" s="9"/>
      <c r="H94" s="10">
        <f t="shared" ref="H94:H124" si="24">IFERROR(B94-E94, "NA")</f>
        <v>5598.4</v>
      </c>
      <c r="I94" s="8">
        <f>IFERROR(H94/H444, "NA")</f>
        <v>-0.22480175652472828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-24340.51</v>
      </c>
      <c r="U94" s="8">
        <f>IFERROR(T94/T444, "NA")</f>
        <v>-3.499999209137538E-2</v>
      </c>
      <c r="V94" s="9"/>
      <c r="W94" s="10">
        <f t="shared" ref="W94:W124" si="26">IFERROR(Q94-T94, "NA")</f>
        <v>24340.51</v>
      </c>
      <c r="X94" s="8">
        <f>IFERROR(W94/W444, "NA")</f>
        <v>-2.7436406695064051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-1968.25</v>
      </c>
      <c r="C96" s="8">
        <f>IFERROR(B96/B444, "NA")</f>
        <v>-1.4574162699265992E-2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-1968.25</v>
      </c>
      <c r="I96" s="8">
        <f>IFERROR(H96/H444, "NA")</f>
        <v>7.9034377193447497E-2</v>
      </c>
      <c r="J96" s="9"/>
      <c r="K96" s="7">
        <v>-81.849999999999994</v>
      </c>
      <c r="L96" s="8">
        <f>IFERROR(K96/K444, "NA")</f>
        <v>-6.1405020387442037E-4</v>
      </c>
      <c r="M96" s="9"/>
      <c r="N96" s="10">
        <f t="shared" si="25"/>
        <v>-1886.4</v>
      </c>
      <c r="O96" s="8">
        <f>IFERROR(N96/N444, "NA")</f>
        <v>-1.0746574757170899</v>
      </c>
      <c r="P96" s="9"/>
      <c r="Q96" s="7">
        <v>-9050.7199999999993</v>
      </c>
      <c r="R96" s="8">
        <f>IFERROR(Q96/Q444, "NA")</f>
        <v>-1.3182483536424289E-2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-9050.7199999999993</v>
      </c>
      <c r="X96" s="8">
        <f>IFERROR(W96/W444, "NA")</f>
        <v>1.0201891201258728</v>
      </c>
      <c r="Y96" s="9"/>
      <c r="Z96" s="7">
        <v>-515.5</v>
      </c>
      <c r="AA96" s="8">
        <f>IFERROR(Z96/Z444, "NA")</f>
        <v>-8.4937228587040443E-4</v>
      </c>
      <c r="AB96" s="9"/>
      <c r="AC96" s="10">
        <f t="shared" si="27"/>
        <v>-8535.2199999999993</v>
      </c>
      <c r="AD96" s="8">
        <f>IFERROR(AC96/AC444, "NA")</f>
        <v>-0.10715516949163194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-4082.46</v>
      </c>
      <c r="C98" s="8">
        <f>IFERROR(B98/B444, "NA")</f>
        <v>-3.0229105171215773E-2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-4082.46</v>
      </c>
      <c r="I98" s="8">
        <f>IFERROR(H98/H444, "NA")</f>
        <v>0.16392972616139295</v>
      </c>
      <c r="J98" s="9"/>
      <c r="K98" s="7">
        <v>-2397.87</v>
      </c>
      <c r="L98" s="8">
        <f>IFERROR(K98/K444, "NA")</f>
        <v>-1.7989157756436853E-2</v>
      </c>
      <c r="M98" s="9"/>
      <c r="N98" s="10">
        <f t="shared" si="25"/>
        <v>-1684.5900000000001</v>
      </c>
      <c r="O98" s="8">
        <f>IFERROR(N98/N444, "NA")</f>
        <v>-0.95968895092146556</v>
      </c>
      <c r="P98" s="9"/>
      <c r="Q98" s="7">
        <v>-14584.55</v>
      </c>
      <c r="R98" s="8">
        <f>IFERROR(Q98/Q444, "NA")</f>
        <v>-2.1242574100309903E-2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-14584.55</v>
      </c>
      <c r="X98" s="8">
        <f>IFERROR(W98/W444, "NA")</f>
        <v>1.6439575229298662</v>
      </c>
      <c r="Y98" s="9"/>
      <c r="Z98" s="7">
        <v>-11120.88</v>
      </c>
      <c r="AA98" s="8">
        <f>IFERROR(Z98/Z444, "NA")</f>
        <v>-1.8323505851581889E-2</v>
      </c>
      <c r="AB98" s="9"/>
      <c r="AC98" s="10">
        <f t="shared" si="27"/>
        <v>-3463.67</v>
      </c>
      <c r="AD98" s="8">
        <f>IFERROR(AC98/AC444, "NA")</f>
        <v>-4.3484543563385693E-2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-34.950000000000003</v>
      </c>
      <c r="C100" s="8">
        <f>IFERROR(B100/B444, "NA")</f>
        <v>-2.5879181320429136E-4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-34.950000000000003</v>
      </c>
      <c r="I100" s="8">
        <f>IFERROR(H100/H444, "NA")</f>
        <v>1.4034047925370202E-3</v>
      </c>
      <c r="J100" s="9"/>
      <c r="K100" s="7">
        <v>-109.79</v>
      </c>
      <c r="L100" s="8">
        <f>IFERROR(K100/K444, "NA")</f>
        <v>-8.2366001079257943E-4</v>
      </c>
      <c r="M100" s="9"/>
      <c r="N100" s="10">
        <f t="shared" si="25"/>
        <v>74.84</v>
      </c>
      <c r="O100" s="8">
        <f>IFERROR(N100/N444, "NA")</f>
        <v>4.2635371863161055E-2</v>
      </c>
      <c r="P100" s="9"/>
      <c r="Q100" s="7">
        <v>-655.63</v>
      </c>
      <c r="R100" s="8">
        <f>IFERROR(Q100/Q444, "NA")</f>
        <v>-9.5493305294892079E-4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-655.63</v>
      </c>
      <c r="X100" s="8">
        <f>IFERROR(W100/W444, "NA")</f>
        <v>7.3902031311114044E-2</v>
      </c>
      <c r="Y100" s="9"/>
      <c r="Z100" s="7">
        <v>-2801.15</v>
      </c>
      <c r="AA100" s="8">
        <f>IFERROR(Z100/Z444, "NA")</f>
        <v>-4.615362131068639E-3</v>
      </c>
      <c r="AB100" s="9"/>
      <c r="AC100" s="10">
        <f t="shared" si="27"/>
        <v>2145.52</v>
      </c>
      <c r="AD100" s="8">
        <f>IFERROR(AC100/AC444, "NA")</f>
        <v>2.69358679972732E-2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-1564.81</v>
      </c>
      <c r="C102" s="8">
        <f>IFERROR(B102/B444, "NA")</f>
        <v>-1.1586838833196198E-2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-1564.81</v>
      </c>
      <c r="I102" s="8">
        <f>IFERROR(H102/H444, "NA")</f>
        <v>6.2834387794273375E-2</v>
      </c>
      <c r="J102" s="9"/>
      <c r="K102" s="7">
        <v>-306.10000000000002</v>
      </c>
      <c r="L102" s="8">
        <f>IFERROR(K102/K444, "NA")</f>
        <v>-2.2964052218199158E-3</v>
      </c>
      <c r="M102" s="9"/>
      <c r="N102" s="10">
        <f t="shared" si="25"/>
        <v>-1258.71</v>
      </c>
      <c r="O102" s="8">
        <f>IFERROR(N102/N444, "NA")</f>
        <v>-0.7170706696670156</v>
      </c>
      <c r="P102" s="9"/>
      <c r="Q102" s="7">
        <v>-9534.44</v>
      </c>
      <c r="R102" s="8">
        <f>IFERROR(Q102/Q444, "NA")</f>
        <v>-1.3887027587752709E-2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-9534.44</v>
      </c>
      <c r="X102" s="8">
        <f>IFERROR(W102/W444, "NA")</f>
        <v>1.0747136089165203</v>
      </c>
      <c r="Y102" s="9"/>
      <c r="Z102" s="7">
        <v>-2177.94</v>
      </c>
      <c r="AA102" s="8">
        <f>IFERROR(Z102/Z444, "NA")</f>
        <v>-3.5885196436248085E-3</v>
      </c>
      <c r="AB102" s="9"/>
      <c r="AC102" s="10">
        <f t="shared" si="27"/>
        <v>-7356.5</v>
      </c>
      <c r="AD102" s="8">
        <f>IFERROR(AC102/AC444, "NA")</f>
        <v>-9.2356963776585768E-2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-937.03</v>
      </c>
      <c r="C104" s="8">
        <f>IFERROR(B104/B444, "NA")</f>
        <v>-6.9383603069189444E-3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-937.03</v>
      </c>
      <c r="I104" s="8">
        <f>IFERROR(H104/H444, "NA")</f>
        <v>3.7626105658110559E-2</v>
      </c>
      <c r="J104" s="9"/>
      <c r="K104" s="7">
        <v>-936.38</v>
      </c>
      <c r="L104" s="8">
        <f>IFERROR(K104/K444, "NA")</f>
        <v>-7.0248543665721421E-3</v>
      </c>
      <c r="M104" s="9"/>
      <c r="N104" s="10">
        <f t="shared" si="25"/>
        <v>-0.64999999999997726</v>
      </c>
      <c r="O104" s="8">
        <f>IFERROR(N104/N444, "NA")</f>
        <v>-3.7029652206111325E-4</v>
      </c>
      <c r="P104" s="9"/>
      <c r="Q104" s="7">
        <v>-6179.71</v>
      </c>
      <c r="R104" s="8">
        <f>IFERROR(Q104/Q444, "NA")</f>
        <v>-9.0008226234903465E-3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-6179.71</v>
      </c>
      <c r="X104" s="8">
        <f>IFERROR(W104/W444, "NA")</f>
        <v>0.69657142277443762</v>
      </c>
      <c r="Y104" s="9"/>
      <c r="Z104" s="7">
        <v>-4008.64</v>
      </c>
      <c r="AA104" s="8">
        <f>IFERROR(Z104/Z444, "NA")</f>
        <v>-6.6049034336208299E-3</v>
      </c>
      <c r="AB104" s="9"/>
      <c r="AC104" s="10">
        <f t="shared" si="27"/>
        <v>-2171.0700000000002</v>
      </c>
      <c r="AD104" s="8">
        <f>IFERROR(AC104/AC444, "NA")</f>
        <v>-2.725663472390839E-2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0</v>
      </c>
      <c r="L106" s="8">
        <f>IFERROR(K106/K444, "NA")</f>
        <v>0</v>
      </c>
      <c r="M106" s="9"/>
      <c r="N106" s="10">
        <f t="shared" si="25"/>
        <v>0</v>
      </c>
      <c r="O106" s="8">
        <f>IFERROR(N106/N444, "NA")</f>
        <v>0</v>
      </c>
      <c r="P106" s="9"/>
      <c r="Q106" s="7">
        <v>-1196.24</v>
      </c>
      <c r="R106" s="8">
        <f>IFERROR(Q106/Q444, "NA")</f>
        <v>-1.7423380798005231E-3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-1196.24</v>
      </c>
      <c r="X106" s="8">
        <f>IFERROR(W106/W444, "NA")</f>
        <v>0.13483911037567997</v>
      </c>
      <c r="Y106" s="9"/>
      <c r="Z106" s="7">
        <v>-1212.5899999999999</v>
      </c>
      <c r="AA106" s="8">
        <f>IFERROR(Z106/Z444, "NA")</f>
        <v>-1.9979444037315107E-3</v>
      </c>
      <c r="AB106" s="9"/>
      <c r="AC106" s="10">
        <f t="shared" si="27"/>
        <v>16.349999999999909</v>
      </c>
      <c r="AD106" s="8">
        <f>IFERROR(AC106/AC444, "NA")</f>
        <v>2.0526559610510012E-4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-5</v>
      </c>
      <c r="AA108" s="8">
        <f>IFERROR(Z108/Z444, "NA")</f>
        <v>-8.2383344895286566E-6</v>
      </c>
      <c r="AB108" s="9"/>
      <c r="AC108" s="10">
        <f t="shared" si="27"/>
        <v>5</v>
      </c>
      <c r="AD108" s="8">
        <f>IFERROR(AC108/AC444, "NA")</f>
        <v>6.277235354896063E-5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-8587.5</v>
      </c>
      <c r="C118" s="15">
        <f>IFERROR(B118/B444, "NA")</f>
        <v>-6.3587258823801202E-2</v>
      </c>
      <c r="D118" s="2"/>
      <c r="E118" s="14">
        <f>IFERROR(E94+E95+E96+E97+E98+E99+E100+E101+E102+E103+E104+E105+E106+E107+E108+E109+E110+E111+E112+E113+E114+E115+E116+E117, "NA")</f>
        <v>-5598.4</v>
      </c>
      <c r="F118" s="15">
        <f>IFERROR(E118/E444, "NA")</f>
        <v>-3.4999983745363367E-2</v>
      </c>
      <c r="G118" s="2"/>
      <c r="H118" s="14">
        <f t="shared" si="24"/>
        <v>-2989.1000000000004</v>
      </c>
      <c r="I118" s="15">
        <f>IFERROR(H118/H444, "NA")</f>
        <v>0.12002624507503312</v>
      </c>
      <c r="J118" s="2"/>
      <c r="K118" s="14">
        <f>IFERROR(K94+K95+K96+K97+K98+K99+K100+K101+K102+K103+K104+K105+K106+K107+K108+K109+K110+K111+K112+K113+K114+K115+K116+K117, "NA")</f>
        <v>-3831.99</v>
      </c>
      <c r="L118" s="15">
        <f>IFERROR(K118/K444, "NA")</f>
        <v>-2.874812755949591E-2</v>
      </c>
      <c r="M118" s="2"/>
      <c r="N118" s="14">
        <f t="shared" si="25"/>
        <v>-4755.51</v>
      </c>
      <c r="O118" s="15">
        <f>IFERROR(N118/N444, "NA")</f>
        <v>-2.7091520209644711</v>
      </c>
      <c r="P118" s="2"/>
      <c r="Q118" s="14">
        <f>IFERROR(Q94+Q95+Q96+Q97+Q98+Q99+Q100+Q101+Q102+Q103+Q104+Q105+Q106+Q107+Q108+Q109+Q110+Q111+Q112+Q113+Q114+Q115+Q116+Q117, "NA")</f>
        <v>-41201.289999999994</v>
      </c>
      <c r="R118" s="15">
        <f>IFERROR(Q118/Q444, "NA")</f>
        <v>-6.0010178980726685E-2</v>
      </c>
      <c r="S118" s="2"/>
      <c r="T118" s="14">
        <f>IFERROR(T94+T95+T96+T97+T98+T99+T100+T101+T102+T103+T104+T105+T106+T107+T108+T109+T110+T111+T112+T113+T114+T115+T116+T117, "NA")</f>
        <v>-24340.51</v>
      </c>
      <c r="U118" s="15">
        <f>IFERROR(T118/T444, "NA")</f>
        <v>-3.499999209137538E-2</v>
      </c>
      <c r="V118" s="2"/>
      <c r="W118" s="14">
        <f t="shared" si="26"/>
        <v>-16860.779999999995</v>
      </c>
      <c r="X118" s="15">
        <f>IFERROR(W118/W444, "NA")</f>
        <v>1.9005321469270855</v>
      </c>
      <c r="Y118" s="2"/>
      <c r="Z118" s="14">
        <f>IFERROR(Z94+Z95+Z96+Z97+Z98+Z99+Z100+Z101+Z102+Z103+Z104+Z105+Z106+Z107+Z108+Z109+Z110+Z111+Z112+Z113+Z114+Z115+Z116+Z117, "NA")</f>
        <v>-21841.699999999997</v>
      </c>
      <c r="AA118" s="15">
        <f>IFERROR(Z118/Z444, "NA")</f>
        <v>-3.5987846083987605E-2</v>
      </c>
      <c r="AB118" s="2"/>
      <c r="AC118" s="14">
        <f t="shared" si="27"/>
        <v>-19359.589999999997</v>
      </c>
      <c r="AD118" s="15">
        <f>IFERROR(AC118/AC444, "NA")</f>
        <v>-0.24304940560858448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135050.64000000001</v>
      </c>
      <c r="C122" s="15">
        <f>IFERROR(B122/B444, "NA")</f>
        <v>1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159954.35999999999</v>
      </c>
      <c r="F122" s="15">
        <f>IFERROR(E122/E444, "NA")</f>
        <v>1</v>
      </c>
      <c r="G122" s="2"/>
      <c r="H122" s="14">
        <f t="shared" si="24"/>
        <v>-24903.719999999972</v>
      </c>
      <c r="I122" s="15">
        <f>IFERROR(H122/H444, "NA")</f>
        <v>1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133295.28999999998</v>
      </c>
      <c r="L122" s="15">
        <f>IFERROR(K122/K444, "NA")</f>
        <v>0.99999999999999978</v>
      </c>
      <c r="M122" s="2"/>
      <c r="N122" s="14">
        <f t="shared" si="25"/>
        <v>1755.3500000000349</v>
      </c>
      <c r="O122" s="15">
        <f>IFERROR(N122/N444, "NA")</f>
        <v>1.0000000000000167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686571.69000000029</v>
      </c>
      <c r="R122" s="15">
        <f>IFERROR(Q122/Q444, "NA")</f>
        <v>1.0000000000000004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695443.3</v>
      </c>
      <c r="U122" s="15">
        <f>IFERROR(T122/T444, "NA")</f>
        <v>1</v>
      </c>
      <c r="V122" s="2"/>
      <c r="W122" s="14">
        <f t="shared" si="26"/>
        <v>-8871.6099999997532</v>
      </c>
      <c r="X122" s="15">
        <f>IFERROR(W122/W444, "NA")</f>
        <v>0.99999999999996059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606918.79</v>
      </c>
      <c r="AA122" s="15">
        <f>IFERROR(Z122/Z444, "NA")</f>
        <v>1</v>
      </c>
      <c r="AB122" s="2"/>
      <c r="AC122" s="14">
        <f t="shared" si="27"/>
        <v>79652.900000000256</v>
      </c>
      <c r="AD122" s="15">
        <f>IFERROR(AC122/AC444, "NA")</f>
        <v>1.0000000000000044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135050.64000000001</v>
      </c>
      <c r="C124" s="15">
        <f>IFERROR(B124/B444, "NA")</f>
        <v>1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159954.35999999999</v>
      </c>
      <c r="F124" s="15">
        <f>IFERROR(E124/E444, "NA")</f>
        <v>1</v>
      </c>
      <c r="G124" s="2"/>
      <c r="H124" s="14">
        <f t="shared" si="24"/>
        <v>-24903.719999999972</v>
      </c>
      <c r="I124" s="15">
        <f>IFERROR(H124/H444, "NA")</f>
        <v>1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133295.28999999998</v>
      </c>
      <c r="L124" s="15">
        <f>IFERROR(K124/K444, "NA")</f>
        <v>0.99999999999999978</v>
      </c>
      <c r="M124" s="2"/>
      <c r="N124" s="14">
        <f t="shared" si="25"/>
        <v>1755.3500000000349</v>
      </c>
      <c r="O124" s="15">
        <f>IFERROR(N124/N444, "NA")</f>
        <v>1.0000000000000167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686571.69000000029</v>
      </c>
      <c r="R124" s="15">
        <f>IFERROR(Q124/Q444, "NA")</f>
        <v>1.0000000000000004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695443.3</v>
      </c>
      <c r="U124" s="15">
        <f>IFERROR(T124/T444, "NA")</f>
        <v>1</v>
      </c>
      <c r="V124" s="2"/>
      <c r="W124" s="14">
        <f t="shared" si="26"/>
        <v>-8871.6099999997532</v>
      </c>
      <c r="X124" s="15">
        <f>IFERROR(W124/W444, "NA")</f>
        <v>0.99999999999996059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606918.79</v>
      </c>
      <c r="AA124" s="15">
        <f>IFERROR(Z124/Z444, "NA")</f>
        <v>1</v>
      </c>
      <c r="AB124" s="2"/>
      <c r="AC124" s="14">
        <f t="shared" si="27"/>
        <v>79652.900000000256</v>
      </c>
      <c r="AD124" s="15">
        <f>IFERROR(AC124/AC444, "NA")</f>
        <v>1.0000000000000044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36149.68</v>
      </c>
      <c r="F129" s="8">
        <f>IFERROR(E129/E444, "NA")</f>
        <v>0.22599996649044141</v>
      </c>
      <c r="G129" s="9"/>
      <c r="H129" s="10">
        <f t="shared" ref="H129:H141" si="28">IFERROR(-(B129-E129), "NA")</f>
        <v>36149.68</v>
      </c>
      <c r="I129" s="8">
        <f>IFERROR(H129/H444, "NA")</f>
        <v>-1.4515775153270292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164364.95000000001</v>
      </c>
      <c r="U129" s="8">
        <f>IFERROR(T129/T444, "NA")</f>
        <v>0.23634557986251359</v>
      </c>
      <c r="V129" s="9"/>
      <c r="W129" s="10">
        <f t="shared" ref="W129:W141" si="30">IFERROR(-(Q129-T129), "NA")</f>
        <v>164364.95000000001</v>
      </c>
      <c r="X129" s="8">
        <f>IFERROR(W129/W444, "NA")</f>
        <v>-18.527071185500503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6982.51</v>
      </c>
      <c r="C130" s="8">
        <f>IFERROR(B130/B444, "NA")</f>
        <v>5.170290196329317E-2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-6982.51</v>
      </c>
      <c r="I130" s="8">
        <f>IFERROR(H130/H444, "NA")</f>
        <v>0.28038020022711496</v>
      </c>
      <c r="J130" s="9"/>
      <c r="K130" s="7">
        <v>8891.9599999999991</v>
      </c>
      <c r="L130" s="8">
        <f>IFERROR(K130/K444, "NA")</f>
        <v>6.6708733669434223E-2</v>
      </c>
      <c r="M130" s="9"/>
      <c r="N130" s="10">
        <f t="shared" si="29"/>
        <v>1909.4499999999989</v>
      </c>
      <c r="O130" s="8">
        <f>IFERROR(N130/N444, "NA")</f>
        <v>1.0877887600763338</v>
      </c>
      <c r="P130" s="9"/>
      <c r="Q130" s="7">
        <v>38620.410000000003</v>
      </c>
      <c r="R130" s="8">
        <f>IFERROR(Q130/Q444, "NA")</f>
        <v>5.6251095934351743E-2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-38620.410000000003</v>
      </c>
      <c r="X130" s="8">
        <f>IFERROR(W130/W444, "NA")</f>
        <v>4.3532583150070341</v>
      </c>
      <c r="Y130" s="9"/>
      <c r="Z130" s="7">
        <v>39021.97</v>
      </c>
      <c r="AA130" s="8">
        <f>IFERROR(Z130/Z444, "NA")</f>
        <v>6.4295208260070513E-2</v>
      </c>
      <c r="AB130" s="9"/>
      <c r="AC130" s="10">
        <f t="shared" si="31"/>
        <v>401.55999999999767</v>
      </c>
      <c r="AD130" s="8">
        <f>IFERROR(AC130/AC444, "NA")</f>
        <v>5.0413732582240967E-3</v>
      </c>
    </row>
    <row r="131" spans="1:30" ht="16.5" customHeight="1" x14ac:dyDescent="0.45">
      <c r="A131" s="12" t="s">
        <v>123</v>
      </c>
      <c r="B131" s="7">
        <v>4221.3</v>
      </c>
      <c r="C131" s="8">
        <f>IFERROR(B131/B444, "NA")</f>
        <v>3.1257163979378402E-2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-4221.3</v>
      </c>
      <c r="I131" s="8">
        <f>IFERROR(H131/H444, "NA")</f>
        <v>0.16950479687372028</v>
      </c>
      <c r="J131" s="9"/>
      <c r="K131" s="7">
        <v>4982.68</v>
      </c>
      <c r="L131" s="8">
        <f>IFERROR(K131/K444, "NA")</f>
        <v>3.7380765666963925E-2</v>
      </c>
      <c r="M131" s="9"/>
      <c r="N131" s="10">
        <f t="shared" si="29"/>
        <v>761.38000000000011</v>
      </c>
      <c r="O131" s="8">
        <f>IFERROR(N131/N444, "NA")</f>
        <v>0.43374825533369277</v>
      </c>
      <c r="P131" s="9"/>
      <c r="Q131" s="7">
        <v>23360.29</v>
      </c>
      <c r="R131" s="8">
        <f>IFERROR(Q131/Q444, "NA")</f>
        <v>3.4024545929063871E-2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-23360.29</v>
      </c>
      <c r="X131" s="8">
        <f>IFERROR(W131/W444, "NA")</f>
        <v>2.6331511416754942</v>
      </c>
      <c r="Y131" s="9"/>
      <c r="Z131" s="7">
        <v>21214.65</v>
      </c>
      <c r="AA131" s="8">
        <f>IFERROR(Z131/Z444, "NA")</f>
        <v>3.4954676555655824E-2</v>
      </c>
      <c r="AB131" s="9"/>
      <c r="AC131" s="10">
        <f t="shared" si="31"/>
        <v>-2145.6399999999994</v>
      </c>
      <c r="AD131" s="8">
        <f>IFERROR(AC131/AC444, "NA")</f>
        <v>-2.6937374533758367E-2</v>
      </c>
    </row>
    <row r="132" spans="1:30" ht="16.5" customHeight="1" x14ac:dyDescent="0.45">
      <c r="A132" s="12" t="s">
        <v>124</v>
      </c>
      <c r="B132" s="7">
        <v>7062.4</v>
      </c>
      <c r="C132" s="8">
        <f>IFERROR(B132/B444, "NA")</f>
        <v>5.2294457841888041E-2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-7062.4</v>
      </c>
      <c r="I132" s="8">
        <f>IFERROR(H132/H444, "NA")</f>
        <v>0.28358815470138626</v>
      </c>
      <c r="J132" s="9"/>
      <c r="K132" s="7">
        <v>5262.02</v>
      </c>
      <c r="L132" s="8">
        <f>IFERROR(K132/K444, "NA")</f>
        <v>3.9476413607712618E-2</v>
      </c>
      <c r="M132" s="9"/>
      <c r="N132" s="10">
        <f t="shared" si="29"/>
        <v>-1800.3799999999992</v>
      </c>
      <c r="O132" s="8">
        <f>IFERROR(N132/N444, "NA")</f>
        <v>-1.0256530036744771</v>
      </c>
      <c r="P132" s="9"/>
      <c r="Q132" s="7">
        <v>30529.07</v>
      </c>
      <c r="R132" s="8">
        <f>IFERROR(Q132/Q444, "NA")</f>
        <v>4.4465961012753095E-2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-30529.07</v>
      </c>
      <c r="X132" s="8">
        <f>IFERROR(W132/W444, "NA")</f>
        <v>3.4412096564208352</v>
      </c>
      <c r="Y132" s="9"/>
      <c r="Z132" s="7">
        <v>21476</v>
      </c>
      <c r="AA132" s="8">
        <f>IFERROR(Z132/Z444, "NA")</f>
        <v>3.5385294299423484E-2</v>
      </c>
      <c r="AB132" s="9"/>
      <c r="AC132" s="10">
        <f t="shared" si="31"/>
        <v>-9053.07</v>
      </c>
      <c r="AD132" s="8">
        <f>IFERROR(AC132/AC444, "NA")</f>
        <v>-0.1136565021486978</v>
      </c>
    </row>
    <row r="133" spans="1:30" ht="16.5" customHeight="1" x14ac:dyDescent="0.45">
      <c r="A133" s="12" t="s">
        <v>125</v>
      </c>
      <c r="B133" s="7">
        <v>3460.01</v>
      </c>
      <c r="C133" s="8">
        <f>IFERROR(B133/B444, "NA")</f>
        <v>2.5620093322030905E-2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-3460.01</v>
      </c>
      <c r="I133" s="8">
        <f>IFERROR(H133/H444, "NA")</f>
        <v>0.13893546827542247</v>
      </c>
      <c r="J133" s="9"/>
      <c r="K133" s="7">
        <v>2359.4499999999998</v>
      </c>
      <c r="L133" s="8">
        <f>IFERROR(K133/K444, "NA")</f>
        <v>1.7700925516573013E-2</v>
      </c>
      <c r="M133" s="9"/>
      <c r="N133" s="10">
        <f t="shared" si="29"/>
        <v>-1100.5600000000004</v>
      </c>
      <c r="O133" s="8">
        <f>IFERROR(N133/N444, "NA")</f>
        <v>-0.62697467741475876</v>
      </c>
      <c r="P133" s="9"/>
      <c r="Q133" s="7">
        <v>17322.23</v>
      </c>
      <c r="R133" s="8">
        <f>IFERROR(Q133/Q444, "NA")</f>
        <v>2.5230038249902206E-2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-17322.23</v>
      </c>
      <c r="X133" s="8">
        <f>IFERROR(W133/W444, "NA")</f>
        <v>1.9525463810965316</v>
      </c>
      <c r="Y133" s="9"/>
      <c r="Z133" s="7">
        <v>13337.88</v>
      </c>
      <c r="AA133" s="8">
        <f>IFERROR(Z133/Z444, "NA")</f>
        <v>2.1976383364238895E-2</v>
      </c>
      <c r="AB133" s="9"/>
      <c r="AC133" s="10">
        <f t="shared" si="31"/>
        <v>-3984.3500000000004</v>
      </c>
      <c r="AD133" s="8">
        <f>IFERROR(AC133/AC444, "NA")</f>
        <v>-5.0021405372560258E-2</v>
      </c>
    </row>
    <row r="134" spans="1:30" ht="16.5" customHeight="1" x14ac:dyDescent="0.45">
      <c r="A134" s="12" t="s">
        <v>126</v>
      </c>
      <c r="B134" s="7">
        <v>1199.6199999999999</v>
      </c>
      <c r="C134" s="8">
        <f>IFERROR(B134/B444, "NA")</f>
        <v>8.8827420588306703E-3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-1199.6199999999999</v>
      </c>
      <c r="I134" s="8">
        <f>IFERROR(H134/H444, "NA")</f>
        <v>4.8170313511395134E-2</v>
      </c>
      <c r="J134" s="9"/>
      <c r="K134" s="7">
        <v>778.67</v>
      </c>
      <c r="L134" s="8">
        <f>IFERROR(K134/K444, "NA")</f>
        <v>5.8416917807073299E-3</v>
      </c>
      <c r="M134" s="9"/>
      <c r="N134" s="10">
        <f t="shared" si="29"/>
        <v>-420.94999999999993</v>
      </c>
      <c r="O134" s="8">
        <f>IFERROR(N134/N444, "NA")</f>
        <v>-0.23980972455635544</v>
      </c>
      <c r="P134" s="9"/>
      <c r="Q134" s="7">
        <v>5550.91</v>
      </c>
      <c r="R134" s="8">
        <f>IFERROR(Q134/Q444, "NA")</f>
        <v>8.0849677912003624E-3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-5550.91</v>
      </c>
      <c r="X134" s="8">
        <f>IFERROR(W134/W444, "NA")</f>
        <v>0.62569364523462323</v>
      </c>
      <c r="Y134" s="9"/>
      <c r="Z134" s="7">
        <v>6644.91</v>
      </c>
      <c r="AA134" s="8">
        <f>IFERROR(Z134/Z444, "NA")</f>
        <v>1.0948598246562772E-2</v>
      </c>
      <c r="AB134" s="9"/>
      <c r="AC134" s="10">
        <f t="shared" si="31"/>
        <v>1094</v>
      </c>
      <c r="AD134" s="8">
        <f>IFERROR(AC134/AC444, "NA")</f>
        <v>1.3734590956512586E-2</v>
      </c>
    </row>
    <row r="135" spans="1:30" ht="16.5" customHeight="1" x14ac:dyDescent="0.45">
      <c r="A135" s="12" t="s">
        <v>127</v>
      </c>
      <c r="B135" s="7">
        <v>946.82</v>
      </c>
      <c r="C135" s="8">
        <f>IFERROR(B135/B444, "NA")</f>
        <v>7.0108516331355408E-3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-946.82</v>
      </c>
      <c r="I135" s="8">
        <f>IFERROR(H135/H444, "NA")</f>
        <v>3.8019219618595175E-2</v>
      </c>
      <c r="J135" s="9"/>
      <c r="K135" s="7">
        <v>874.04</v>
      </c>
      <c r="L135" s="8">
        <f>IFERROR(K135/K444, "NA")</f>
        <v>6.5571709247941165E-3</v>
      </c>
      <c r="M135" s="9"/>
      <c r="N135" s="10">
        <f t="shared" si="29"/>
        <v>-72.780000000000086</v>
      </c>
      <c r="O135" s="8">
        <f>IFERROR(N135/N444, "NA")</f>
        <v>-4.146181673170584E-2</v>
      </c>
      <c r="P135" s="9"/>
      <c r="Q135" s="7">
        <v>4837.2700000000004</v>
      </c>
      <c r="R135" s="8">
        <f>IFERROR(Q135/Q444, "NA")</f>
        <v>7.0455424691338508E-3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-4837.2700000000004</v>
      </c>
      <c r="X135" s="8">
        <f>IFERROR(W135/W444, "NA")</f>
        <v>0.5452527782443034</v>
      </c>
      <c r="Y135" s="9"/>
      <c r="Z135" s="7">
        <v>3901.56</v>
      </c>
      <c r="AA135" s="8">
        <f>IFERROR(Z135/Z444, "NA")</f>
        <v>6.4284712621930848E-3</v>
      </c>
      <c r="AB135" s="9"/>
      <c r="AC135" s="10">
        <f t="shared" si="31"/>
        <v>-935.71000000000049</v>
      </c>
      <c r="AD135" s="8">
        <f>IFERROR(AC135/AC444, "NA")</f>
        <v>-1.1747343787859596E-2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982.44</v>
      </c>
      <c r="L136" s="8">
        <f>IFERROR(K136/K444, "NA")</f>
        <v>7.3704029602246262E-3</v>
      </c>
      <c r="M136" s="9"/>
      <c r="N136" s="10">
        <f t="shared" si="29"/>
        <v>982.44</v>
      </c>
      <c r="O136" s="8">
        <f>IFERROR(N136/N444, "NA")</f>
        <v>0.55968325405189667</v>
      </c>
      <c r="P136" s="9"/>
      <c r="Q136" s="7">
        <v>4617.18</v>
      </c>
      <c r="R136" s="8">
        <f>IFERROR(Q136/Q444, "NA")</f>
        <v>6.7249787127109783E-3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-4617.18</v>
      </c>
      <c r="X136" s="8">
        <f>IFERROR(W136/W444, "NA")</f>
        <v>0.52044442891424969</v>
      </c>
      <c r="Y136" s="9"/>
      <c r="Z136" s="7">
        <v>5911.53</v>
      </c>
      <c r="AA136" s="8">
        <f>IFERROR(Z136/Z444, "NA")</f>
        <v>9.7402322969766669E-3</v>
      </c>
      <c r="AB136" s="9"/>
      <c r="AC136" s="10">
        <f t="shared" si="31"/>
        <v>1294.3499999999995</v>
      </c>
      <c r="AD136" s="8">
        <f>IFERROR(AC136/AC444, "NA")</f>
        <v>1.6249879163219429E-2</v>
      </c>
    </row>
    <row r="137" spans="1:30" ht="16.5" customHeight="1" x14ac:dyDescent="0.45">
      <c r="A137" s="12" t="s">
        <v>129</v>
      </c>
      <c r="B137" s="7">
        <v>842.91</v>
      </c>
      <c r="C137" s="8">
        <f>IFERROR(B137/B444, "NA")</f>
        <v>6.241436545580235E-3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-842.91</v>
      </c>
      <c r="I137" s="8">
        <f>IFERROR(H137/H444, "NA")</f>
        <v>3.3846750605933611E-2</v>
      </c>
      <c r="J137" s="9"/>
      <c r="K137" s="7">
        <v>872.59</v>
      </c>
      <c r="L137" s="8">
        <f>IFERROR(K137/K444, "NA")</f>
        <v>6.546292820999151E-3</v>
      </c>
      <c r="M137" s="9"/>
      <c r="N137" s="10">
        <f t="shared" si="29"/>
        <v>29.680000000000064</v>
      </c>
      <c r="O137" s="8">
        <f>IFERROR(N137/N444, "NA")</f>
        <v>1.6908308884268076E-2</v>
      </c>
      <c r="P137" s="9"/>
      <c r="Q137" s="7">
        <v>4205.01</v>
      </c>
      <c r="R137" s="8">
        <f>IFERROR(Q137/Q444, "NA")</f>
        <v>6.1246481048468525E-3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-4205.01</v>
      </c>
      <c r="X137" s="8">
        <f>IFERROR(W137/W444, "NA")</f>
        <v>0.47398499257744103</v>
      </c>
      <c r="Y137" s="9"/>
      <c r="Z137" s="7">
        <v>3705.92</v>
      </c>
      <c r="AA137" s="8">
        <f>IFERROR(Z137/Z444, "NA")</f>
        <v>6.1061217102868076E-3</v>
      </c>
      <c r="AB137" s="9"/>
      <c r="AC137" s="10">
        <f t="shared" si="31"/>
        <v>-499.09000000000015</v>
      </c>
      <c r="AD137" s="8">
        <f>IFERROR(AC137/AC444, "NA")</f>
        <v>-6.2658107865501533E-3</v>
      </c>
    </row>
    <row r="138" spans="1:30" ht="16.5" customHeight="1" x14ac:dyDescent="0.45">
      <c r="A138" s="12" t="s">
        <v>130</v>
      </c>
      <c r="B138" s="7">
        <v>7962.19</v>
      </c>
      <c r="C138" s="8">
        <f>IFERROR(B138/B444, "NA")</f>
        <v>5.8957069733249684E-2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-7962.19</v>
      </c>
      <c r="I138" s="8">
        <f>IFERROR(H138/H444, "NA")</f>
        <v>0.31971890143319986</v>
      </c>
      <c r="J138" s="9"/>
      <c r="K138" s="7">
        <v>5411.82</v>
      </c>
      <c r="L138" s="8">
        <f>IFERROR(K138/K444, "NA")</f>
        <v>4.0600234261840756E-2</v>
      </c>
      <c r="M138" s="9"/>
      <c r="N138" s="10">
        <f t="shared" si="29"/>
        <v>-2550.37</v>
      </c>
      <c r="O138" s="8">
        <f>IFERROR(N138/N444, "NA")</f>
        <v>-1.4529125245677452</v>
      </c>
      <c r="P138" s="9"/>
      <c r="Q138" s="7">
        <v>41489.42</v>
      </c>
      <c r="R138" s="8">
        <f>IFERROR(Q138/Q444, "NA")</f>
        <v>6.0429843823009949E-2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-41489.42</v>
      </c>
      <c r="X138" s="8">
        <f>IFERROR(W138/W444, "NA")</f>
        <v>4.6766505741347419</v>
      </c>
      <c r="Y138" s="9"/>
      <c r="Z138" s="7">
        <v>30007.59</v>
      </c>
      <c r="AA138" s="8">
        <f>IFERROR(Z138/Z444, "NA")</f>
        <v>4.9442512728927045E-2</v>
      </c>
      <c r="AB138" s="9"/>
      <c r="AC138" s="10">
        <f t="shared" si="31"/>
        <v>-11481.829999999998</v>
      </c>
      <c r="AD138" s="8">
        <f>IFERROR(AC138/AC444, "NA")</f>
        <v>-0.1441482984298125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32677.759999999998</v>
      </c>
      <c r="C141" s="15">
        <f>IFERROR(B141/B444, "NA")</f>
        <v>0.24196671707738665</v>
      </c>
      <c r="D141" s="2"/>
      <c r="E141" s="14">
        <f>IFERROR(E129+E130+E131+E132+E133+E134+E135+E136+E137+E138+E139+E140, "NA")</f>
        <v>36149.68</v>
      </c>
      <c r="F141" s="15">
        <f>IFERROR(E141/E444, "NA")</f>
        <v>0.22599996649044141</v>
      </c>
      <c r="G141" s="2"/>
      <c r="H141" s="14">
        <f t="shared" si="28"/>
        <v>3471.9200000000019</v>
      </c>
      <c r="I141" s="15">
        <f>IFERROR(H141/H444, "NA")</f>
        <v>-0.13941371008026132</v>
      </c>
      <c r="J141" s="2"/>
      <c r="K141" s="14">
        <f>IFERROR(K129+K130+K131+K132+K133+K134+K135+K136+K137+K138+K139+K140, "NA")</f>
        <v>30415.67</v>
      </c>
      <c r="L141" s="15">
        <f>IFERROR(K141/K444, "NA")</f>
        <v>0.22818263120924975</v>
      </c>
      <c r="M141" s="2"/>
      <c r="N141" s="14">
        <f t="shared" si="29"/>
        <v>-2262.09</v>
      </c>
      <c r="O141" s="15">
        <f>IFERROR(N141/N444, "NA")</f>
        <v>-1.2886831685988507</v>
      </c>
      <c r="P141" s="2"/>
      <c r="Q141" s="14">
        <f>IFERROR(Q129+Q130+Q131+Q132+Q133+Q134+Q135+Q136+Q137+Q138+Q139+Q140, "NA")</f>
        <v>170531.79</v>
      </c>
      <c r="R141" s="15">
        <f>IFERROR(Q141/Q444, "NA")</f>
        <v>0.24838162202697292</v>
      </c>
      <c r="S141" s="2"/>
      <c r="T141" s="14">
        <f>IFERROR(T129+T130+T131+T132+T133+T134+T135+T136+T137+T138+T139+T140, "NA")</f>
        <v>164364.95000000001</v>
      </c>
      <c r="U141" s="15">
        <f>IFERROR(T141/T444, "NA")</f>
        <v>0.23634557986251359</v>
      </c>
      <c r="V141" s="2"/>
      <c r="W141" s="14">
        <f t="shared" si="30"/>
        <v>-6166.8399999999965</v>
      </c>
      <c r="X141" s="15">
        <f>IFERROR(W141/W444, "NA")</f>
        <v>0.69512072780475309</v>
      </c>
      <c r="Y141" s="2"/>
      <c r="Z141" s="14">
        <f>IFERROR(Z129+Z130+Z131+Z132+Z133+Z134+Z135+Z136+Z137+Z138+Z139+Z140, "NA")</f>
        <v>145222.01</v>
      </c>
      <c r="AA141" s="15">
        <f>IFERROR(Z141/Z444, "NA")</f>
        <v>0.2392774987243351</v>
      </c>
      <c r="AB141" s="2"/>
      <c r="AC141" s="14">
        <f t="shared" si="31"/>
        <v>-25309.78</v>
      </c>
      <c r="AD141" s="15">
        <f>IFERROR(AC141/AC444, "NA")</f>
        <v>-0.31775089168128251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1700.68</v>
      </c>
      <c r="C144" s="8">
        <f>IFERROR(B144/B444, "NA")</f>
        <v>1.2592905890708847E-2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-1700.68</v>
      </c>
      <c r="I144" s="8">
        <f>IFERROR(H144/H444, "NA")</f>
        <v>6.8290199215217728E-2</v>
      </c>
      <c r="J144" s="9"/>
      <c r="K144" s="7">
        <v>1370.92</v>
      </c>
      <c r="L144" s="8">
        <f>IFERROR(K144/K444, "NA")</f>
        <v>1.0284834520409536E-2</v>
      </c>
      <c r="M144" s="9"/>
      <c r="N144" s="10">
        <f t="shared" si="33"/>
        <v>-329.76</v>
      </c>
      <c r="O144" s="8">
        <f>IFERROR(N144/N444, "NA")</f>
        <v>-0.18785997094596457</v>
      </c>
      <c r="P144" s="9"/>
      <c r="Q144" s="7">
        <v>8980</v>
      </c>
      <c r="R144" s="8">
        <f>IFERROR(Q144/Q444, "NA")</f>
        <v>1.3079478998034423E-2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-8980</v>
      </c>
      <c r="X144" s="8">
        <f>IFERROR(W144/W444, "NA")</f>
        <v>1.0122176245348811</v>
      </c>
      <c r="Y144" s="9"/>
      <c r="Z144" s="7">
        <v>5359.16</v>
      </c>
      <c r="AA144" s="8">
        <f>IFERROR(Z144/Z444, "NA")</f>
        <v>8.8301105325804784E-3</v>
      </c>
      <c r="AB144" s="9"/>
      <c r="AC144" s="10">
        <f t="shared" si="35"/>
        <v>-3620.84</v>
      </c>
      <c r="AD144" s="8">
        <f>IFERROR(AC144/AC444, "NA")</f>
        <v>-4.5457729724843722E-2</v>
      </c>
    </row>
    <row r="145" spans="1:30" ht="16.5" customHeight="1" x14ac:dyDescent="0.45">
      <c r="A145" s="12" t="s">
        <v>136</v>
      </c>
      <c r="B145" s="7">
        <v>52.29</v>
      </c>
      <c r="C145" s="8">
        <f>IFERROR(B145/B444, "NA")</f>
        <v>3.8718809477689256E-4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-52.29</v>
      </c>
      <c r="I145" s="8">
        <f>IFERROR(H145/H444, "NA")</f>
        <v>2.0996863119244857E-3</v>
      </c>
      <c r="J145" s="9"/>
      <c r="K145" s="7">
        <v>123.89</v>
      </c>
      <c r="L145" s="8">
        <f>IFERROR(K145/K444, "NA")</f>
        <v>9.2944019252293153E-4</v>
      </c>
      <c r="M145" s="9"/>
      <c r="N145" s="10">
        <f t="shared" si="33"/>
        <v>71.599999999999994</v>
      </c>
      <c r="O145" s="8">
        <f>IFERROR(N145/N444, "NA")</f>
        <v>4.0789586122425586E-2</v>
      </c>
      <c r="P145" s="9"/>
      <c r="Q145" s="7">
        <v>444.02</v>
      </c>
      <c r="R145" s="8">
        <f>IFERROR(Q145/Q444, "NA")</f>
        <v>6.4672051945514973E-4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-444.02</v>
      </c>
      <c r="X145" s="8">
        <f>IFERROR(W145/W444, "NA")</f>
        <v>5.0049540049663457E-2</v>
      </c>
      <c r="Y145" s="9"/>
      <c r="Z145" s="7">
        <v>428.56</v>
      </c>
      <c r="AA145" s="8">
        <f>IFERROR(Z145/Z444, "NA")</f>
        <v>7.0612412576648016E-4</v>
      </c>
      <c r="AB145" s="9"/>
      <c r="AC145" s="10">
        <f t="shared" si="35"/>
        <v>-15.45999999999998</v>
      </c>
      <c r="AD145" s="8">
        <f>IFERROR(AC145/AC444, "NA")</f>
        <v>-1.94092117173386E-4</v>
      </c>
    </row>
    <row r="146" spans="1:30" ht="16.5" customHeight="1" x14ac:dyDescent="0.45">
      <c r="A146" s="12" t="s">
        <v>137</v>
      </c>
      <c r="B146" s="7">
        <v>46.81</v>
      </c>
      <c r="C146" s="8">
        <f>IFERROR(B146/B444, "NA")</f>
        <v>3.4661072320723543E-4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-46.81</v>
      </c>
      <c r="I146" s="8">
        <f>IFERROR(H146/H444, "NA")</f>
        <v>1.8796388651976515E-3</v>
      </c>
      <c r="J146" s="9"/>
      <c r="K146" s="7">
        <v>81.680000000000007</v>
      </c>
      <c r="L146" s="8">
        <f>IFERROR(K146/K444, "NA")</f>
        <v>6.1277483998121768E-4</v>
      </c>
      <c r="M146" s="9"/>
      <c r="N146" s="10">
        <f t="shared" si="33"/>
        <v>34.870000000000005</v>
      </c>
      <c r="O146" s="8">
        <f>IFERROR(N146/N444, "NA")</f>
        <v>1.9864984191186881E-2</v>
      </c>
      <c r="P146" s="9"/>
      <c r="Q146" s="7">
        <v>843.65</v>
      </c>
      <c r="R146" s="8">
        <f>IFERROR(Q146/Q444, "NA")</f>
        <v>1.2287864651104388E-3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-843.65</v>
      </c>
      <c r="X146" s="8">
        <f>IFERROR(W146/W444, "NA")</f>
        <v>9.5095478723702942E-2</v>
      </c>
      <c r="Y146" s="9"/>
      <c r="Z146" s="7">
        <v>1878.56</v>
      </c>
      <c r="AA146" s="8">
        <f>IFERROR(Z146/Z444, "NA")</f>
        <v>3.0952411277297906E-3</v>
      </c>
      <c r="AB146" s="9"/>
      <c r="AC146" s="10">
        <f t="shared" si="35"/>
        <v>1034.9099999999999</v>
      </c>
      <c r="AD146" s="8">
        <f>IFERROR(AC146/AC444, "NA")</f>
        <v>1.2992747282270966E-2</v>
      </c>
    </row>
    <row r="147" spans="1:30" ht="16.5" customHeight="1" x14ac:dyDescent="0.45">
      <c r="A147" s="12" t="s">
        <v>138</v>
      </c>
      <c r="B147" s="7">
        <v>-15.04</v>
      </c>
      <c r="C147" s="8">
        <f>IFERROR(B147/B444, "NA")</f>
        <v>-1.1136563292110276E-4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15.04</v>
      </c>
      <c r="I147" s="8">
        <f>IFERROR(H147/H444, "NA")</f>
        <v>-6.0392583919189648E-4</v>
      </c>
      <c r="J147" s="9"/>
      <c r="K147" s="7">
        <v>28.02</v>
      </c>
      <c r="L147" s="8">
        <f>IFERROR(K147/K444, "NA")</f>
        <v>2.1020997816201907E-4</v>
      </c>
      <c r="M147" s="9"/>
      <c r="N147" s="10">
        <f t="shared" si="33"/>
        <v>43.06</v>
      </c>
      <c r="O147" s="8">
        <f>IFERROR(N147/N444, "NA")</f>
        <v>2.4530720369157068E-2</v>
      </c>
      <c r="P147" s="9"/>
      <c r="Q147" s="7">
        <v>90.45</v>
      </c>
      <c r="R147" s="8">
        <f>IFERROR(Q147/Q444, "NA")</f>
        <v>1.3174152286995696E-4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-90.45</v>
      </c>
      <c r="X147" s="8">
        <f>IFERROR(W147/W444, "NA")</f>
        <v>1.0195443668060133E-2</v>
      </c>
      <c r="Y147" s="9"/>
      <c r="Z147" s="7">
        <v>113.32</v>
      </c>
      <c r="AA147" s="8">
        <f>IFERROR(Z147/Z444, "NA")</f>
        <v>1.8671361287067747E-4</v>
      </c>
      <c r="AB147" s="9"/>
      <c r="AC147" s="10">
        <f t="shared" si="35"/>
        <v>22.86999999999999</v>
      </c>
      <c r="AD147" s="8">
        <f>IFERROR(AC147/AC444, "NA")</f>
        <v>2.8712074513294577E-4</v>
      </c>
    </row>
    <row r="148" spans="1:30" ht="16.5" customHeight="1" x14ac:dyDescent="0.45">
      <c r="A148" s="13" t="s">
        <v>139</v>
      </c>
      <c r="B148" s="14">
        <f>IFERROR(B143+B144+B145+B146+B147, "NA")</f>
        <v>1784.74</v>
      </c>
      <c r="C148" s="15">
        <f>IFERROR(B148/B444, "NA")</f>
        <v>1.3215339075771873E-2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-1784.74</v>
      </c>
      <c r="I148" s="15">
        <f>IFERROR(H148/H444, "NA")</f>
        <v>7.1665598553147969E-2</v>
      </c>
      <c r="J148" s="2"/>
      <c r="K148" s="14">
        <f>IFERROR(K143+K144+K145+K146+K147, "NA")</f>
        <v>1604.5100000000002</v>
      </c>
      <c r="L148" s="15">
        <f>IFERROR(K148/K444, "NA")</f>
        <v>1.2037259531075706E-2</v>
      </c>
      <c r="M148" s="2"/>
      <c r="N148" s="14">
        <f t="shared" si="33"/>
        <v>-180.22999999999979</v>
      </c>
      <c r="O148" s="15">
        <f>IFERROR(N148/N444, "NA")</f>
        <v>-0.10267468026319491</v>
      </c>
      <c r="P148" s="2"/>
      <c r="Q148" s="14">
        <f>IFERROR(Q143+Q144+Q145+Q146+Q147, "NA")</f>
        <v>10358.120000000001</v>
      </c>
      <c r="R148" s="15">
        <f>IFERROR(Q148/Q444, "NA")</f>
        <v>1.5086727505469971E-2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-10358.120000000001</v>
      </c>
      <c r="X148" s="15">
        <f>IFERROR(W148/W444, "NA")</f>
        <v>1.1675580869763078</v>
      </c>
      <c r="Y148" s="2"/>
      <c r="Z148" s="14">
        <f>IFERROR(Z143+Z144+Z145+Z146+Z147, "NA")</f>
        <v>7779.6</v>
      </c>
      <c r="AA148" s="15">
        <f>IFERROR(Z148/Z444, "NA")</f>
        <v>1.2818189398947428E-2</v>
      </c>
      <c r="AB148" s="2"/>
      <c r="AC148" s="14">
        <f t="shared" si="35"/>
        <v>-2578.5200000000004</v>
      </c>
      <c r="AD148" s="15">
        <f>IFERROR(AC148/AC444, "NA")</f>
        <v>-3.2371953814613198E-2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34462.499999999993</v>
      </c>
      <c r="C149" s="15">
        <f>IFERROR(B149/B444, "NA")</f>
        <v>0.25518205615315848</v>
      </c>
      <c r="D149" s="2"/>
      <c r="E149" s="14">
        <f>IFERROR(E127+E129+E130+E131+E132+E133+E134+E135+E136+E137+E138+E139+E140+E143+E144+E145+E146+E147, "NA")</f>
        <v>36149.68</v>
      </c>
      <c r="F149" s="15">
        <f>IFERROR(E149/E444, "NA")</f>
        <v>0.22599996649044141</v>
      </c>
      <c r="G149" s="2"/>
      <c r="H149" s="14">
        <f t="shared" si="32"/>
        <v>1687.1800000000076</v>
      </c>
      <c r="I149" s="15">
        <f>IFERROR(H149/H444, "NA")</f>
        <v>-6.7748111527113603E-2</v>
      </c>
      <c r="J149" s="2"/>
      <c r="K149" s="14">
        <f>IFERROR(K127+K129+K130+K131+K132+K133+K134+K135+K136+K137+K138+K139+K140+K143+K144+K145+K146+K147, "NA")</f>
        <v>32020.179999999997</v>
      </c>
      <c r="L149" s="15">
        <f>IFERROR(K149/K444, "NA")</f>
        <v>0.24021989074032543</v>
      </c>
      <c r="M149" s="2"/>
      <c r="N149" s="14">
        <f t="shared" si="33"/>
        <v>-2442.3199999999961</v>
      </c>
      <c r="O149" s="15">
        <f>IFERROR(N149/N444, "NA")</f>
        <v>-1.3913578488620435</v>
      </c>
      <c r="P149" s="2"/>
      <c r="Q149" s="14">
        <f>IFERROR(Q127+Q129+Q130+Q131+Q132+Q133+Q134+Q135+Q136+Q137+Q138+Q139+Q140+Q143+Q144+Q145+Q146+Q147, "NA")</f>
        <v>180889.91</v>
      </c>
      <c r="R149" s="15">
        <f>IFERROR(Q149/Q444, "NA")</f>
        <v>0.26346834953244286</v>
      </c>
      <c r="S149" s="2"/>
      <c r="T149" s="14">
        <f>IFERROR(T127+T129+T130+T131+T132+T133+T134+T135+T136+T137+T138+T139+T140+T143+T144+T145+T146+T147, "NA")</f>
        <v>164364.95000000001</v>
      </c>
      <c r="U149" s="15">
        <f>IFERROR(T149/T444, "NA")</f>
        <v>0.23634557986251359</v>
      </c>
      <c r="V149" s="2"/>
      <c r="W149" s="14">
        <f t="shared" si="34"/>
        <v>-16524.959999999992</v>
      </c>
      <c r="X149" s="15">
        <f>IFERROR(W149/W444, "NA")</f>
        <v>1.8626788147810602</v>
      </c>
      <c r="Y149" s="2"/>
      <c r="Z149" s="14">
        <f>IFERROR(Z127+Z129+Z130+Z131+Z132+Z133+Z134+Z135+Z136+Z137+Z138+Z139+Z140+Z143+Z144+Z145+Z146+Z147, "NA")</f>
        <v>153001.61000000002</v>
      </c>
      <c r="AA149" s="15">
        <f>IFERROR(Z149/Z444, "NA")</f>
        <v>0.25209568812328254</v>
      </c>
      <c r="AB149" s="2"/>
      <c r="AC149" s="14">
        <f t="shared" si="35"/>
        <v>-27888.299999999988</v>
      </c>
      <c r="AD149" s="15">
        <f>IFERROR(AC149/AC444, "NA")</f>
        <v>-0.35012284549589556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2399.3200000000002</v>
      </c>
      <c r="F153" s="8">
        <f>IFERROR(E153/E444, "NA")</f>
        <v>1.500002875820328E-2</v>
      </c>
      <c r="G153" s="9"/>
      <c r="H153" s="10">
        <f t="shared" ref="H153:H158" si="36">IFERROR(-(B153-E153), "NA")</f>
        <v>2399.3200000000002</v>
      </c>
      <c r="I153" s="8">
        <f>IFERROR(H153/H444, "NA")</f>
        <v>-9.6343839394275349E-2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11453.82</v>
      </c>
      <c r="U153" s="8">
        <f>IFERROR(T153/T444, "NA")</f>
        <v>1.6469811413813318E-2</v>
      </c>
      <c r="V153" s="9"/>
      <c r="W153" s="10">
        <f t="shared" ref="W153:W158" si="38">IFERROR(-(Q153-T153), "NA")</f>
        <v>11453.82</v>
      </c>
      <c r="X153" s="8">
        <f>IFERROR(W153/W444, "NA")</f>
        <v>-1.291064417845224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5001.8500000000004</v>
      </c>
      <c r="C154" s="8">
        <f>IFERROR(B154/B444, "NA")</f>
        <v>3.7036847807607576E-2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-5001.8500000000004</v>
      </c>
      <c r="I154" s="8">
        <f>IFERROR(H154/H444, "NA")</f>
        <v>0.20084750390704706</v>
      </c>
      <c r="J154" s="9"/>
      <c r="K154" s="7">
        <v>4336.26</v>
      </c>
      <c r="L154" s="8">
        <f>IFERROR(K154/K444, "NA")</f>
        <v>3.2531231973762911E-2</v>
      </c>
      <c r="M154" s="9"/>
      <c r="N154" s="10">
        <f t="shared" si="37"/>
        <v>-665.59000000000015</v>
      </c>
      <c r="O154" s="8">
        <f>IFERROR(N154/N444, "NA")</f>
        <v>-0.37917794172102315</v>
      </c>
      <c r="P154" s="9"/>
      <c r="Q154" s="7">
        <v>23853.58</v>
      </c>
      <c r="R154" s="8">
        <f>IFERROR(Q154/Q444, "NA")</f>
        <v>3.4743028801551668E-2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-23853.58</v>
      </c>
      <c r="X154" s="8">
        <f>IFERROR(W154/W444, "NA")</f>
        <v>2.6887543523666761</v>
      </c>
      <c r="Y154" s="9"/>
      <c r="Z154" s="7">
        <v>20413.84</v>
      </c>
      <c r="AA154" s="8">
        <f>IFERROR(Z154/Z444, "NA")</f>
        <v>3.3635208427143931E-2</v>
      </c>
      <c r="AB154" s="9"/>
      <c r="AC154" s="10">
        <f t="shared" si="39"/>
        <v>-3439.7400000000016</v>
      </c>
      <c r="AD154" s="8">
        <f>IFERROR(AC154/AC444, "NA")</f>
        <v>-4.3184115079300388E-2</v>
      </c>
    </row>
    <row r="155" spans="1:30" ht="16.5" customHeight="1" x14ac:dyDescent="0.45">
      <c r="A155" s="12" t="s">
        <v>144</v>
      </c>
      <c r="B155" s="7">
        <v>1075.05</v>
      </c>
      <c r="C155" s="8">
        <f>IFERROR(B155/B444, "NA")</f>
        <v>7.9603473186058201E-3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-1075.05</v>
      </c>
      <c r="I155" s="8">
        <f>IFERROR(H155/H444, "NA")</f>
        <v>4.3168249562715977E-2</v>
      </c>
      <c r="J155" s="9"/>
      <c r="K155" s="7">
        <v>1260.19</v>
      </c>
      <c r="L155" s="8">
        <f>IFERROR(K155/K444, "NA")</f>
        <v>9.4541224975015995E-3</v>
      </c>
      <c r="M155" s="9"/>
      <c r="N155" s="10">
        <f t="shared" si="37"/>
        <v>185.1400000000001</v>
      </c>
      <c r="O155" s="8">
        <f>IFERROR(N155/N444, "NA")</f>
        <v>0.10547184322214914</v>
      </c>
      <c r="P155" s="9"/>
      <c r="Q155" s="7">
        <v>6678.57</v>
      </c>
      <c r="R155" s="8">
        <f>IFERROR(Q155/Q444, "NA")</f>
        <v>9.7274182685860525E-3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-6678.57</v>
      </c>
      <c r="X155" s="8">
        <f>IFERROR(W155/W444, "NA")</f>
        <v>0.75280247891869934</v>
      </c>
      <c r="Y155" s="9"/>
      <c r="Z155" s="7">
        <v>7309.78</v>
      </c>
      <c r="AA155" s="8">
        <f>IFERROR(Z155/Z444, "NA")</f>
        <v>1.2044082536973356E-2</v>
      </c>
      <c r="AB155" s="9"/>
      <c r="AC155" s="10">
        <f t="shared" si="39"/>
        <v>631.21</v>
      </c>
      <c r="AD155" s="8">
        <f>IFERROR(AC155/AC444, "NA")</f>
        <v>7.9245074567278872E-3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16.329999999999998</v>
      </c>
      <c r="L156" s="8">
        <f>IFERROR(K156/K444, "NA")</f>
        <v>1.2250995515295399E-4</v>
      </c>
      <c r="M156" s="9"/>
      <c r="N156" s="10">
        <f t="shared" si="37"/>
        <v>16.329999999999998</v>
      </c>
      <c r="O156" s="8">
        <f>IFERROR(N156/N444, "NA")</f>
        <v>9.3029880080895237E-3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54.77</v>
      </c>
      <c r="AA156" s="8">
        <f>IFERROR(Z156/Z444, "NA")</f>
        <v>9.0242715998296901E-5</v>
      </c>
      <c r="AB156" s="9"/>
      <c r="AC156" s="10">
        <f t="shared" si="39"/>
        <v>54.77</v>
      </c>
      <c r="AD156" s="8">
        <f>IFERROR(AC156/AC444, "NA")</f>
        <v>6.8760836077531471E-4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6076.9000000000005</v>
      </c>
      <c r="C158" s="15">
        <f>IFERROR(B158/B444, "NA")</f>
        <v>4.4997195126213398E-2</v>
      </c>
      <c r="D158" s="2"/>
      <c r="E158" s="14">
        <f>IFERROR(E153+E154+E155+E156+E157, "NA")</f>
        <v>2399.3200000000002</v>
      </c>
      <c r="F158" s="15">
        <f>IFERROR(E158/E444, "NA")</f>
        <v>1.500002875820328E-2</v>
      </c>
      <c r="G158" s="2"/>
      <c r="H158" s="14">
        <f t="shared" si="36"/>
        <v>-3677.5800000000004</v>
      </c>
      <c r="I158" s="15">
        <f>IFERROR(H158/H444, "NA")</f>
        <v>0.14767191407548769</v>
      </c>
      <c r="J158" s="2"/>
      <c r="K158" s="14">
        <f>IFERROR(K153+K154+K155+K156+K157, "NA")</f>
        <v>5612.7800000000007</v>
      </c>
      <c r="L158" s="15">
        <f>IFERROR(K158/K444, "NA")</f>
        <v>4.2107864426417473E-2</v>
      </c>
      <c r="M158" s="2"/>
      <c r="N158" s="14">
        <f t="shared" si="37"/>
        <v>-464.11999999999989</v>
      </c>
      <c r="O158" s="15">
        <f>IFERROR(N158/N444, "NA")</f>
        <v>-0.26440311049078435</v>
      </c>
      <c r="P158" s="2"/>
      <c r="Q158" s="14">
        <f>IFERROR(Q153+Q154+Q155+Q156+Q157, "NA")</f>
        <v>30532.15</v>
      </c>
      <c r="R158" s="15">
        <f>IFERROR(Q158/Q444, "NA")</f>
        <v>4.4470447070137718E-2</v>
      </c>
      <c r="S158" s="2"/>
      <c r="T158" s="14">
        <f>IFERROR(T153+T154+T155+T156+T157, "NA")</f>
        <v>11453.82</v>
      </c>
      <c r="U158" s="15">
        <f>IFERROR(T158/T444, "NA")</f>
        <v>1.6469811413813318E-2</v>
      </c>
      <c r="V158" s="2"/>
      <c r="W158" s="14">
        <f t="shared" si="38"/>
        <v>-19078.330000000002</v>
      </c>
      <c r="X158" s="15">
        <f>IFERROR(W158/W444, "NA")</f>
        <v>2.1504924134401513</v>
      </c>
      <c r="Y158" s="2"/>
      <c r="Z158" s="14">
        <f>IFERROR(Z153+Z154+Z155+Z156+Z157, "NA")</f>
        <v>27778.39</v>
      </c>
      <c r="AA158" s="15">
        <f>IFERROR(Z158/Z444, "NA")</f>
        <v>4.5769533680115583E-2</v>
      </c>
      <c r="AB158" s="2"/>
      <c r="AC158" s="14">
        <f t="shared" si="39"/>
        <v>-2753.760000000002</v>
      </c>
      <c r="AD158" s="15">
        <f>IFERROR(AC158/AC444, "NA")</f>
        <v>-3.4571999261797187E-2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177.31</v>
      </c>
      <c r="C161" s="8">
        <f>IFERROR(B161/B444, "NA")</f>
        <v>1.3129149184335593E-3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-177.31</v>
      </c>
      <c r="I161" s="8">
        <f>IFERROR(H161/H444, "NA")</f>
        <v>7.1198198502071255E-3</v>
      </c>
      <c r="J161" s="9"/>
      <c r="K161" s="7">
        <v>422.15</v>
      </c>
      <c r="L161" s="8">
        <f>IFERROR(K161/K444, "NA")</f>
        <v>3.1670286324445517E-3</v>
      </c>
      <c r="M161" s="9"/>
      <c r="N161" s="10">
        <f t="shared" si="41"/>
        <v>244.83999999999997</v>
      </c>
      <c r="O161" s="8">
        <f>IFERROR(N161/N444, "NA")</f>
        <v>0.13948215455607096</v>
      </c>
      <c r="P161" s="9"/>
      <c r="Q161" s="7">
        <v>1922.04</v>
      </c>
      <c r="R161" s="8">
        <f>IFERROR(Q161/Q444, "NA")</f>
        <v>2.7994745894634834E-3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-1922.04</v>
      </c>
      <c r="X161" s="8">
        <f>IFERROR(W161/W444, "NA")</f>
        <v>0.21665064176626089</v>
      </c>
      <c r="Y161" s="9"/>
      <c r="Z161" s="7">
        <v>2537.8200000000002</v>
      </c>
      <c r="AA161" s="8">
        <f>IFERROR(Z161/Z444, "NA")</f>
        <v>4.1814820068431235E-3</v>
      </c>
      <c r="AB161" s="9"/>
      <c r="AC161" s="10">
        <f t="shared" si="43"/>
        <v>615.7800000000002</v>
      </c>
      <c r="AD161" s="8">
        <f>IFERROR(AC161/AC444, "NA")</f>
        <v>7.730791973675797E-3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177.31</v>
      </c>
      <c r="C166" s="15">
        <f>IFERROR(B166/B444, "NA")</f>
        <v>1.3129149184335593E-3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-177.31</v>
      </c>
      <c r="I166" s="15">
        <f>IFERROR(H166/H444, "NA")</f>
        <v>7.1198198502071255E-3</v>
      </c>
      <c r="J166" s="2"/>
      <c r="K166" s="14">
        <f>IFERROR(K160+K161+K162+K163+K164+K165, "NA")</f>
        <v>422.15</v>
      </c>
      <c r="L166" s="15">
        <f>IFERROR(K166/K444, "NA")</f>
        <v>3.1670286324445517E-3</v>
      </c>
      <c r="M166" s="2"/>
      <c r="N166" s="14">
        <f t="shared" si="41"/>
        <v>244.83999999999997</v>
      </c>
      <c r="O166" s="15">
        <f>IFERROR(N166/N444, "NA")</f>
        <v>0.13948215455607096</v>
      </c>
      <c r="P166" s="2"/>
      <c r="Q166" s="14">
        <f>IFERROR(Q160+Q161+Q162+Q163+Q164+Q165, "NA")</f>
        <v>1922.04</v>
      </c>
      <c r="R166" s="15">
        <f>IFERROR(Q166/Q444, "NA")</f>
        <v>2.7994745894634834E-3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-1922.04</v>
      </c>
      <c r="X166" s="15">
        <f>IFERROR(W166/W444, "NA")</f>
        <v>0.21665064176626089</v>
      </c>
      <c r="Y166" s="2"/>
      <c r="Z166" s="14">
        <f>IFERROR(Z160+Z161+Z162+Z163+Z164+Z165, "NA")</f>
        <v>2537.8200000000002</v>
      </c>
      <c r="AA166" s="15">
        <f>IFERROR(Z166/Z444, "NA")</f>
        <v>4.1814820068431235E-3</v>
      </c>
      <c r="AB166" s="2"/>
      <c r="AC166" s="14">
        <f t="shared" si="43"/>
        <v>615.7800000000002</v>
      </c>
      <c r="AD166" s="15">
        <f>IFERROR(AC166/AC444, "NA")</f>
        <v>7.730791973675797E-3</v>
      </c>
    </row>
    <row r="167" spans="1:30" ht="16.5" customHeight="1" x14ac:dyDescent="0.45">
      <c r="A167" s="6" t="s">
        <v>155</v>
      </c>
      <c r="B167" s="7">
        <v>147.88</v>
      </c>
      <c r="C167" s="8">
        <f>IFERROR(B167/B444, "NA")</f>
        <v>1.0949966619928642E-3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-147.88</v>
      </c>
      <c r="I167" s="8">
        <f>IFERROR(H167/H444, "NA")</f>
        <v>5.938068690139472E-3</v>
      </c>
      <c r="J167" s="9"/>
      <c r="K167" s="7">
        <v>155.94999999999999</v>
      </c>
      <c r="L167" s="8">
        <f>IFERROR(K167/K444, "NA")</f>
        <v>1.1699588184998883E-3</v>
      </c>
      <c r="M167" s="9"/>
      <c r="N167" s="10">
        <f t="shared" si="41"/>
        <v>8.0699999999999932</v>
      </c>
      <c r="O167" s="8">
        <f>IFERROR(N167/N444, "NA")</f>
        <v>4.597373743128132E-3</v>
      </c>
      <c r="P167" s="9"/>
      <c r="Q167" s="7">
        <v>790.35</v>
      </c>
      <c r="R167" s="8">
        <f>IFERROR(Q167/Q444, "NA")</f>
        <v>1.1511543681621945E-3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-790.35</v>
      </c>
      <c r="X167" s="8">
        <f>IFERROR(W167/W444, "NA")</f>
        <v>8.9087550061374532E-2</v>
      </c>
      <c r="Y167" s="9"/>
      <c r="Z167" s="7">
        <v>950.15</v>
      </c>
      <c r="AA167" s="8">
        <f>IFERROR(Z167/Z444, "NA")</f>
        <v>1.5655307030451304E-3</v>
      </c>
      <c r="AB167" s="9"/>
      <c r="AC167" s="10">
        <f t="shared" si="43"/>
        <v>159.79999999999995</v>
      </c>
      <c r="AD167" s="8">
        <f>IFERROR(AC167/AC444, "NA")</f>
        <v>2.0062044194247811E-3</v>
      </c>
    </row>
    <row r="168" spans="1:30" ht="16.5" customHeight="1" x14ac:dyDescent="0.45">
      <c r="A168" s="6" t="s">
        <v>156</v>
      </c>
      <c r="B168" s="7">
        <v>53.91</v>
      </c>
      <c r="C168" s="8">
        <f>IFERROR(B168/B444, "NA")</f>
        <v>3.9918359513142619E-4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-53.91</v>
      </c>
      <c r="I168" s="8">
        <f>IFERROR(H168/H444, "NA")</f>
        <v>2.1647368344970171E-3</v>
      </c>
      <c r="J168" s="9"/>
      <c r="K168" s="7">
        <v>59.6</v>
      </c>
      <c r="L168" s="8">
        <f>IFERROR(K168/K444, "NA")</f>
        <v>4.4712757667581503E-4</v>
      </c>
      <c r="M168" s="9"/>
      <c r="N168" s="10">
        <f t="shared" si="41"/>
        <v>5.6900000000000048</v>
      </c>
      <c r="O168" s="8">
        <f>IFERROR(N168/N444, "NA")</f>
        <v>3.2415187854273999E-3</v>
      </c>
      <c r="P168" s="9"/>
      <c r="Q168" s="7">
        <v>283.31</v>
      </c>
      <c r="R168" s="8">
        <f>IFERROR(Q168/Q444, "NA")</f>
        <v>4.1264445377874525E-4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-283.31</v>
      </c>
      <c r="X168" s="8">
        <f>IFERROR(W168/W444, "NA")</f>
        <v>3.1934451582068729E-2</v>
      </c>
      <c r="Y168" s="9"/>
      <c r="Z168" s="7">
        <v>295.5</v>
      </c>
      <c r="AA168" s="8">
        <f>IFERROR(Z168/Z444, "NA")</f>
        <v>4.8688556833114359E-4</v>
      </c>
      <c r="AB168" s="9"/>
      <c r="AC168" s="10">
        <f t="shared" si="43"/>
        <v>12.189999999999998</v>
      </c>
      <c r="AD168" s="8">
        <f>IFERROR(AC168/AC444, "NA")</f>
        <v>1.5303899795236599E-4</v>
      </c>
    </row>
    <row r="169" spans="1:30" ht="16.5" customHeight="1" x14ac:dyDescent="0.45">
      <c r="A169" s="6" t="s">
        <v>157</v>
      </c>
      <c r="B169" s="7">
        <v>-2146.89</v>
      </c>
      <c r="C169" s="8">
        <f>IFERROR(B169/B444, "NA")</f>
        <v>-1.5896925775398026E-2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2146.89</v>
      </c>
      <c r="I169" s="8">
        <f>IFERROR(H169/H444, "NA")</f>
        <v>-8.6207602719593796E-2</v>
      </c>
      <c r="J169" s="9"/>
      <c r="K169" s="7">
        <v>-2296.2399999999998</v>
      </c>
      <c r="L169" s="8">
        <f>IFERROR(K169/K444, "NA")</f>
        <v>-1.722671521251801E-2</v>
      </c>
      <c r="M169" s="9"/>
      <c r="N169" s="10">
        <f t="shared" si="41"/>
        <v>-149.34999999999991</v>
      </c>
      <c r="O169" s="8">
        <f>IFERROR(N169/N444, "NA")</f>
        <v>-8.5082747030506403E-2</v>
      </c>
      <c r="P169" s="9"/>
      <c r="Q169" s="7">
        <v>-13387.94</v>
      </c>
      <c r="R169" s="8">
        <f>IFERROR(Q169/Q444, "NA")</f>
        <v>-1.9499697111018371E-2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13387.94</v>
      </c>
      <c r="X169" s="8">
        <f>IFERROR(W169/W444, "NA")</f>
        <v>-1.509076706482797</v>
      </c>
      <c r="Y169" s="9"/>
      <c r="Z169" s="7">
        <v>-14268.2</v>
      </c>
      <c r="AA169" s="8">
        <f>IFERROR(Z169/Z444, "NA")</f>
        <v>-2.3509240832698557E-2</v>
      </c>
      <c r="AB169" s="9"/>
      <c r="AC169" s="10">
        <f t="shared" si="43"/>
        <v>-880.26000000000022</v>
      </c>
      <c r="AD169" s="8">
        <f>IFERROR(AC169/AC444, "NA")</f>
        <v>-1.1051198387001618E-2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4309.1100000000006</v>
      </c>
      <c r="C170" s="15">
        <f>IFERROR(B170/B444, "NA")</f>
        <v>3.1907364526373216E-2</v>
      </c>
      <c r="D170" s="2"/>
      <c r="E170" s="14">
        <f>IFERROR(E151+E153+E154+E155+E156+E157+E160+E161+E162+E163+E164+E165+E167+E168+E169, "NA")</f>
        <v>2399.3200000000002</v>
      </c>
      <c r="F170" s="15">
        <f>IFERROR(E170/E444, "NA")</f>
        <v>1.500002875820328E-2</v>
      </c>
      <c r="G170" s="2"/>
      <c r="H170" s="14">
        <f t="shared" si="40"/>
        <v>-1909.7900000000004</v>
      </c>
      <c r="I170" s="15">
        <f>IFERROR(H170/H444, "NA")</f>
        <v>7.6686936730737523E-2</v>
      </c>
      <c r="J170" s="2"/>
      <c r="K170" s="14">
        <f>IFERROR(K151+K153+K154+K155+K156+K157+K160+K161+K162+K163+K164+K165+K167+K168+K169, "NA")</f>
        <v>3954.2400000000007</v>
      </c>
      <c r="L170" s="15">
        <f>IFERROR(K170/K444, "NA")</f>
        <v>2.9665264241519714E-2</v>
      </c>
      <c r="M170" s="2"/>
      <c r="N170" s="14">
        <f t="shared" si="41"/>
        <v>-354.86999999999989</v>
      </c>
      <c r="O170" s="15">
        <f>IFERROR(N170/N444, "NA")</f>
        <v>-0.20216481043666432</v>
      </c>
      <c r="P170" s="2"/>
      <c r="Q170" s="14">
        <f>IFERROR(Q151+Q153+Q154+Q155+Q156+Q157+Q160+Q161+Q162+Q163+Q164+Q165+Q167+Q168+Q169, "NA")</f>
        <v>20139.909999999996</v>
      </c>
      <c r="R170" s="15">
        <f>IFERROR(Q170/Q444, "NA")</f>
        <v>2.9334023370523765E-2</v>
      </c>
      <c r="S170" s="2"/>
      <c r="T170" s="14">
        <f>IFERROR(T151+T153+T154+T155+T156+T157+T160+T161+T162+T163+T164+T165+T167+T168+T169, "NA")</f>
        <v>11453.82</v>
      </c>
      <c r="U170" s="15">
        <f>IFERROR(T170/T444, "NA")</f>
        <v>1.6469811413813318E-2</v>
      </c>
      <c r="V170" s="2"/>
      <c r="W170" s="14">
        <f t="shared" si="42"/>
        <v>-8686.0899999999965</v>
      </c>
      <c r="X170" s="15">
        <f>IFERROR(W170/W444, "NA")</f>
        <v>0.9790883503670581</v>
      </c>
      <c r="Y170" s="2"/>
      <c r="Z170" s="14">
        <f>IFERROR(Z151+Z153+Z154+Z155+Z156+Z157+Z160+Z161+Z162+Z163+Z164+Z165+Z167+Z168+Z169, "NA")</f>
        <v>17293.66</v>
      </c>
      <c r="AA170" s="15">
        <f>IFERROR(Z170/Z444, "NA")</f>
        <v>2.8494191125636427E-2</v>
      </c>
      <c r="AB170" s="2"/>
      <c r="AC170" s="14">
        <f t="shared" si="43"/>
        <v>-2846.2499999999964</v>
      </c>
      <c r="AD170" s="15">
        <f>IFERROR(AC170/AC444, "NA")</f>
        <v>-3.5733162257745789E-2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38771.609999999993</v>
      </c>
      <c r="C171" s="15">
        <f>IFERROR(B171/B444, "NA")</f>
        <v>0.28708942067953169</v>
      </c>
      <c r="D171" s="2"/>
      <c r="E171" s="14">
        <f>IFERROR(E127+E129+E130+E131+E132+E133+E134+E135+E136+E137+E138+E139+E140+E143+E144+E145+E146+E147+E151+E153+E154+E155+E156+E157+E160+E161+E162+E163+E164+E165+E167+E168+E169, "NA")</f>
        <v>38549</v>
      </c>
      <c r="F171" s="15">
        <f>IFERROR(E171/E444, "NA")</f>
        <v>0.24099999524864471</v>
      </c>
      <c r="G171" s="2"/>
      <c r="H171" s="14">
        <f t="shared" si="40"/>
        <v>-222.60999999999331</v>
      </c>
      <c r="I171" s="15">
        <f>IFERROR(H171/H444, "NA")</f>
        <v>8.9388252036239381E-3</v>
      </c>
      <c r="J171" s="2"/>
      <c r="K171" s="14">
        <f>IFERROR(K127+K129+K130+K131+K132+K133+K134+K135+K136+K137+K138+K139+K140+K143+K144+K145+K146+K147+K151+K153+K154+K155+K156+K157+K160+K161+K162+K163+K164+K165+K167+K168+K169, "NA")</f>
        <v>35974.42</v>
      </c>
      <c r="L171" s="15">
        <f>IFERROR(K171/K444, "NA")</f>
        <v>0.26988515498184518</v>
      </c>
      <c r="M171" s="2"/>
      <c r="N171" s="14">
        <f t="shared" si="41"/>
        <v>-2797.1899999999951</v>
      </c>
      <c r="O171" s="15">
        <f>IFERROR(N171/N444, "NA")</f>
        <v>-1.5935226592987073</v>
      </c>
      <c r="P171" s="2"/>
      <c r="Q171" s="14">
        <f>IFERROR(Q127+Q129+Q130+Q131+Q132+Q133+Q134+Q135+Q136+Q137+Q138+Q139+Q140+Q143+Q144+Q145+Q146+Q147+Q151+Q153+Q154+Q155+Q156+Q157+Q160+Q161+Q162+Q163+Q164+Q165+Q167+Q168+Q169, "NA")</f>
        <v>201029.82</v>
      </c>
      <c r="R171" s="15">
        <f>IFERROR(Q171/Q444, "NA")</f>
        <v>0.29280237290296668</v>
      </c>
      <c r="S171" s="2"/>
      <c r="T171" s="14">
        <f>IFERROR(T127+T129+T130+T131+T132+T133+T134+T135+T136+T137+T138+T139+T140+T143+T144+T145+T146+T147+T151+T153+T154+T155+T156+T157+T160+T161+T162+T163+T164+T165+T167+T168+T169, "NA")</f>
        <v>175818.77000000002</v>
      </c>
      <c r="U171" s="15">
        <f>IFERROR(T171/T444, "NA")</f>
        <v>0.25281539127632691</v>
      </c>
      <c r="V171" s="2"/>
      <c r="W171" s="14">
        <f t="shared" si="42"/>
        <v>-25211.049999999988</v>
      </c>
      <c r="X171" s="15">
        <f>IFERROR(W171/W444, "NA")</f>
        <v>2.8417671651481182</v>
      </c>
      <c r="Y171" s="2"/>
      <c r="Z171" s="14">
        <f>IFERROR(Z127+Z129+Z130+Z131+Z132+Z133+Z134+Z135+Z136+Z137+Z138+Z139+Z140+Z143+Z144+Z145+Z146+Z147+Z151+Z153+Z154+Z155+Z156+Z157+Z160+Z161+Z162+Z163+Z164+Z165+Z167+Z168+Z169, "NA")</f>
        <v>170295.27</v>
      </c>
      <c r="AA171" s="15">
        <f>IFERROR(Z171/Z444, "NA")</f>
        <v>0.28058987924891893</v>
      </c>
      <c r="AB171" s="2"/>
      <c r="AC171" s="14">
        <f t="shared" si="43"/>
        <v>-30734.550000000017</v>
      </c>
      <c r="AD171" s="15">
        <f>IFERROR(AC171/AC444, "NA")</f>
        <v>-0.38585600775364176</v>
      </c>
    </row>
    <row r="172" spans="1:30" ht="16.5" customHeight="1" x14ac:dyDescent="0.45">
      <c r="A172" s="22" t="s">
        <v>160</v>
      </c>
      <c r="B172" s="23">
        <f>IFERROR(B124-B171, "NA")</f>
        <v>96279.030000000028</v>
      </c>
      <c r="C172" s="24">
        <f>IFERROR(B172/B444, "NA")</f>
        <v>0.71291057932046842</v>
      </c>
      <c r="D172" s="25"/>
      <c r="E172" s="23">
        <f>IFERROR(E124-E171, "NA")</f>
        <v>121405.35999999999</v>
      </c>
      <c r="F172" s="24">
        <f>IFERROR(E172/E444, "NA")</f>
        <v>0.75900000475135532</v>
      </c>
      <c r="G172" s="25"/>
      <c r="H172" s="23">
        <f>IFERROR(B172-E172, "NA")</f>
        <v>-25126.329999999958</v>
      </c>
      <c r="I172" s="24">
        <f>IFERROR(H172/H444, "NA")</f>
        <v>1.0089388252036235</v>
      </c>
      <c r="J172" s="25"/>
      <c r="K172" s="23">
        <f>IFERROR(K124-K171, "NA")</f>
        <v>97320.869999999981</v>
      </c>
      <c r="L172" s="24">
        <f>IFERROR(K172/K444, "NA")</f>
        <v>0.7301148450181546</v>
      </c>
      <c r="M172" s="25"/>
      <c r="N172" s="23">
        <f>IFERROR(B172-K172, "NA")</f>
        <v>-1041.8399999999529</v>
      </c>
      <c r="O172" s="24">
        <f>IFERROR(N172/N444, "NA")</f>
        <v>-0.59352265929868653</v>
      </c>
      <c r="P172" s="25"/>
      <c r="Q172" s="23">
        <f>IFERROR(Q124-Q171, "NA")</f>
        <v>485541.87000000029</v>
      </c>
      <c r="R172" s="24">
        <f>IFERROR(Q172/Q444, "NA")</f>
        <v>0.70719762709703382</v>
      </c>
      <c r="S172" s="25"/>
      <c r="T172" s="23">
        <f>IFERROR(T124-T171, "NA")</f>
        <v>519624.53</v>
      </c>
      <c r="U172" s="24">
        <f>IFERROR(T172/T444, "NA")</f>
        <v>0.74718460872367309</v>
      </c>
      <c r="V172" s="25"/>
      <c r="W172" s="23">
        <f>IFERROR(Q172-T172, "NA")</f>
        <v>-34082.659999999742</v>
      </c>
      <c r="X172" s="24">
        <f>IFERROR(W172/W444, "NA")</f>
        <v>3.8417671651480787</v>
      </c>
      <c r="Y172" s="25"/>
      <c r="Z172" s="23">
        <f>IFERROR(Z124-Z171, "NA")</f>
        <v>436623.52</v>
      </c>
      <c r="AA172" s="24">
        <f>IFERROR(Z172/Z444, "NA")</f>
        <v>0.71941012075108102</v>
      </c>
      <c r="AB172" s="25"/>
      <c r="AC172" s="23">
        <f>IFERROR(Q172-Z172, "NA")</f>
        <v>48918.350000000268</v>
      </c>
      <c r="AD172" s="24">
        <f>IFERROR(AC172/AC444, "NA")</f>
        <v>0.61414399224636296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7032.7</v>
      </c>
      <c r="C178" s="8">
        <f>IFERROR(B178/B444, "NA")</f>
        <v>5.2074540335388261E-2</v>
      </c>
      <c r="D178" s="9"/>
      <c r="E178" s="7">
        <v>7115.38</v>
      </c>
      <c r="F178" s="8">
        <f>IFERROR(E178/E444, "NA")</f>
        <v>4.4483814007945773E-2</v>
      </c>
      <c r="G178" s="9"/>
      <c r="H178" s="10">
        <f t="shared" si="44"/>
        <v>82.680000000000291</v>
      </c>
      <c r="I178" s="8">
        <f>IFERROR(H178/H444, "NA")</f>
        <v>-3.3199859298129108E-3</v>
      </c>
      <c r="J178" s="9"/>
      <c r="K178" s="7">
        <v>7019.25</v>
      </c>
      <c r="L178" s="8">
        <f>IFERROR(K178/K444, "NA")</f>
        <v>5.2659400043317359E-2</v>
      </c>
      <c r="M178" s="9"/>
      <c r="N178" s="10">
        <f t="shared" si="45"/>
        <v>-13.449999999999818</v>
      </c>
      <c r="O178" s="8">
        <f>IFERROR(N178/N444, "NA")</f>
        <v>-7.6622895718801232E-3</v>
      </c>
      <c r="P178" s="9"/>
      <c r="Q178" s="7">
        <v>37725.040000000001</v>
      </c>
      <c r="R178" s="8">
        <f>IFERROR(Q178/Q444, "NA")</f>
        <v>5.4946978661470885E-2</v>
      </c>
      <c r="S178" s="9"/>
      <c r="T178" s="7">
        <v>37000</v>
      </c>
      <c r="U178" s="8">
        <f>IFERROR(T178/T444, "NA")</f>
        <v>5.3203474675793123E-2</v>
      </c>
      <c r="V178" s="9"/>
      <c r="W178" s="10">
        <f t="shared" si="46"/>
        <v>-725.04000000000087</v>
      </c>
      <c r="X178" s="8">
        <f>IFERROR(W178/W444, "NA")</f>
        <v>8.1725864865564712E-2</v>
      </c>
      <c r="Y178" s="9"/>
      <c r="Z178" s="7">
        <v>36500.1</v>
      </c>
      <c r="AA178" s="8">
        <f>IFERROR(Z178/Z444, "NA")</f>
        <v>6.014000654024898E-2</v>
      </c>
      <c r="AB178" s="9"/>
      <c r="AC178" s="10">
        <f t="shared" si="47"/>
        <v>-1224.9400000000023</v>
      </c>
      <c r="AD178" s="8">
        <f>IFERROR(AC178/AC444, "NA")</f>
        <v>-1.5378473351252794E-2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26078.74</v>
      </c>
      <c r="C180" s="8">
        <f>IFERROR(B180/B444, "NA")</f>
        <v>0.19310341661468616</v>
      </c>
      <c r="D180" s="9"/>
      <c r="E180" s="7">
        <v>30711.23</v>
      </c>
      <c r="F180" s="8">
        <f>IFERROR(E180/E444, "NA")</f>
        <v>0.19199995548730275</v>
      </c>
      <c r="G180" s="9"/>
      <c r="H180" s="10">
        <f t="shared" si="44"/>
        <v>4632.489999999998</v>
      </c>
      <c r="I180" s="8">
        <f>IFERROR(H180/H444, "NA")</f>
        <v>-0.18601598476050979</v>
      </c>
      <c r="J180" s="9"/>
      <c r="K180" s="7">
        <v>26503.09</v>
      </c>
      <c r="L180" s="8">
        <f>IFERROR(K180/K444, "NA")</f>
        <v>0.19882990614297022</v>
      </c>
      <c r="M180" s="9"/>
      <c r="N180" s="10">
        <f t="shared" si="45"/>
        <v>424.34999999999854</v>
      </c>
      <c r="O180" s="8">
        <f>IFERROR(N180/N444, "NA")</f>
        <v>0.24174666021021285</v>
      </c>
      <c r="P180" s="9"/>
      <c r="Q180" s="7">
        <v>126257.88</v>
      </c>
      <c r="R180" s="8">
        <f>IFERROR(Q180/Q444, "NA")</f>
        <v>0.18389613472119717</v>
      </c>
      <c r="S180" s="9"/>
      <c r="T180" s="7">
        <v>136509.85</v>
      </c>
      <c r="U180" s="8">
        <f>IFERROR(T180/T444, "NA")</f>
        <v>0.19629184722895454</v>
      </c>
      <c r="V180" s="9"/>
      <c r="W180" s="10">
        <f t="shared" si="46"/>
        <v>10251.970000000001</v>
      </c>
      <c r="X180" s="8">
        <f>IFERROR(W180/W444, "NA")</f>
        <v>-1.1555929532519895</v>
      </c>
      <c r="Y180" s="9"/>
      <c r="Z180" s="7">
        <v>126626</v>
      </c>
      <c r="AA180" s="8">
        <f>IFERROR(Z180/Z444, "NA")</f>
        <v>0.20863746861421112</v>
      </c>
      <c r="AB180" s="9"/>
      <c r="AC180" s="10">
        <f t="shared" si="47"/>
        <v>368.11999999999534</v>
      </c>
      <c r="AD180" s="8">
        <f>IFERROR(AC180/AC444, "NA")</f>
        <v>4.6215517576886191E-3</v>
      </c>
    </row>
    <row r="181" spans="1:30" ht="16.5" customHeight="1" x14ac:dyDescent="0.45">
      <c r="A181" s="12" t="s">
        <v>166</v>
      </c>
      <c r="B181" s="7">
        <v>1082.6099999999999</v>
      </c>
      <c r="C181" s="8">
        <f>IFERROR(B181/B444, "NA")</f>
        <v>8.0163263202603103E-3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-1082.6099999999999</v>
      </c>
      <c r="I181" s="8">
        <f>IFERROR(H181/H444, "NA")</f>
        <v>4.3471818668054454E-2</v>
      </c>
      <c r="J181" s="9"/>
      <c r="K181" s="7">
        <v>579.49</v>
      </c>
      <c r="L181" s="8">
        <f>IFERROR(K181/K444, "NA")</f>
        <v>4.3474154263065104E-3</v>
      </c>
      <c r="M181" s="9"/>
      <c r="N181" s="10">
        <f t="shared" si="45"/>
        <v>-503.11999999999989</v>
      </c>
      <c r="O181" s="8">
        <f>IFERROR(N181/N444, "NA")</f>
        <v>-0.28662090181445193</v>
      </c>
      <c r="P181" s="9"/>
      <c r="Q181" s="7">
        <v>3022.89</v>
      </c>
      <c r="R181" s="8">
        <f>IFERROR(Q181/Q444, "NA")</f>
        <v>4.4028759764329932E-3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-3022.89</v>
      </c>
      <c r="X181" s="8">
        <f>IFERROR(W181/W444, "NA")</f>
        <v>0.34073747606127469</v>
      </c>
      <c r="Y181" s="9"/>
      <c r="Z181" s="7">
        <v>1301.8399999999999</v>
      </c>
      <c r="AA181" s="8">
        <f>IFERROR(Z181/Z444, "NA")</f>
        <v>2.144998674369597E-3</v>
      </c>
      <c r="AB181" s="9"/>
      <c r="AC181" s="10">
        <f t="shared" si="47"/>
        <v>-1721.05</v>
      </c>
      <c r="AD181" s="8">
        <f>IFERROR(AC181/AC444, "NA")</f>
        <v>-2.1606871815087737E-2</v>
      </c>
    </row>
    <row r="182" spans="1:30" ht="16.5" customHeight="1" x14ac:dyDescent="0.45">
      <c r="A182" s="13" t="s">
        <v>167</v>
      </c>
      <c r="B182" s="14">
        <f>IFERROR(B177+B178+B179+B180+B181, "NA")</f>
        <v>34194.050000000003</v>
      </c>
      <c r="C182" s="15">
        <f>IFERROR(B182/B444, "NA")</f>
        <v>0.25319428327033472</v>
      </c>
      <c r="D182" s="2"/>
      <c r="E182" s="14">
        <f>IFERROR(E177+E178+E179+E180+E181, "NA")</f>
        <v>37826.61</v>
      </c>
      <c r="F182" s="15">
        <f>IFERROR(E182/E444, "NA")</f>
        <v>0.23648376949524855</v>
      </c>
      <c r="G182" s="2"/>
      <c r="H182" s="14">
        <f t="shared" si="44"/>
        <v>3632.5599999999977</v>
      </c>
      <c r="I182" s="15">
        <f>IFERROR(H182/H444, "NA")</f>
        <v>-0.14586415202226824</v>
      </c>
      <c r="J182" s="2"/>
      <c r="K182" s="14">
        <f>IFERROR(K177+K178+K179+K180+K181, "NA")</f>
        <v>34101.829999999994</v>
      </c>
      <c r="L182" s="15">
        <f>IFERROR(K182/K444, "NA")</f>
        <v>0.25583672161259408</v>
      </c>
      <c r="M182" s="2"/>
      <c r="N182" s="14">
        <f t="shared" si="45"/>
        <v>-92.22000000000844</v>
      </c>
      <c r="O182" s="15">
        <f>IFERROR(N182/N444, "NA")</f>
        <v>-5.2536531176123356E-2</v>
      </c>
      <c r="P182" s="2"/>
      <c r="Q182" s="14">
        <f>IFERROR(Q177+Q178+Q179+Q180+Q181, "NA")</f>
        <v>167005.81000000003</v>
      </c>
      <c r="R182" s="15">
        <f>IFERROR(Q182/Q444, "NA")</f>
        <v>0.24324598935910108</v>
      </c>
      <c r="S182" s="2"/>
      <c r="T182" s="14">
        <f>IFERROR(T177+T178+T179+T180+T181, "NA")</f>
        <v>173509.85</v>
      </c>
      <c r="U182" s="15">
        <f>IFERROR(T182/T444, "NA")</f>
        <v>0.24949532190474766</v>
      </c>
      <c r="V182" s="2"/>
      <c r="W182" s="14">
        <f t="shared" si="46"/>
        <v>6504.039999999979</v>
      </c>
      <c r="X182" s="15">
        <f>IFERROR(W182/W444, "NA")</f>
        <v>-0.73312961232514773</v>
      </c>
      <c r="Y182" s="2"/>
      <c r="Z182" s="14">
        <f>IFERROR(Z177+Z178+Z179+Z180+Z181, "NA")</f>
        <v>164427.94</v>
      </c>
      <c r="AA182" s="15">
        <f>IFERROR(Z182/Z444, "NA")</f>
        <v>0.27092247382882972</v>
      </c>
      <c r="AB182" s="2"/>
      <c r="AC182" s="14">
        <f t="shared" si="47"/>
        <v>-2577.8700000000244</v>
      </c>
      <c r="AD182" s="15">
        <f>IFERROR(AC182/AC444, "NA")</f>
        <v>-3.2363793408652135E-2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50</v>
      </c>
      <c r="C184" s="8">
        <f>IFERROR(B184/B444, "NA")</f>
        <v>3.7023149242387891E-4</v>
      </c>
      <c r="D184" s="9"/>
      <c r="E184" s="7">
        <v>500</v>
      </c>
      <c r="F184" s="8">
        <f>IFERROR(E184/E444, "NA")</f>
        <v>3.1258916605961854E-3</v>
      </c>
      <c r="G184" s="9"/>
      <c r="H184" s="10">
        <f t="shared" si="44"/>
        <v>450</v>
      </c>
      <c r="I184" s="8">
        <f>IFERROR(H184/H444, "NA")</f>
        <v>-1.8069589603480946E-2</v>
      </c>
      <c r="J184" s="9"/>
      <c r="K184" s="7">
        <v>300</v>
      </c>
      <c r="L184" s="8">
        <f>IFERROR(K184/K444, "NA")</f>
        <v>2.2506421644755787E-3</v>
      </c>
      <c r="M184" s="9"/>
      <c r="N184" s="10">
        <f t="shared" si="45"/>
        <v>250</v>
      </c>
      <c r="O184" s="8">
        <f>IFERROR(N184/N444, "NA")</f>
        <v>0.14242173925427931</v>
      </c>
      <c r="P184" s="9"/>
      <c r="Q184" s="7">
        <v>2550</v>
      </c>
      <c r="R184" s="8">
        <f>IFERROR(Q184/Q444, "NA")</f>
        <v>3.7141059515576592E-3</v>
      </c>
      <c r="S184" s="9"/>
      <c r="T184" s="7">
        <v>3000</v>
      </c>
      <c r="U184" s="8">
        <f>IFERROR(T184/T444, "NA")</f>
        <v>4.3137952439832256E-3</v>
      </c>
      <c r="V184" s="9"/>
      <c r="W184" s="10">
        <f t="shared" si="46"/>
        <v>450</v>
      </c>
      <c r="X184" s="8">
        <f>IFERROR(W184/W444, "NA")</f>
        <v>-5.0723600338607629E-2</v>
      </c>
      <c r="Y184" s="9"/>
      <c r="Z184" s="7">
        <v>1900</v>
      </c>
      <c r="AA184" s="8">
        <f>IFERROR(Z184/Z444, "NA")</f>
        <v>3.1305671060208894E-3</v>
      </c>
      <c r="AB184" s="9"/>
      <c r="AC184" s="10">
        <f t="shared" si="47"/>
        <v>-650</v>
      </c>
      <c r="AD184" s="8">
        <f>IFERROR(AC184/AC444, "NA")</f>
        <v>-8.1604059613648808E-3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3299.6</v>
      </c>
      <c r="C186" s="8">
        <f>IFERROR(B186/B444, "NA")</f>
        <v>2.4432316648036616E-2</v>
      </c>
      <c r="D186" s="9"/>
      <c r="E186" s="7">
        <v>3914.46</v>
      </c>
      <c r="F186" s="8">
        <f>IFERROR(E186/E444, "NA")</f>
        <v>2.4472355739474688E-2</v>
      </c>
      <c r="G186" s="9"/>
      <c r="H186" s="10">
        <f t="shared" ref="H186:H197" si="48">IFERROR(-(B186-E186), "NA")</f>
        <v>614.86000000000013</v>
      </c>
      <c r="I186" s="8">
        <f>IFERROR(H186/H444, "NA")</f>
        <v>-2.4689484141325106E-2</v>
      </c>
      <c r="J186" s="9"/>
      <c r="K186" s="7">
        <v>3269.47</v>
      </c>
      <c r="L186" s="8">
        <f>IFERROR(K186/K444, "NA")</f>
        <v>2.4528023458293236E-2</v>
      </c>
      <c r="M186" s="9"/>
      <c r="N186" s="10">
        <f t="shared" ref="N186:N197" si="49">IFERROR(-(B186-K186), "NA")</f>
        <v>-30.130000000000109</v>
      </c>
      <c r="O186" s="8">
        <f>IFERROR(N186/N444, "NA")</f>
        <v>-1.7164668014925805E-2</v>
      </c>
      <c r="P186" s="9"/>
      <c r="Q186" s="7">
        <v>18273.400000000001</v>
      </c>
      <c r="R186" s="8">
        <f>IFERROR(Q186/Q444, "NA")</f>
        <v>2.6615428900075976E-2</v>
      </c>
      <c r="S186" s="9"/>
      <c r="T186" s="7">
        <v>19962.88</v>
      </c>
      <c r="U186" s="8">
        <f>IFERROR(T186/T444, "NA")</f>
        <v>2.8705258933402623E-2</v>
      </c>
      <c r="V186" s="9"/>
      <c r="W186" s="10">
        <f t="shared" ref="W186:W197" si="50">IFERROR(-(Q186-T186), "NA")</f>
        <v>1689.4799999999996</v>
      </c>
      <c r="X186" s="8">
        <f>IFERROR(W186/W444, "NA")</f>
        <v>-0.19043668511126843</v>
      </c>
      <c r="Y186" s="9"/>
      <c r="Z186" s="7">
        <v>17468.28</v>
      </c>
      <c r="AA186" s="8">
        <f>IFERROR(Z186/Z444, "NA")</f>
        <v>2.8781906719348726E-2</v>
      </c>
      <c r="AB186" s="9"/>
      <c r="AC186" s="10">
        <f t="shared" ref="AC186:AC197" si="51">IFERROR(-(Q186-Z186), "NA")</f>
        <v>-805.12000000000262</v>
      </c>
      <c r="AD186" s="8">
        <f>IFERROR(AC186/AC444, "NA")</f>
        <v>-1.0107855457867869E-2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-0.06</v>
      </c>
      <c r="AA187" s="8">
        <f>IFERROR(Z187/Z444, "NA")</f>
        <v>-9.8860013874343864E-8</v>
      </c>
      <c r="AB187" s="9"/>
      <c r="AC187" s="10">
        <f t="shared" si="51"/>
        <v>-0.06</v>
      </c>
      <c r="AD187" s="8">
        <f>IFERROR(AC187/AC444, "NA")</f>
        <v>-7.5326824258752751E-7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3299.6</v>
      </c>
      <c r="C193" s="15">
        <f>IFERROR(B193/B444, "NA")</f>
        <v>2.4432316648036616E-2</v>
      </c>
      <c r="D193" s="2"/>
      <c r="E193" s="14">
        <f>IFERROR(E186+E187+E188+E189+E190+E191+E192, "NA")</f>
        <v>3914.46</v>
      </c>
      <c r="F193" s="15">
        <f>IFERROR(E193/E444, "NA")</f>
        <v>2.4472355739474688E-2</v>
      </c>
      <c r="G193" s="2"/>
      <c r="H193" s="14">
        <f t="shared" si="48"/>
        <v>614.86000000000013</v>
      </c>
      <c r="I193" s="15">
        <f>IFERROR(H193/H444, "NA")</f>
        <v>-2.4689484141325106E-2</v>
      </c>
      <c r="J193" s="2"/>
      <c r="K193" s="14">
        <f>IFERROR(K186+K187+K188+K189+K190+K191+K192, "NA")</f>
        <v>3269.47</v>
      </c>
      <c r="L193" s="15">
        <f>IFERROR(K193/K444, "NA")</f>
        <v>2.4528023458293236E-2</v>
      </c>
      <c r="M193" s="2"/>
      <c r="N193" s="14">
        <f t="shared" si="49"/>
        <v>-30.130000000000109</v>
      </c>
      <c r="O193" s="15">
        <f>IFERROR(N193/N444, "NA")</f>
        <v>-1.7164668014925805E-2</v>
      </c>
      <c r="P193" s="2"/>
      <c r="Q193" s="14">
        <f>IFERROR(Q186+Q187+Q188+Q189+Q190+Q191+Q192, "NA")</f>
        <v>18273.400000000001</v>
      </c>
      <c r="R193" s="15">
        <f>IFERROR(Q193/Q444, "NA")</f>
        <v>2.6615428900075976E-2</v>
      </c>
      <c r="S193" s="2"/>
      <c r="T193" s="14">
        <f>IFERROR(T186+T187+T188+T189+T190+T191+T192, "NA")</f>
        <v>19962.88</v>
      </c>
      <c r="U193" s="15">
        <f>IFERROR(T193/T444, "NA")</f>
        <v>2.8705258933402623E-2</v>
      </c>
      <c r="V193" s="2"/>
      <c r="W193" s="14">
        <f t="shared" si="50"/>
        <v>1689.4799999999996</v>
      </c>
      <c r="X193" s="15">
        <f>IFERROR(W193/W444, "NA")</f>
        <v>-0.19043668511126843</v>
      </c>
      <c r="Y193" s="2"/>
      <c r="Z193" s="14">
        <f>IFERROR(Z186+Z187+Z188+Z189+Z190+Z191+Z192, "NA")</f>
        <v>17468.219999999998</v>
      </c>
      <c r="AA193" s="15">
        <f>IFERROR(Z193/Z444, "NA")</f>
        <v>2.8781807859334849E-2</v>
      </c>
      <c r="AB193" s="2"/>
      <c r="AC193" s="14">
        <f t="shared" si="51"/>
        <v>-805.18000000000393</v>
      </c>
      <c r="AD193" s="15">
        <f>IFERROR(AC193/AC444, "NA")</f>
        <v>-1.0108608726110472E-2</v>
      </c>
    </row>
    <row r="194" spans="1:30" ht="16.5" customHeight="1" x14ac:dyDescent="0.45">
      <c r="A194" s="6" t="s">
        <v>178</v>
      </c>
      <c r="B194" s="7">
        <v>260</v>
      </c>
      <c r="C194" s="8">
        <f>IFERROR(B194/B444, "NA")</f>
        <v>1.9252037606041703E-3</v>
      </c>
      <c r="D194" s="9"/>
      <c r="E194" s="7">
        <v>306.61</v>
      </c>
      <c r="F194" s="8">
        <f>IFERROR(E194/E444, "NA")</f>
        <v>1.9168592841107928E-3</v>
      </c>
      <c r="G194" s="9"/>
      <c r="H194" s="10">
        <f t="shared" si="48"/>
        <v>46.610000000000014</v>
      </c>
      <c r="I194" s="8">
        <f>IFERROR(H194/H444, "NA")</f>
        <v>-1.8716079364849937E-3</v>
      </c>
      <c r="J194" s="9"/>
      <c r="K194" s="7">
        <v>472</v>
      </c>
      <c r="L194" s="8">
        <f>IFERROR(K194/K444, "NA")</f>
        <v>3.5410103387749107E-3</v>
      </c>
      <c r="M194" s="9"/>
      <c r="N194" s="10">
        <f t="shared" si="49"/>
        <v>212</v>
      </c>
      <c r="O194" s="8">
        <f>IFERROR(N194/N444, "NA")</f>
        <v>0.12077363488762885</v>
      </c>
      <c r="P194" s="9"/>
      <c r="Q194" s="7">
        <v>1424</v>
      </c>
      <c r="R194" s="8">
        <f>IFERROR(Q194/Q444, "NA")</f>
        <v>2.0740732843208261E-3</v>
      </c>
      <c r="S194" s="9"/>
      <c r="T194" s="7">
        <v>1412.08</v>
      </c>
      <c r="U194" s="8">
        <f>IFERROR(T194/T444, "NA")</f>
        <v>2.0304746627079445E-3</v>
      </c>
      <c r="V194" s="9"/>
      <c r="W194" s="10">
        <f t="shared" si="50"/>
        <v>-11.920000000000073</v>
      </c>
      <c r="X194" s="8">
        <f>IFERROR(W194/W444, "NA")</f>
        <v>1.3436118134137925E-3</v>
      </c>
      <c r="Y194" s="9"/>
      <c r="Z194" s="7">
        <v>1446</v>
      </c>
      <c r="AA194" s="8">
        <f>IFERROR(Z194/Z444, "NA")</f>
        <v>2.3825263343716873E-3</v>
      </c>
      <c r="AB194" s="9"/>
      <c r="AC194" s="10">
        <f t="shared" si="51"/>
        <v>22</v>
      </c>
      <c r="AD194" s="8">
        <f>IFERROR(AC194/AC444, "NA")</f>
        <v>2.7619835561542677E-4</v>
      </c>
    </row>
    <row r="195" spans="1:30" ht="16.5" customHeight="1" x14ac:dyDescent="0.45">
      <c r="A195" s="6" t="s">
        <v>179</v>
      </c>
      <c r="B195" s="7">
        <v>171.71</v>
      </c>
      <c r="C195" s="8">
        <f>IFERROR(B195/B444, "NA")</f>
        <v>1.271448991282085E-3</v>
      </c>
      <c r="D195" s="9"/>
      <c r="E195" s="7">
        <v>268.29000000000002</v>
      </c>
      <c r="F195" s="8">
        <f>IFERROR(E195/E444, "NA")</f>
        <v>1.6772909472427013E-3</v>
      </c>
      <c r="G195" s="9"/>
      <c r="H195" s="10">
        <f t="shared" si="48"/>
        <v>96.580000000000013</v>
      </c>
      <c r="I195" s="8">
        <f>IFERROR(H195/H444, "NA")</f>
        <v>-3.8781354753426446E-3</v>
      </c>
      <c r="J195" s="9"/>
      <c r="K195" s="7">
        <v>175.95</v>
      </c>
      <c r="L195" s="8">
        <f>IFERROR(K195/K444, "NA")</f>
        <v>1.3200016294649269E-3</v>
      </c>
      <c r="M195" s="9"/>
      <c r="N195" s="10">
        <f t="shared" si="49"/>
        <v>4.2399999999999807</v>
      </c>
      <c r="O195" s="8">
        <f>IFERROR(N195/N444, "NA")</f>
        <v>2.4154726977525659E-3</v>
      </c>
      <c r="P195" s="9"/>
      <c r="Q195" s="7">
        <v>1722.63</v>
      </c>
      <c r="R195" s="8">
        <f>IFERROR(Q195/Q444, "NA")</f>
        <v>2.5090315040516746E-3</v>
      </c>
      <c r="S195" s="9"/>
      <c r="T195" s="7">
        <v>1235.58</v>
      </c>
      <c r="U195" s="8">
        <f>IFERROR(T195/T444, "NA")</f>
        <v>1.7766797091869314E-3</v>
      </c>
      <c r="V195" s="9"/>
      <c r="W195" s="10">
        <f t="shared" si="50"/>
        <v>-487.05000000000018</v>
      </c>
      <c r="X195" s="8">
        <f>IFERROR(W195/W444, "NA")</f>
        <v>5.489984343315301E-2</v>
      </c>
      <c r="Y195" s="9"/>
      <c r="Z195" s="7">
        <v>1309.4000000000001</v>
      </c>
      <c r="AA195" s="8">
        <f>IFERROR(Z195/Z444, "NA")</f>
        <v>2.1574550361177646E-3</v>
      </c>
      <c r="AB195" s="9"/>
      <c r="AC195" s="10">
        <f t="shared" si="51"/>
        <v>-413.23</v>
      </c>
      <c r="AD195" s="8">
        <f>IFERROR(AC195/AC444, "NA")</f>
        <v>-5.1878839314073999E-3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37975.360000000001</v>
      </c>
      <c r="C196" s="15">
        <f>IFERROR(B196/B444, "NA")</f>
        <v>0.28119348416268147</v>
      </c>
      <c r="D196" s="2"/>
      <c r="E196" s="14">
        <f>IFERROR(E175+E177+E178+E179+E180+E181+E183+E184+E186+E187+E188+E189+E190+E191+E192+E194+E195, "NA")</f>
        <v>42815.97</v>
      </c>
      <c r="F196" s="15">
        <f>IFERROR(E196/E444, "NA")</f>
        <v>0.26767616712667291</v>
      </c>
      <c r="G196" s="2"/>
      <c r="H196" s="14">
        <f t="shared" si="48"/>
        <v>4840.6100000000006</v>
      </c>
      <c r="I196" s="15">
        <f>IFERROR(H196/H444, "NA")</f>
        <v>-0.19437296917890204</v>
      </c>
      <c r="J196" s="2"/>
      <c r="K196" s="14">
        <f>IFERROR(K175+K177+K178+K179+K180+K181+K183+K184+K186+K187+K188+K189+K190+K191+K192+K194+K195, "NA")</f>
        <v>38319.249999999993</v>
      </c>
      <c r="L196" s="15">
        <f>IFERROR(K196/K444, "NA")</f>
        <v>0.28747639920360268</v>
      </c>
      <c r="M196" s="2"/>
      <c r="N196" s="14">
        <f t="shared" si="49"/>
        <v>343.88999999999214</v>
      </c>
      <c r="O196" s="15">
        <f>IFERROR(N196/N444, "NA")</f>
        <v>0.19590964764861196</v>
      </c>
      <c r="P196" s="2"/>
      <c r="Q196" s="14">
        <f>IFERROR(Q175+Q177+Q178+Q179+Q180+Q181+Q183+Q184+Q186+Q187+Q188+Q189+Q190+Q191+Q192+Q194+Q195, "NA")</f>
        <v>190975.84000000003</v>
      </c>
      <c r="R196" s="15">
        <f>IFERROR(Q196/Q444, "NA")</f>
        <v>0.2781586289991072</v>
      </c>
      <c r="S196" s="2"/>
      <c r="T196" s="14">
        <f>IFERROR(T175+T177+T178+T179+T180+T181+T183+T184+T186+T187+T188+T189+T190+T191+T192+T194+T195, "NA")</f>
        <v>199120.38999999998</v>
      </c>
      <c r="U196" s="15">
        <f>IFERROR(T196/T444, "NA")</f>
        <v>0.28632153045402836</v>
      </c>
      <c r="V196" s="2"/>
      <c r="W196" s="14">
        <f t="shared" si="50"/>
        <v>8144.5499999999593</v>
      </c>
      <c r="X196" s="15">
        <f>IFERROR(W196/W444, "NA")</f>
        <v>-0.9180464425284548</v>
      </c>
      <c r="Y196" s="2"/>
      <c r="Z196" s="14">
        <f>IFERROR(Z175+Z177+Z178+Z179+Z180+Z181+Z183+Z184+Z186+Z187+Z188+Z189+Z190+Z191+Z192+Z194+Z195, "NA")</f>
        <v>186551.56</v>
      </c>
      <c r="AA196" s="15">
        <f>IFERROR(Z196/Z444, "NA")</f>
        <v>0.30737483016467487</v>
      </c>
      <c r="AB196" s="2"/>
      <c r="AC196" s="14">
        <f t="shared" si="51"/>
        <v>-4424.2800000000279</v>
      </c>
      <c r="AD196" s="15">
        <f>IFERROR(AC196/AC444, "NA")</f>
        <v>-5.5544493671919451E-2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37975.360000000001</v>
      </c>
      <c r="C197" s="15">
        <f>IFERROR(B197/B444, "NA")</f>
        <v>0.28119348416268147</v>
      </c>
      <c r="D197" s="2"/>
      <c r="E197" s="14">
        <f>IFERROR(E175+E177+E178+E179+E180+E181+E183+E184+E186+E187+E188+E189+E190+E191+E192+E194+E195, "NA")</f>
        <v>42815.97</v>
      </c>
      <c r="F197" s="15">
        <f>IFERROR(E197/E444, "NA")</f>
        <v>0.26767616712667291</v>
      </c>
      <c r="G197" s="2"/>
      <c r="H197" s="14">
        <f t="shared" si="48"/>
        <v>4840.6100000000006</v>
      </c>
      <c r="I197" s="15">
        <f>IFERROR(H197/H444, "NA")</f>
        <v>-0.19437296917890204</v>
      </c>
      <c r="J197" s="2"/>
      <c r="K197" s="14">
        <f>IFERROR(K175+K177+K178+K179+K180+K181+K183+K184+K186+K187+K188+K189+K190+K191+K192+K194+K195, "NA")</f>
        <v>38319.249999999993</v>
      </c>
      <c r="L197" s="15">
        <f>IFERROR(K197/K444, "NA")</f>
        <v>0.28747639920360268</v>
      </c>
      <c r="M197" s="2"/>
      <c r="N197" s="14">
        <f t="shared" si="49"/>
        <v>343.88999999999214</v>
      </c>
      <c r="O197" s="15">
        <f>IFERROR(N197/N444, "NA")</f>
        <v>0.19590964764861196</v>
      </c>
      <c r="P197" s="2"/>
      <c r="Q197" s="14">
        <f>IFERROR(Q175+Q177+Q178+Q179+Q180+Q181+Q183+Q184+Q186+Q187+Q188+Q189+Q190+Q191+Q192+Q194+Q195, "NA")</f>
        <v>190975.84000000003</v>
      </c>
      <c r="R197" s="15">
        <f>IFERROR(Q197/Q444, "NA")</f>
        <v>0.2781586289991072</v>
      </c>
      <c r="S197" s="2"/>
      <c r="T197" s="14">
        <f>IFERROR(T175+T177+T178+T179+T180+T181+T183+T184+T186+T187+T188+T189+T190+T191+T192+T194+T195, "NA")</f>
        <v>199120.38999999998</v>
      </c>
      <c r="U197" s="15">
        <f>IFERROR(T197/T444, "NA")</f>
        <v>0.28632153045402836</v>
      </c>
      <c r="V197" s="2"/>
      <c r="W197" s="14">
        <f t="shared" si="50"/>
        <v>8144.5499999999593</v>
      </c>
      <c r="X197" s="15">
        <f>IFERROR(W197/W444, "NA")</f>
        <v>-0.9180464425284548</v>
      </c>
      <c r="Y197" s="2"/>
      <c r="Z197" s="14">
        <f>IFERROR(Z175+Z177+Z178+Z179+Z180+Z181+Z183+Z184+Z186+Z187+Z188+Z189+Z190+Z191+Z192+Z194+Z195, "NA")</f>
        <v>186551.56</v>
      </c>
      <c r="AA197" s="15">
        <f>IFERROR(Z197/Z444, "NA")</f>
        <v>0.30737483016467487</v>
      </c>
      <c r="AB197" s="2"/>
      <c r="AC197" s="14">
        <f t="shared" si="51"/>
        <v>-4424.2800000000279</v>
      </c>
      <c r="AD197" s="15">
        <f>IFERROR(AC197/AC444, "NA")</f>
        <v>-5.5544493671919451E-2</v>
      </c>
    </row>
    <row r="198" spans="1:30" ht="16.5" customHeight="1" x14ac:dyDescent="0.45">
      <c r="A198" s="22" t="s">
        <v>181</v>
      </c>
      <c r="B198" s="23">
        <f>IFERROR(B172-B197, "NA")</f>
        <v>58303.670000000027</v>
      </c>
      <c r="C198" s="24">
        <f>IFERROR(B198/B444, "NA")</f>
        <v>0.43171709515778689</v>
      </c>
      <c r="D198" s="25"/>
      <c r="E198" s="23">
        <f>IFERROR(E172-E197, "NA")</f>
        <v>78589.389999999985</v>
      </c>
      <c r="F198" s="24">
        <f>IFERROR(E198/E444, "NA")</f>
        <v>0.4913238376246824</v>
      </c>
      <c r="G198" s="25"/>
      <c r="H198" s="23">
        <f>IFERROR(B198-E198, "NA")</f>
        <v>-20285.719999999958</v>
      </c>
      <c r="I198" s="24">
        <f>IFERROR(H198/H444, "NA")</f>
        <v>0.81456585602472165</v>
      </c>
      <c r="J198" s="25"/>
      <c r="K198" s="23">
        <f>IFERROR(K172-K197, "NA")</f>
        <v>59001.619999999988</v>
      </c>
      <c r="L198" s="24">
        <f>IFERROR(K198/K444, "NA")</f>
        <v>0.44263844581455192</v>
      </c>
      <c r="M198" s="25"/>
      <c r="N198" s="23">
        <f>IFERROR(B198-K198, "NA")</f>
        <v>-697.94999999996071</v>
      </c>
      <c r="O198" s="24">
        <f>IFERROR(N198/N444, "NA")</f>
        <v>-0.39761301165007457</v>
      </c>
      <c r="P198" s="25"/>
      <c r="Q198" s="23">
        <f>IFERROR(Q172-Q197, "NA")</f>
        <v>294566.03000000026</v>
      </c>
      <c r="R198" s="24">
        <f>IFERROR(Q198/Q444, "NA")</f>
        <v>0.42903899809792667</v>
      </c>
      <c r="S198" s="25"/>
      <c r="T198" s="23">
        <f>IFERROR(T172-T197, "NA")</f>
        <v>320504.14</v>
      </c>
      <c r="U198" s="24">
        <f>IFERROR(T198/T444, "NA")</f>
        <v>0.46086307826964468</v>
      </c>
      <c r="V198" s="25"/>
      <c r="W198" s="23">
        <f>IFERROR(Q198-T198, "NA")</f>
        <v>-25938.109999999753</v>
      </c>
      <c r="X198" s="24">
        <f>IFERROR(W198/W444, "NA")</f>
        <v>2.9237207226196209</v>
      </c>
      <c r="Y198" s="25"/>
      <c r="Z198" s="23">
        <f>IFERROR(Z172-Z197, "NA")</f>
        <v>250071.96000000002</v>
      </c>
      <c r="AA198" s="24">
        <f>IFERROR(Z198/Z444, "NA")</f>
        <v>0.41203529058640614</v>
      </c>
      <c r="AB198" s="25"/>
      <c r="AC198" s="23">
        <f>IFERROR(Q198-Z198, "NA")</f>
        <v>44494.07000000024</v>
      </c>
      <c r="AD198" s="24">
        <f>IFERROR(AC198/AC444, "NA")</f>
        <v>0.55859949857444346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3359.04</v>
      </c>
      <c r="F201" s="8">
        <f>IFERROR(E201/E444, "NA")</f>
        <v>2.099999024721802E-2</v>
      </c>
      <c r="G201" s="9"/>
      <c r="H201" s="10">
        <f t="shared" ref="H201:H209" si="52">IFERROR(-(B201-E201), "NA")</f>
        <v>3359.04</v>
      </c>
      <c r="I201" s="8">
        <f>IFERROR(H201/H444, "NA")</f>
        <v>-0.13488105391483696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14945.02</v>
      </c>
      <c r="U201" s="8">
        <f>IFERROR(T201/T444, "NA")</f>
        <v>2.1489918732411399E-2</v>
      </c>
      <c r="V201" s="9"/>
      <c r="W201" s="10">
        <f t="shared" ref="W201:W209" si="54">IFERROR(-(Q201-T201), "NA")</f>
        <v>14945.02</v>
      </c>
      <c r="X201" s="8">
        <f>IFERROR(W201/W444, "NA")</f>
        <v>-1.6845893811833283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1893.2</v>
      </c>
      <c r="C202" s="8">
        <f>IFERROR(B202/B444, "NA")</f>
        <v>1.401844522913775E-2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-1893.2</v>
      </c>
      <c r="I202" s="8">
        <f>IFERROR(H202/H444, "NA")</f>
        <v>7.6020771194022507E-2</v>
      </c>
      <c r="J202" s="9"/>
      <c r="K202" s="7">
        <v>1575.77</v>
      </c>
      <c r="L202" s="8">
        <f>IFERROR(K202/K444, "NA")</f>
        <v>1.1821648011718942E-2</v>
      </c>
      <c r="M202" s="9"/>
      <c r="N202" s="10">
        <f t="shared" si="53"/>
        <v>-317.43000000000006</v>
      </c>
      <c r="O202" s="8">
        <f>IFERROR(N202/N444, "NA")</f>
        <v>-0.18083573076594356</v>
      </c>
      <c r="P202" s="9"/>
      <c r="Q202" s="7">
        <v>10154.799999999999</v>
      </c>
      <c r="R202" s="8">
        <f>IFERROR(Q202/Q444, "NA")</f>
        <v>1.4790589457599104E-2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-10154.799999999999</v>
      </c>
      <c r="X202" s="8">
        <f>IFERROR(W202/W444, "NA")</f>
        <v>1.1446400371522061</v>
      </c>
      <c r="Y202" s="9"/>
      <c r="Z202" s="7">
        <v>7464.9</v>
      </c>
      <c r="AA202" s="8">
        <f>IFERROR(Z202/Z444, "NA")</f>
        <v>1.2299668626176492E-2</v>
      </c>
      <c r="AB202" s="9"/>
      <c r="AC202" s="10">
        <f t="shared" si="55"/>
        <v>-2689.8999999999996</v>
      </c>
      <c r="AD202" s="8">
        <f>IFERROR(AC202/AC444, "NA")</f>
        <v>-3.3770270762269836E-2</v>
      </c>
    </row>
    <row r="203" spans="1:30" ht="16.5" customHeight="1" x14ac:dyDescent="0.45">
      <c r="A203" s="6" t="s">
        <v>185</v>
      </c>
      <c r="B203" s="7">
        <v>1954.9</v>
      </c>
      <c r="C203" s="8">
        <f>IFERROR(B203/B444, "NA")</f>
        <v>1.4475310890788818E-2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-1954.9</v>
      </c>
      <c r="I203" s="8">
        <f>IFERROR(H203/H444, "NA")</f>
        <v>7.8498312701877557E-2</v>
      </c>
      <c r="J203" s="9"/>
      <c r="K203" s="7">
        <v>657.26</v>
      </c>
      <c r="L203" s="8">
        <f>IFERROR(K203/K444, "NA")</f>
        <v>4.9308568967440635E-3</v>
      </c>
      <c r="M203" s="9"/>
      <c r="N203" s="10">
        <f t="shared" si="53"/>
        <v>-1297.6400000000001</v>
      </c>
      <c r="O203" s="8">
        <f>IFERROR(N203/N444, "NA")</f>
        <v>-0.739248582903692</v>
      </c>
      <c r="P203" s="9"/>
      <c r="Q203" s="7">
        <v>5897.21</v>
      </c>
      <c r="R203" s="8">
        <f>IFERROR(Q203/Q444, "NA")</f>
        <v>8.5893579445432723E-3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-5897.21</v>
      </c>
      <c r="X203" s="8">
        <f>IFERROR(W203/W444, "NA")</f>
        <v>0.66472827367297838</v>
      </c>
      <c r="Y203" s="9"/>
      <c r="Z203" s="7">
        <v>2781.03</v>
      </c>
      <c r="AA203" s="8">
        <f>IFERROR(Z203/Z444, "NA")</f>
        <v>4.582211073082776E-3</v>
      </c>
      <c r="AB203" s="9"/>
      <c r="AC203" s="10">
        <f t="shared" si="55"/>
        <v>-3116.18</v>
      </c>
      <c r="AD203" s="8">
        <f>IFERROR(AC203/AC444, "NA")</f>
        <v>-3.912199053644002E-2</v>
      </c>
    </row>
    <row r="204" spans="1:30" ht="16.5" customHeight="1" x14ac:dyDescent="0.45">
      <c r="A204" s="6" t="s">
        <v>186</v>
      </c>
      <c r="B204" s="7">
        <v>413.56</v>
      </c>
      <c r="C204" s="8">
        <f>IFERROR(B204/B444, "NA")</f>
        <v>3.0622587201363871E-3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-413.56</v>
      </c>
      <c r="I204" s="8">
        <f>IFERROR(H204/H444, "NA")</f>
        <v>1.6606354392034624E-2</v>
      </c>
      <c r="J204" s="9"/>
      <c r="K204" s="7">
        <v>268.16000000000003</v>
      </c>
      <c r="L204" s="8">
        <f>IFERROR(K204/K444, "NA")</f>
        <v>2.0117740094192376E-3</v>
      </c>
      <c r="M204" s="9"/>
      <c r="N204" s="10">
        <f t="shared" si="53"/>
        <v>-145.39999999999998</v>
      </c>
      <c r="O204" s="8">
        <f>IFERROR(N204/N444, "NA")</f>
        <v>-8.2832483550288827E-2</v>
      </c>
      <c r="P204" s="9"/>
      <c r="Q204" s="7">
        <v>1394.7</v>
      </c>
      <c r="R204" s="8">
        <f>IFERROR(Q204/Q444, "NA")</f>
        <v>2.0313974786813596E-3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-1394.7</v>
      </c>
      <c r="X204" s="8">
        <f>IFERROR(W204/W444, "NA")</f>
        <v>0.15720934531612457</v>
      </c>
      <c r="Y204" s="9"/>
      <c r="Z204" s="7">
        <v>833.45</v>
      </c>
      <c r="AA204" s="8">
        <f>IFERROR(Z204/Z444, "NA")</f>
        <v>1.3732479760595318E-3</v>
      </c>
      <c r="AB204" s="9"/>
      <c r="AC204" s="10">
        <f t="shared" si="55"/>
        <v>-561.25</v>
      </c>
      <c r="AD204" s="8">
        <f>IFERROR(AC204/AC444, "NA")</f>
        <v>-7.04619668587083E-3</v>
      </c>
    </row>
    <row r="205" spans="1:30" ht="16.5" customHeight="1" x14ac:dyDescent="0.45">
      <c r="A205" s="6" t="s">
        <v>187</v>
      </c>
      <c r="B205" s="7">
        <v>262.45</v>
      </c>
      <c r="C205" s="8">
        <f>IFERROR(B205/B444, "NA")</f>
        <v>1.9433451037329402E-3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-262.45</v>
      </c>
      <c r="I205" s="8">
        <f>IFERROR(H205/H444, "NA")</f>
        <v>1.0538586203185721E-2</v>
      </c>
      <c r="J205" s="9"/>
      <c r="K205" s="7">
        <v>259.85000000000002</v>
      </c>
      <c r="L205" s="8">
        <f>IFERROR(K205/K444, "NA")</f>
        <v>1.9494312214632641E-3</v>
      </c>
      <c r="M205" s="9"/>
      <c r="N205" s="10">
        <f t="shared" si="53"/>
        <v>-2.5999999999999659</v>
      </c>
      <c r="O205" s="8">
        <f>IFERROR(N205/N444, "NA")</f>
        <v>-1.4811860882444853E-3</v>
      </c>
      <c r="P205" s="9"/>
      <c r="Q205" s="7">
        <v>1477.22</v>
      </c>
      <c r="R205" s="8">
        <f>IFERROR(Q205/Q444, "NA")</f>
        <v>2.1515888602980414E-3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-1477.22</v>
      </c>
      <c r="X205" s="8">
        <f>IFERROR(W205/W444, "NA")</f>
        <v>0.16651092642710658</v>
      </c>
      <c r="Y205" s="9"/>
      <c r="Z205" s="7">
        <v>1461.02</v>
      </c>
      <c r="AA205" s="8">
        <f>IFERROR(Z205/Z444, "NA")</f>
        <v>2.4072742911782313E-3</v>
      </c>
      <c r="AB205" s="9"/>
      <c r="AC205" s="10">
        <f t="shared" si="55"/>
        <v>-16.200000000000045</v>
      </c>
      <c r="AD205" s="8">
        <f>IFERROR(AC205/AC444, "NA")</f>
        <v>-2.0338242549863299E-4</v>
      </c>
    </row>
    <row r="206" spans="1:30" ht="16.5" customHeight="1" x14ac:dyDescent="0.45">
      <c r="A206" s="6" t="s">
        <v>188</v>
      </c>
      <c r="B206" s="7">
        <v>722.35</v>
      </c>
      <c r="C206" s="8">
        <f>IFERROR(B206/B444, "NA")</f>
        <v>5.3487343710477784E-3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-722.35</v>
      </c>
      <c r="I206" s="8">
        <f>IFERROR(H206/H444, "NA")</f>
        <v>2.9005706777943247E-2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-722.35</v>
      </c>
      <c r="O206" s="8">
        <f>IFERROR(N206/N444, "NA")</f>
        <v>-0.41151337340131461</v>
      </c>
      <c r="P206" s="9"/>
      <c r="Q206" s="7">
        <v>993.93</v>
      </c>
      <c r="R206" s="8">
        <f>IFERROR(Q206/Q444, "NA")</f>
        <v>1.4476711091889036E-3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-993.93</v>
      </c>
      <c r="X206" s="8">
        <f>IFERROR(W206/W444, "NA")</f>
        <v>0.11203490685456061</v>
      </c>
      <c r="Y206" s="9"/>
      <c r="Z206" s="7">
        <v>0</v>
      </c>
      <c r="AA206" s="8">
        <f>IFERROR(Z206/Z444, "NA")</f>
        <v>0</v>
      </c>
      <c r="AB206" s="9"/>
      <c r="AC206" s="10">
        <f t="shared" si="55"/>
        <v>-993.93</v>
      </c>
      <c r="AD206" s="8">
        <f>IFERROR(AC206/AC444, "NA")</f>
        <v>-1.2478265072583686E-2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0</v>
      </c>
      <c r="I207" s="8">
        <f>IFERROR(H207/H444, "NA")</f>
        <v>0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0</v>
      </c>
      <c r="O207" s="8">
        <f>IFERROR(N207/N444, "NA")</f>
        <v>0</v>
      </c>
      <c r="P207" s="9"/>
      <c r="Q207" s="7">
        <v>588.29999999999995</v>
      </c>
      <c r="R207" s="8">
        <f>IFERROR(Q207/Q444, "NA")</f>
        <v>8.5686609070641988E-4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-588.29999999999995</v>
      </c>
      <c r="X207" s="8">
        <f>IFERROR(W207/W444, "NA")</f>
        <v>6.6312653509339695E-2</v>
      </c>
      <c r="Y207" s="9"/>
      <c r="Z207" s="7">
        <v>308.3</v>
      </c>
      <c r="AA207" s="8">
        <f>IFERROR(Z207/Z444, "NA")</f>
        <v>5.0797570462433699E-4</v>
      </c>
      <c r="AB207" s="9"/>
      <c r="AC207" s="10">
        <f t="shared" si="55"/>
        <v>-279.99999999999994</v>
      </c>
      <c r="AD207" s="8">
        <f>IFERROR(AC207/AC444, "NA")</f>
        <v>-3.5152517987417945E-3</v>
      </c>
    </row>
    <row r="208" spans="1:30" ht="16.5" customHeight="1" x14ac:dyDescent="0.45">
      <c r="A208" s="6" t="s">
        <v>190</v>
      </c>
      <c r="B208" s="7">
        <v>182.81</v>
      </c>
      <c r="C208" s="8">
        <f>IFERROR(B208/B444, "NA")</f>
        <v>1.353640382600186E-3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-182.81</v>
      </c>
      <c r="I208" s="8">
        <f>IFERROR(H208/H444, "NA")</f>
        <v>7.340670389805226E-3</v>
      </c>
      <c r="J208" s="9"/>
      <c r="K208" s="7">
        <v>97.69</v>
      </c>
      <c r="L208" s="8">
        <f>IFERROR(K208/K444, "NA")</f>
        <v>7.3288411015873093E-4</v>
      </c>
      <c r="M208" s="9"/>
      <c r="N208" s="10">
        <f t="shared" si="53"/>
        <v>-85.12</v>
      </c>
      <c r="O208" s="8">
        <f>IFERROR(N208/N444, "NA")</f>
        <v>-4.8491753781297019E-2</v>
      </c>
      <c r="P208" s="9"/>
      <c r="Q208" s="7">
        <v>772.6</v>
      </c>
      <c r="R208" s="8">
        <f>IFERROR(Q208/Q444, "NA")</f>
        <v>1.1253012777150775E-3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-772.6</v>
      </c>
      <c r="X208" s="8">
        <f>IFERROR(W208/W444, "NA")</f>
        <v>8.7086785825796112E-2</v>
      </c>
      <c r="Y208" s="9"/>
      <c r="Z208" s="7">
        <v>1533.24</v>
      </c>
      <c r="AA208" s="8">
        <f>IFERROR(Z208/Z444, "NA")</f>
        <v>2.5262687945449835E-3</v>
      </c>
      <c r="AB208" s="9"/>
      <c r="AC208" s="10">
        <f t="shared" si="55"/>
        <v>760.64</v>
      </c>
      <c r="AD208" s="8">
        <f>IFERROR(AC208/AC444, "NA")</f>
        <v>9.5494326006962827E-3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5429.2700000000013</v>
      </c>
      <c r="C209" s="15">
        <f>IFERROR(B209/B444, "NA")</f>
        <v>4.0201734697443869E-2</v>
      </c>
      <c r="D209" s="2"/>
      <c r="E209" s="14">
        <f>IFERROR(E201+E202+E203+E204+E205+E206+E207+E208, "NA")</f>
        <v>3359.04</v>
      </c>
      <c r="F209" s="15">
        <f>IFERROR(E209/E444, "NA")</f>
        <v>2.099999024721802E-2</v>
      </c>
      <c r="G209" s="2"/>
      <c r="H209" s="14">
        <f t="shared" si="52"/>
        <v>-2070.2300000000014</v>
      </c>
      <c r="I209" s="15">
        <f>IFERROR(H209/H444, "NA")</f>
        <v>8.3129347744031967E-2</v>
      </c>
      <c r="J209" s="2"/>
      <c r="K209" s="14">
        <f>IFERROR(K201+K202+K203+K204+K205+K206+K207+K208, "NA")</f>
        <v>2858.7299999999996</v>
      </c>
      <c r="L209" s="15">
        <f>IFERROR(K209/K444, "NA")</f>
        <v>2.1446594249504236E-2</v>
      </c>
      <c r="M209" s="2"/>
      <c r="N209" s="14">
        <f t="shared" si="53"/>
        <v>-2570.5400000000018</v>
      </c>
      <c r="O209" s="15">
        <f>IFERROR(N209/N444, "NA")</f>
        <v>-1.4644031104907815</v>
      </c>
      <c r="P209" s="2"/>
      <c r="Q209" s="14">
        <f>IFERROR(Q201+Q202+Q203+Q204+Q205+Q206+Q207+Q208, "NA")</f>
        <v>21278.76</v>
      </c>
      <c r="R209" s="15">
        <f>IFERROR(Q209/Q444, "NA")</f>
        <v>3.0992772218732176E-2</v>
      </c>
      <c r="S209" s="2"/>
      <c r="T209" s="14">
        <f>IFERROR(T201+T202+T203+T204+T205+T206+T207+T208, "NA")</f>
        <v>14945.02</v>
      </c>
      <c r="U209" s="15">
        <f>IFERROR(T209/T444, "NA")</f>
        <v>2.1489918732411399E-2</v>
      </c>
      <c r="V209" s="2"/>
      <c r="W209" s="14">
        <f t="shared" si="54"/>
        <v>-6333.739999999998</v>
      </c>
      <c r="X209" s="15">
        <f>IFERROR(W209/W444, "NA")</f>
        <v>0.71393354757478344</v>
      </c>
      <c r="Y209" s="2"/>
      <c r="Z209" s="14">
        <f>IFERROR(Z201+Z202+Z203+Z204+Z205+Z206+Z207+Z208, "NA")</f>
        <v>14381.94</v>
      </c>
      <c r="AA209" s="15">
        <f>IFERROR(Z209/Z444, "NA")</f>
        <v>2.3696646465666354E-2</v>
      </c>
      <c r="AB209" s="2"/>
      <c r="AC209" s="14">
        <f t="shared" si="55"/>
        <v>-6896.8199999999979</v>
      </c>
      <c r="AD209" s="15">
        <f>IFERROR(AC209/AC444, "NA")</f>
        <v>-8.6585924680708498E-2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3580.34</v>
      </c>
      <c r="F213" s="8">
        <f>IFERROR(E213/E444, "NA")</f>
        <v>2.2383509896197893E-2</v>
      </c>
      <c r="G213" s="9"/>
      <c r="H213" s="10">
        <f t="shared" ref="H213:H227" si="56">IFERROR(-(B213-E213), "NA")</f>
        <v>3580.34</v>
      </c>
      <c r="I213" s="8">
        <f>IFERROR(H213/H444, "NA")</f>
        <v>-0.14376727653539328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16301.97</v>
      </c>
      <c r="U213" s="8">
        <f>IFERROR(T213/T444, "NA")</f>
        <v>2.3441120217852409E-2</v>
      </c>
      <c r="V213" s="9"/>
      <c r="W213" s="10">
        <f t="shared" ref="W213:W227" si="58">IFERROR(-(Q213-T213), "NA")</f>
        <v>16301.97</v>
      </c>
      <c r="X213" s="8">
        <f>IFERROR(W213/W444, "NA")</f>
        <v>-1.8375435800266029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2774.94</v>
      </c>
      <c r="C214" s="8">
        <f>IFERROR(B214/B444, "NA")</f>
        <v>2.0547403551734369E-2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-2774.94</v>
      </c>
      <c r="I214" s="8">
        <f>IFERROR(H214/H444, "NA")</f>
        <v>0.1114267266095187</v>
      </c>
      <c r="J214" s="9"/>
      <c r="K214" s="7">
        <v>560</v>
      </c>
      <c r="L214" s="8">
        <f>IFERROR(K214/K444, "NA")</f>
        <v>4.2011987070210803E-3</v>
      </c>
      <c r="M214" s="9"/>
      <c r="N214" s="10">
        <f t="shared" si="57"/>
        <v>-2214.94</v>
      </c>
      <c r="O214" s="8">
        <f>IFERROR(N214/N444, "NA")</f>
        <v>-1.2618224285754935</v>
      </c>
      <c r="P214" s="9"/>
      <c r="Q214" s="7">
        <v>14032.59</v>
      </c>
      <c r="R214" s="8">
        <f>IFERROR(Q214/Q444, "NA")</f>
        <v>2.0438637660693527E-2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-14032.59</v>
      </c>
      <c r="X214" s="8">
        <f>IFERROR(W214/W444, "NA")</f>
        <v>1.5817410819456488</v>
      </c>
      <c r="Y214" s="9"/>
      <c r="Z214" s="7">
        <v>2565</v>
      </c>
      <c r="AA214" s="8">
        <f>IFERROR(Z214/Z444, "NA")</f>
        <v>4.226265593128201E-3</v>
      </c>
      <c r="AB214" s="9"/>
      <c r="AC214" s="10">
        <f t="shared" si="59"/>
        <v>-11467.59</v>
      </c>
      <c r="AD214" s="8">
        <f>IFERROR(AC214/AC444, "NA")</f>
        <v>-0.14396952276690508</v>
      </c>
    </row>
    <row r="215" spans="1:30" ht="16.5" customHeight="1" x14ac:dyDescent="0.45">
      <c r="A215" s="12" t="s">
        <v>195</v>
      </c>
      <c r="B215" s="7">
        <v>5.13</v>
      </c>
      <c r="C215" s="8">
        <f>IFERROR(B215/B444, "NA")</f>
        <v>3.7985751122689975E-5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-5.13</v>
      </c>
      <c r="I215" s="8">
        <f>IFERROR(H215/H444, "NA")</f>
        <v>2.0599332147968279E-4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-5.13</v>
      </c>
      <c r="O215" s="8">
        <f>IFERROR(N215/N444, "NA")</f>
        <v>-2.9224940894978114E-3</v>
      </c>
      <c r="P215" s="9"/>
      <c r="Q215" s="7">
        <v>5.13</v>
      </c>
      <c r="R215" s="8">
        <f>IFERROR(Q215/Q444, "NA")</f>
        <v>7.4719072672512907E-6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-5.13</v>
      </c>
      <c r="X215" s="8">
        <f>IFERROR(W215/W444, "NA")</f>
        <v>5.7824904386012687E-4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-5.13</v>
      </c>
      <c r="AD215" s="8">
        <f>IFERROR(AC215/AC444, "NA")</f>
        <v>-6.4404434741233602E-5</v>
      </c>
    </row>
    <row r="216" spans="1:30" ht="16.5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0</v>
      </c>
      <c r="O216" s="8">
        <f>IFERROR(N216/N444, "NA")</f>
        <v>0</v>
      </c>
      <c r="P216" s="9"/>
      <c r="Q216" s="7">
        <v>2.41</v>
      </c>
      <c r="R216" s="8">
        <f>IFERROR(Q216/Q444, "NA")</f>
        <v>3.5101942522564547E-6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-2.41</v>
      </c>
      <c r="X216" s="8">
        <f>IFERROR(W216/W444, "NA")</f>
        <v>2.7165305959120974E-4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-2.41</v>
      </c>
      <c r="AD216" s="8">
        <f>IFERROR(AC216/AC444, "NA")</f>
        <v>-3.0256274410599024E-5</v>
      </c>
    </row>
    <row r="217" spans="1:30" ht="16.5" customHeight="1" x14ac:dyDescent="0.45">
      <c r="A217" s="12" t="s">
        <v>197</v>
      </c>
      <c r="B217" s="7">
        <v>1543.41</v>
      </c>
      <c r="C217" s="8">
        <f>IFERROR(B217/B444, "NA")</f>
        <v>1.1428379754438779E-2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-1543.41</v>
      </c>
      <c r="I217" s="8">
        <f>IFERROR(H217/H444, "NA")</f>
        <v>6.197507842201895E-2</v>
      </c>
      <c r="J217" s="9"/>
      <c r="K217" s="7">
        <v>140</v>
      </c>
      <c r="L217" s="8">
        <f>IFERROR(K217/K444, "NA")</f>
        <v>1.0502996767552701E-3</v>
      </c>
      <c r="M217" s="9"/>
      <c r="N217" s="10">
        <f t="shared" si="57"/>
        <v>-1403.41</v>
      </c>
      <c r="O217" s="8">
        <f>IFERROR(N217/N444, "NA")</f>
        <v>-0.79950437234739247</v>
      </c>
      <c r="P217" s="9"/>
      <c r="Q217" s="7">
        <v>11128.37</v>
      </c>
      <c r="R217" s="8">
        <f>IFERROR(Q217/Q444, "NA")</f>
        <v>1.6208605979661062E-2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-11128.37</v>
      </c>
      <c r="X217" s="8">
        <f>IFERROR(W217/W444, "NA")</f>
        <v>1.2543799828892244</v>
      </c>
      <c r="Y217" s="9"/>
      <c r="Z217" s="7">
        <v>847.97</v>
      </c>
      <c r="AA217" s="8">
        <f>IFERROR(Z217/Z444, "NA")</f>
        <v>1.3971720994171229E-3</v>
      </c>
      <c r="AB217" s="9"/>
      <c r="AC217" s="10">
        <f t="shared" si="59"/>
        <v>-10280.400000000001</v>
      </c>
      <c r="AD217" s="8">
        <f>IFERROR(AC217/AC444, "NA")</f>
        <v>-0.12906498068494698</v>
      </c>
    </row>
    <row r="218" spans="1:30" ht="16.5" customHeight="1" x14ac:dyDescent="0.45">
      <c r="A218" s="13" t="s">
        <v>198</v>
      </c>
      <c r="B218" s="14">
        <f>IFERROR(B213+B214+B215+B216+B217, "NA")</f>
        <v>4323.4800000000005</v>
      </c>
      <c r="C218" s="15">
        <f>IFERROR(B218/B444, "NA")</f>
        <v>3.2013769057295839E-2</v>
      </c>
      <c r="D218" s="2"/>
      <c r="E218" s="14">
        <f>IFERROR(E213+E214+E215+E216+E217, "NA")</f>
        <v>3580.34</v>
      </c>
      <c r="F218" s="15">
        <f>IFERROR(E218/E444, "NA")</f>
        <v>2.2383509896197893E-2</v>
      </c>
      <c r="G218" s="2"/>
      <c r="H218" s="14">
        <f t="shared" si="56"/>
        <v>-743.14000000000033</v>
      </c>
      <c r="I218" s="15">
        <f>IFERROR(H218/H444, "NA")</f>
        <v>2.9840521817624081E-2</v>
      </c>
      <c r="J218" s="2"/>
      <c r="K218" s="14">
        <f>IFERROR(K213+K214+K215+K216+K217, "NA")</f>
        <v>700</v>
      </c>
      <c r="L218" s="15">
        <f>IFERROR(K218/K444, "NA")</f>
        <v>5.2514983837763504E-3</v>
      </c>
      <c r="M218" s="2"/>
      <c r="N218" s="14">
        <f t="shared" si="57"/>
        <v>-3623.4800000000005</v>
      </c>
      <c r="O218" s="15">
        <f>IFERROR(N218/N444, "NA")</f>
        <v>-2.0642492950123841</v>
      </c>
      <c r="P218" s="2"/>
      <c r="Q218" s="14">
        <f>IFERROR(Q213+Q214+Q215+Q216+Q217, "NA")</f>
        <v>25168.5</v>
      </c>
      <c r="R218" s="15">
        <f>IFERROR(Q218/Q444, "NA")</f>
        <v>3.6658225741874099E-2</v>
      </c>
      <c r="S218" s="2"/>
      <c r="T218" s="14">
        <f>IFERROR(T213+T214+T215+T216+T217, "NA")</f>
        <v>16301.97</v>
      </c>
      <c r="U218" s="15">
        <f>IFERROR(T218/T444, "NA")</f>
        <v>2.3441120217852409E-2</v>
      </c>
      <c r="V218" s="2"/>
      <c r="W218" s="14">
        <f t="shared" si="58"/>
        <v>-8866.5300000000007</v>
      </c>
      <c r="X218" s="15">
        <f>IFERROR(W218/W444, "NA")</f>
        <v>0.99942738691172162</v>
      </c>
      <c r="Y218" s="2"/>
      <c r="Z218" s="14">
        <f>IFERROR(Z213+Z214+Z215+Z216+Z217, "NA")</f>
        <v>3412.9700000000003</v>
      </c>
      <c r="AA218" s="15">
        <f>IFERROR(Z218/Z444, "NA")</f>
        <v>5.6234376925453243E-3</v>
      </c>
      <c r="AB218" s="2"/>
      <c r="AC218" s="14">
        <f t="shared" si="59"/>
        <v>-21755.53</v>
      </c>
      <c r="AD218" s="15">
        <f>IFERROR(AC218/AC444, "NA")</f>
        <v>-0.27312916416100386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395.75</v>
      </c>
      <c r="C222" s="8">
        <f>IFERROR(B222/B444, "NA")</f>
        <v>2.9303822625350016E-3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-395.75</v>
      </c>
      <c r="I222" s="8">
        <f>IFERROR(H222/H444, "NA")</f>
        <v>1.589120019017241E-2</v>
      </c>
      <c r="J222" s="9"/>
      <c r="K222" s="7">
        <v>150</v>
      </c>
      <c r="L222" s="8">
        <f>IFERROR(K222/K444, "NA")</f>
        <v>1.1253210822377894E-3</v>
      </c>
      <c r="M222" s="9"/>
      <c r="N222" s="10">
        <f t="shared" si="57"/>
        <v>-245.75</v>
      </c>
      <c r="O222" s="8">
        <f>IFERROR(N222/N444, "NA")</f>
        <v>-0.14000056968695657</v>
      </c>
      <c r="P222" s="9"/>
      <c r="Q222" s="7">
        <v>1822.99</v>
      </c>
      <c r="R222" s="8">
        <f>IFERROR(Q222/Q444, "NA")</f>
        <v>2.6552070622078813E-3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-1822.99</v>
      </c>
      <c r="X222" s="8">
        <f>IFERROR(W222/W444, "NA")</f>
        <v>0.20548581373617403</v>
      </c>
      <c r="Y222" s="9"/>
      <c r="Z222" s="7">
        <v>900</v>
      </c>
      <c r="AA222" s="8">
        <f>IFERROR(Z222/Z444, "NA")</f>
        <v>1.482900208115158E-3</v>
      </c>
      <c r="AB222" s="9"/>
      <c r="AC222" s="10">
        <f t="shared" si="59"/>
        <v>-922.99</v>
      </c>
      <c r="AD222" s="8">
        <f>IFERROR(AC222/AC444, "NA")</f>
        <v>-1.1587650920431033E-2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159.94999999999999</v>
      </c>
      <c r="F226" s="8">
        <f>IFERROR(E226/E444, "NA")</f>
        <v>9.9997274222471963E-4</v>
      </c>
      <c r="G226" s="9"/>
      <c r="H226" s="10">
        <f t="shared" si="56"/>
        <v>159.94999999999999</v>
      </c>
      <c r="I226" s="8">
        <f>IFERROR(H226/H444, "NA")</f>
        <v>-6.4227352379483934E-3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695.43</v>
      </c>
      <c r="U226" s="8">
        <f>IFERROR(T226/T444, "NA")</f>
        <v>9.9998087550775151E-4</v>
      </c>
      <c r="V226" s="9"/>
      <c r="W226" s="10">
        <f t="shared" si="58"/>
        <v>695.43</v>
      </c>
      <c r="X226" s="8">
        <f>IFERROR(W226/W444, "NA")</f>
        <v>-7.8388251963284222E-2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4719.2300000000005</v>
      </c>
      <c r="C227" s="15">
        <f>IFERROR(B227/B444, "NA")</f>
        <v>3.4944151319830842E-2</v>
      </c>
      <c r="D227" s="2"/>
      <c r="E227" s="14">
        <f>IFERROR(E211+E213+E214+E215+E216+E217+E219+E220+E221+E222+E223+E224+E225+E226, "NA")</f>
        <v>3740.29</v>
      </c>
      <c r="F227" s="15">
        <f>IFERROR(E227/E444, "NA")</f>
        <v>2.338348263842261E-2</v>
      </c>
      <c r="G227" s="2"/>
      <c r="H227" s="14">
        <f t="shared" si="56"/>
        <v>-978.94000000000051</v>
      </c>
      <c r="I227" s="15">
        <f>IFERROR(H227/H444, "NA")</f>
        <v>3.9308986769848106E-2</v>
      </c>
      <c r="J227" s="2"/>
      <c r="K227" s="14">
        <f>IFERROR(K211+K213+K214+K215+K216+K217+K219+K220+K221+K222+K223+K224+K225+K226, "NA")</f>
        <v>850</v>
      </c>
      <c r="L227" s="15">
        <f>IFERROR(K227/K444, "NA")</f>
        <v>6.3768194660141402E-3</v>
      </c>
      <c r="M227" s="2"/>
      <c r="N227" s="14">
        <f t="shared" si="57"/>
        <v>-3869.2300000000005</v>
      </c>
      <c r="O227" s="15">
        <f>IFERROR(N227/N444, "NA")</f>
        <v>-2.2042498646993405</v>
      </c>
      <c r="P227" s="2"/>
      <c r="Q227" s="14">
        <f>IFERROR(Q211+Q213+Q214+Q215+Q216+Q217+Q219+Q220+Q221+Q222+Q223+Q224+Q225+Q226, "NA")</f>
        <v>26991.49</v>
      </c>
      <c r="R227" s="15">
        <f>IFERROR(Q227/Q444, "NA")</f>
        <v>3.9313432804081977E-2</v>
      </c>
      <c r="S227" s="2"/>
      <c r="T227" s="14">
        <f>IFERROR(T211+T213+T214+T215+T216+T217+T219+T220+T221+T222+T223+T224+T225+T226, "NA")</f>
        <v>16997.399999999998</v>
      </c>
      <c r="U227" s="15">
        <f>IFERROR(T227/T444, "NA")</f>
        <v>2.444110109336016E-2</v>
      </c>
      <c r="V227" s="2"/>
      <c r="W227" s="14">
        <f t="shared" si="58"/>
        <v>-9994.0900000000038</v>
      </c>
      <c r="X227" s="15">
        <f>IFERROR(W227/W444, "NA")</f>
        <v>1.1265249486846118</v>
      </c>
      <c r="Y227" s="2"/>
      <c r="Z227" s="14">
        <f>IFERROR(Z211+Z213+Z214+Z215+Z216+Z217+Z219+Z220+Z221+Z222+Z223+Z224+Z225+Z226, "NA")</f>
        <v>4312.97</v>
      </c>
      <c r="AA227" s="15">
        <f>IFERROR(Z227/Z444, "NA")</f>
        <v>7.1063379006604819E-3</v>
      </c>
      <c r="AB227" s="2"/>
      <c r="AC227" s="14">
        <f t="shared" si="59"/>
        <v>-22678.52</v>
      </c>
      <c r="AD227" s="15">
        <f>IFERROR(AC227/AC444, "NA")</f>
        <v>-0.28471681508143493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1919.45</v>
      </c>
      <c r="F229" s="8">
        <f>IFERROR(E229/E444, "NA")</f>
        <v>1.1999985495862696E-2</v>
      </c>
      <c r="G229" s="9"/>
      <c r="H229" s="10">
        <f t="shared" ref="H229:H236" si="60">IFERROR(-(B229-E229), "NA")</f>
        <v>1919.45</v>
      </c>
      <c r="I229" s="8">
        <f>IFERROR(H229/H444, "NA")</f>
        <v>-7.7074830587558901E-2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8345.31</v>
      </c>
      <c r="U229" s="8">
        <f>IFERROR(T229/T444, "NA")</f>
        <v>1.1999986195855218E-2</v>
      </c>
      <c r="V229" s="9"/>
      <c r="W229" s="10">
        <f t="shared" ref="W229:W236" si="62">IFERROR(-(Q229-T229), "NA")</f>
        <v>8345.31</v>
      </c>
      <c r="X229" s="8">
        <f>IFERROR(W229/W444, "NA")</f>
        <v>-0.94067593142619021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225</v>
      </c>
      <c r="AA230" s="8">
        <f>IFERROR(Z230/Z444, "NA")</f>
        <v>3.7072505202878951E-4</v>
      </c>
      <c r="AB230" s="9"/>
      <c r="AC230" s="10">
        <f t="shared" si="63"/>
        <v>225</v>
      </c>
      <c r="AD230" s="8">
        <f>IFERROR(AC230/AC444, "NA")</f>
        <v>2.8247559097032281E-3</v>
      </c>
    </row>
    <row r="231" spans="1:30" ht="16.5" customHeight="1" x14ac:dyDescent="0.45">
      <c r="A231" s="6" t="s">
        <v>210</v>
      </c>
      <c r="B231" s="7">
        <v>126</v>
      </c>
      <c r="C231" s="8">
        <f>IFERROR(B231/B444, "NA")</f>
        <v>9.3298336090817484E-4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-126</v>
      </c>
      <c r="I231" s="8">
        <f>IFERROR(H231/H444, "NA")</f>
        <v>5.0594850889746652E-3</v>
      </c>
      <c r="J231" s="9"/>
      <c r="K231" s="7">
        <v>275.24</v>
      </c>
      <c r="L231" s="8">
        <f>IFERROR(K231/K444, "NA")</f>
        <v>2.0648891645008612E-3</v>
      </c>
      <c r="M231" s="9"/>
      <c r="N231" s="10">
        <f t="shared" si="61"/>
        <v>149.24</v>
      </c>
      <c r="O231" s="8">
        <f>IFERROR(N231/N444, "NA")</f>
        <v>8.502008146523457E-2</v>
      </c>
      <c r="P231" s="9"/>
      <c r="Q231" s="7">
        <v>906.26</v>
      </c>
      <c r="R231" s="8">
        <f>IFERROR(Q231/Q444, "NA")</f>
        <v>1.3199786900622134E-3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-906.26</v>
      </c>
      <c r="X231" s="8">
        <f>IFERROR(W231/W444, "NA")</f>
        <v>0.10215282231748121</v>
      </c>
      <c r="Y231" s="9"/>
      <c r="Z231" s="7">
        <v>1272.6500000000001</v>
      </c>
      <c r="AA231" s="8">
        <f>IFERROR(Z231/Z444, "NA")</f>
        <v>2.0969032776197291E-3</v>
      </c>
      <c r="AB231" s="9"/>
      <c r="AC231" s="10">
        <f t="shared" si="63"/>
        <v>366.3900000000001</v>
      </c>
      <c r="AD231" s="8">
        <f>IFERROR(AC231/AC444, "NA")</f>
        <v>4.5998325233607383E-3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1256.28</v>
      </c>
      <c r="C234" s="8">
        <f>IFERROR(B234/B444, "NA")</f>
        <v>9.3022883860454115E-3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-1256.28</v>
      </c>
      <c r="I234" s="8">
        <f>IFERROR(H234/H444, "NA")</f>
        <v>5.0445475615691203E-2</v>
      </c>
      <c r="J234" s="9"/>
      <c r="K234" s="7">
        <v>1216.69</v>
      </c>
      <c r="L234" s="8">
        <f>IFERROR(K234/K444, "NA")</f>
        <v>9.12777938365264E-3</v>
      </c>
      <c r="M234" s="9"/>
      <c r="N234" s="10">
        <f t="shared" si="61"/>
        <v>-39.589999999999918</v>
      </c>
      <c r="O234" s="8">
        <f>IFERROR(N234/N444, "NA")</f>
        <v>-2.2553906628307623E-2</v>
      </c>
      <c r="P234" s="9"/>
      <c r="Q234" s="7">
        <v>8662.7800000000007</v>
      </c>
      <c r="R234" s="8">
        <f>IFERROR(Q234/Q444, "NA")</f>
        <v>1.2617444217660652E-2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-8662.7800000000007</v>
      </c>
      <c r="X234" s="8">
        <f>IFERROR(W234/W444, "NA")</f>
        <v>0.97646086786951869</v>
      </c>
      <c r="Y234" s="9"/>
      <c r="Z234" s="7">
        <v>8339</v>
      </c>
      <c r="AA234" s="8">
        <f>IFERROR(Z234/Z444, "NA")</f>
        <v>1.3739894261635893E-2</v>
      </c>
      <c r="AB234" s="9"/>
      <c r="AC234" s="10">
        <f t="shared" si="63"/>
        <v>-323.78000000000065</v>
      </c>
      <c r="AD234" s="8">
        <f>IFERROR(AC234/AC444, "NA")</f>
        <v>-4.0648865264165026E-3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1382.28</v>
      </c>
      <c r="C236" s="15">
        <f>IFERROR(B236/B444, "NA")</f>
        <v>1.0235271746953586E-2</v>
      </c>
      <c r="D236" s="2"/>
      <c r="E236" s="14">
        <f>IFERROR(E229+E230+E231+E232+E233+E234+E235, "NA")</f>
        <v>1919.45</v>
      </c>
      <c r="F236" s="15">
        <f>IFERROR(E236/E444, "NA")</f>
        <v>1.1999985495862696E-2</v>
      </c>
      <c r="G236" s="2"/>
      <c r="H236" s="14">
        <f t="shared" si="60"/>
        <v>537.17000000000007</v>
      </c>
      <c r="I236" s="15">
        <f>IFERROR(H236/H444, "NA")</f>
        <v>-2.1569869882893025E-2</v>
      </c>
      <c r="J236" s="2"/>
      <c r="K236" s="14">
        <f>IFERROR(K229+K230+K231+K232+K233+K234+K235, "NA")</f>
        <v>1491.93</v>
      </c>
      <c r="L236" s="15">
        <f>IFERROR(K236/K444, "NA")</f>
        <v>1.1192668548153501E-2</v>
      </c>
      <c r="M236" s="2"/>
      <c r="N236" s="14">
        <f t="shared" si="61"/>
        <v>109.65000000000009</v>
      </c>
      <c r="O236" s="15">
        <f>IFERROR(N236/N444, "NA")</f>
        <v>6.2466174836926951E-2</v>
      </c>
      <c r="P236" s="2"/>
      <c r="Q236" s="14">
        <f>IFERROR(Q229+Q230+Q231+Q232+Q233+Q234+Q235, "NA")</f>
        <v>9569.0400000000009</v>
      </c>
      <c r="R236" s="15">
        <f>IFERROR(Q236/Q444, "NA")</f>
        <v>1.3937422907722865E-2</v>
      </c>
      <c r="S236" s="2"/>
      <c r="T236" s="14">
        <f>IFERROR(T229+T230+T231+T232+T233+T234+T235, "NA")</f>
        <v>8345.31</v>
      </c>
      <c r="U236" s="15">
        <f>IFERROR(T236/T444, "NA")</f>
        <v>1.1999986195855218E-2</v>
      </c>
      <c r="V236" s="2"/>
      <c r="W236" s="14">
        <f t="shared" si="62"/>
        <v>-1223.7300000000014</v>
      </c>
      <c r="X236" s="15">
        <f>IFERROR(W236/W444, "NA")</f>
        <v>0.13793775876080974</v>
      </c>
      <c r="Y236" s="2"/>
      <c r="Z236" s="14">
        <f>IFERROR(Z229+Z230+Z231+Z232+Z233+Z234+Z235, "NA")</f>
        <v>9836.65</v>
      </c>
      <c r="AA236" s="15">
        <f>IFERROR(Z236/Z444, "NA")</f>
        <v>1.6207522591284412E-2</v>
      </c>
      <c r="AB236" s="2"/>
      <c r="AC236" s="14">
        <f t="shared" si="63"/>
        <v>267.60999999999876</v>
      </c>
      <c r="AD236" s="15">
        <f>IFERROR(AC236/AC444, "NA")</f>
        <v>3.3597019066474551E-3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7540.25</v>
      </c>
      <c r="F240" s="8">
        <f>IFERROR(E240/E444, "NA")</f>
        <v>4.714000918762077E-2</v>
      </c>
      <c r="G240" s="9"/>
      <c r="H240" s="10">
        <f t="shared" ref="H240:H263" si="64">IFERROR(-(B240-E240), "NA")</f>
        <v>7540.25</v>
      </c>
      <c r="I240" s="8">
        <f>IFERROR(H240/H444, "NA")</f>
        <v>-0.30277605112810491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33147.57</v>
      </c>
      <c r="U240" s="8">
        <f>IFERROR(T240/T444, "NA")</f>
        <v>4.7663943271867022E-2</v>
      </c>
      <c r="V240" s="9"/>
      <c r="W240" s="10">
        <f t="shared" ref="W240:W263" si="66">IFERROR(-(Q240-T240), "NA")</f>
        <v>33147.57</v>
      </c>
      <c r="X240" s="8">
        <f>IFERROR(W240/W444, "NA")</f>
        <v>-3.7363646508356001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1890.35</v>
      </c>
      <c r="C242" s="8">
        <f>IFERROR(B242/B444, "NA")</f>
        <v>1.3997342034069589E-2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-1890.35</v>
      </c>
      <c r="I242" s="8">
        <f>IFERROR(H242/H444, "NA")</f>
        <v>7.5906330459867125E-2</v>
      </c>
      <c r="J242" s="9"/>
      <c r="K242" s="7">
        <v>980.02</v>
      </c>
      <c r="L242" s="8">
        <f>IFERROR(K242/K444, "NA")</f>
        <v>7.3522477800978562E-3</v>
      </c>
      <c r="M242" s="9"/>
      <c r="N242" s="10">
        <f t="shared" si="65"/>
        <v>-910.32999999999993</v>
      </c>
      <c r="O242" s="8">
        <f>IFERROR(N242/N444, "NA")</f>
        <v>-0.51860312758139226</v>
      </c>
      <c r="P242" s="9"/>
      <c r="Q242" s="7">
        <v>7601.29</v>
      </c>
      <c r="R242" s="8">
        <f>IFERROR(Q242/Q444, "NA")</f>
        <v>1.1071371148437537E-2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-7601.29</v>
      </c>
      <c r="X242" s="8">
        <f>IFERROR(W242/W444, "NA")</f>
        <v>0.85681065781745502</v>
      </c>
      <c r="Y242" s="9"/>
      <c r="Z242" s="7">
        <v>5386.44</v>
      </c>
      <c r="AA242" s="8">
        <f>IFERROR(Z242/Z444, "NA")</f>
        <v>8.875058885555346E-3</v>
      </c>
      <c r="AB242" s="9"/>
      <c r="AC242" s="10">
        <f t="shared" si="67"/>
        <v>-2214.8500000000004</v>
      </c>
      <c r="AD242" s="8">
        <f>IFERROR(AC242/AC444, "NA")</f>
        <v>-2.7806269451583092E-2</v>
      </c>
    </row>
    <row r="243" spans="1:30" ht="16.5" customHeight="1" x14ac:dyDescent="0.45">
      <c r="A243" s="12" t="s">
        <v>220</v>
      </c>
      <c r="B243" s="7">
        <v>1771.76</v>
      </c>
      <c r="C243" s="8">
        <f>IFERROR(B243/B444, "NA")</f>
        <v>1.3119226980338633E-2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-1771.76</v>
      </c>
      <c r="I243" s="8">
        <f>IFERROR(H243/H444, "NA")</f>
        <v>7.1144391279696448E-2</v>
      </c>
      <c r="J243" s="9"/>
      <c r="K243" s="7">
        <v>2848.97</v>
      </c>
      <c r="L243" s="8">
        <f>IFERROR(K243/K444, "NA")</f>
        <v>2.1373373357753297E-2</v>
      </c>
      <c r="M243" s="9"/>
      <c r="N243" s="10">
        <f t="shared" si="65"/>
        <v>1077.2099999999998</v>
      </c>
      <c r="O243" s="8">
        <f>IFERROR(N243/N444, "NA")</f>
        <v>0.6136724869684087</v>
      </c>
      <c r="P243" s="9"/>
      <c r="Q243" s="7">
        <v>14280.07</v>
      </c>
      <c r="R243" s="8">
        <f>IFERROR(Q243/Q444, "NA")</f>
        <v>2.0799095284572543E-2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-14280.07</v>
      </c>
      <c r="X243" s="8">
        <f>IFERROR(W243/W444, "NA")</f>
        <v>1.6096368077496457</v>
      </c>
      <c r="Y243" s="9"/>
      <c r="Z243" s="7">
        <v>16728.8</v>
      </c>
      <c r="AA243" s="8">
        <f>IFERROR(Z243/Z444, "NA")</f>
        <v>2.7563490001685394E-2</v>
      </c>
      <c r="AB243" s="9"/>
      <c r="AC243" s="10">
        <f t="shared" si="67"/>
        <v>2448.7299999999996</v>
      </c>
      <c r="AD243" s="8">
        <f>IFERROR(AC243/AC444, "NA")</f>
        <v>3.0742509061189267E-2</v>
      </c>
    </row>
    <row r="244" spans="1:30" ht="16.5" customHeight="1" x14ac:dyDescent="0.45">
      <c r="A244" s="12" t="s">
        <v>221</v>
      </c>
      <c r="B244" s="7">
        <v>0</v>
      </c>
      <c r="C244" s="8">
        <f>IFERROR(B244/B444, "NA")</f>
        <v>0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0</v>
      </c>
      <c r="I244" s="8">
        <f>IFERROR(H244/H444, "NA")</f>
        <v>0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0</v>
      </c>
      <c r="O244" s="8">
        <f>IFERROR(N244/N444, "NA")</f>
        <v>0</v>
      </c>
      <c r="P244" s="9"/>
      <c r="Q244" s="7">
        <v>336.64</v>
      </c>
      <c r="R244" s="8">
        <f>IFERROR(Q244/Q444, "NA")</f>
        <v>4.9032024609112559E-4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-336.64</v>
      </c>
      <c r="X244" s="8">
        <f>IFERROR(W244/W444, "NA")</f>
        <v>3.7945761817753047E-2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-336.64</v>
      </c>
      <c r="AD244" s="8">
        <f>IFERROR(AC244/AC444, "NA")</f>
        <v>-4.2263370197444207E-3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288.17</v>
      </c>
      <c r="C246" s="8">
        <f>IFERROR(B246/B444, "NA")</f>
        <v>2.1337921834357837E-3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-288.17</v>
      </c>
      <c r="I246" s="8">
        <f>IFERROR(H246/H444, "NA")</f>
        <v>1.1571363635633566E-2</v>
      </c>
      <c r="J246" s="9"/>
      <c r="K246" s="7">
        <v>0</v>
      </c>
      <c r="L246" s="8">
        <f>IFERROR(K246/K444, "NA")</f>
        <v>0</v>
      </c>
      <c r="M246" s="9"/>
      <c r="N246" s="10">
        <f t="shared" si="65"/>
        <v>-288.17</v>
      </c>
      <c r="O246" s="8">
        <f>IFERROR(N246/N444, "NA")</f>
        <v>-0.16416669040362267</v>
      </c>
      <c r="P246" s="9"/>
      <c r="Q246" s="7">
        <v>1822.85</v>
      </c>
      <c r="R246" s="8">
        <f>IFERROR(Q246/Q444, "NA")</f>
        <v>2.65500315050858E-3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-1822.85</v>
      </c>
      <c r="X246" s="8">
        <f>IFERROR(W246/W444, "NA")</f>
        <v>0.20547003306051312</v>
      </c>
      <c r="Y246" s="9"/>
      <c r="Z246" s="7">
        <v>0</v>
      </c>
      <c r="AA246" s="8">
        <f>IFERROR(Z246/Z444, "NA")</f>
        <v>0</v>
      </c>
      <c r="AB246" s="9"/>
      <c r="AC246" s="10">
        <f t="shared" si="67"/>
        <v>-1822.85</v>
      </c>
      <c r="AD246" s="8">
        <f>IFERROR(AC246/AC444, "NA")</f>
        <v>-2.2884916933344573E-2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266.70999999999998</v>
      </c>
      <c r="C248" s="8">
        <f>IFERROR(B248/B444, "NA")</f>
        <v>1.9748888268874545E-3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-266.70999999999998</v>
      </c>
      <c r="I248" s="8">
        <f>IFERROR(H248/H444, "NA")</f>
        <v>1.070964498476534E-2</v>
      </c>
      <c r="J248" s="9"/>
      <c r="K248" s="7">
        <v>268.5</v>
      </c>
      <c r="L248" s="8">
        <f>IFERROR(K248/K444, "NA")</f>
        <v>2.0143247372056429E-3</v>
      </c>
      <c r="M248" s="9"/>
      <c r="N248" s="10">
        <f t="shared" si="65"/>
        <v>1.7900000000000205</v>
      </c>
      <c r="O248" s="8">
        <f>IFERROR(N248/N444, "NA")</f>
        <v>1.0197396530606515E-3</v>
      </c>
      <c r="P248" s="9"/>
      <c r="Q248" s="7">
        <v>1650.31</v>
      </c>
      <c r="R248" s="8">
        <f>IFERROR(Q248/Q444, "NA")</f>
        <v>2.4036965462412236E-3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-1650.31</v>
      </c>
      <c r="X248" s="8">
        <f>IFERROR(W248/W444, "NA")</f>
        <v>0.18602147749957232</v>
      </c>
      <c r="Y248" s="9"/>
      <c r="Z248" s="7">
        <v>1512.08</v>
      </c>
      <c r="AA248" s="8">
        <f>IFERROR(Z248/Z444, "NA")</f>
        <v>2.491404162985298E-3</v>
      </c>
      <c r="AB248" s="9"/>
      <c r="AC248" s="10">
        <f t="shared" si="67"/>
        <v>-138.23000000000002</v>
      </c>
      <c r="AD248" s="8">
        <f>IFERROR(AC248/AC444, "NA")</f>
        <v>-1.7354044862145656E-3</v>
      </c>
    </row>
    <row r="249" spans="1:30" ht="16.5" customHeight="1" x14ac:dyDescent="0.45">
      <c r="A249" s="12" t="s">
        <v>226</v>
      </c>
      <c r="B249" s="7">
        <v>967.44</v>
      </c>
      <c r="C249" s="8">
        <f>IFERROR(B249/B444, "NA")</f>
        <v>7.1635351006111483E-3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-967.44</v>
      </c>
      <c r="I249" s="8">
        <f>IFERROR(H249/H444, "NA")</f>
        <v>3.8847208368870241E-2</v>
      </c>
      <c r="J249" s="9"/>
      <c r="K249" s="7">
        <v>884.84</v>
      </c>
      <c r="L249" s="8">
        <f>IFERROR(K249/K444, "NA")</f>
        <v>6.6381940427152376E-3</v>
      </c>
      <c r="M249" s="9"/>
      <c r="N249" s="10">
        <f t="shared" si="65"/>
        <v>-82.600000000000023</v>
      </c>
      <c r="O249" s="8">
        <f>IFERROR(N249/N444, "NA")</f>
        <v>-4.7056142649613893E-2</v>
      </c>
      <c r="P249" s="9"/>
      <c r="Q249" s="7">
        <v>6357.82</v>
      </c>
      <c r="R249" s="8">
        <f>IFERROR(Q249/Q444, "NA")</f>
        <v>9.2602420003656139E-3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-6357.82</v>
      </c>
      <c r="X249" s="8">
        <f>IFERROR(W249/W444, "NA")</f>
        <v>0.71664782378845848</v>
      </c>
      <c r="Y249" s="9"/>
      <c r="Z249" s="7">
        <v>4463.71</v>
      </c>
      <c r="AA249" s="8">
        <f>IFERROR(Z249/Z444, "NA")</f>
        <v>7.354707208850792E-3</v>
      </c>
      <c r="AB249" s="9"/>
      <c r="AC249" s="10">
        <f t="shared" si="67"/>
        <v>-1894.1099999999997</v>
      </c>
      <c r="AD249" s="8">
        <f>IFERROR(AC249/AC444, "NA")</f>
        <v>-2.377954851612436E-2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1395.8</v>
      </c>
      <c r="L254" s="8">
        <f>IFERROR(K254/K444, "NA")</f>
        <v>1.0471487777250044E-2</v>
      </c>
      <c r="M254" s="9"/>
      <c r="N254" s="10">
        <f t="shared" si="65"/>
        <v>1395.8</v>
      </c>
      <c r="O254" s="8">
        <f>IFERROR(N254/N444, "NA")</f>
        <v>0.79516905460449216</v>
      </c>
      <c r="P254" s="9"/>
      <c r="Q254" s="7">
        <v>0</v>
      </c>
      <c r="R254" s="8">
        <f>IFERROR(Q254/Q444, "NA")</f>
        <v>0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0</v>
      </c>
      <c r="X254" s="8">
        <f>IFERROR(W254/W444, "NA")</f>
        <v>0</v>
      </c>
      <c r="Y254" s="9"/>
      <c r="Z254" s="7">
        <v>1395.8</v>
      </c>
      <c r="AA254" s="8">
        <f>IFERROR(Z254/Z444, "NA")</f>
        <v>2.2998134560968195E-3</v>
      </c>
      <c r="AB254" s="9"/>
      <c r="AC254" s="10">
        <f t="shared" si="67"/>
        <v>1395.8</v>
      </c>
      <c r="AD254" s="8">
        <f>IFERROR(AC254/AC444, "NA")</f>
        <v>1.7523530216727846E-2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customHeight="1" x14ac:dyDescent="0.45">
      <c r="A257" s="12" t="s">
        <v>234</v>
      </c>
      <c r="B257" s="7">
        <v>1575</v>
      </c>
      <c r="C257" s="8">
        <f>IFERROR(B257/B444, "NA")</f>
        <v>1.1662292011352184E-2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-1575</v>
      </c>
      <c r="I257" s="8">
        <f>IFERROR(H257/H444, "NA")</f>
        <v>6.3243563612183307E-2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-1575</v>
      </c>
      <c r="O257" s="8">
        <f>IFERROR(N257/N444, "NA")</f>
        <v>-0.89725695730195965</v>
      </c>
      <c r="P257" s="9"/>
      <c r="Q257" s="7">
        <v>3836.25</v>
      </c>
      <c r="R257" s="8">
        <f>IFERROR(Q257/Q444, "NA")</f>
        <v>5.5875446888874782E-3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-3836.25</v>
      </c>
      <c r="X257" s="8">
        <f>IFERROR(W257/W444, "NA")</f>
        <v>0.43241869288663004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-3836.25</v>
      </c>
      <c r="AD257" s="8">
        <f>IFERROR(AC257/AC444, "NA")</f>
        <v>-4.8162088260440043E-2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6759.43</v>
      </c>
      <c r="C262" s="15">
        <f>IFERROR(B262/B444, "NA")</f>
        <v>5.0051077136694794E-2</v>
      </c>
      <c r="D262" s="2"/>
      <c r="E262" s="14">
        <f>IFERROR(E240+E241+E242+E243+E244+E245+E246+E247+E248+E249+E250+E251+E252+E253+E254+E255+E256+E257+E258+E259+E260+E261, "NA")</f>
        <v>7540.25</v>
      </c>
      <c r="F262" s="15">
        <f>IFERROR(E262/E444, "NA")</f>
        <v>4.714000918762077E-2</v>
      </c>
      <c r="G262" s="2"/>
      <c r="H262" s="14">
        <f t="shared" si="64"/>
        <v>780.81999999999971</v>
      </c>
      <c r="I262" s="15">
        <f>IFERROR(H262/H444, "NA")</f>
        <v>-3.1353548787088861E-2</v>
      </c>
      <c r="J262" s="2"/>
      <c r="K262" s="14">
        <f>IFERROR(K240+K241+K242+K243+K244+K245+K246+K247+K248+K249+K250+K251+K252+K253+K254+K255+K256+K257+K258+K259+K260+K261, "NA")</f>
        <v>6378.13</v>
      </c>
      <c r="L262" s="15">
        <f>IFERROR(K262/K444, "NA")</f>
        <v>4.784962769502208E-2</v>
      </c>
      <c r="M262" s="2"/>
      <c r="N262" s="14">
        <f t="shared" si="65"/>
        <v>-381.30000000000018</v>
      </c>
      <c r="O262" s="15">
        <f>IFERROR(N262/N444, "NA")</f>
        <v>-0.21722163671062689</v>
      </c>
      <c r="P262" s="2"/>
      <c r="Q262" s="14">
        <f>IFERROR(Q240+Q241+Q242+Q243+Q244+Q245+Q246+Q247+Q248+Q249+Q250+Q251+Q252+Q253+Q254+Q255+Q256+Q257+Q258+Q259+Q260+Q261, "NA")</f>
        <v>35885.229999999996</v>
      </c>
      <c r="R262" s="15">
        <f>IFERROR(Q262/Q444, "NA")</f>
        <v>5.2267273065104099E-2</v>
      </c>
      <c r="S262" s="2"/>
      <c r="T262" s="14">
        <f>IFERROR(T240+T241+T242+T243+T244+T245+T246+T247+T248+T249+T250+T251+T252+T253+T254+T255+T256+T257+T258+T259+T260+T261, "NA")</f>
        <v>33147.57</v>
      </c>
      <c r="U262" s="15">
        <f>IFERROR(T262/T444, "NA")</f>
        <v>4.7663943271867022E-2</v>
      </c>
      <c r="V262" s="2"/>
      <c r="W262" s="14">
        <f t="shared" si="66"/>
        <v>-2737.6599999999962</v>
      </c>
      <c r="X262" s="15">
        <f>IFERROR(W262/W444, "NA")</f>
        <v>0.30858660378442748</v>
      </c>
      <c r="Y262" s="2"/>
      <c r="Z262" s="14">
        <f>IFERROR(Z240+Z241+Z242+Z243+Z244+Z245+Z246+Z247+Z248+Z249+Z250+Z251+Z252+Z253+Z254+Z255+Z256+Z257+Z258+Z259+Z260+Z261, "NA")</f>
        <v>29486.829999999998</v>
      </c>
      <c r="AA262" s="15">
        <f>IFERROR(Z262/Z444, "NA")</f>
        <v>4.8584473715173652E-2</v>
      </c>
      <c r="AB262" s="2"/>
      <c r="AC262" s="14">
        <f t="shared" si="67"/>
        <v>-6398.3999999999978</v>
      </c>
      <c r="AD262" s="15">
        <f>IFERROR(AC262/AC444, "NA")</f>
        <v>-8.0328525389533903E-2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6759.43</v>
      </c>
      <c r="C263" s="15">
        <f>IFERROR(B263/B444, "NA")</f>
        <v>5.0051077136694794E-2</v>
      </c>
      <c r="D263" s="2"/>
      <c r="E263" s="14">
        <f>IFERROR(E238+E240+E241+E242+E243+E244+E245+E246+E247+E248+E249+E250+E251+E252+E253+E254+E255+E256+E257+E258+E259+E260+E261, "NA")</f>
        <v>7540.25</v>
      </c>
      <c r="F263" s="15">
        <f>IFERROR(E263/E444, "NA")</f>
        <v>4.714000918762077E-2</v>
      </c>
      <c r="G263" s="2"/>
      <c r="H263" s="14">
        <f t="shared" si="64"/>
        <v>780.81999999999971</v>
      </c>
      <c r="I263" s="15">
        <f>IFERROR(H263/H444, "NA")</f>
        <v>-3.1353548787088861E-2</v>
      </c>
      <c r="J263" s="2"/>
      <c r="K263" s="14">
        <f>IFERROR(K238+K240+K241+K242+K243+K244+K245+K246+K247+K248+K249+K250+K251+K252+K253+K254+K255+K256+K257+K258+K259+K260+K261, "NA")</f>
        <v>6378.13</v>
      </c>
      <c r="L263" s="15">
        <f>IFERROR(K263/K444, "NA")</f>
        <v>4.784962769502208E-2</v>
      </c>
      <c r="M263" s="2"/>
      <c r="N263" s="14">
        <f t="shared" si="65"/>
        <v>-381.30000000000018</v>
      </c>
      <c r="O263" s="15">
        <f>IFERROR(N263/N444, "NA")</f>
        <v>-0.21722163671062689</v>
      </c>
      <c r="P263" s="2"/>
      <c r="Q263" s="14">
        <f>IFERROR(Q238+Q240+Q241+Q242+Q243+Q244+Q245+Q246+Q247+Q248+Q249+Q250+Q251+Q252+Q253+Q254+Q255+Q256+Q257+Q258+Q259+Q260+Q261, "NA")</f>
        <v>35885.229999999996</v>
      </c>
      <c r="R263" s="15">
        <f>IFERROR(Q263/Q444, "NA")</f>
        <v>5.2267273065104099E-2</v>
      </c>
      <c r="S263" s="2"/>
      <c r="T263" s="14">
        <f>IFERROR(T238+T240+T241+T242+T243+T244+T245+T246+T247+T248+T249+T250+T251+T252+T253+T254+T255+T256+T257+T258+T259+T260+T261, "NA")</f>
        <v>33147.57</v>
      </c>
      <c r="U263" s="15">
        <f>IFERROR(T263/T444, "NA")</f>
        <v>4.7663943271867022E-2</v>
      </c>
      <c r="V263" s="2"/>
      <c r="W263" s="14">
        <f t="shared" si="66"/>
        <v>-2737.6599999999962</v>
      </c>
      <c r="X263" s="15">
        <f>IFERROR(W263/W444, "NA")</f>
        <v>0.30858660378442748</v>
      </c>
      <c r="Y263" s="2"/>
      <c r="Z263" s="14">
        <f>IFERROR(Z238+Z240+Z241+Z242+Z243+Z244+Z245+Z246+Z247+Z248+Z249+Z250+Z251+Z252+Z253+Z254+Z255+Z256+Z257+Z258+Z259+Z260+Z261, "NA")</f>
        <v>29486.829999999998</v>
      </c>
      <c r="AA263" s="15">
        <f>IFERROR(Z263/Z444, "NA")</f>
        <v>4.8584473715173652E-2</v>
      </c>
      <c r="AB263" s="2"/>
      <c r="AC263" s="14">
        <f t="shared" si="67"/>
        <v>-6398.3999999999978</v>
      </c>
      <c r="AD263" s="15">
        <f>IFERROR(AC263/AC444, "NA")</f>
        <v>-8.0328525389533903E-2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3573.8</v>
      </c>
      <c r="C265" s="8">
        <f>IFERROR(B265/B444, "NA")</f>
        <v>2.646266615248917E-2</v>
      </c>
      <c r="D265" s="9"/>
      <c r="E265" s="7">
        <v>4478.72</v>
      </c>
      <c r="F265" s="8">
        <f>IFERROR(E265/E444, "NA")</f>
        <v>2.7999986996290697E-2</v>
      </c>
      <c r="G265" s="9"/>
      <c r="H265" s="10">
        <f>IFERROR(-(B265-E265), "NA")</f>
        <v>904.92000000000007</v>
      </c>
      <c r="I265" s="8">
        <f>IFERROR(H265/H444, "NA")</f>
        <v>-3.6336740053293286E-2</v>
      </c>
      <c r="J265" s="9"/>
      <c r="K265" s="7">
        <v>3915.6</v>
      </c>
      <c r="L265" s="8">
        <f>IFERROR(K265/K444, "NA")</f>
        <v>2.9375381530735253E-2</v>
      </c>
      <c r="M265" s="9"/>
      <c r="N265" s="10">
        <f>IFERROR(-(B265-K265), "NA")</f>
        <v>341.79999999999973</v>
      </c>
      <c r="O265" s="8">
        <f>IFERROR(N265/N444, "NA")</f>
        <v>0.19471900190845051</v>
      </c>
      <c r="P265" s="9"/>
      <c r="Q265" s="7">
        <v>18878.09</v>
      </c>
      <c r="R265" s="8">
        <f>IFERROR(Q265/Q444, "NA")</f>
        <v>2.7496167224722014E-2</v>
      </c>
      <c r="S265" s="9"/>
      <c r="T265" s="7">
        <v>19642.77</v>
      </c>
      <c r="U265" s="8">
        <f>IFERROR(T265/T444, "NA")</f>
        <v>2.8244962601552129E-2</v>
      </c>
      <c r="V265" s="9"/>
      <c r="W265" s="10">
        <f>IFERROR(-(Q265-T265), "NA")</f>
        <v>764.68000000000029</v>
      </c>
      <c r="X265" s="8">
        <f>IFERROR(W265/W444, "NA")</f>
        <v>-8.6194050459836649E-2</v>
      </c>
      <c r="Y265" s="9"/>
      <c r="Z265" s="7">
        <v>18422.3</v>
      </c>
      <c r="AA265" s="8">
        <f>IFERROR(Z265/Z444, "NA")</f>
        <v>3.0353813893288752E-2</v>
      </c>
      <c r="AB265" s="9"/>
      <c r="AC265" s="10">
        <f>IFERROR(-(Q265-Z265), "NA")</f>
        <v>-455.79000000000087</v>
      </c>
      <c r="AD265" s="8">
        <f>IFERROR(AC265/AC444, "NA")</f>
        <v>-5.722202204816164E-3</v>
      </c>
    </row>
    <row r="266" spans="1:30" ht="16.5" customHeight="1" x14ac:dyDescent="0.45">
      <c r="A266" s="6" t="s">
        <v>242</v>
      </c>
      <c r="B266" s="7">
        <v>47.83</v>
      </c>
      <c r="C266" s="8">
        <f>IFERROR(B266/B444, "NA")</f>
        <v>3.5416344565268251E-4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-47.83</v>
      </c>
      <c r="I266" s="8">
        <f>IFERROR(H266/H444, "NA")</f>
        <v>1.9205966016322081E-3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-47.83</v>
      </c>
      <c r="O266" s="8">
        <f>IFERROR(N266/N444, "NA")</f>
        <v>-2.7248127154128714E-2</v>
      </c>
      <c r="P266" s="9"/>
      <c r="Q266" s="7">
        <v>92.63</v>
      </c>
      <c r="R266" s="8">
        <f>IFERROR(Q266/Q444, "NA")</f>
        <v>1.3491671933050429E-4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-92.63</v>
      </c>
      <c r="X266" s="8">
        <f>IFERROR(W266/W444, "NA")</f>
        <v>1.0441171331922721E-2</v>
      </c>
      <c r="Y266" s="9"/>
      <c r="Z266" s="7">
        <v>0</v>
      </c>
      <c r="AA266" s="8">
        <f>IFERROR(Z266/Z444, "NA")</f>
        <v>0</v>
      </c>
      <c r="AB266" s="9"/>
      <c r="AC266" s="10">
        <f>IFERROR(-(Q266-Z266), "NA")</f>
        <v>-92.63</v>
      </c>
      <c r="AD266" s="8">
        <f>IFERROR(AC266/AC444, "NA")</f>
        <v>-1.1629206218480444E-3</v>
      </c>
    </row>
    <row r="267" spans="1:30" ht="16.5" customHeight="1" x14ac:dyDescent="0.45">
      <c r="A267" s="19" t="s">
        <v>243</v>
      </c>
      <c r="B267" s="14">
        <f>IFERROR(B265+B266, "NA")</f>
        <v>3621.63</v>
      </c>
      <c r="C267" s="15">
        <f>IFERROR(B267/B444, "NA")</f>
        <v>2.6816829598141849E-2</v>
      </c>
      <c r="D267" s="2"/>
      <c r="E267" s="14">
        <f>IFERROR(E265+E266, "NA")</f>
        <v>4478.72</v>
      </c>
      <c r="F267" s="15">
        <f>IFERROR(E267/E444, "NA")</f>
        <v>2.7999986996290697E-2</v>
      </c>
      <c r="G267" s="2"/>
      <c r="H267" s="14">
        <f>IFERROR(-(B267-E267), "NA")</f>
        <v>857.09000000000015</v>
      </c>
      <c r="I267" s="15">
        <f>IFERROR(H267/H444, "NA")</f>
        <v>-3.441614345166108E-2</v>
      </c>
      <c r="J267" s="2"/>
      <c r="K267" s="14">
        <f>IFERROR(K265+K266, "NA")</f>
        <v>3915.6</v>
      </c>
      <c r="L267" s="15">
        <f>IFERROR(K267/K444, "NA")</f>
        <v>2.9375381530735253E-2</v>
      </c>
      <c r="M267" s="2"/>
      <c r="N267" s="14">
        <f>IFERROR(-(B267-K267), "NA")</f>
        <v>293.9699999999998</v>
      </c>
      <c r="O267" s="15">
        <f>IFERROR(N267/N444, "NA")</f>
        <v>0.16747087475432182</v>
      </c>
      <c r="P267" s="2"/>
      <c r="Q267" s="14">
        <f>IFERROR(Q265+Q266, "NA")</f>
        <v>18970.72</v>
      </c>
      <c r="R267" s="15">
        <f>IFERROR(Q267/Q444, "NA")</f>
        <v>2.7631083944052517E-2</v>
      </c>
      <c r="S267" s="2"/>
      <c r="T267" s="14">
        <f>IFERROR(T265+T266, "NA")</f>
        <v>19642.77</v>
      </c>
      <c r="U267" s="15">
        <f>IFERROR(T267/T444, "NA")</f>
        <v>2.8244962601552129E-2</v>
      </c>
      <c r="V267" s="2"/>
      <c r="W267" s="14">
        <f>IFERROR(-(Q267-T267), "NA")</f>
        <v>672.04999999999927</v>
      </c>
      <c r="X267" s="15">
        <f>IFERROR(W267/W444, "NA")</f>
        <v>-7.5752879127913814E-2</v>
      </c>
      <c r="Y267" s="2"/>
      <c r="Z267" s="14">
        <f>IFERROR(Z265+Z266, "NA")</f>
        <v>18422.3</v>
      </c>
      <c r="AA267" s="15">
        <f>IFERROR(Z267/Z444, "NA")</f>
        <v>3.0353813893288752E-2</v>
      </c>
      <c r="AB267" s="2"/>
      <c r="AC267" s="14">
        <f>IFERROR(-(Q267-Z267), "NA")</f>
        <v>-548.42000000000189</v>
      </c>
      <c r="AD267" s="15">
        <f>IFERROR(AC267/AC444, "NA")</f>
        <v>-6.885122826664221E-3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202.08</v>
      </c>
      <c r="C270" s="8">
        <f>IFERROR(B270/B444, "NA")</f>
        <v>1.4963275997803491E-3</v>
      </c>
      <c r="D270" s="9"/>
      <c r="E270" s="7">
        <v>229.96</v>
      </c>
      <c r="F270" s="8">
        <f>IFERROR(E270/E444, "NA")</f>
        <v>1.4376600925413976E-3</v>
      </c>
      <c r="G270" s="9"/>
      <c r="H270" s="10">
        <f>IFERROR(-(B270-E270), "NA")</f>
        <v>27.879999999999995</v>
      </c>
      <c r="I270" s="8">
        <f>IFERROR(H270/H444, "NA")</f>
        <v>-1.1195114625445527E-3</v>
      </c>
      <c r="J270" s="9"/>
      <c r="K270" s="7">
        <v>182.33</v>
      </c>
      <c r="L270" s="8">
        <f>IFERROR(K270/K444, "NA")</f>
        <v>1.3678652861627745E-3</v>
      </c>
      <c r="M270" s="9"/>
      <c r="N270" s="10">
        <f>IFERROR(-(B270-K270), "NA")</f>
        <v>-19.75</v>
      </c>
      <c r="O270" s="8">
        <f>IFERROR(N270/N444, "NA")</f>
        <v>-1.1251317401088064E-2</v>
      </c>
      <c r="P270" s="9"/>
      <c r="Q270" s="7">
        <v>1210.75</v>
      </c>
      <c r="R270" s="8">
        <f>IFERROR(Q270/Q444, "NA")</f>
        <v>1.7634720709209552E-3</v>
      </c>
      <c r="S270" s="9"/>
      <c r="T270" s="7">
        <v>1219.6400000000001</v>
      </c>
      <c r="U270" s="8">
        <f>IFERROR(T270/T444, "NA")</f>
        <v>1.7537590771239007E-3</v>
      </c>
      <c r="V270" s="9"/>
      <c r="W270" s="10">
        <f>IFERROR(-(Q270-T270), "NA")</f>
        <v>8.8900000000001</v>
      </c>
      <c r="X270" s="8">
        <f>IFERROR(W270/W444, "NA")</f>
        <v>-1.0020729044671708E-3</v>
      </c>
      <c r="Y270" s="9"/>
      <c r="Z270" s="7">
        <v>592.04999999999995</v>
      </c>
      <c r="AA270" s="8">
        <f>IFERROR(Z270/Z444, "NA")</f>
        <v>9.7550118690508812E-4</v>
      </c>
      <c r="AB270" s="9"/>
      <c r="AC270" s="10">
        <f>IFERROR(-(Q270-Z270), "NA")</f>
        <v>-618.70000000000005</v>
      </c>
      <c r="AD270" s="8">
        <f>IFERROR(AC270/AC444, "NA")</f>
        <v>-7.767451028148388E-3</v>
      </c>
    </row>
    <row r="271" spans="1:30" ht="16.5" customHeight="1" x14ac:dyDescent="0.45">
      <c r="A271" s="6" t="s">
        <v>246</v>
      </c>
      <c r="B271" s="7">
        <v>861.83</v>
      </c>
      <c r="C271" s="8">
        <f>IFERROR(B271/B444, "NA")</f>
        <v>6.3815321423134315E-3</v>
      </c>
      <c r="D271" s="9"/>
      <c r="E271" s="7">
        <v>959.73</v>
      </c>
      <c r="F271" s="8">
        <f>IFERROR(E271/E444, "NA")</f>
        <v>6.0000240068479541E-3</v>
      </c>
      <c r="G271" s="9"/>
      <c r="H271" s="10">
        <f>IFERROR(-(B271-E271), "NA")</f>
        <v>97.899999999999977</v>
      </c>
      <c r="I271" s="8">
        <f>IFERROR(H271/H444, "NA")</f>
        <v>-3.9311396048461872E-3</v>
      </c>
      <c r="J271" s="9"/>
      <c r="K271" s="7">
        <v>734.08</v>
      </c>
      <c r="L271" s="8">
        <f>IFERROR(K271/K444, "NA")</f>
        <v>5.5071713336607769E-3</v>
      </c>
      <c r="M271" s="9"/>
      <c r="N271" s="10">
        <f>IFERROR(-(B271-K271), "NA")</f>
        <v>-127.75</v>
      </c>
      <c r="O271" s="8">
        <f>IFERROR(N271/N444, "NA")</f>
        <v>-7.2777508758936724E-2</v>
      </c>
      <c r="P271" s="9"/>
      <c r="Q271" s="7">
        <v>4754.79</v>
      </c>
      <c r="R271" s="8">
        <f>IFERROR(Q271/Q444, "NA")</f>
        <v>6.9254093480026835E-3</v>
      </c>
      <c r="S271" s="9"/>
      <c r="T271" s="7">
        <v>4172.67</v>
      </c>
      <c r="U271" s="8">
        <f>IFERROR(T271/T444, "NA")</f>
        <v>6.0000146669038296E-3</v>
      </c>
      <c r="V271" s="9"/>
      <c r="W271" s="10">
        <f>IFERROR(-(Q271-T271), "NA")</f>
        <v>-582.11999999999989</v>
      </c>
      <c r="X271" s="8">
        <f>IFERROR(W271/W444, "NA")</f>
        <v>6.5616049398022819E-2</v>
      </c>
      <c r="Y271" s="9"/>
      <c r="Z271" s="7">
        <v>3493.11</v>
      </c>
      <c r="AA271" s="8">
        <f>IFERROR(Z271/Z444, "NA")</f>
        <v>5.7554817177434894E-3</v>
      </c>
      <c r="AB271" s="9"/>
      <c r="AC271" s="10">
        <f>IFERROR(-(Q271-Z271), "NA")</f>
        <v>-1261.6799999999998</v>
      </c>
      <c r="AD271" s="8">
        <f>IFERROR(AC271/AC444, "NA")</f>
        <v>-1.5839724605130525E-2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1063.9100000000001</v>
      </c>
      <c r="C273" s="15">
        <f>IFERROR(B273/B444, "NA")</f>
        <v>7.8778597420937797E-3</v>
      </c>
      <c r="D273" s="2"/>
      <c r="E273" s="14">
        <f>IFERROR(E269+E270+E271+E272, "NA")</f>
        <v>1189.69</v>
      </c>
      <c r="F273" s="15">
        <f>IFERROR(E273/E444, "NA")</f>
        <v>7.4376840993893517E-3</v>
      </c>
      <c r="G273" s="2"/>
      <c r="H273" s="14">
        <f>IFERROR(-(B273-E273), "NA")</f>
        <v>125.77999999999997</v>
      </c>
      <c r="I273" s="15">
        <f>IFERROR(H273/H444, "NA")</f>
        <v>-5.0506510673907394E-3</v>
      </c>
      <c r="J273" s="2"/>
      <c r="K273" s="14">
        <f>IFERROR(K269+K270+K271+K272, "NA")</f>
        <v>916.41000000000008</v>
      </c>
      <c r="L273" s="15">
        <f>IFERROR(K273/K444, "NA")</f>
        <v>6.8750366198235512E-3</v>
      </c>
      <c r="M273" s="2"/>
      <c r="N273" s="14">
        <f>IFERROR(-(B273-K273), "NA")</f>
        <v>-147.5</v>
      </c>
      <c r="O273" s="15">
        <f>IFERROR(N273/N444, "NA")</f>
        <v>-8.4028826160024786E-2</v>
      </c>
      <c r="P273" s="2"/>
      <c r="Q273" s="14">
        <f>IFERROR(Q269+Q270+Q271+Q272, "NA")</f>
        <v>5965.54</v>
      </c>
      <c r="R273" s="15">
        <f>IFERROR(Q273/Q444, "NA")</f>
        <v>8.6888814189236378E-3</v>
      </c>
      <c r="S273" s="2"/>
      <c r="T273" s="14">
        <f>IFERROR(T269+T270+T271+T272, "NA")</f>
        <v>5392.31</v>
      </c>
      <c r="U273" s="15">
        <f>IFERROR(T273/T444, "NA")</f>
        <v>7.7537737440277303E-3</v>
      </c>
      <c r="V273" s="2"/>
      <c r="W273" s="14">
        <f>IFERROR(-(Q273-T273), "NA")</f>
        <v>-573.22999999999956</v>
      </c>
      <c r="X273" s="15">
        <f>IFERROR(W273/W444, "NA")</f>
        <v>6.4613976493555617E-2</v>
      </c>
      <c r="Y273" s="2"/>
      <c r="Z273" s="14">
        <f>IFERROR(Z269+Z270+Z271+Z272, "NA")</f>
        <v>4085.16</v>
      </c>
      <c r="AA273" s="15">
        <f>IFERROR(Z273/Z444, "NA")</f>
        <v>6.7309829046485765E-3</v>
      </c>
      <c r="AB273" s="2"/>
      <c r="AC273" s="14">
        <f>IFERROR(-(Q273-Z273), "NA")</f>
        <v>-1880.38</v>
      </c>
      <c r="AD273" s="15">
        <f>IFERROR(AC273/AC444, "NA")</f>
        <v>-2.3607175633278916E-2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300</v>
      </c>
      <c r="F287" s="8">
        <f>IFERROR(E287/E444, "NA")</f>
        <v>1.8755349963577113E-3</v>
      </c>
      <c r="G287" s="9"/>
      <c r="H287" s="10">
        <f t="shared" si="72"/>
        <v>300</v>
      </c>
      <c r="I287" s="8">
        <f>IFERROR(H287/H444, "NA")</f>
        <v>-1.2046393068987298E-2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1800</v>
      </c>
      <c r="U287" s="8">
        <f>IFERROR(T287/T444, "NA")</f>
        <v>2.5882771463899357E-3</v>
      </c>
      <c r="V287" s="9"/>
      <c r="W287" s="10">
        <f t="shared" si="74"/>
        <v>1800</v>
      </c>
      <c r="X287" s="8">
        <f>IFERROR(W287/W444, "NA")</f>
        <v>-0.20289440135443051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137.5</v>
      </c>
      <c r="C288" s="8">
        <f>IFERROR(B288/B444, "NA")</f>
        <v>1.0181366041656669E-3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-137.5</v>
      </c>
      <c r="I288" s="8">
        <f>IFERROR(H288/H444, "NA")</f>
        <v>5.5212634899525111E-3</v>
      </c>
      <c r="J288" s="9"/>
      <c r="K288" s="7">
        <v>137.5</v>
      </c>
      <c r="L288" s="8">
        <f>IFERROR(K288/K444, "NA")</f>
        <v>1.0315443253846404E-3</v>
      </c>
      <c r="M288" s="9"/>
      <c r="N288" s="10">
        <f t="shared" si="73"/>
        <v>0</v>
      </c>
      <c r="O288" s="8">
        <f>IFERROR(N288/N444, "NA")</f>
        <v>0</v>
      </c>
      <c r="P288" s="9"/>
      <c r="Q288" s="7">
        <v>825</v>
      </c>
      <c r="R288" s="8">
        <f>IFERROR(Q288/Q444, "NA")</f>
        <v>1.2016225137392426E-3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-825</v>
      </c>
      <c r="X288" s="8">
        <f>IFERROR(W288/W444, "NA")</f>
        <v>9.299326728744732E-2</v>
      </c>
      <c r="Y288" s="9"/>
      <c r="Z288" s="7">
        <v>825</v>
      </c>
      <c r="AA288" s="8">
        <f>IFERROR(Z288/Z444, "NA")</f>
        <v>1.3593251907722283E-3</v>
      </c>
      <c r="AB288" s="9"/>
      <c r="AC288" s="10">
        <f t="shared" si="75"/>
        <v>0</v>
      </c>
      <c r="AD288" s="8">
        <f>IFERROR(AC288/AC444, "NA")</f>
        <v>0</v>
      </c>
    </row>
    <row r="289" spans="1:30" ht="16.5" customHeight="1" x14ac:dyDescent="0.45">
      <c r="A289" s="6" t="s">
        <v>262</v>
      </c>
      <c r="B289" s="7">
        <v>206.28</v>
      </c>
      <c r="C289" s="8">
        <f>IFERROR(B289/B444, "NA")</f>
        <v>1.5274270451439548E-3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-206.28</v>
      </c>
      <c r="I289" s="8">
        <f>IFERROR(H289/H444, "NA")</f>
        <v>8.2830998742356651E-3</v>
      </c>
      <c r="J289" s="9"/>
      <c r="K289" s="7">
        <v>189.85</v>
      </c>
      <c r="L289" s="8">
        <f>IFERROR(K289/K444, "NA")</f>
        <v>1.4242813830856289E-3</v>
      </c>
      <c r="M289" s="9"/>
      <c r="N289" s="10">
        <f t="shared" si="73"/>
        <v>-16.430000000000007</v>
      </c>
      <c r="O289" s="8">
        <f>IFERROR(N289/N444, "NA")</f>
        <v>-9.3599567037912397E-3</v>
      </c>
      <c r="P289" s="9"/>
      <c r="Q289" s="7">
        <v>1037.19</v>
      </c>
      <c r="R289" s="8">
        <f>IFERROR(Q289/Q444, "NA")</f>
        <v>1.5106798242729761E-3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-1037.19</v>
      </c>
      <c r="X289" s="8">
        <f>IFERROR(W289/W444, "NA")</f>
        <v>0.11691113563377876</v>
      </c>
      <c r="Y289" s="9"/>
      <c r="Z289" s="7">
        <v>980.34</v>
      </c>
      <c r="AA289" s="8">
        <f>IFERROR(Z289/Z444, "NA")</f>
        <v>1.6152737666929047E-3</v>
      </c>
      <c r="AB289" s="9"/>
      <c r="AC289" s="10">
        <f t="shared" si="75"/>
        <v>-56.850000000000023</v>
      </c>
      <c r="AD289" s="8">
        <f>IFERROR(AC289/AC444, "NA")</f>
        <v>-7.1372165985168258E-4</v>
      </c>
    </row>
    <row r="290" spans="1:30" ht="16.5" customHeight="1" x14ac:dyDescent="0.45">
      <c r="A290" s="6" t="s">
        <v>263</v>
      </c>
      <c r="B290" s="7">
        <v>175</v>
      </c>
      <c r="C290" s="8">
        <f>IFERROR(B290/B444, "NA")</f>
        <v>1.2958102234835762E-3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-175</v>
      </c>
      <c r="I290" s="8">
        <f>IFERROR(H290/H444, "NA")</f>
        <v>7.0270626235759233E-3</v>
      </c>
      <c r="J290" s="9"/>
      <c r="K290" s="7">
        <v>0</v>
      </c>
      <c r="L290" s="8">
        <f>IFERROR(K290/K444, "NA")</f>
        <v>0</v>
      </c>
      <c r="M290" s="9"/>
      <c r="N290" s="10">
        <f t="shared" si="73"/>
        <v>-175</v>
      </c>
      <c r="O290" s="8">
        <f>IFERROR(N290/N444, "NA")</f>
        <v>-9.9695217477995507E-2</v>
      </c>
      <c r="P290" s="9"/>
      <c r="Q290" s="7">
        <v>3182.41</v>
      </c>
      <c r="R290" s="8">
        <f>IFERROR(Q290/Q444, "NA")</f>
        <v>4.635218792665337E-3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-3182.41</v>
      </c>
      <c r="X290" s="8">
        <f>IFERROR(W290/W444, "NA")</f>
        <v>0.35871842878575178</v>
      </c>
      <c r="Y290" s="9"/>
      <c r="Z290" s="7">
        <v>0</v>
      </c>
      <c r="AA290" s="8">
        <f>IFERROR(Z290/Z444, "NA")</f>
        <v>0</v>
      </c>
      <c r="AB290" s="9"/>
      <c r="AC290" s="10">
        <f t="shared" si="75"/>
        <v>-3182.41</v>
      </c>
      <c r="AD290" s="8">
        <f>IFERROR(AC290/AC444, "NA")</f>
        <v>-3.9953473131549552E-2</v>
      </c>
    </row>
    <row r="291" spans="1:30" ht="16.5" customHeight="1" x14ac:dyDescent="0.45">
      <c r="A291" s="6" t="s">
        <v>264</v>
      </c>
      <c r="B291" s="7">
        <v>500</v>
      </c>
      <c r="C291" s="8">
        <f>IFERROR(B291/B444, "NA")</f>
        <v>3.7023149242387888E-3</v>
      </c>
      <c r="D291" s="9"/>
      <c r="E291" s="7">
        <v>1919.45</v>
      </c>
      <c r="F291" s="8">
        <f>IFERROR(E291/E444, "NA")</f>
        <v>1.1999985495862696E-2</v>
      </c>
      <c r="G291" s="9"/>
      <c r="H291" s="10">
        <f t="shared" si="72"/>
        <v>1419.45</v>
      </c>
      <c r="I291" s="8">
        <f>IFERROR(H291/H444, "NA")</f>
        <v>-5.6997508805913401E-2</v>
      </c>
      <c r="J291" s="9"/>
      <c r="K291" s="7">
        <v>175</v>
      </c>
      <c r="L291" s="8">
        <f>IFERROR(K291/K444, "NA")</f>
        <v>1.3128745959440876E-3</v>
      </c>
      <c r="M291" s="9"/>
      <c r="N291" s="10">
        <f t="shared" si="73"/>
        <v>-325</v>
      </c>
      <c r="O291" s="8">
        <f>IFERROR(N291/N444, "NA")</f>
        <v>-0.18514826103056309</v>
      </c>
      <c r="P291" s="9"/>
      <c r="Q291" s="7">
        <v>2475.0300000000002</v>
      </c>
      <c r="R291" s="8">
        <f>IFERROR(Q291/Q444, "NA")</f>
        <v>3.6049112365818645E-3</v>
      </c>
      <c r="S291" s="9"/>
      <c r="T291" s="7">
        <v>8345.31</v>
      </c>
      <c r="U291" s="8">
        <f>IFERROR(T291/T444, "NA")</f>
        <v>1.1999986195855218E-2</v>
      </c>
      <c r="V291" s="9"/>
      <c r="W291" s="10">
        <f t="shared" si="74"/>
        <v>5870.2799999999988</v>
      </c>
      <c r="X291" s="8">
        <f>IFERROR(W291/W444, "NA")</f>
        <v>-0.66169274799049227</v>
      </c>
      <c r="Y291" s="9"/>
      <c r="Z291" s="7">
        <v>486.72</v>
      </c>
      <c r="AA291" s="8">
        <f>IFERROR(Z291/Z444, "NA")</f>
        <v>8.0195243254867752E-4</v>
      </c>
      <c r="AB291" s="9"/>
      <c r="AC291" s="10">
        <f t="shared" si="75"/>
        <v>-1988.3100000000002</v>
      </c>
      <c r="AD291" s="8">
        <f>IFERROR(AC291/AC444, "NA")</f>
        <v>-2.4962179656986782E-2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500.86</v>
      </c>
      <c r="R292" s="8">
        <f>IFERROR(Q292/Q444, "NA")</f>
        <v>7.2950866937143894E-4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-500.86</v>
      </c>
      <c r="X292" s="8">
        <f>IFERROR(W292/W444, "NA")</f>
        <v>5.6456494367988927E-2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-500.86</v>
      </c>
      <c r="AD292" s="8">
        <f>IFERROR(AC292/AC444, "NA")</f>
        <v>-6.2880321997064838E-3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369.93</v>
      </c>
      <c r="R293" s="8">
        <f>IFERROR(Q293/Q444, "NA")</f>
        <v>5.3880753516067639E-4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-369.93</v>
      </c>
      <c r="X293" s="8">
        <f>IFERROR(W293/W444, "NA")</f>
        <v>4.1698181051691374E-2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-369.93</v>
      </c>
      <c r="AD293" s="8">
        <f>IFERROR(AC293/AC444, "NA")</f>
        <v>-4.6442753496734011E-3</v>
      </c>
    </row>
    <row r="294" spans="1:30" ht="16.5" customHeight="1" x14ac:dyDescent="0.45">
      <c r="A294" s="6" t="s">
        <v>267</v>
      </c>
      <c r="B294" s="7">
        <v>309.99</v>
      </c>
      <c r="C294" s="8">
        <f>IFERROR(B294/B444, "NA")</f>
        <v>2.2953612067295646E-3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-309.99</v>
      </c>
      <c r="I294" s="8">
        <f>IFERROR(H294/H444, "NA")</f>
        <v>1.2447537958184575E-2</v>
      </c>
      <c r="J294" s="9"/>
      <c r="K294" s="7">
        <v>169.1</v>
      </c>
      <c r="L294" s="8">
        <f>IFERROR(K294/K444, "NA")</f>
        <v>1.2686119667094013E-3</v>
      </c>
      <c r="M294" s="9"/>
      <c r="N294" s="10">
        <f t="shared" si="73"/>
        <v>-140.89000000000001</v>
      </c>
      <c r="O294" s="8">
        <f>IFERROR(N294/N444, "NA")</f>
        <v>-8.0263195374141658E-2</v>
      </c>
      <c r="P294" s="9"/>
      <c r="Q294" s="7">
        <v>2088.9499999999998</v>
      </c>
      <c r="R294" s="8">
        <f>IFERROR(Q294/Q444, "NA")</f>
        <v>3.0425810303946555E-3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-2088.9499999999998</v>
      </c>
      <c r="X294" s="8">
        <f>IFERROR(W294/W444, "NA")</f>
        <v>0.23546458872740975</v>
      </c>
      <c r="Y294" s="9"/>
      <c r="Z294" s="7">
        <v>1014.6</v>
      </c>
      <c r="AA294" s="8">
        <f>IFERROR(Z294/Z444, "NA")</f>
        <v>1.671722834615155E-3</v>
      </c>
      <c r="AB294" s="9"/>
      <c r="AC294" s="10">
        <f t="shared" si="75"/>
        <v>-1074.3499999999999</v>
      </c>
      <c r="AD294" s="8">
        <f>IFERROR(AC294/AC444, "NA")</f>
        <v>-1.3487895607065169E-2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1328.77</v>
      </c>
      <c r="C295" s="15">
        <f>IFERROR(B295/B444, "NA")</f>
        <v>9.8390500037615503E-3</v>
      </c>
      <c r="D295" s="2"/>
      <c r="E295" s="14">
        <f>IFERROR(E286+E287+E288+E289+E290+E291+E292+E293+E294, "NA")</f>
        <v>2219.4499999999998</v>
      </c>
      <c r="F295" s="15">
        <f>IFERROR(E295/E444, "NA")</f>
        <v>1.3875520492220406E-2</v>
      </c>
      <c r="G295" s="2"/>
      <c r="H295" s="14">
        <f t="shared" si="72"/>
        <v>890.67999999999984</v>
      </c>
      <c r="I295" s="15">
        <f>IFERROR(H295/H444, "NA")</f>
        <v>-3.5764937928952016E-2</v>
      </c>
      <c r="J295" s="2"/>
      <c r="K295" s="14">
        <f>IFERROR(K286+K287+K288+K289+K290+K291+K292+K293+K294, "NA")</f>
        <v>671.45</v>
      </c>
      <c r="L295" s="15">
        <f>IFERROR(K295/K444, "NA")</f>
        <v>5.0373122711237584E-3</v>
      </c>
      <c r="M295" s="2"/>
      <c r="N295" s="14">
        <f t="shared" si="73"/>
        <v>-657.31999999999994</v>
      </c>
      <c r="O295" s="15">
        <f>IFERROR(N295/N444, "NA")</f>
        <v>-0.37446663058649143</v>
      </c>
      <c r="P295" s="2"/>
      <c r="Q295" s="14">
        <f>IFERROR(Q286+Q287+Q288+Q289+Q290+Q291+Q292+Q293+Q294, "NA")</f>
        <v>10479.369999999999</v>
      </c>
      <c r="R295" s="15">
        <f>IFERROR(Q295/Q444, "NA")</f>
        <v>1.5263329602186189E-2</v>
      </c>
      <c r="S295" s="2"/>
      <c r="T295" s="14">
        <f>IFERROR(T286+T287+T288+T289+T290+T291+T292+T293+T294, "NA")</f>
        <v>10145.31</v>
      </c>
      <c r="U295" s="15">
        <f>IFERROR(T295/T444, "NA")</f>
        <v>1.4588263342245153E-2</v>
      </c>
      <c r="V295" s="2"/>
      <c r="W295" s="14">
        <f t="shared" si="74"/>
        <v>-334.05999999999949</v>
      </c>
      <c r="X295" s="15">
        <f>IFERROR(W295/W444, "NA")</f>
        <v>3.7654946509144971E-2</v>
      </c>
      <c r="Y295" s="2"/>
      <c r="Z295" s="14">
        <f>IFERROR(Z286+Z287+Z288+Z289+Z290+Z291+Z292+Z293+Z294, "NA")</f>
        <v>3306.6600000000003</v>
      </c>
      <c r="AA295" s="15">
        <f>IFERROR(Z295/Z444, "NA")</f>
        <v>5.4482742246289659E-3</v>
      </c>
      <c r="AB295" s="2"/>
      <c r="AC295" s="14">
        <f t="shared" si="75"/>
        <v>-7172.7099999999991</v>
      </c>
      <c r="AD295" s="15">
        <f>IFERROR(AC295/AC444, "NA")</f>
        <v>-9.0049577604833064E-2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2079.41</v>
      </c>
      <c r="F297" s="8">
        <f>IFERROR(E297/E444, "NA")</f>
        <v>1.3000020755920626E-2</v>
      </c>
      <c r="G297" s="9"/>
      <c r="H297" s="10">
        <f t="shared" ref="H297:H325" si="76">IFERROR(-(B297-E297), "NA")</f>
        <v>2079.41</v>
      </c>
      <c r="I297" s="8">
        <f>IFERROR(H297/H444, "NA")</f>
        <v>-8.3497967371942913E-2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9040.76</v>
      </c>
      <c r="U297" s="8">
        <f>IFERROR(T297/T444, "NA")</f>
        <v>1.299999582999793E-2</v>
      </c>
      <c r="V297" s="9"/>
      <c r="W297" s="10">
        <f t="shared" ref="W297:W325" si="78">IFERROR(-(Q297-T297), "NA")</f>
        <v>9040.76</v>
      </c>
      <c r="X297" s="8">
        <f>IFERROR(W297/W444, "NA")</f>
        <v>-1.0190664377717118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191.94</v>
      </c>
      <c r="C299" s="8">
        <f>IFERROR(B299/B444, "NA")</f>
        <v>1.4212446531167862E-3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-191.94</v>
      </c>
      <c r="I299" s="8">
        <f>IFERROR(H299/H444, "NA")</f>
        <v>7.7072822855380725E-3</v>
      </c>
      <c r="J299" s="9"/>
      <c r="K299" s="7">
        <v>442.46</v>
      </c>
      <c r="L299" s="8">
        <f>IFERROR(K299/K444, "NA")</f>
        <v>3.3193971069795485E-3</v>
      </c>
      <c r="M299" s="9"/>
      <c r="N299" s="10">
        <f t="shared" si="77"/>
        <v>250.51999999999998</v>
      </c>
      <c r="O299" s="8">
        <f>IFERROR(N299/N444, "NA")</f>
        <v>0.14271797647192819</v>
      </c>
      <c r="P299" s="9"/>
      <c r="Q299" s="7">
        <v>1713.17</v>
      </c>
      <c r="R299" s="8">
        <f>IFERROR(Q299/Q444, "NA")</f>
        <v>2.4952528992274649E-3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-1713.17</v>
      </c>
      <c r="X299" s="8">
        <f>IFERROR(W299/W444, "NA")</f>
        <v>0.19310700087131652</v>
      </c>
      <c r="Y299" s="9"/>
      <c r="Z299" s="7">
        <v>1366.06</v>
      </c>
      <c r="AA299" s="8">
        <f>IFERROR(Z299/Z444, "NA")</f>
        <v>2.2508118425531029E-3</v>
      </c>
      <c r="AB299" s="9"/>
      <c r="AC299" s="10">
        <f t="shared" si="79"/>
        <v>-347.11000000000013</v>
      </c>
      <c r="AD299" s="8">
        <f>IFERROR(AC299/AC444, "NA")</f>
        <v>-4.3577823280759459E-3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197.01</v>
      </c>
      <c r="R304" s="8">
        <f>IFERROR(Q304/Q444, "NA")</f>
        <v>2.8694745628093113E-4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-197.01</v>
      </c>
      <c r="X304" s="8">
        <f>IFERROR(W304/W444, "NA")</f>
        <v>2.2206792228242418E-2</v>
      </c>
      <c r="Y304" s="9"/>
      <c r="Z304" s="7">
        <v>268.92</v>
      </c>
      <c r="AA304" s="8">
        <f>IFERROR(Z304/Z444, "NA")</f>
        <v>4.4309058218480925E-4</v>
      </c>
      <c r="AB304" s="9"/>
      <c r="AC304" s="10">
        <f t="shared" si="79"/>
        <v>71.910000000000025</v>
      </c>
      <c r="AD304" s="8">
        <f>IFERROR(AC304/AC444, "NA")</f>
        <v>9.0279198874115201E-4</v>
      </c>
    </row>
    <row r="305" spans="1:30" ht="16.5" hidden="1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0</v>
      </c>
      <c r="O305" s="8">
        <f>IFERROR(N305/N444, "NA")</f>
        <v>0</v>
      </c>
      <c r="P305" s="9"/>
      <c r="Q305" s="7">
        <v>0</v>
      </c>
      <c r="R305" s="8">
        <f>IFERROR(Q305/Q444, "NA")</f>
        <v>0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0</v>
      </c>
      <c r="X305" s="8">
        <f>IFERROR(W305/W444, "NA")</f>
        <v>0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0</v>
      </c>
      <c r="AD305" s="8">
        <f>IFERROR(AC305/AC444, "NA")</f>
        <v>0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134.69999999999999</v>
      </c>
      <c r="C310" s="8">
        <f>IFERROR(B310/B444, "NA")</f>
        <v>9.9740364058992963E-4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-134.69999999999999</v>
      </c>
      <c r="I310" s="8">
        <f>IFERROR(H310/H444, "NA")</f>
        <v>5.4088304879752963E-3</v>
      </c>
      <c r="J310" s="9"/>
      <c r="K310" s="7">
        <v>57.09</v>
      </c>
      <c r="L310" s="8">
        <f>IFERROR(K310/K444, "NA")</f>
        <v>4.2829720389970269E-4</v>
      </c>
      <c r="M310" s="9"/>
      <c r="N310" s="10">
        <f t="shared" si="77"/>
        <v>-77.609999999999985</v>
      </c>
      <c r="O310" s="8">
        <f>IFERROR(N310/N444, "NA")</f>
        <v>-4.421340473409846E-2</v>
      </c>
      <c r="P310" s="9"/>
      <c r="Q310" s="7">
        <v>357.58</v>
      </c>
      <c r="R310" s="8">
        <f>IFERROR(Q310/Q444, "NA")</f>
        <v>5.2081961025803437E-4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-357.58</v>
      </c>
      <c r="X310" s="8">
        <f>IFERROR(W310/W444, "NA")</f>
        <v>4.0306100020176254E-2</v>
      </c>
      <c r="Y310" s="9"/>
      <c r="Z310" s="7">
        <v>193.27</v>
      </c>
      <c r="AA310" s="8">
        <f>IFERROR(Z310/Z444, "NA")</f>
        <v>3.1844458135824071E-4</v>
      </c>
      <c r="AB310" s="9"/>
      <c r="AC310" s="10">
        <f t="shared" si="79"/>
        <v>-164.30999999999997</v>
      </c>
      <c r="AD310" s="8">
        <f>IFERROR(AC310/AC444, "NA")</f>
        <v>-2.0628250823259437E-3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26.7</v>
      </c>
      <c r="R311" s="8">
        <f>IFERROR(Q311/Q444, "NA")</f>
        <v>3.8888874081015491E-5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</v>
      </c>
      <c r="X311" s="8">
        <f>IFERROR(W311/W444, "NA")</f>
        <v>3.0096002867573859E-3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</v>
      </c>
      <c r="AD311" s="8">
        <f>IFERROR(AC311/AC444, "NA")</f>
        <v>-3.3520436795144972E-4</v>
      </c>
    </row>
    <row r="312" spans="1:30" ht="16.5" customHeight="1" x14ac:dyDescent="0.45">
      <c r="A312" s="6" t="s">
        <v>284</v>
      </c>
      <c r="B312" s="7">
        <v>469.12</v>
      </c>
      <c r="C312" s="8">
        <f>IFERROR(B312/B444, "NA")</f>
        <v>3.4736599545178012E-3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-469.12</v>
      </c>
      <c r="I312" s="8">
        <f>IFERROR(H312/H444, "NA")</f>
        <v>1.8837346388411069E-2</v>
      </c>
      <c r="J312" s="9"/>
      <c r="K312" s="7">
        <v>58.33</v>
      </c>
      <c r="L312" s="8">
        <f>IFERROR(K312/K444, "NA")</f>
        <v>4.3759985817953503E-4</v>
      </c>
      <c r="M312" s="9"/>
      <c r="N312" s="10">
        <f t="shared" si="77"/>
        <v>-410.79</v>
      </c>
      <c r="O312" s="8">
        <f>IFERROR(N312/N444, "NA")</f>
        <v>-0.23402170507306158</v>
      </c>
      <c r="P312" s="9"/>
      <c r="Q312" s="7">
        <v>896.18</v>
      </c>
      <c r="R312" s="8">
        <f>IFERROR(Q312/Q444, "NA")</f>
        <v>1.3052970477125266E-3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-896.18</v>
      </c>
      <c r="X312" s="8">
        <f>IFERROR(W312/W444, "NA")</f>
        <v>0.10101661366989639</v>
      </c>
      <c r="Y312" s="9"/>
      <c r="Z312" s="7">
        <v>108.32</v>
      </c>
      <c r="AA312" s="8">
        <f>IFERROR(Z312/Z444, "NA")</f>
        <v>1.784752783811488E-4</v>
      </c>
      <c r="AB312" s="9"/>
      <c r="AC312" s="10">
        <f t="shared" si="79"/>
        <v>-787.8599999999999</v>
      </c>
      <c r="AD312" s="8">
        <f>IFERROR(AC312/AC444, "NA")</f>
        <v>-9.8911652934168225E-3</v>
      </c>
    </row>
    <row r="313" spans="1:30" ht="16.5" customHeight="1" x14ac:dyDescent="0.45">
      <c r="A313" s="6" t="s">
        <v>285</v>
      </c>
      <c r="B313" s="7">
        <v>6</v>
      </c>
      <c r="C313" s="8">
        <f>IFERROR(B313/B444, "NA")</f>
        <v>4.4427779090865464E-5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-6</v>
      </c>
      <c r="I313" s="8">
        <f>IFERROR(H313/H444, "NA")</f>
        <v>2.4092786137974595E-4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-6</v>
      </c>
      <c r="O313" s="8">
        <f>IFERROR(N313/N444, "NA")</f>
        <v>-3.4181217421027032E-3</v>
      </c>
      <c r="P313" s="9"/>
      <c r="Q313" s="7">
        <v>53.75</v>
      </c>
      <c r="R313" s="8">
        <f>IFERROR(Q313/Q444, "NA")</f>
        <v>7.8287527410283989E-5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-53.75</v>
      </c>
      <c r="X313" s="8">
        <f>IFERROR(W313/W444, "NA")</f>
        <v>6.0586522626670221E-3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-53.75</v>
      </c>
      <c r="AD313" s="8">
        <f>IFERROR(AC313/AC444, "NA")</f>
        <v>-6.7480280065132677E-4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794.11</v>
      </c>
      <c r="C315" s="8">
        <f>IFERROR(B315/B444, "NA")</f>
        <v>5.8800906089745289E-3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-794.11</v>
      </c>
      <c r="I315" s="8">
        <f>IFERROR(H315/H444, "NA")</f>
        <v>3.1887204000045008E-2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-794.11</v>
      </c>
      <c r="O315" s="8">
        <f>IFERROR(N315/N444, "NA")</f>
        <v>-0.45239410943686292</v>
      </c>
      <c r="P315" s="9"/>
      <c r="Q315" s="7">
        <v>4764.66</v>
      </c>
      <c r="R315" s="8">
        <f>IFERROR(Q315/Q444, "NA")</f>
        <v>6.939785122803418E-3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-4764.66</v>
      </c>
      <c r="X315" s="8">
        <f>IFERROR(W315/W444, "NA")</f>
        <v>0.53706824353188931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-4764.66</v>
      </c>
      <c r="AD315" s="8">
        <f>IFERROR(AC315/AC444, "NA")</f>
        <v>-5.9817784412118144E-2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490.6</v>
      </c>
      <c r="C318" s="8">
        <f>IFERROR(B318/B444, "NA")</f>
        <v>3.6327114036630997E-3</v>
      </c>
      <c r="D318" s="9"/>
      <c r="E318" s="7">
        <v>718</v>
      </c>
      <c r="F318" s="8">
        <f>IFERROR(E318/E444, "NA")</f>
        <v>4.4887804246161222E-3</v>
      </c>
      <c r="G318" s="9"/>
      <c r="H318" s="10">
        <f t="shared" si="76"/>
        <v>227.39999999999998</v>
      </c>
      <c r="I318" s="8">
        <f>IFERROR(H318/H444, "NA")</f>
        <v>-9.131165946292371E-3</v>
      </c>
      <c r="J318" s="9"/>
      <c r="K318" s="7">
        <v>490.6</v>
      </c>
      <c r="L318" s="8">
        <f>IFERROR(K318/K444, "NA")</f>
        <v>3.6805501529723968E-3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2943.6</v>
      </c>
      <c r="R318" s="8">
        <f>IFERROR(Q318/Q444, "NA")</f>
        <v>4.287389129021618E-3</v>
      </c>
      <c r="S318" s="9"/>
      <c r="T318" s="7">
        <v>4308</v>
      </c>
      <c r="U318" s="8">
        <f>IFERROR(T318/T444, "NA")</f>
        <v>6.1946099703599124E-3</v>
      </c>
      <c r="V318" s="9"/>
      <c r="W318" s="10">
        <f t="shared" si="78"/>
        <v>1364.4</v>
      </c>
      <c r="X318" s="8">
        <f>IFERROR(W318/W444, "NA")</f>
        <v>-0.15379395622665834</v>
      </c>
      <c r="Y318" s="9"/>
      <c r="Z318" s="7">
        <v>2943.6</v>
      </c>
      <c r="AA318" s="8">
        <f>IFERROR(Z318/Z444, "NA")</f>
        <v>4.8500722806753107E-3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160.21</v>
      </c>
      <c r="C319" s="8">
        <f>IFERROR(B319/B444, "NA")</f>
        <v>1.1862957480245928E-3</v>
      </c>
      <c r="D319" s="9"/>
      <c r="E319" s="7">
        <v>160</v>
      </c>
      <c r="F319" s="8">
        <f>IFERROR(E319/E444, "NA")</f>
        <v>1.0002853313907792E-3</v>
      </c>
      <c r="G319" s="9"/>
      <c r="H319" s="10">
        <f t="shared" si="76"/>
        <v>-0.21000000000000796</v>
      </c>
      <c r="I319" s="8">
        <f>IFERROR(H319/H444, "NA")</f>
        <v>8.4324751482914278E-6</v>
      </c>
      <c r="J319" s="9"/>
      <c r="K319" s="7">
        <v>159.53</v>
      </c>
      <c r="L319" s="8">
        <f>IFERROR(K319/K444, "NA")</f>
        <v>1.1968164816626304E-3</v>
      </c>
      <c r="M319" s="9"/>
      <c r="N319" s="10">
        <f t="shared" si="77"/>
        <v>-0.68000000000000682</v>
      </c>
      <c r="O319" s="8">
        <f>IFERROR(N319/N444, "NA")</f>
        <v>-3.8738713077164356E-4</v>
      </c>
      <c r="P319" s="9"/>
      <c r="Q319" s="7">
        <v>1091.1099999999999</v>
      </c>
      <c r="R319" s="8">
        <f>IFERROR(Q319/Q444, "NA")</f>
        <v>1.5892149587466969E-3</v>
      </c>
      <c r="S319" s="9"/>
      <c r="T319" s="7">
        <v>960</v>
      </c>
      <c r="U319" s="8">
        <f>IFERROR(T319/T444, "NA")</f>
        <v>1.3804144780746323E-3</v>
      </c>
      <c r="V319" s="9"/>
      <c r="W319" s="10">
        <f t="shared" si="78"/>
        <v>-131.1099999999999</v>
      </c>
      <c r="X319" s="8">
        <f>IFERROR(W319/W444, "NA")</f>
        <v>1.4778602756432979E-2</v>
      </c>
      <c r="Y319" s="9"/>
      <c r="Z319" s="7">
        <v>958.14</v>
      </c>
      <c r="AA319" s="8">
        <f>IFERROR(Z319/Z444, "NA")</f>
        <v>1.5786955615593973E-3</v>
      </c>
      <c r="AB319" s="9"/>
      <c r="AC319" s="10">
        <f t="shared" si="79"/>
        <v>-132.96999999999991</v>
      </c>
      <c r="AD319" s="8">
        <f>IFERROR(AC319/AC444, "NA")</f>
        <v>-1.6693679702810577E-3</v>
      </c>
    </row>
    <row r="320" spans="1:30" ht="16.5" customHeight="1" x14ac:dyDescent="0.45">
      <c r="A320" s="6" t="s">
        <v>292</v>
      </c>
      <c r="B320" s="7">
        <v>1852.56</v>
      </c>
      <c r="C320" s="8">
        <f>IFERROR(B320/B444, "NA")</f>
        <v>1.3717521072095621E-2</v>
      </c>
      <c r="D320" s="9"/>
      <c r="E320" s="7">
        <v>827</v>
      </c>
      <c r="F320" s="8">
        <f>IFERROR(E320/E444, "NA")</f>
        <v>5.1702248066260907E-3</v>
      </c>
      <c r="G320" s="9"/>
      <c r="H320" s="10">
        <f t="shared" si="76"/>
        <v>-1025.56</v>
      </c>
      <c r="I320" s="8">
        <f>IFERROR(H320/H444, "NA")</f>
        <v>4.1180996252768706E-2</v>
      </c>
      <c r="J320" s="9"/>
      <c r="K320" s="7">
        <v>702.86</v>
      </c>
      <c r="L320" s="8">
        <f>IFERROR(K320/K444, "NA")</f>
        <v>5.2729545057443516E-3</v>
      </c>
      <c r="M320" s="9"/>
      <c r="N320" s="10">
        <f t="shared" si="77"/>
        <v>-1149.6999999999998</v>
      </c>
      <c r="O320" s="8">
        <f>IFERROR(N320/N444, "NA")</f>
        <v>-0.65496909448257956</v>
      </c>
      <c r="P320" s="9"/>
      <c r="Q320" s="7">
        <v>7314.12</v>
      </c>
      <c r="R320" s="8">
        <f>IFERROR(Q320/Q444, "NA")</f>
        <v>1.0653104557806629E-2</v>
      </c>
      <c r="S320" s="9"/>
      <c r="T320" s="7">
        <v>4962</v>
      </c>
      <c r="U320" s="8">
        <f>IFERROR(T320/T444, "NA")</f>
        <v>7.1350173335482554E-3</v>
      </c>
      <c r="V320" s="9"/>
      <c r="W320" s="10">
        <f t="shared" si="78"/>
        <v>-2352.12</v>
      </c>
      <c r="X320" s="8">
        <f>IFERROR(W320/W444, "NA")</f>
        <v>0.26512887739654617</v>
      </c>
      <c r="Y320" s="9"/>
      <c r="Z320" s="7">
        <v>5109.8599999999997</v>
      </c>
      <c r="AA320" s="8">
        <f>IFERROR(Z320/Z444, "NA")</f>
        <v>8.4193471749325795E-3</v>
      </c>
      <c r="AB320" s="9"/>
      <c r="AC320" s="10">
        <f t="shared" si="79"/>
        <v>-2204.2600000000002</v>
      </c>
      <c r="AD320" s="8">
        <f>IFERROR(AC320/AC444, "NA")</f>
        <v>-2.7673317606766393E-2</v>
      </c>
    </row>
    <row r="321" spans="1:30" ht="16.5" customHeight="1" x14ac:dyDescent="0.45">
      <c r="A321" s="6" t="s">
        <v>293</v>
      </c>
      <c r="B321" s="7">
        <v>2146.89</v>
      </c>
      <c r="C321" s="8">
        <f>IFERROR(B321/B444, "NA")</f>
        <v>1.5896925775398026E-2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-2146.89</v>
      </c>
      <c r="I321" s="8">
        <f>IFERROR(H321/H444, "NA")</f>
        <v>8.6207602719593796E-2</v>
      </c>
      <c r="J321" s="9"/>
      <c r="K321" s="7">
        <v>2296.2399999999998</v>
      </c>
      <c r="L321" s="8">
        <f>IFERROR(K321/K444, "NA")</f>
        <v>1.722671521251801E-2</v>
      </c>
      <c r="M321" s="9"/>
      <c r="N321" s="10">
        <f t="shared" si="77"/>
        <v>149.34999999999991</v>
      </c>
      <c r="O321" s="8">
        <f>IFERROR(N321/N444, "NA")</f>
        <v>8.5082747030506403E-2</v>
      </c>
      <c r="P321" s="9"/>
      <c r="Q321" s="7">
        <v>13387.94</v>
      </c>
      <c r="R321" s="8">
        <f>IFERROR(Q321/Q444, "NA")</f>
        <v>1.9499697111018371E-2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-13387.94</v>
      </c>
      <c r="X321" s="8">
        <f>IFERROR(W321/W444, "NA")</f>
        <v>1.509076706482797</v>
      </c>
      <c r="Y321" s="9"/>
      <c r="Z321" s="7">
        <v>14268.2</v>
      </c>
      <c r="AA321" s="8">
        <f>IFERROR(Z321/Z444, "NA")</f>
        <v>2.3509240832698557E-2</v>
      </c>
      <c r="AB321" s="9"/>
      <c r="AC321" s="10">
        <f t="shared" si="79"/>
        <v>880.26000000000022</v>
      </c>
      <c r="AD321" s="8">
        <f>IFERROR(AC321/AC444, "NA")</f>
        <v>1.1051198387001618E-2</v>
      </c>
    </row>
    <row r="322" spans="1:30" ht="16.5" customHeight="1" x14ac:dyDescent="0.45">
      <c r="A322" s="6" t="s">
        <v>294</v>
      </c>
      <c r="B322" s="7">
        <v>338.98</v>
      </c>
      <c r="C322" s="8">
        <f>IFERROR(B322/B444, "NA")</f>
        <v>2.5100214260369296E-3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-338.98</v>
      </c>
      <c r="I322" s="8">
        <f>IFERROR(H322/H444, "NA")</f>
        <v>1.3611621075084381E-2</v>
      </c>
      <c r="J322" s="9"/>
      <c r="K322" s="7">
        <v>155.97</v>
      </c>
      <c r="L322" s="8">
        <f>IFERROR(K322/K444, "NA")</f>
        <v>1.1701088613108534E-3</v>
      </c>
      <c r="M322" s="9"/>
      <c r="N322" s="10">
        <f t="shared" si="77"/>
        <v>-183.01000000000002</v>
      </c>
      <c r="O322" s="8">
        <f>IFERROR(N322/N444, "NA")</f>
        <v>-0.10425841000370263</v>
      </c>
      <c r="P322" s="9"/>
      <c r="Q322" s="7">
        <v>1726.17</v>
      </c>
      <c r="R322" s="8">
        <f>IFERROR(Q322/Q444, "NA")</f>
        <v>2.5141875570197196E-3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-1726.17</v>
      </c>
      <c r="X322" s="8">
        <f>IFERROR(W322/W444, "NA")</f>
        <v>0.19457234932554296</v>
      </c>
      <c r="Y322" s="9"/>
      <c r="Z322" s="7">
        <v>1285.82</v>
      </c>
      <c r="AA322" s="8">
        <f>IFERROR(Z322/Z444, "NA")</f>
        <v>2.1186030506651471E-3</v>
      </c>
      <c r="AB322" s="9"/>
      <c r="AC322" s="10">
        <f t="shared" si="79"/>
        <v>-440.35000000000014</v>
      </c>
      <c r="AD322" s="8">
        <f>IFERROR(AC322/AC444, "NA")</f>
        <v>-5.5283611770569644E-3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6585.1099999999988</v>
      </c>
      <c r="C324" s="15">
        <f>IFERROR(B324/B444, "NA")</f>
        <v>4.8760302061508172E-2</v>
      </c>
      <c r="D324" s="2"/>
      <c r="E324" s="14">
        <f>IFERROR(E297+E298+E299+E300+E301+E302+E303+E304+E305+E306+E307+E308+E309+E310+E311+E312+E313+E314+E315+E316+E317+E318+E319+E320+E321+E322+E323, "NA")</f>
        <v>3784.41</v>
      </c>
      <c r="F324" s="15">
        <f>IFERROR(E324/E444, "NA")</f>
        <v>2.365931131855362E-2</v>
      </c>
      <c r="G324" s="2"/>
      <c r="H324" s="14">
        <f t="shared" si="76"/>
        <v>-2800.6999999999989</v>
      </c>
      <c r="I324" s="15">
        <f>IFERROR(H324/H444, "NA")</f>
        <v>0.11246111022770904</v>
      </c>
      <c r="J324" s="2"/>
      <c r="K324" s="14">
        <f>IFERROR(K297+K298+K299+K300+K301+K302+K303+K304+K305+K306+K307+K308+K309+K310+K311+K312+K313+K314+K315+K316+K317+K318+K319+K320+K321+K322+K323, "NA")</f>
        <v>4363.08</v>
      </c>
      <c r="L324" s="15">
        <f>IFERROR(K324/K444, "NA")</f>
        <v>3.2732439383267031E-2</v>
      </c>
      <c r="M324" s="2"/>
      <c r="N324" s="14">
        <f t="shared" si="77"/>
        <v>-2222.0299999999988</v>
      </c>
      <c r="O324" s="15">
        <f>IFERROR(N324/N444, "NA")</f>
        <v>-1.2658615091007444</v>
      </c>
      <c r="P324" s="2"/>
      <c r="Q324" s="14">
        <f>IFERROR(Q297+Q298+Q299+Q300+Q301+Q302+Q303+Q304+Q305+Q306+Q307+Q308+Q309+Q310+Q311+Q312+Q313+Q314+Q315+Q316+Q317+Q318+Q319+Q320+Q321+Q322+Q323, "NA")</f>
        <v>34471.99</v>
      </c>
      <c r="R324" s="15">
        <f>IFERROR(Q324/Q444, "NA")</f>
        <v>5.0208871851386706E-2</v>
      </c>
      <c r="S324" s="2"/>
      <c r="T324" s="14">
        <f>IFERROR(T297+T298+T299+T300+T301+T302+T303+T304+T305+T306+T307+T308+T309+T310+T311+T312+T313+T314+T315+T316+T317+T318+T319+T320+T321+T322+T323, "NA")</f>
        <v>19270.760000000002</v>
      </c>
      <c r="U324" s="15">
        <f>IFERROR(T324/T444, "NA")</f>
        <v>2.7710037611980733E-2</v>
      </c>
      <c r="V324" s="2"/>
      <c r="W324" s="14">
        <f t="shared" si="78"/>
        <v>-15201.229999999996</v>
      </c>
      <c r="X324" s="15">
        <f>IFERROR(W324/W444, "NA")</f>
        <v>1.7134691448338937</v>
      </c>
      <c r="Y324" s="2"/>
      <c r="Z324" s="14">
        <f>IFERROR(Z297+Z298+Z299+Z300+Z301+Z302+Z303+Z304+Z305+Z306+Z307+Z308+Z309+Z310+Z311+Z312+Z313+Z314+Z315+Z316+Z317+Z318+Z319+Z320+Z321+Z322+Z323, "NA")</f>
        <v>26502.190000000002</v>
      </c>
      <c r="AA324" s="15">
        <f>IFERROR(Z324/Z444, "NA")</f>
        <v>4.3666781185008295E-2</v>
      </c>
      <c r="AB324" s="2"/>
      <c r="AC324" s="14">
        <f t="shared" si="79"/>
        <v>-7969.7999999999956</v>
      </c>
      <c r="AD324" s="15">
        <f>IFERROR(AC324/AC444, "NA")</f>
        <v>-0.10005662066290122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30889.63</v>
      </c>
      <c r="C325" s="15">
        <f>IFERROR(B325/B444, "NA")</f>
        <v>0.22872627630642844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28231.3</v>
      </c>
      <c r="F325" s="15">
        <f>IFERROR(E325/E444, "NA")</f>
        <v>0.17649597047557816</v>
      </c>
      <c r="G325" s="2"/>
      <c r="H325" s="14">
        <f t="shared" si="76"/>
        <v>-2658.3300000000017</v>
      </c>
      <c r="I325" s="15">
        <f>IFERROR(H325/H444, "NA")</f>
        <v>0.10674429362360341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21445.329999999994</v>
      </c>
      <c r="L325" s="15">
        <f>IFERROR(K325/K444, "NA")</f>
        <v>0.16088587976364352</v>
      </c>
      <c r="M325" s="2"/>
      <c r="N325" s="14">
        <f t="shared" si="77"/>
        <v>-9444.3000000000065</v>
      </c>
      <c r="O325" s="15">
        <f>IFERROR(N325/N444, "NA")</f>
        <v>-5.3802945281567638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163612.13999999998</v>
      </c>
      <c r="R325" s="15">
        <f>IFERROR(Q325/Q444, "NA")</f>
        <v>0.23830306781219016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127886.44999999998</v>
      </c>
      <c r="U325" s="15">
        <f>IFERROR(T325/T444, "NA")</f>
        <v>0.18389198659329953</v>
      </c>
      <c r="V325" s="2"/>
      <c r="W325" s="14">
        <f t="shared" si="78"/>
        <v>-35725.69</v>
      </c>
      <c r="X325" s="15">
        <f>IFERROR(W325/W444, "NA")</f>
        <v>4.0269680475133134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110334.70000000003</v>
      </c>
      <c r="AA325" s="15">
        <f>IFERROR(Z325/Z444, "NA")</f>
        <v>0.18179483288035952</v>
      </c>
      <c r="AB325" s="2"/>
      <c r="AC325" s="14">
        <f t="shared" si="79"/>
        <v>-53277.439999999959</v>
      </c>
      <c r="AD325" s="15">
        <f>IFERROR(AC325/AC444, "NA")</f>
        <v>-0.66887005997270688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13132.5</v>
      </c>
      <c r="C329" s="8">
        <f>IFERROR(B329/B444, "NA")</f>
        <v>9.7241301485131784E-2</v>
      </c>
      <c r="D329" s="9"/>
      <c r="E329" s="7">
        <v>15154</v>
      </c>
      <c r="F329" s="8">
        <f>IFERROR(E329/E444, "NA")</f>
        <v>9.4739524449349188E-2</v>
      </c>
      <c r="G329" s="9"/>
      <c r="H329" s="10">
        <f t="shared" si="80"/>
        <v>2021.5</v>
      </c>
      <c r="I329" s="8">
        <f>IFERROR(H329/H444, "NA")</f>
        <v>-8.117261196319274E-2</v>
      </c>
      <c r="J329" s="9"/>
      <c r="K329" s="7">
        <v>12750</v>
      </c>
      <c r="L329" s="8">
        <f>IFERROR(K329/K444, "NA")</f>
        <v>9.5652291990212107E-2</v>
      </c>
      <c r="M329" s="9"/>
      <c r="N329" s="10">
        <f t="shared" si="81"/>
        <v>-382.5</v>
      </c>
      <c r="O329" s="8">
        <f>IFERROR(N329/N444, "NA")</f>
        <v>-0.21790526105904734</v>
      </c>
      <c r="P329" s="9"/>
      <c r="Q329" s="7">
        <v>78795</v>
      </c>
      <c r="R329" s="8">
        <f>IFERROR(Q329/Q444, "NA")</f>
        <v>0.11476587390313167</v>
      </c>
      <c r="S329" s="9"/>
      <c r="T329" s="7">
        <v>78792</v>
      </c>
      <c r="U329" s="8">
        <f>IFERROR(T329/T444, "NA")</f>
        <v>0.11329751828797545</v>
      </c>
      <c r="V329" s="9"/>
      <c r="W329" s="10">
        <f t="shared" si="82"/>
        <v>-3</v>
      </c>
      <c r="X329" s="8">
        <f>IFERROR(W329/W444, "NA")</f>
        <v>3.381573355907175E-4</v>
      </c>
      <c r="Y329" s="9"/>
      <c r="Z329" s="7">
        <v>76500</v>
      </c>
      <c r="AA329" s="8">
        <f>IFERROR(Z329/Z444, "NA")</f>
        <v>0.12604651768978845</v>
      </c>
      <c r="AB329" s="9"/>
      <c r="AC329" s="10">
        <f t="shared" si="83"/>
        <v>-2295</v>
      </c>
      <c r="AD329" s="8">
        <f>IFERROR(AC329/AC444, "NA")</f>
        <v>-2.8812510278972928E-2</v>
      </c>
    </row>
    <row r="330" spans="1:30" ht="16.5" customHeight="1" x14ac:dyDescent="0.45">
      <c r="A330" s="6" t="s">
        <v>301</v>
      </c>
      <c r="B330" s="7">
        <v>2126</v>
      </c>
      <c r="C330" s="8">
        <f>IFERROR(B330/B444, "NA")</f>
        <v>1.5742243057863332E-2</v>
      </c>
      <c r="D330" s="9"/>
      <c r="E330" s="7">
        <v>1875</v>
      </c>
      <c r="F330" s="8">
        <f>IFERROR(E330/E444, "NA")</f>
        <v>1.1722093727235695E-2</v>
      </c>
      <c r="G330" s="9"/>
      <c r="H330" s="10">
        <f t="shared" si="80"/>
        <v>-251</v>
      </c>
      <c r="I330" s="8">
        <f>IFERROR(H330/H444, "NA")</f>
        <v>1.0078815534386039E-2</v>
      </c>
      <c r="J330" s="9"/>
      <c r="K330" s="7">
        <v>2239.62</v>
      </c>
      <c r="L330" s="8">
        <f>IFERROR(K330/K444, "NA")</f>
        <v>1.6801944014675985E-2</v>
      </c>
      <c r="M330" s="9"/>
      <c r="N330" s="10">
        <f t="shared" si="81"/>
        <v>113.61999999999989</v>
      </c>
      <c r="O330" s="8">
        <f>IFERROR(N330/N444, "NA")</f>
        <v>6.4727832056284795E-2</v>
      </c>
      <c r="P330" s="9"/>
      <c r="Q330" s="7">
        <v>12756</v>
      </c>
      <c r="R330" s="8">
        <f>IFERROR(Q330/Q444, "NA")</f>
        <v>1.8579268830615489E-2</v>
      </c>
      <c r="S330" s="9"/>
      <c r="T330" s="7">
        <v>11250</v>
      </c>
      <c r="U330" s="8">
        <f>IFERROR(T330/T444, "NA")</f>
        <v>1.6176732164937098E-2</v>
      </c>
      <c r="V330" s="9"/>
      <c r="W330" s="10">
        <f t="shared" si="82"/>
        <v>-1506</v>
      </c>
      <c r="X330" s="8">
        <f>IFERROR(W330/W444, "NA")</f>
        <v>0.16975498246654019</v>
      </c>
      <c r="Y330" s="9"/>
      <c r="Z330" s="7">
        <v>11979.24</v>
      </c>
      <c r="AA330" s="8">
        <f>IFERROR(Z330/Z444, "NA")</f>
        <v>1.9737797210068252E-2</v>
      </c>
      <c r="AB330" s="9"/>
      <c r="AC330" s="10">
        <f t="shared" si="83"/>
        <v>-776.76000000000022</v>
      </c>
      <c r="AD330" s="8">
        <f>IFERROR(AC330/AC444, "NA")</f>
        <v>-9.7518106685381342E-3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180</v>
      </c>
      <c r="C332" s="8">
        <f>IFERROR(B332/B444, "NA")</f>
        <v>1.3328333727259641E-3</v>
      </c>
      <c r="D332" s="9"/>
      <c r="E332" s="7">
        <v>180</v>
      </c>
      <c r="F332" s="8">
        <f>IFERROR(E332/E444, "NA")</f>
        <v>1.1253209978146267E-3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180</v>
      </c>
      <c r="L332" s="8">
        <f>IFERROR(K332/K444, "NA")</f>
        <v>1.3503852986853472E-3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1080</v>
      </c>
      <c r="R332" s="8">
        <f>IFERROR(Q332/Q444, "NA")</f>
        <v>1.5730331088950086E-3</v>
      </c>
      <c r="S332" s="9"/>
      <c r="T332" s="7">
        <v>1080</v>
      </c>
      <c r="U332" s="8">
        <f>IFERROR(T332/T444, "NA")</f>
        <v>1.5529662878339613E-3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1080</v>
      </c>
      <c r="AA332" s="8">
        <f>IFERROR(Z332/Z444, "NA")</f>
        <v>1.7794802497381897E-3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1024.69</v>
      </c>
      <c r="C333" s="8">
        <f>IFERROR(B333/B444, "NA")</f>
        <v>7.5874501594364891E-3</v>
      </c>
      <c r="D333" s="9"/>
      <c r="E333" s="7">
        <v>1254</v>
      </c>
      <c r="F333" s="8">
        <f>IFERROR(E333/E444, "NA")</f>
        <v>7.8397362847752328E-3</v>
      </c>
      <c r="G333" s="9"/>
      <c r="H333" s="10">
        <f t="shared" si="80"/>
        <v>229.30999999999995</v>
      </c>
      <c r="I333" s="8">
        <f>IFERROR(H333/H444, "NA")</f>
        <v>-9.2078613154982555E-3</v>
      </c>
      <c r="J333" s="9"/>
      <c r="K333" s="7">
        <v>1254</v>
      </c>
      <c r="L333" s="8">
        <f>IFERROR(K333/K444, "NA")</f>
        <v>9.4076842475079199E-3</v>
      </c>
      <c r="M333" s="9"/>
      <c r="N333" s="10">
        <f t="shared" si="81"/>
        <v>229.30999999999995</v>
      </c>
      <c r="O333" s="8">
        <f>IFERROR(N333/N444, "NA")</f>
        <v>0.13063491611359512</v>
      </c>
      <c r="P333" s="9"/>
      <c r="Q333" s="7">
        <v>6148.14</v>
      </c>
      <c r="R333" s="8">
        <f>IFERROR(Q333/Q444, "NA")</f>
        <v>8.9548405352979244E-3</v>
      </c>
      <c r="S333" s="9"/>
      <c r="T333" s="7">
        <v>7524</v>
      </c>
      <c r="U333" s="8">
        <f>IFERROR(T333/T444, "NA")</f>
        <v>1.0818998471909931E-2</v>
      </c>
      <c r="V333" s="9"/>
      <c r="W333" s="10">
        <f t="shared" si="82"/>
        <v>1375.8599999999997</v>
      </c>
      <c r="X333" s="8">
        <f>IFERROR(W333/W444, "NA")</f>
        <v>-0.15508571724861483</v>
      </c>
      <c r="Y333" s="9"/>
      <c r="Z333" s="7">
        <v>4017.41</v>
      </c>
      <c r="AA333" s="8">
        <f>IFERROR(Z333/Z444, "NA")</f>
        <v>6.6193534723154633E-3</v>
      </c>
      <c r="AB333" s="9"/>
      <c r="AC333" s="10">
        <f t="shared" si="83"/>
        <v>-2130.7300000000005</v>
      </c>
      <c r="AD333" s="8">
        <f>IFERROR(AC333/AC444, "NA")</f>
        <v>-2.6750187375475382E-2</v>
      </c>
    </row>
    <row r="334" spans="1:30" ht="16.5" customHeight="1" x14ac:dyDescent="0.45">
      <c r="A334" s="6" t="s">
        <v>305</v>
      </c>
      <c r="B334" s="7">
        <v>2022.4</v>
      </c>
      <c r="C334" s="8">
        <f>IFERROR(B334/B444, "NA")</f>
        <v>1.4975123405561053E-2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-2022.4</v>
      </c>
      <c r="I334" s="8">
        <f>IFERROR(H334/H444, "NA")</f>
        <v>8.1208751142399699E-2</v>
      </c>
      <c r="J334" s="9"/>
      <c r="K334" s="7">
        <v>1963.5</v>
      </c>
      <c r="L334" s="8">
        <f>IFERROR(K334/K444, "NA")</f>
        <v>1.4730452966492663E-2</v>
      </c>
      <c r="M334" s="9"/>
      <c r="N334" s="10">
        <f t="shared" si="81"/>
        <v>-58.900000000000091</v>
      </c>
      <c r="O334" s="8">
        <f>IFERROR(N334/N444, "NA")</f>
        <v>-3.3554561768308254E-2</v>
      </c>
      <c r="P334" s="9"/>
      <c r="Q334" s="7">
        <v>0</v>
      </c>
      <c r="R334" s="8">
        <f>IFERROR(Q334/Q444, "NA")</f>
        <v>0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0</v>
      </c>
      <c r="AA334" s="8">
        <f>IFERROR(Z334/Z444, "NA")</f>
        <v>0</v>
      </c>
      <c r="AB334" s="9"/>
      <c r="AC334" s="10">
        <f t="shared" si="83"/>
        <v>0</v>
      </c>
      <c r="AD334" s="8">
        <f>IFERROR(AC334/AC444, "NA")</f>
        <v>0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1401.57</v>
      </c>
      <c r="F337" s="8">
        <f>IFERROR(E337/E444, "NA")</f>
        <v>8.7623119494835908E-3</v>
      </c>
      <c r="G337" s="9"/>
      <c r="H337" s="10">
        <f t="shared" ref="H337:H344" si="84">IFERROR(-(B337-E337), "NA")</f>
        <v>1401.57</v>
      </c>
      <c r="I337" s="8">
        <f>IFERROR(H337/H444, "NA")</f>
        <v>-5.6279543779001753E-2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8820.34</v>
      </c>
      <c r="U337" s="8">
        <f>IFERROR(T337/T444, "NA")</f>
        <v>1.2683046914105003E-2</v>
      </c>
      <c r="V337" s="9"/>
      <c r="W337" s="10">
        <f t="shared" ref="W337:W344" si="86">IFERROR(-(Q337-T337), "NA")</f>
        <v>8820.34</v>
      </c>
      <c r="X337" s="8">
        <f>IFERROR(W337/W444, "NA")</f>
        <v>-0.9942208911347431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164.01</v>
      </c>
      <c r="C338" s="8">
        <f>IFERROR(B338/B444, "NA")</f>
        <v>1.2144333414488074E-3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-164.01</v>
      </c>
      <c r="I338" s="8">
        <f>IFERROR(H338/H444, "NA")</f>
        <v>6.5857630908153549E-3</v>
      </c>
      <c r="J338" s="9"/>
      <c r="K338" s="7">
        <v>400</v>
      </c>
      <c r="L338" s="8">
        <f>IFERROR(K338/K444, "NA")</f>
        <v>3.0008562193007716E-3</v>
      </c>
      <c r="M338" s="9"/>
      <c r="N338" s="10">
        <f t="shared" si="85"/>
        <v>235.99</v>
      </c>
      <c r="O338" s="8">
        <f>IFERROR(N338/N444, "NA")</f>
        <v>0.13444042498646949</v>
      </c>
      <c r="P338" s="9"/>
      <c r="Q338" s="7">
        <v>2094.0500000000002</v>
      </c>
      <c r="R338" s="8">
        <f>IFERROR(Q338/Q444, "NA")</f>
        <v>3.0500092422977715E-3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-2094.0500000000002</v>
      </c>
      <c r="X338" s="8">
        <f>IFERROR(W338/W444, "NA")</f>
        <v>0.23603945619791403</v>
      </c>
      <c r="Y338" s="9"/>
      <c r="Z338" s="7">
        <v>2274.69</v>
      </c>
      <c r="AA338" s="8">
        <f>IFERROR(Z338/Z444, "NA")</f>
        <v>3.747931415997188E-3</v>
      </c>
      <c r="AB338" s="9"/>
      <c r="AC338" s="10">
        <f t="shared" si="87"/>
        <v>180.63999999999987</v>
      </c>
      <c r="AD338" s="8">
        <f>IFERROR(AC338/AC444, "NA")</f>
        <v>2.2678395890168481E-3</v>
      </c>
    </row>
    <row r="339" spans="1:30" ht="16.5" customHeight="1" x14ac:dyDescent="0.45">
      <c r="A339" s="12" t="s">
        <v>309</v>
      </c>
      <c r="B339" s="7">
        <v>361.85</v>
      </c>
      <c r="C339" s="8">
        <f>IFERROR(B339/B444, "NA")</f>
        <v>2.6793653106716117E-3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-361.85</v>
      </c>
      <c r="I339" s="8">
        <f>IFERROR(H339/H444, "NA")</f>
        <v>1.4529957773376847E-2</v>
      </c>
      <c r="J339" s="9"/>
      <c r="K339" s="7">
        <v>326.04000000000002</v>
      </c>
      <c r="L339" s="8">
        <f>IFERROR(K339/K444, "NA")</f>
        <v>2.4459979043520591E-3</v>
      </c>
      <c r="M339" s="9"/>
      <c r="N339" s="10">
        <f t="shared" si="85"/>
        <v>-35.81</v>
      </c>
      <c r="O339" s="8">
        <f>IFERROR(N339/N444, "NA")</f>
        <v>-2.0400489930782969E-2</v>
      </c>
      <c r="P339" s="9"/>
      <c r="Q339" s="7">
        <v>2091.9699999999998</v>
      </c>
      <c r="R339" s="8">
        <f>IFERROR(Q339/Q444, "NA")</f>
        <v>3.0469796970510102E-3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-2091.9699999999998</v>
      </c>
      <c r="X339" s="8">
        <f>IFERROR(W339/W444, "NA")</f>
        <v>0.23580500044523775</v>
      </c>
      <c r="Y339" s="9"/>
      <c r="Z339" s="7">
        <v>1986.63</v>
      </c>
      <c r="AA339" s="8">
        <f>IFERROR(Z339/Z444, "NA")</f>
        <v>3.2733044893864631E-3</v>
      </c>
      <c r="AB339" s="9"/>
      <c r="AC339" s="10">
        <f t="shared" si="87"/>
        <v>-105.33999999999969</v>
      </c>
      <c r="AD339" s="8">
        <f>IFERROR(AC339/AC444, "NA")</f>
        <v>-1.3224879445694986E-3</v>
      </c>
    </row>
    <row r="340" spans="1:30" ht="16.5" customHeight="1" x14ac:dyDescent="0.45">
      <c r="A340" s="12" t="s">
        <v>310</v>
      </c>
      <c r="B340" s="7">
        <v>410</v>
      </c>
      <c r="C340" s="8">
        <f>IFERROR(B340/B444, "NA")</f>
        <v>3.0358982378758067E-3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-410</v>
      </c>
      <c r="I340" s="8">
        <f>IFERROR(H340/H444, "NA")</f>
        <v>1.6463403860949306E-2</v>
      </c>
      <c r="J340" s="9"/>
      <c r="K340" s="7">
        <v>375</v>
      </c>
      <c r="L340" s="8">
        <f>IFERROR(K340/K444, "NA")</f>
        <v>2.8133027055944736E-3</v>
      </c>
      <c r="M340" s="9"/>
      <c r="N340" s="10">
        <f t="shared" si="85"/>
        <v>-35</v>
      </c>
      <c r="O340" s="8">
        <f>IFERROR(N340/N444, "NA")</f>
        <v>-1.9939043495599103E-2</v>
      </c>
      <c r="P340" s="9"/>
      <c r="Q340" s="7">
        <v>2539.1799999999998</v>
      </c>
      <c r="R340" s="8">
        <f>IFERROR(Q340/Q444, "NA")</f>
        <v>3.6983464902259518E-3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-2539.1799999999998</v>
      </c>
      <c r="X340" s="8">
        <f>IFERROR(W340/W444, "NA")</f>
        <v>0.28621411446174599</v>
      </c>
      <c r="Y340" s="9"/>
      <c r="Z340" s="7">
        <v>2321.0500000000002</v>
      </c>
      <c r="AA340" s="8">
        <f>IFERROR(Z340/Z444, "NA")</f>
        <v>3.8243172533840978E-3</v>
      </c>
      <c r="AB340" s="9"/>
      <c r="AC340" s="10">
        <f t="shared" si="87"/>
        <v>-218.12999999999965</v>
      </c>
      <c r="AD340" s="8">
        <f>IFERROR(AC340/AC444, "NA")</f>
        <v>-2.7385066959269518E-3</v>
      </c>
    </row>
    <row r="341" spans="1:30" ht="16.5" customHeight="1" x14ac:dyDescent="0.45">
      <c r="A341" s="12" t="s">
        <v>311</v>
      </c>
      <c r="B341" s="7">
        <v>472.19</v>
      </c>
      <c r="C341" s="8">
        <f>IFERROR(B341/B444, "NA")</f>
        <v>3.4963921681526273E-3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-472.19</v>
      </c>
      <c r="I341" s="8">
        <f>IFERROR(H341/H444, "NA")</f>
        <v>1.8960621144150373E-2</v>
      </c>
      <c r="J341" s="9"/>
      <c r="K341" s="7">
        <v>441.14</v>
      </c>
      <c r="L341" s="8">
        <f>IFERROR(K341/K444, "NA")</f>
        <v>3.3094942814558561E-3</v>
      </c>
      <c r="M341" s="9"/>
      <c r="N341" s="10">
        <f t="shared" si="85"/>
        <v>-31.050000000000011</v>
      </c>
      <c r="O341" s="8">
        <f>IFERROR(N341/N444, "NA")</f>
        <v>-1.7688780015381496E-2</v>
      </c>
      <c r="P341" s="9"/>
      <c r="Q341" s="7">
        <v>2829.56</v>
      </c>
      <c r="R341" s="8">
        <f>IFERROR(Q341/Q444, "NA")</f>
        <v>4.1212884848194076E-3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-2829.56</v>
      </c>
      <c r="X341" s="8">
        <f>IFERROR(W341/W444, "NA")</f>
        <v>0.3189454901646902</v>
      </c>
      <c r="Y341" s="9"/>
      <c r="Z341" s="7">
        <v>2644.41</v>
      </c>
      <c r="AA341" s="8">
        <f>IFERROR(Z341/Z444, "NA")</f>
        <v>4.3571068214908948E-3</v>
      </c>
      <c r="AB341" s="9"/>
      <c r="AC341" s="10">
        <f t="shared" si="87"/>
        <v>-185.15000000000009</v>
      </c>
      <c r="AD341" s="8">
        <f>IFERROR(AC341/AC444, "NA")</f>
        <v>-2.3244602519180129E-3</v>
      </c>
    </row>
    <row r="342" spans="1:30" ht="16.5" customHeight="1" x14ac:dyDescent="0.45">
      <c r="A342" s="13" t="s">
        <v>312</v>
      </c>
      <c r="B342" s="14">
        <f>IFERROR(B337+B338+B339+B340+B341, "NA")</f>
        <v>1408.05</v>
      </c>
      <c r="C342" s="15">
        <f>IFERROR(B342/B444, "NA")</f>
        <v>1.0426089058148853E-2</v>
      </c>
      <c r="D342" s="2"/>
      <c r="E342" s="14">
        <f>IFERROR(E337+E338+E339+E340+E341, "NA")</f>
        <v>1401.57</v>
      </c>
      <c r="F342" s="15">
        <f>IFERROR(E342/E444, "NA")</f>
        <v>8.7623119494835908E-3</v>
      </c>
      <c r="G342" s="2"/>
      <c r="H342" s="14">
        <f t="shared" si="84"/>
        <v>-6.4800000000000182</v>
      </c>
      <c r="I342" s="15">
        <f>IFERROR(H342/H444, "NA")</f>
        <v>2.6020209029012635E-4</v>
      </c>
      <c r="J342" s="2"/>
      <c r="K342" s="14">
        <f>IFERROR(K337+K338+K339+K340+K341, "NA")</f>
        <v>1542.1799999999998</v>
      </c>
      <c r="L342" s="15">
        <f>IFERROR(K342/K444, "NA")</f>
        <v>1.1569651110703159E-2</v>
      </c>
      <c r="M342" s="2"/>
      <c r="N342" s="14">
        <f t="shared" si="85"/>
        <v>134.12999999999988</v>
      </c>
      <c r="O342" s="15">
        <f>IFERROR(N342/N444, "NA")</f>
        <v>7.6412111544705869E-2</v>
      </c>
      <c r="P342" s="2"/>
      <c r="Q342" s="14">
        <f>IFERROR(Q337+Q338+Q339+Q340+Q341, "NA")</f>
        <v>9554.76</v>
      </c>
      <c r="R342" s="15">
        <f>IFERROR(Q342/Q444, "NA")</f>
        <v>1.3916623914394141E-2</v>
      </c>
      <c r="S342" s="2"/>
      <c r="T342" s="14">
        <f>IFERROR(T337+T338+T339+T340+T341, "NA")</f>
        <v>8820.34</v>
      </c>
      <c r="U342" s="15">
        <f>IFERROR(T342/T444, "NA")</f>
        <v>1.2683046914105003E-2</v>
      </c>
      <c r="V342" s="2"/>
      <c r="W342" s="14">
        <f t="shared" si="86"/>
        <v>-734.42000000000007</v>
      </c>
      <c r="X342" s="15">
        <f>IFERROR(W342/W444, "NA")</f>
        <v>8.278317013484493E-2</v>
      </c>
      <c r="Y342" s="2"/>
      <c r="Z342" s="14">
        <f>IFERROR(Z337+Z338+Z339+Z340+Z341, "NA")</f>
        <v>9226.7799999999988</v>
      </c>
      <c r="AA342" s="15">
        <f>IFERROR(Z342/Z444, "NA")</f>
        <v>1.520265998025864E-2</v>
      </c>
      <c r="AB342" s="2"/>
      <c r="AC342" s="14">
        <f t="shared" si="87"/>
        <v>-327.98000000000138</v>
      </c>
      <c r="AD342" s="15">
        <f>IFERROR(AC342/AC444, "NA")</f>
        <v>-4.1176153033976384E-3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19893.639999999996</v>
      </c>
      <c r="C343" s="15">
        <f>IFERROR(B343/B444, "NA")</f>
        <v>0.14730504053886745</v>
      </c>
      <c r="D343" s="2"/>
      <c r="E343" s="14">
        <f>IFERROR(E328+E329+E330+E331+E332+E333+E334+E335+E337+E338+E339+E340+E341, "NA")</f>
        <v>19864.57</v>
      </c>
      <c r="F343" s="15">
        <f>IFERROR(E343/E444, "NA")</f>
        <v>0.12418898740865833</v>
      </c>
      <c r="G343" s="2"/>
      <c r="H343" s="14">
        <f t="shared" si="84"/>
        <v>-29.069999999996071</v>
      </c>
      <c r="I343" s="15">
        <f>IFERROR(H343/H444, "NA")</f>
        <v>1.1672954883847114E-3</v>
      </c>
      <c r="J343" s="2"/>
      <c r="K343" s="14">
        <f>IFERROR(K328+K329+K330+K331+K332+K333+K334+K335+K337+K338+K339+K340+K341, "NA")</f>
        <v>19929.3</v>
      </c>
      <c r="L343" s="15">
        <f>IFERROR(K343/K444, "NA")</f>
        <v>0.14951240962827717</v>
      </c>
      <c r="M343" s="2"/>
      <c r="N343" s="14">
        <f t="shared" si="85"/>
        <v>35.660000000003492</v>
      </c>
      <c r="O343" s="15">
        <f>IFERROR(N343/N444, "NA")</f>
        <v>2.031503688723239E-2</v>
      </c>
      <c r="P343" s="2"/>
      <c r="Q343" s="14">
        <f>IFERROR(Q328+Q329+Q330+Q331+Q332+Q333+Q334+Q335+Q337+Q338+Q339+Q340+Q341, "NA")</f>
        <v>108333.9</v>
      </c>
      <c r="R343" s="15">
        <f>IFERROR(Q343/Q444, "NA")</f>
        <v>0.15778964029233422</v>
      </c>
      <c r="S343" s="2"/>
      <c r="T343" s="14">
        <f>IFERROR(T328+T329+T330+T331+T332+T333+T334+T335+T337+T338+T339+T340+T341, "NA")</f>
        <v>107466.34</v>
      </c>
      <c r="U343" s="15">
        <f>IFERROR(T343/T444, "NA")</f>
        <v>0.15452926212676144</v>
      </c>
      <c r="V343" s="2"/>
      <c r="W343" s="14">
        <f t="shared" si="86"/>
        <v>-867.55999999999767</v>
      </c>
      <c r="X343" s="15">
        <f>IFERROR(W343/W444, "NA")</f>
        <v>9.7790592688360697E-2</v>
      </c>
      <c r="Y343" s="2"/>
      <c r="Z343" s="14">
        <f>IFERROR(Z328+Z329+Z330+Z331+Z332+Z333+Z334+Z335+Z337+Z338+Z339+Z340+Z341, "NA")</f>
        <v>102803.43000000002</v>
      </c>
      <c r="AA343" s="15">
        <f>IFERROR(Z343/Z444, "NA")</f>
        <v>0.16938580860216904</v>
      </c>
      <c r="AB343" s="2"/>
      <c r="AC343" s="14">
        <f t="shared" si="87"/>
        <v>-5530.4699999999721</v>
      </c>
      <c r="AD343" s="15">
        <f>IFERROR(AC343/AC444, "NA")</f>
        <v>-6.9432123626383707E-2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19893.639999999996</v>
      </c>
      <c r="C344" s="15">
        <f>IFERROR(B344/B444, "NA")</f>
        <v>0.14730504053886745</v>
      </c>
      <c r="D344" s="2"/>
      <c r="E344" s="14">
        <f>IFERROR(E328+E329+E330+E331+E332+E333+E334+E335+E337+E338+E339+E340+E341, "NA")</f>
        <v>19864.57</v>
      </c>
      <c r="F344" s="15">
        <f>IFERROR(E344/E444, "NA")</f>
        <v>0.12418898740865833</v>
      </c>
      <c r="G344" s="2"/>
      <c r="H344" s="14">
        <f t="shared" si="84"/>
        <v>-29.069999999996071</v>
      </c>
      <c r="I344" s="15">
        <f>IFERROR(H344/H444, "NA")</f>
        <v>1.1672954883847114E-3</v>
      </c>
      <c r="J344" s="2"/>
      <c r="K344" s="14">
        <f>IFERROR(K328+K329+K330+K331+K332+K333+K334+K335+K337+K338+K339+K340+K341, "NA")</f>
        <v>19929.3</v>
      </c>
      <c r="L344" s="15">
        <f>IFERROR(K344/K444, "NA")</f>
        <v>0.14951240962827717</v>
      </c>
      <c r="M344" s="2"/>
      <c r="N344" s="14">
        <f t="shared" si="85"/>
        <v>35.660000000003492</v>
      </c>
      <c r="O344" s="15">
        <f>IFERROR(N344/N444, "NA")</f>
        <v>2.031503688723239E-2</v>
      </c>
      <c r="P344" s="2"/>
      <c r="Q344" s="14">
        <f>IFERROR(Q328+Q329+Q330+Q331+Q332+Q333+Q334+Q335+Q337+Q338+Q339+Q340+Q341, "NA")</f>
        <v>108333.9</v>
      </c>
      <c r="R344" s="15">
        <f>IFERROR(Q344/Q444, "NA")</f>
        <v>0.15778964029233422</v>
      </c>
      <c r="S344" s="2"/>
      <c r="T344" s="14">
        <f>IFERROR(T328+T329+T330+T331+T332+T333+T334+T335+T337+T338+T339+T340+T341, "NA")</f>
        <v>107466.34</v>
      </c>
      <c r="U344" s="15">
        <f>IFERROR(T344/T444, "NA")</f>
        <v>0.15452926212676144</v>
      </c>
      <c r="V344" s="2"/>
      <c r="W344" s="14">
        <f t="shared" si="86"/>
        <v>-867.55999999999767</v>
      </c>
      <c r="X344" s="15">
        <f>IFERROR(W344/W444, "NA")</f>
        <v>9.7790592688360697E-2</v>
      </c>
      <c r="Y344" s="2"/>
      <c r="Z344" s="14">
        <f>IFERROR(Z328+Z329+Z330+Z331+Z332+Z333+Z334+Z335+Z337+Z338+Z339+Z340+Z341, "NA")</f>
        <v>102803.43000000002</v>
      </c>
      <c r="AA344" s="15">
        <f>IFERROR(Z344/Z444, "NA")</f>
        <v>0.16938580860216904</v>
      </c>
      <c r="AB344" s="2"/>
      <c r="AC344" s="14">
        <f t="shared" si="87"/>
        <v>-5530.4699999999721</v>
      </c>
      <c r="AD344" s="15">
        <f>IFERROR(AC344/AC444, "NA")</f>
        <v>-6.9432123626383707E-2</v>
      </c>
    </row>
    <row r="345" spans="1:30" ht="16.5" customHeight="1" x14ac:dyDescent="0.45">
      <c r="A345" s="22" t="s">
        <v>315</v>
      </c>
      <c r="B345" s="23">
        <f>IFERROR(B198-B325-B344, "NA")</f>
        <v>7520.4000000000306</v>
      </c>
      <c r="C345" s="24">
        <f>IFERROR(B345/B444, "NA")</f>
        <v>5.5685778312491004E-2</v>
      </c>
      <c r="D345" s="25"/>
      <c r="E345" s="23">
        <f>IFERROR(E198-E325-E344, "NA")</f>
        <v>30493.519999999982</v>
      </c>
      <c r="F345" s="24">
        <f>IFERROR(E345/E444, "NA")</f>
        <v>0.19063887974044585</v>
      </c>
      <c r="G345" s="25"/>
      <c r="H345" s="23">
        <f>IFERROR(B345-E345, "NA")</f>
        <v>-22973.119999999952</v>
      </c>
      <c r="I345" s="24">
        <f>IFERROR(H345/H444, "NA")</f>
        <v>0.9224774451367096</v>
      </c>
      <c r="J345" s="25"/>
      <c r="K345" s="23">
        <f>IFERROR(K198-K325-K344, "NA")</f>
        <v>17626.989999999994</v>
      </c>
      <c r="L345" s="24">
        <f>IFERROR(K345/K444, "NA")</f>
        <v>0.13224015642263123</v>
      </c>
      <c r="M345" s="25"/>
      <c r="N345" s="23">
        <f>IFERROR(B345-K345, "NA")</f>
        <v>-10106.589999999964</v>
      </c>
      <c r="O345" s="24">
        <f>IFERROR(N345/N444, "NA")</f>
        <v>-5.7575925029196062</v>
      </c>
      <c r="P345" s="25"/>
      <c r="Q345" s="23">
        <f>IFERROR(Q198-Q325-Q344, "NA")</f>
        <v>22619.990000000282</v>
      </c>
      <c r="R345" s="24">
        <f>IFERROR(Q345/Q444, "NA")</f>
        <v>3.2946289993402267E-2</v>
      </c>
      <c r="S345" s="25"/>
      <c r="T345" s="23">
        <f>IFERROR(T198-T325-T344, "NA")</f>
        <v>85151.350000000035</v>
      </c>
      <c r="U345" s="24">
        <f>IFERROR(T345/T444, "NA")</f>
        <v>0.12244182954958374</v>
      </c>
      <c r="V345" s="25"/>
      <c r="W345" s="23">
        <f>IFERROR(Q345-T345, "NA")</f>
        <v>-62531.359999999753</v>
      </c>
      <c r="X345" s="24">
        <f>IFERROR(W345/W444, "NA")</f>
        <v>7.0484793628212952</v>
      </c>
      <c r="Y345" s="25"/>
      <c r="Z345" s="23">
        <f>IFERROR(Z198-Z325-Z344, "NA")</f>
        <v>36933.829999999987</v>
      </c>
      <c r="AA345" s="24">
        <f>IFERROR(Z345/Z444, "NA")</f>
        <v>6.0854649103877612E-2</v>
      </c>
      <c r="AB345" s="25"/>
      <c r="AC345" s="23">
        <f>IFERROR(Q345-Z345, "NA")</f>
        <v>-14313.839999999705</v>
      </c>
      <c r="AD345" s="24">
        <f>IFERROR(AC345/AC444, "NA")</f>
        <v>-0.1797026850246472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7520.4000000000306</v>
      </c>
      <c r="C404" s="24">
        <f>IFERROR(B404/B444, "NA")</f>
        <v>5.5685778312491004E-2</v>
      </c>
      <c r="D404" s="25"/>
      <c r="E404" s="23">
        <f>IFERROR(E345-E403, "NA")</f>
        <v>30493.519999999982</v>
      </c>
      <c r="F404" s="24">
        <f>IFERROR(E404/E444, "NA")</f>
        <v>0.19063887974044585</v>
      </c>
      <c r="G404" s="25"/>
      <c r="H404" s="23">
        <f>IFERROR(B404-E404, "NA")</f>
        <v>-22973.119999999952</v>
      </c>
      <c r="I404" s="24">
        <f>IFERROR(H404/H444, "NA")</f>
        <v>0.9224774451367096</v>
      </c>
      <c r="J404" s="25"/>
      <c r="K404" s="23">
        <f>IFERROR(K345-K403, "NA")</f>
        <v>17626.989999999994</v>
      </c>
      <c r="L404" s="24">
        <f>IFERROR(K404/K444, "NA")</f>
        <v>0.13224015642263123</v>
      </c>
      <c r="M404" s="25"/>
      <c r="N404" s="23">
        <f>IFERROR(B404-K404, "NA")</f>
        <v>-10106.589999999964</v>
      </c>
      <c r="O404" s="24">
        <f>IFERROR(N404/N444, "NA")</f>
        <v>-5.7575925029196062</v>
      </c>
      <c r="P404" s="25"/>
      <c r="Q404" s="23">
        <f>IFERROR(Q345-Q403, "NA")</f>
        <v>22619.990000000282</v>
      </c>
      <c r="R404" s="24">
        <f>IFERROR(Q404/Q444, "NA")</f>
        <v>3.2946289993402267E-2</v>
      </c>
      <c r="S404" s="25"/>
      <c r="T404" s="23">
        <f>IFERROR(T345-T403, "NA")</f>
        <v>85151.350000000035</v>
      </c>
      <c r="U404" s="24">
        <f>IFERROR(T404/T444, "NA")</f>
        <v>0.12244182954958374</v>
      </c>
      <c r="V404" s="25"/>
      <c r="W404" s="23">
        <f>IFERROR(Q404-T404, "NA")</f>
        <v>-62531.359999999753</v>
      </c>
      <c r="X404" s="24">
        <f>IFERROR(W404/W444, "NA")</f>
        <v>7.0484793628212952</v>
      </c>
      <c r="Y404" s="25"/>
      <c r="Z404" s="23">
        <f>IFERROR(Z345-Z403, "NA")</f>
        <v>36933.829999999987</v>
      </c>
      <c r="AA404" s="24">
        <f>IFERROR(Z404/Z444, "NA")</f>
        <v>6.0854649103877612E-2</v>
      </c>
      <c r="AB404" s="25"/>
      <c r="AC404" s="23">
        <f>IFERROR(Q404-Z404, "NA")</f>
        <v>-14313.839999999705</v>
      </c>
      <c r="AD404" s="24">
        <f>IFERROR(AC404/AC444, "NA")</f>
        <v>-0.1797026850246472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73</v>
      </c>
      <c r="AA408" s="8">
        <f>IFERROR(Z408/Z444, "NA")</f>
        <v>1.2027968354711838E-4</v>
      </c>
      <c r="AB408" s="9"/>
      <c r="AC408" s="10">
        <f t="shared" si="103"/>
        <v>73</v>
      </c>
      <c r="AD408" s="8">
        <f>IFERROR(AC408/AC444, "NA")</f>
        <v>9.1647636181482512E-4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8189.23</v>
      </c>
      <c r="C410" s="8">
        <f>IFERROR(B410/B444, "NA")</f>
        <v>6.0638216894048032E-2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-8189.23</v>
      </c>
      <c r="I410" s="8">
        <f>IFERROR(H410/H444, "NA")</f>
        <v>0.32883561170780945</v>
      </c>
      <c r="J410" s="9"/>
      <c r="K410" s="7">
        <v>8357.0499999999993</v>
      </c>
      <c r="L410" s="8">
        <f>IFERROR(K410/K444, "NA")</f>
        <v>6.2695763668768778E-2</v>
      </c>
      <c r="M410" s="9"/>
      <c r="N410" s="10">
        <f t="shared" si="101"/>
        <v>167.81999999999971</v>
      </c>
      <c r="O410" s="8">
        <f>IFERROR(N410/N444, "NA")</f>
        <v>9.560486512661244E-2</v>
      </c>
      <c r="P410" s="9"/>
      <c r="Q410" s="7">
        <v>48645.39</v>
      </c>
      <c r="R410" s="8">
        <f>IFERROR(Q410/Q444, "NA")</f>
        <v>7.0852600986213113E-2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-48645.39</v>
      </c>
      <c r="X410" s="8">
        <f>IFERROR(W410/W444, "NA")</f>
        <v>5.4832651570571107</v>
      </c>
      <c r="Y410" s="9"/>
      <c r="Z410" s="7">
        <v>50142.720000000001</v>
      </c>
      <c r="AA410" s="8">
        <f>IFERROR(Z410/Z444, "NA")</f>
        <v>8.2618499914955665E-2</v>
      </c>
      <c r="AB410" s="9"/>
      <c r="AC410" s="10">
        <f t="shared" si="103"/>
        <v>1497.3300000000017</v>
      </c>
      <c r="AD410" s="8">
        <f>IFERROR(AC410/AC444, "NA")</f>
        <v>1.8798185627893066E-2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-39.72</v>
      </c>
      <c r="C416" s="8">
        <f>IFERROR(B416/B444, "NA")</f>
        <v>-2.941118975815294E-4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39.72</v>
      </c>
      <c r="I416" s="8">
        <f>IFERROR(H416/H444, "NA")</f>
        <v>-1.5949424423339182E-3</v>
      </c>
      <c r="J416" s="9"/>
      <c r="K416" s="7">
        <v>-42.71</v>
      </c>
      <c r="L416" s="8">
        <f>IFERROR(K416/K444, "NA")</f>
        <v>-3.2041642281583992E-4</v>
      </c>
      <c r="M416" s="9"/>
      <c r="N416" s="10">
        <f t="shared" si="101"/>
        <v>-2.990000000000002</v>
      </c>
      <c r="O416" s="8">
        <f>IFERROR(N416/N444, "NA")</f>
        <v>-1.7033640014811817E-3</v>
      </c>
      <c r="P416" s="9"/>
      <c r="Q416" s="7">
        <v>-162.85</v>
      </c>
      <c r="R416" s="8">
        <f>IFERROR(Q416/Q444, "NA")</f>
        <v>-2.3719300165143717E-4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162.85</v>
      </c>
      <c r="X416" s="8">
        <f>IFERROR(W416/W444, "NA")</f>
        <v>-1.835630736698278E-2</v>
      </c>
      <c r="Y416" s="9"/>
      <c r="Z416" s="7">
        <v>-210.34</v>
      </c>
      <c r="AA416" s="8">
        <f>IFERROR(Z416/Z444, "NA")</f>
        <v>-3.4657025530549152E-4</v>
      </c>
      <c r="AB416" s="9"/>
      <c r="AC416" s="10">
        <f t="shared" si="103"/>
        <v>-47.490000000000009</v>
      </c>
      <c r="AD416" s="8">
        <f>IFERROR(AC416/AC444, "NA")</f>
        <v>-5.9621181400802811E-4</v>
      </c>
    </row>
    <row r="417" spans="1:30" ht="16.5" customHeight="1" x14ac:dyDescent="0.45">
      <c r="A417" s="6" t="s">
        <v>382</v>
      </c>
      <c r="B417" s="7">
        <v>77.17</v>
      </c>
      <c r="C417" s="8">
        <f>IFERROR(B417/B444, "NA")</f>
        <v>5.7141528540701468E-4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-77.17</v>
      </c>
      <c r="I417" s="8">
        <f>IFERROR(H417/H444, "NA")</f>
        <v>3.0987338437791657E-3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-77.17</v>
      </c>
      <c r="O417" s="8">
        <f>IFERROR(N417/N444, "NA")</f>
        <v>-4.3962742473010935E-2</v>
      </c>
      <c r="P417" s="9"/>
      <c r="Q417" s="7">
        <v>-276.64999999999998</v>
      </c>
      <c r="R417" s="8">
        <f>IFERROR(Q417/Q444, "NA")</f>
        <v>-4.0294408294055934E-4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276.64999999999998</v>
      </c>
      <c r="X417" s="8">
        <f>IFERROR(W417/W444, "NA")</f>
        <v>-3.1183742297057331E-2</v>
      </c>
      <c r="Y417" s="9"/>
      <c r="Z417" s="7">
        <v>0</v>
      </c>
      <c r="AA417" s="8">
        <f>IFERROR(Z417/Z444, "NA")</f>
        <v>0</v>
      </c>
      <c r="AB417" s="9"/>
      <c r="AC417" s="10">
        <f t="shared" si="103"/>
        <v>276.64999999999998</v>
      </c>
      <c r="AD417" s="8">
        <f>IFERROR(AC417/AC444, "NA")</f>
        <v>3.4731943218639909E-3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8226.6799999999985</v>
      </c>
      <c r="C428" s="15">
        <f>IFERROR(B428/B444, "NA")</f>
        <v>6.0915520281873504E-2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-8226.6799999999985</v>
      </c>
      <c r="I428" s="15">
        <f>IFERROR(H428/H444, "NA")</f>
        <v>0.33033940310925469</v>
      </c>
      <c r="J428" s="2"/>
      <c r="K428" s="14">
        <f>IFERROR(K407+K408+K409+K410+K411+K412+K413+K414+K415+K416+K417+K418+K419+K420+K421+K422+K423+K424+K425+K426+K427, "NA")</f>
        <v>8314.34</v>
      </c>
      <c r="L428" s="15">
        <f>IFERROR(K428/K444, "NA")</f>
        <v>6.237534724595295E-2</v>
      </c>
      <c r="M428" s="2"/>
      <c r="N428" s="14">
        <f t="shared" si="101"/>
        <v>87.660000000001673</v>
      </c>
      <c r="O428" s="15">
        <f>IFERROR(N428/N444, "NA")</f>
        <v>4.9938758652121447E-2</v>
      </c>
      <c r="P428" s="2"/>
      <c r="Q428" s="14">
        <f>IFERROR(Q407+Q408+Q409+Q410+Q411+Q412+Q413+Q414+Q415+Q416+Q417+Q418+Q419+Q420+Q421+Q422+Q423+Q424+Q425+Q426+Q427, "NA")</f>
        <v>48205.89</v>
      </c>
      <c r="R428" s="15">
        <f>IFERROR(Q428/Q444, "NA")</f>
        <v>7.0212463901621114E-2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-48205.89</v>
      </c>
      <c r="X428" s="15">
        <f>IFERROR(W428/W444, "NA")</f>
        <v>5.4337251073930712</v>
      </c>
      <c r="Y428" s="2"/>
      <c r="Z428" s="14">
        <f>IFERROR(Z407+Z408+Z409+Z410+Z411+Z412+Z413+Z414+Z415+Z416+Z417+Z418+Z419+Z420+Z421+Z422+Z423+Z424+Z425+Z426+Z427, "NA")</f>
        <v>50005.380000000005</v>
      </c>
      <c r="AA428" s="15">
        <f>IFERROR(Z428/Z444, "NA")</f>
        <v>8.2392209343197298E-2</v>
      </c>
      <c r="AB428" s="2"/>
      <c r="AC428" s="14">
        <f t="shared" si="103"/>
        <v>1799.4900000000052</v>
      </c>
      <c r="AD428" s="15">
        <f>IFERROR(AC428/AC444, "NA")</f>
        <v>2.2591644497563897E-2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8226.6799999999985</v>
      </c>
      <c r="C429" s="15">
        <f>IFERROR(B429/B444, "NA")</f>
        <v>6.0915520281873504E-2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-8226.6799999999985</v>
      </c>
      <c r="I429" s="15">
        <f>IFERROR(H429/H444, "NA")</f>
        <v>0.33033940310925469</v>
      </c>
      <c r="J429" s="2"/>
      <c r="K429" s="14">
        <f>IFERROR(K407+K408+K409+K410+K411+K412+K413+K414+K415+K416+K417+K418+K419+K420+K421+K422+K423+K424+K425+K426+K427, "NA")</f>
        <v>8314.34</v>
      </c>
      <c r="L429" s="15">
        <f>IFERROR(K429/K444, "NA")</f>
        <v>6.237534724595295E-2</v>
      </c>
      <c r="M429" s="2"/>
      <c r="N429" s="14">
        <f t="shared" si="101"/>
        <v>87.660000000001673</v>
      </c>
      <c r="O429" s="15">
        <f>IFERROR(N429/N444, "NA")</f>
        <v>4.9938758652121447E-2</v>
      </c>
      <c r="P429" s="2"/>
      <c r="Q429" s="14">
        <f>IFERROR(Q407+Q408+Q409+Q410+Q411+Q412+Q413+Q414+Q415+Q416+Q417+Q418+Q419+Q420+Q421+Q422+Q423+Q424+Q425+Q426+Q427, "NA")</f>
        <v>48205.89</v>
      </c>
      <c r="R429" s="15">
        <f>IFERROR(Q429/Q444, "NA")</f>
        <v>7.0212463901621114E-2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-48205.89</v>
      </c>
      <c r="X429" s="15">
        <f>IFERROR(W429/W444, "NA")</f>
        <v>5.4337251073930712</v>
      </c>
      <c r="Y429" s="2"/>
      <c r="Z429" s="14">
        <f>IFERROR(Z407+Z408+Z409+Z410+Z411+Z412+Z413+Z414+Z415+Z416+Z417+Z418+Z419+Z420+Z421+Z422+Z423+Z424+Z425+Z426+Z427, "NA")</f>
        <v>50005.380000000005</v>
      </c>
      <c r="AA429" s="15">
        <f>IFERROR(Z429/Z444, "NA")</f>
        <v>8.2392209343197298E-2</v>
      </c>
      <c r="AB429" s="2"/>
      <c r="AC429" s="14">
        <f t="shared" si="103"/>
        <v>1799.4900000000052</v>
      </c>
      <c r="AD429" s="15">
        <f>IFERROR(AC429/AC444, "NA")</f>
        <v>2.2591644497563897E-2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-706.27999999996791</v>
      </c>
      <c r="C443" s="24">
        <f>IFERROR(B443/B444, "NA")</f>
        <v>-5.2297419693825061E-3</v>
      </c>
      <c r="D443" s="25"/>
      <c r="E443" s="23">
        <f>IFERROR(E404-E429-E442, "NA")</f>
        <v>30493.519999999982</v>
      </c>
      <c r="F443" s="24">
        <f>IFERROR(E443/E444, "NA")</f>
        <v>0.19063887974044585</v>
      </c>
      <c r="G443" s="25"/>
      <c r="H443" s="23">
        <f>IFERROR(B443-E443, "NA")</f>
        <v>-31199.799999999952</v>
      </c>
      <c r="I443" s="24">
        <f>IFERROR(H443/H444, "NA")</f>
        <v>1.2528168482459643</v>
      </c>
      <c r="J443" s="25"/>
      <c r="K443" s="23">
        <f>IFERROR(K404-K429-K442, "NA")</f>
        <v>9312.6499999999942</v>
      </c>
      <c r="L443" s="24">
        <f>IFERROR(K443/K444, "NA")</f>
        <v>6.9864809176678283E-2</v>
      </c>
      <c r="M443" s="25"/>
      <c r="N443" s="23">
        <f>IFERROR(B443-K443, "NA")</f>
        <v>-10018.929999999962</v>
      </c>
      <c r="O443" s="24">
        <f>IFERROR(N443/N444, "NA")</f>
        <v>-5.7076537442674846</v>
      </c>
      <c r="P443" s="25"/>
      <c r="Q443" s="23">
        <f>IFERROR(Q404-Q429-Q442, "NA")</f>
        <v>-25585.899999999718</v>
      </c>
      <c r="R443" s="24">
        <f>IFERROR(Q443/Q444, "NA")</f>
        <v>-3.7266173908218847E-2</v>
      </c>
      <c r="S443" s="25"/>
      <c r="T443" s="23">
        <f>IFERROR(T404-T429-T442, "NA")</f>
        <v>85151.350000000035</v>
      </c>
      <c r="U443" s="24">
        <f>IFERROR(T443/T444, "NA")</f>
        <v>0.12244182954958374</v>
      </c>
      <c r="V443" s="25"/>
      <c r="W443" s="23">
        <f>IFERROR(Q443-T443, "NA")</f>
        <v>-110737.24999999975</v>
      </c>
      <c r="X443" s="24">
        <f>IFERROR(W443/W444, "NA")</f>
        <v>12.482204470214366</v>
      </c>
      <c r="Y443" s="25"/>
      <c r="Z443" s="23">
        <f>IFERROR(Z404-Z429-Z442, "NA")</f>
        <v>-13071.550000000017</v>
      </c>
      <c r="AA443" s="24">
        <f>IFERROR(Z443/Z444, "NA")</f>
        <v>-2.153756023931969E-2</v>
      </c>
      <c r="AB443" s="25"/>
      <c r="AC443" s="23">
        <f>IFERROR(Q443-Z443, "NA")</f>
        <v>-12514.3499999997</v>
      </c>
      <c r="AD443" s="24">
        <f>IFERROR(AC443/AC444, "NA")</f>
        <v>-0.15711104052708333</v>
      </c>
    </row>
    <row r="444" spans="1:30" ht="15.75" hidden="1" x14ac:dyDescent="0.45">
      <c r="A444" s="26" t="s">
        <v>117</v>
      </c>
      <c r="B444" s="7">
        <v>135050.64000000001</v>
      </c>
      <c r="C444" s="27"/>
      <c r="D444" s="9"/>
      <c r="E444" s="7">
        <v>159954.35999999999</v>
      </c>
      <c r="F444" s="27"/>
      <c r="G444" s="9"/>
      <c r="H444" s="10">
        <f>IFERROR(B444-E444, "NA")</f>
        <v>-24903.719999999972</v>
      </c>
      <c r="I444" s="27"/>
      <c r="J444" s="9"/>
      <c r="K444" s="7">
        <v>133295.29</v>
      </c>
      <c r="L444" s="27"/>
      <c r="M444" s="9"/>
      <c r="N444" s="10">
        <f>IFERROR(B444-K444, "NA")</f>
        <v>1755.3500000000058</v>
      </c>
      <c r="O444" s="27"/>
      <c r="P444" s="9"/>
      <c r="Q444" s="7">
        <v>686571.69</v>
      </c>
      <c r="R444" s="27"/>
      <c r="S444" s="9"/>
      <c r="T444" s="7">
        <v>695443.3</v>
      </c>
      <c r="U444" s="27"/>
      <c r="V444" s="9"/>
      <c r="W444" s="10">
        <f>IFERROR(Q444-T444, "NA")</f>
        <v>-8871.6100000001024</v>
      </c>
      <c r="X444" s="27"/>
      <c r="Y444" s="9"/>
      <c r="Z444" s="7">
        <v>606918.79</v>
      </c>
      <c r="AA444" s="27"/>
      <c r="AB444" s="9"/>
      <c r="AC444" s="10">
        <f>IFERROR(Q444-Z444, "NA")</f>
        <v>79652.899999999907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416</v>
      </c>
      <c r="B3" s="31" t="s">
        <v>416</v>
      </c>
      <c r="C3" s="31" t="s">
        <v>416</v>
      </c>
      <c r="D3" s="31" t="s">
        <v>416</v>
      </c>
      <c r="E3" s="31" t="s">
        <v>416</v>
      </c>
      <c r="F3" s="31" t="s">
        <v>416</v>
      </c>
      <c r="G3" s="31" t="s">
        <v>416</v>
      </c>
      <c r="H3" s="31" t="s">
        <v>416</v>
      </c>
      <c r="I3" s="31" t="s">
        <v>416</v>
      </c>
      <c r="J3" s="31" t="s">
        <v>416</v>
      </c>
      <c r="K3" s="31" t="s">
        <v>416</v>
      </c>
      <c r="L3" s="31" t="s">
        <v>416</v>
      </c>
      <c r="M3" s="31" t="s">
        <v>416</v>
      </c>
      <c r="N3" s="31" t="s">
        <v>416</v>
      </c>
      <c r="O3" s="31" t="s">
        <v>416</v>
      </c>
      <c r="P3" s="31" t="s">
        <v>416</v>
      </c>
      <c r="Q3" s="31" t="s">
        <v>416</v>
      </c>
      <c r="R3" s="31" t="s">
        <v>416</v>
      </c>
      <c r="S3" s="31" t="s">
        <v>416</v>
      </c>
      <c r="T3" s="31" t="s">
        <v>416</v>
      </c>
      <c r="U3" s="31" t="s">
        <v>416</v>
      </c>
      <c r="V3" s="31" t="s">
        <v>416</v>
      </c>
      <c r="W3" s="31" t="s">
        <v>416</v>
      </c>
      <c r="X3" s="31" t="s">
        <v>416</v>
      </c>
      <c r="Y3" s="31" t="s">
        <v>416</v>
      </c>
      <c r="Z3" s="31" t="s">
        <v>416</v>
      </c>
      <c r="AA3" s="31" t="s">
        <v>416</v>
      </c>
      <c r="AB3" s="31" t="s">
        <v>416</v>
      </c>
      <c r="AC3" s="31" t="s">
        <v>416</v>
      </c>
      <c r="AD3" s="31" t="s">
        <v>416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96639.57</v>
      </c>
      <c r="F10" s="8">
        <f>IFERROR(E10/E444, "NA")</f>
        <v>0.53399999270609344</v>
      </c>
      <c r="G10" s="9"/>
      <c r="H10" s="10">
        <f t="shared" ref="H10:H19" si="0">IFERROR(B10-E10, "NA")</f>
        <v>-96639.57</v>
      </c>
      <c r="I10" s="8">
        <f>IFERROR(H10/H444, "NA")</f>
        <v>2.6720748958497205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400139.2</v>
      </c>
      <c r="U10" s="8">
        <f>IFERROR(T10/T444, "NA")</f>
        <v>0.53400001750910742</v>
      </c>
      <c r="V10" s="9"/>
      <c r="W10" s="10">
        <f t="shared" ref="W10:W19" si="2">IFERROR(Q10-T10, "NA")</f>
        <v>-400139.2</v>
      </c>
      <c r="X10" s="8">
        <f>IFERROR(W10/W444, "NA")</f>
        <v>8.2078994061599371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64672.15</v>
      </c>
      <c r="C11" s="8">
        <f>IFERROR(B11/B444, "NA")</f>
        <v>0.44661085286992319</v>
      </c>
      <c r="D11" s="9"/>
      <c r="E11" s="7">
        <v>0</v>
      </c>
      <c r="F11" s="8">
        <f>IFERROR(E11/E444, "NA")</f>
        <v>0</v>
      </c>
      <c r="G11" s="9"/>
      <c r="H11" s="10">
        <f t="shared" si="0"/>
        <v>64672.15</v>
      </c>
      <c r="I11" s="8">
        <f>IFERROR(H11/H444, "NA")</f>
        <v>-1.788178780965473</v>
      </c>
      <c r="J11" s="9"/>
      <c r="K11" s="7">
        <v>78487.63</v>
      </c>
      <c r="L11" s="8">
        <f>IFERROR(K11/K444, "NA")</f>
        <v>0.52477463728847329</v>
      </c>
      <c r="M11" s="9"/>
      <c r="N11" s="10">
        <f t="shared" si="1"/>
        <v>-13815.480000000003</v>
      </c>
      <c r="O11" s="8">
        <f>IFERROR(N11/N444, "NA")</f>
        <v>2.9036561887867789</v>
      </c>
      <c r="P11" s="9"/>
      <c r="Q11" s="7">
        <v>305728.03999999998</v>
      </c>
      <c r="R11" s="8">
        <f>IFERROR(Q11/Q444, "NA")</f>
        <v>0.43639660985333423</v>
      </c>
      <c r="S11" s="9"/>
      <c r="T11" s="7">
        <v>0</v>
      </c>
      <c r="U11" s="8">
        <f>IFERROR(T11/T444, "NA")</f>
        <v>0</v>
      </c>
      <c r="V11" s="9"/>
      <c r="W11" s="10">
        <f t="shared" si="2"/>
        <v>305728.03999999998</v>
      </c>
      <c r="X11" s="8">
        <f>IFERROR(W11/W444, "NA")</f>
        <v>-6.2712800894349794</v>
      </c>
      <c r="Y11" s="9"/>
      <c r="Z11" s="7">
        <v>351783.07</v>
      </c>
      <c r="AA11" s="8">
        <f>IFERROR(Z11/Z444, "NA")</f>
        <v>0.54799987089137259</v>
      </c>
      <c r="AB11" s="9"/>
      <c r="AC11" s="10">
        <f t="shared" si="3"/>
        <v>-46055.030000000028</v>
      </c>
      <c r="AD11" s="8">
        <f>IFERROR(AC11/AC444, "NA")</f>
        <v>-0.78546949743629113</v>
      </c>
    </row>
    <row r="12" spans="1:30" ht="16.5" customHeight="1" x14ac:dyDescent="0.45">
      <c r="A12" s="12" t="s">
        <v>14</v>
      </c>
      <c r="B12" s="7">
        <v>7727.9</v>
      </c>
      <c r="C12" s="8">
        <f>IFERROR(B12/B444, "NA")</f>
        <v>5.3367083201864778E-2</v>
      </c>
      <c r="D12" s="9"/>
      <c r="E12" s="7">
        <v>0</v>
      </c>
      <c r="F12" s="8">
        <f>IFERROR(E12/E444, "NA")</f>
        <v>0</v>
      </c>
      <c r="G12" s="9"/>
      <c r="H12" s="10">
        <f t="shared" si="0"/>
        <v>7727.9</v>
      </c>
      <c r="I12" s="8">
        <f>IFERROR(H12/H444, "NA")</f>
        <v>-0.21367569813935483</v>
      </c>
      <c r="J12" s="9"/>
      <c r="K12" s="7">
        <v>8398.5499999999993</v>
      </c>
      <c r="L12" s="8">
        <f>IFERROR(K12/K444, "NA")</f>
        <v>5.6153384042798932E-2</v>
      </c>
      <c r="M12" s="9"/>
      <c r="N12" s="10">
        <f t="shared" si="1"/>
        <v>-670.64999999999964</v>
      </c>
      <c r="O12" s="8">
        <f>IFERROR(N12/N444, "NA")</f>
        <v>0.14095326568529301</v>
      </c>
      <c r="P12" s="9"/>
      <c r="Q12" s="7">
        <v>36759.550000000003</v>
      </c>
      <c r="R12" s="8">
        <f>IFERROR(Q12/Q444, "NA")</f>
        <v>5.2470630432635931E-2</v>
      </c>
      <c r="S12" s="9"/>
      <c r="T12" s="7">
        <v>0</v>
      </c>
      <c r="U12" s="8">
        <f>IFERROR(T12/T444, "NA")</f>
        <v>0</v>
      </c>
      <c r="V12" s="9"/>
      <c r="W12" s="10">
        <f t="shared" si="2"/>
        <v>36759.550000000003</v>
      </c>
      <c r="X12" s="8">
        <f>IFERROR(W12/W444, "NA")</f>
        <v>-0.75403431759674266</v>
      </c>
      <c r="Y12" s="9"/>
      <c r="Z12" s="7">
        <v>36690.400000000001</v>
      </c>
      <c r="AA12" s="8">
        <f>IFERROR(Z12/Z444, "NA")</f>
        <v>5.7155492056376725E-2</v>
      </c>
      <c r="AB12" s="9"/>
      <c r="AC12" s="10">
        <f t="shared" si="3"/>
        <v>69.150000000001455</v>
      </c>
      <c r="AD12" s="8">
        <f>IFERROR(AC12/AC444, "NA")</f>
        <v>1.1793546925866869E-3</v>
      </c>
    </row>
    <row r="13" spans="1:30" ht="16.5" customHeight="1" x14ac:dyDescent="0.45">
      <c r="A13" s="12" t="s">
        <v>15</v>
      </c>
      <c r="B13" s="7">
        <v>240.5</v>
      </c>
      <c r="C13" s="8">
        <f>IFERROR(B13/B444, "NA")</f>
        <v>1.6608371627542385E-3</v>
      </c>
      <c r="D13" s="9"/>
      <c r="E13" s="7">
        <v>0</v>
      </c>
      <c r="F13" s="8">
        <f>IFERROR(E13/E444, "NA")</f>
        <v>0</v>
      </c>
      <c r="G13" s="9"/>
      <c r="H13" s="10">
        <f t="shared" si="0"/>
        <v>240.5</v>
      </c>
      <c r="I13" s="8">
        <f>IFERROR(H13/H444, "NA")</f>
        <v>-6.6498020681575645E-3</v>
      </c>
      <c r="J13" s="9"/>
      <c r="K13" s="7">
        <v>444</v>
      </c>
      <c r="L13" s="8">
        <f>IFERROR(K13/K444, "NA")</f>
        <v>2.9686198825991067E-3</v>
      </c>
      <c r="M13" s="9"/>
      <c r="N13" s="10">
        <f t="shared" si="1"/>
        <v>-203.5</v>
      </c>
      <c r="O13" s="8">
        <f>IFERROR(N13/N444, "NA")</f>
        <v>4.2770431025060972E-2</v>
      </c>
      <c r="P13" s="9"/>
      <c r="Q13" s="7">
        <v>1068</v>
      </c>
      <c r="R13" s="8">
        <f>IFERROR(Q13/Q444, "NA")</f>
        <v>1.5244646167337512E-3</v>
      </c>
      <c r="S13" s="9"/>
      <c r="T13" s="7">
        <v>0</v>
      </c>
      <c r="U13" s="8">
        <f>IFERROR(T13/T444, "NA")</f>
        <v>0</v>
      </c>
      <c r="V13" s="9"/>
      <c r="W13" s="10">
        <f t="shared" si="2"/>
        <v>1068</v>
      </c>
      <c r="X13" s="8">
        <f>IFERROR(W13/W444, "NA")</f>
        <v>-2.1907467615716762E-2</v>
      </c>
      <c r="Y13" s="9"/>
      <c r="Z13" s="7">
        <v>1814</v>
      </c>
      <c r="AA13" s="8">
        <f>IFERROR(Z13/Z444, "NA")</f>
        <v>2.8258090015444741E-3</v>
      </c>
      <c r="AB13" s="9"/>
      <c r="AC13" s="10">
        <f t="shared" si="3"/>
        <v>-746</v>
      </c>
      <c r="AD13" s="8">
        <f>IFERROR(AC13/AC444, "NA")</f>
        <v>-1.2723045562829355E-2</v>
      </c>
    </row>
    <row r="14" spans="1:30" ht="16.5" customHeight="1" x14ac:dyDescent="0.45">
      <c r="A14" s="12" t="s">
        <v>16</v>
      </c>
      <c r="B14" s="7">
        <v>320</v>
      </c>
      <c r="C14" s="8">
        <f>IFERROR(B14/B444, "NA")</f>
        <v>2.2098457051199847E-3</v>
      </c>
      <c r="D14" s="9"/>
      <c r="E14" s="7">
        <v>0</v>
      </c>
      <c r="F14" s="8">
        <f>IFERROR(E14/E444, "NA")</f>
        <v>0</v>
      </c>
      <c r="G14" s="9"/>
      <c r="H14" s="10">
        <f t="shared" si="0"/>
        <v>320</v>
      </c>
      <c r="I14" s="8">
        <f>IFERROR(H14/H444, "NA")</f>
        <v>-8.8479694877772169E-3</v>
      </c>
      <c r="J14" s="9"/>
      <c r="K14" s="7">
        <v>945</v>
      </c>
      <c r="L14" s="8">
        <f>IFERROR(K14/K444, "NA")</f>
        <v>6.3183463717480983E-3</v>
      </c>
      <c r="M14" s="9"/>
      <c r="N14" s="10">
        <f t="shared" si="1"/>
        <v>-625</v>
      </c>
      <c r="O14" s="8">
        <f>IFERROR(N14/N444, "NA")</f>
        <v>0.13135881764453616</v>
      </c>
      <c r="P14" s="9"/>
      <c r="Q14" s="7">
        <v>2310</v>
      </c>
      <c r="R14" s="8">
        <f>IFERROR(Q14/Q444, "NA")</f>
        <v>3.2972970642836754E-3</v>
      </c>
      <c r="S14" s="9"/>
      <c r="T14" s="7">
        <v>0</v>
      </c>
      <c r="U14" s="8">
        <f>IFERROR(T14/T444, "NA")</f>
        <v>0</v>
      </c>
      <c r="V14" s="9"/>
      <c r="W14" s="10">
        <f t="shared" si="2"/>
        <v>2310</v>
      </c>
      <c r="X14" s="8">
        <f>IFERROR(W14/W444, "NA")</f>
        <v>-4.738412939354468E-2</v>
      </c>
      <c r="Y14" s="9"/>
      <c r="Z14" s="7">
        <v>4310</v>
      </c>
      <c r="AA14" s="8">
        <f>IFERROR(Z14/Z444, "NA")</f>
        <v>6.7140224898879185E-3</v>
      </c>
      <c r="AB14" s="9"/>
      <c r="AC14" s="10">
        <f t="shared" si="3"/>
        <v>-2000</v>
      </c>
      <c r="AD14" s="8">
        <f>IFERROR(AC14/AC444, "NA")</f>
        <v>-3.4110041723403095E-2</v>
      </c>
    </row>
    <row r="15" spans="1:30" ht="16.5" customHeight="1" x14ac:dyDescent="0.45">
      <c r="A15" s="12" t="s">
        <v>17</v>
      </c>
      <c r="B15" s="7">
        <v>53</v>
      </c>
      <c r="C15" s="8">
        <f>IFERROR(B15/B444, "NA")</f>
        <v>3.6600569491049745E-4</v>
      </c>
      <c r="D15" s="9"/>
      <c r="E15" s="7">
        <v>0</v>
      </c>
      <c r="F15" s="8">
        <f>IFERROR(E15/E444, "NA")</f>
        <v>0</v>
      </c>
      <c r="G15" s="9"/>
      <c r="H15" s="10">
        <f t="shared" si="0"/>
        <v>53</v>
      </c>
      <c r="I15" s="8">
        <f>IFERROR(H15/H444, "NA")</f>
        <v>-1.4654449464131015E-3</v>
      </c>
      <c r="J15" s="9"/>
      <c r="K15" s="7">
        <v>101</v>
      </c>
      <c r="L15" s="8">
        <f>IFERROR(K15/K444, "NA")</f>
        <v>6.7529416248313014E-4</v>
      </c>
      <c r="M15" s="9"/>
      <c r="N15" s="10">
        <f t="shared" si="1"/>
        <v>-48</v>
      </c>
      <c r="O15" s="8">
        <f>IFERROR(N15/N444, "NA")</f>
        <v>1.0088357195100376E-2</v>
      </c>
      <c r="P15" s="9"/>
      <c r="Q15" s="7">
        <v>297</v>
      </c>
      <c r="R15" s="8">
        <f>IFERROR(Q15/Q444, "NA")</f>
        <v>4.2393819397932973E-4</v>
      </c>
      <c r="S15" s="9"/>
      <c r="T15" s="7">
        <v>0</v>
      </c>
      <c r="U15" s="8">
        <f>IFERROR(T15/T444, "NA")</f>
        <v>0</v>
      </c>
      <c r="V15" s="9"/>
      <c r="W15" s="10">
        <f t="shared" si="2"/>
        <v>297</v>
      </c>
      <c r="X15" s="8">
        <f>IFERROR(W15/W444, "NA")</f>
        <v>-6.0922452077414591E-3</v>
      </c>
      <c r="Y15" s="9"/>
      <c r="Z15" s="7">
        <v>753</v>
      </c>
      <c r="AA15" s="8">
        <f>IFERROR(Z15/Z444, "NA")</f>
        <v>1.1730067134305341E-3</v>
      </c>
      <c r="AB15" s="9"/>
      <c r="AC15" s="10">
        <f t="shared" si="3"/>
        <v>-456</v>
      </c>
      <c r="AD15" s="8">
        <f>IFERROR(AC15/AC444, "NA")</f>
        <v>-7.7770895129359065E-3</v>
      </c>
    </row>
    <row r="16" spans="1:30" ht="16.5" hidden="1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0</v>
      </c>
      <c r="R16" s="8">
        <f>IFERROR(Q16/Q444, "NA")</f>
        <v>0</v>
      </c>
      <c r="S16" s="9"/>
      <c r="T16" s="7">
        <v>0</v>
      </c>
      <c r="U16" s="8">
        <f>IFERROR(T16/T444, "NA")</f>
        <v>0</v>
      </c>
      <c r="V16" s="9"/>
      <c r="W16" s="10">
        <f t="shared" si="2"/>
        <v>0</v>
      </c>
      <c r="X16" s="8">
        <f>IFERROR(W16/W444, "NA")</f>
        <v>0</v>
      </c>
      <c r="Y16" s="9"/>
      <c r="Z16" s="7">
        <v>0</v>
      </c>
      <c r="AA16" s="8">
        <f>IFERROR(Z16/Z444, "NA")</f>
        <v>0</v>
      </c>
      <c r="AB16" s="9"/>
      <c r="AC16" s="10">
        <f t="shared" si="3"/>
        <v>0</v>
      </c>
      <c r="AD16" s="8">
        <f>IFERROR(AC16/AC444, "NA")</f>
        <v>0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73013.55</v>
      </c>
      <c r="C18" s="15">
        <f>IFERROR(B18/B444, "NA")</f>
        <v>0.50421462463457267</v>
      </c>
      <c r="D18" s="2"/>
      <c r="E18" s="14">
        <f>IFERROR(E10+E11+E12+E13+E14+E15+E16+E17, "NA")</f>
        <v>96639.57</v>
      </c>
      <c r="F18" s="15">
        <f>IFERROR(E18/E444, "NA")</f>
        <v>0.53399999270609344</v>
      </c>
      <c r="G18" s="2"/>
      <c r="H18" s="14">
        <f t="shared" si="0"/>
        <v>-23626.020000000004</v>
      </c>
      <c r="I18" s="15">
        <f>IFERROR(H18/H444, "NA")</f>
        <v>0.65325720024254474</v>
      </c>
      <c r="J18" s="2"/>
      <c r="K18" s="14">
        <f>IFERROR(K10+K11+K12+K13+K14+K15+K16+K17, "NA")</f>
        <v>88376.180000000008</v>
      </c>
      <c r="L18" s="15">
        <f>IFERROR(K18/K444, "NA")</f>
        <v>0.59089028174810254</v>
      </c>
      <c r="M18" s="2"/>
      <c r="N18" s="14">
        <f t="shared" si="1"/>
        <v>-15362.630000000005</v>
      </c>
      <c r="O18" s="15">
        <f>IFERROR(N18/N444, "NA")</f>
        <v>3.2288270603367697</v>
      </c>
      <c r="P18" s="2"/>
      <c r="Q18" s="14">
        <f>IFERROR(Q10+Q11+Q12+Q13+Q14+Q15+Q16+Q17, "NA")</f>
        <v>346162.58999999997</v>
      </c>
      <c r="R18" s="15">
        <f>IFERROR(Q18/Q444, "NA")</f>
        <v>0.49411294016096691</v>
      </c>
      <c r="S18" s="2"/>
      <c r="T18" s="14">
        <f>IFERROR(T10+T11+T12+T13+T14+T15+T16+T17, "NA")</f>
        <v>400139.2</v>
      </c>
      <c r="U18" s="15">
        <f>IFERROR(T18/T444, "NA")</f>
        <v>0.53400001750910742</v>
      </c>
      <c r="V18" s="2"/>
      <c r="W18" s="14">
        <f t="shared" si="2"/>
        <v>-53976.610000000044</v>
      </c>
      <c r="X18" s="15">
        <f>IFERROR(W18/W444, "NA")</f>
        <v>1.1072011569112121</v>
      </c>
      <c r="Y18" s="2"/>
      <c r="Z18" s="14">
        <f>IFERROR(Z10+Z11+Z12+Z13+Z14+Z15+Z16+Z17, "NA")</f>
        <v>395350.47000000003</v>
      </c>
      <c r="AA18" s="15">
        <f>IFERROR(Z18/Z444, "NA")</f>
        <v>0.61586820115261232</v>
      </c>
      <c r="AB18" s="2"/>
      <c r="AC18" s="14">
        <f t="shared" si="3"/>
        <v>-49187.880000000063</v>
      </c>
      <c r="AD18" s="15">
        <f>IFERROR(AC18/AC444, "NA")</f>
        <v>-0.83890031954287347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19183.14</v>
      </c>
      <c r="F21" s="8">
        <f>IFERROR(E21/E444, "NA")</f>
        <v>0.10600002276582945</v>
      </c>
      <c r="G21" s="9"/>
      <c r="H21" s="10">
        <f t="shared" ref="H21:H29" si="4">IFERROR(B21-E21, "NA")</f>
        <v>-19183.14</v>
      </c>
      <c r="I21" s="8">
        <f>IFERROR(H21/H444, "NA")</f>
        <v>0.5304119918742457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79428.37</v>
      </c>
      <c r="U21" s="8">
        <f>IFERROR(T21/T444, "NA")</f>
        <v>0.10599998943047785</v>
      </c>
      <c r="V21" s="9"/>
      <c r="W21" s="10">
        <f t="shared" ref="W21:W29" si="6">IFERROR(Q21-T21, "NA")</f>
        <v>-79428.37</v>
      </c>
      <c r="X21" s="8">
        <f>IFERROR(W21/W444, "NA")</f>
        <v>1.6292831868391093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13052.3</v>
      </c>
      <c r="C22" s="8">
        <f>IFERROR(B22/B444, "NA")</f>
        <v>9.0136153427929924E-2</v>
      </c>
      <c r="D22" s="9"/>
      <c r="E22" s="7">
        <v>0</v>
      </c>
      <c r="F22" s="8">
        <f>IFERROR(E22/E444, "NA")</f>
        <v>0</v>
      </c>
      <c r="G22" s="9"/>
      <c r="H22" s="10">
        <f t="shared" si="4"/>
        <v>13052.3</v>
      </c>
      <c r="I22" s="8">
        <f>IFERROR(H22/H444, "NA")</f>
        <v>-0.36089485045410802</v>
      </c>
      <c r="J22" s="9"/>
      <c r="K22" s="7">
        <v>13081.42</v>
      </c>
      <c r="L22" s="8">
        <f>IFERROR(K22/K444, "NA")</f>
        <v>8.7463431316733342E-2</v>
      </c>
      <c r="M22" s="9"/>
      <c r="N22" s="10">
        <f t="shared" si="5"/>
        <v>-29.1200000000008</v>
      </c>
      <c r="O22" s="8">
        <f>IFERROR(N22/N444, "NA")</f>
        <v>6.1202700316943968E-3</v>
      </c>
      <c r="P22" s="9"/>
      <c r="Q22" s="7">
        <v>57624.45</v>
      </c>
      <c r="R22" s="8">
        <f>IFERROR(Q22/Q444, "NA")</f>
        <v>8.2253216370546084E-2</v>
      </c>
      <c r="S22" s="9"/>
      <c r="T22" s="7">
        <v>0</v>
      </c>
      <c r="U22" s="8">
        <f>IFERROR(T22/T444, "NA")</f>
        <v>0</v>
      </c>
      <c r="V22" s="9"/>
      <c r="W22" s="10">
        <f t="shared" si="6"/>
        <v>57624.45</v>
      </c>
      <c r="X22" s="8">
        <f>IFERROR(W22/W444, "NA")</f>
        <v>-1.1820278766371626</v>
      </c>
      <c r="Y22" s="9"/>
      <c r="Z22" s="7">
        <v>60640.34</v>
      </c>
      <c r="AA22" s="8">
        <f>IFERROR(Z22/Z444, "NA")</f>
        <v>9.4464177854860762E-2</v>
      </c>
      <c r="AB22" s="9"/>
      <c r="AC22" s="10">
        <f t="shared" si="7"/>
        <v>-3015.8899999999994</v>
      </c>
      <c r="AD22" s="8">
        <f>IFERROR(AC22/AC444, "NA")</f>
        <v>-5.1436066866597074E-2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1508.67</v>
      </c>
      <c r="C24" s="8">
        <f>IFERROR(B24/B444, "NA")</f>
        <v>1.0418524749823023E-2</v>
      </c>
      <c r="D24" s="9"/>
      <c r="E24" s="7">
        <v>0</v>
      </c>
      <c r="F24" s="8">
        <f>IFERROR(E24/E444, "NA")</f>
        <v>0</v>
      </c>
      <c r="G24" s="9"/>
      <c r="H24" s="10">
        <f t="shared" si="4"/>
        <v>1508.67</v>
      </c>
      <c r="I24" s="8">
        <f>IFERROR(H24/H444, "NA")</f>
        <v>-4.1714581647265166E-2</v>
      </c>
      <c r="J24" s="9"/>
      <c r="K24" s="7">
        <v>305.63</v>
      </c>
      <c r="L24" s="8">
        <f>IFERROR(K24/K444, "NA")</f>
        <v>2.0434668799972186E-3</v>
      </c>
      <c r="M24" s="9"/>
      <c r="N24" s="10">
        <f t="shared" si="5"/>
        <v>1203.04</v>
      </c>
      <c r="O24" s="8">
        <f>IFERROR(N24/N444, "NA")</f>
        <v>-0.25284785916653246</v>
      </c>
      <c r="P24" s="9"/>
      <c r="Q24" s="7">
        <v>6972.43</v>
      </c>
      <c r="R24" s="8">
        <f>IFERROR(Q24/Q444, "NA")</f>
        <v>9.9524558311356835E-3</v>
      </c>
      <c r="S24" s="9"/>
      <c r="T24" s="7">
        <v>0</v>
      </c>
      <c r="U24" s="8">
        <f>IFERROR(T24/T444, "NA")</f>
        <v>0</v>
      </c>
      <c r="V24" s="9"/>
      <c r="W24" s="10">
        <f t="shared" si="6"/>
        <v>6972.43</v>
      </c>
      <c r="X24" s="8">
        <f>IFERROR(W24/W444, "NA")</f>
        <v>-0.14302273822832587</v>
      </c>
      <c r="Y24" s="9"/>
      <c r="Z24" s="7">
        <v>2499.71</v>
      </c>
      <c r="AA24" s="8">
        <f>IFERROR(Z24/Z444, "NA")</f>
        <v>3.8939928441294033E-3</v>
      </c>
      <c r="AB24" s="9"/>
      <c r="AC24" s="10">
        <f t="shared" si="7"/>
        <v>4472.72</v>
      </c>
      <c r="AD24" s="8">
        <f>IFERROR(AC24/AC444, "NA")</f>
        <v>7.6282332908549758E-2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868.55</v>
      </c>
      <c r="C28" s="8">
        <f>IFERROR(B28/B444, "NA")</f>
        <v>5.9980046474436329E-3</v>
      </c>
      <c r="D28" s="9"/>
      <c r="E28" s="7">
        <v>0</v>
      </c>
      <c r="F28" s="8">
        <f>IFERROR(E28/E444, "NA")</f>
        <v>0</v>
      </c>
      <c r="G28" s="9"/>
      <c r="H28" s="10">
        <f t="shared" si="4"/>
        <v>868.55</v>
      </c>
      <c r="I28" s="8">
        <f>IFERROR(H28/H444, "NA")</f>
        <v>-2.4015324683152817E-2</v>
      </c>
      <c r="J28" s="9"/>
      <c r="K28" s="7">
        <v>837.05</v>
      </c>
      <c r="L28" s="8">
        <f>IFERROR(K28/K444, "NA")</f>
        <v>5.5965839475891491E-3</v>
      </c>
      <c r="M28" s="9"/>
      <c r="N28" s="10">
        <f t="shared" si="5"/>
        <v>31.5</v>
      </c>
      <c r="O28" s="8">
        <f>IFERROR(N28/N444, "NA")</f>
        <v>-6.6204844092846221E-3</v>
      </c>
      <c r="P28" s="9"/>
      <c r="Q28" s="7">
        <v>5211.3</v>
      </c>
      <c r="R28" s="8">
        <f>IFERROR(Q28/Q444, "NA")</f>
        <v>7.4386165329443808E-3</v>
      </c>
      <c r="S28" s="9"/>
      <c r="T28" s="7">
        <v>0</v>
      </c>
      <c r="U28" s="8">
        <f>IFERROR(T28/T444, "NA")</f>
        <v>0</v>
      </c>
      <c r="V28" s="9"/>
      <c r="W28" s="10">
        <f t="shared" si="6"/>
        <v>5211.3</v>
      </c>
      <c r="X28" s="8">
        <f>IFERROR(W28/W444, "NA")</f>
        <v>-0.10689736515522918</v>
      </c>
      <c r="Y28" s="9"/>
      <c r="Z28" s="7">
        <v>4837.54</v>
      </c>
      <c r="AA28" s="8">
        <f>IFERROR(Z28/Z444, "NA")</f>
        <v>7.5358126115388398E-3</v>
      </c>
      <c r="AB28" s="9"/>
      <c r="AC28" s="10">
        <f t="shared" si="7"/>
        <v>373.76000000000022</v>
      </c>
      <c r="AD28" s="8">
        <f>IFERROR(AC28/AC444, "NA")</f>
        <v>6.3744845972695746E-3</v>
      </c>
    </row>
    <row r="29" spans="1:30" ht="16.5" customHeight="1" x14ac:dyDescent="0.45">
      <c r="A29" s="13" t="s">
        <v>30</v>
      </c>
      <c r="B29" s="14">
        <f>IFERROR(B21+B22+B23+B24+B25+B26+B27+B28, "NA")</f>
        <v>15429.519999999999</v>
      </c>
      <c r="C29" s="15">
        <f>IFERROR(B29/B444, "NA")</f>
        <v>0.10655268282519657</v>
      </c>
      <c r="D29" s="2"/>
      <c r="E29" s="14">
        <f>IFERROR(E21+E22+E23+E24+E25+E26+E27+E28, "NA")</f>
        <v>19183.14</v>
      </c>
      <c r="F29" s="15">
        <f>IFERROR(E29/E444, "NA")</f>
        <v>0.10600002276582945</v>
      </c>
      <c r="G29" s="2"/>
      <c r="H29" s="14">
        <f t="shared" si="4"/>
        <v>-3753.6200000000008</v>
      </c>
      <c r="I29" s="15">
        <f>IFERROR(H29/H444, "NA")</f>
        <v>0.10378723508971976</v>
      </c>
      <c r="J29" s="2"/>
      <c r="K29" s="14">
        <f>IFERROR(K21+K22+K23+K24+K25+K26+K27+K28, "NA")</f>
        <v>14224.099999999999</v>
      </c>
      <c r="L29" s="15">
        <f>IFERROR(K29/K444, "NA")</f>
        <v>9.5103482144319712E-2</v>
      </c>
      <c r="M29" s="2"/>
      <c r="N29" s="14">
        <f t="shared" si="5"/>
        <v>1205.42</v>
      </c>
      <c r="O29" s="15">
        <f>IFERROR(N29/N444, "NA")</f>
        <v>-0.25334807354412286</v>
      </c>
      <c r="P29" s="2"/>
      <c r="Q29" s="14">
        <f>IFERROR(Q21+Q22+Q23+Q24+Q25+Q26+Q27+Q28, "NA")</f>
        <v>69808.179999999993</v>
      </c>
      <c r="R29" s="15">
        <f>IFERROR(Q29/Q444, "NA")</f>
        <v>9.9644288734626135E-2</v>
      </c>
      <c r="S29" s="2"/>
      <c r="T29" s="14">
        <f>IFERROR(T21+T22+T23+T24+T25+T26+T27+T28, "NA")</f>
        <v>79428.37</v>
      </c>
      <c r="U29" s="15">
        <f>IFERROR(T29/T444, "NA")</f>
        <v>0.10599998943047785</v>
      </c>
      <c r="V29" s="2"/>
      <c r="W29" s="14">
        <f t="shared" si="6"/>
        <v>-9620.1900000000023</v>
      </c>
      <c r="X29" s="15">
        <f>IFERROR(W29/W444, "NA")</f>
        <v>0.19733520681839165</v>
      </c>
      <c r="Y29" s="2"/>
      <c r="Z29" s="14">
        <f>IFERROR(Z21+Z22+Z23+Z24+Z25+Z26+Z27+Z28, "NA")</f>
        <v>67977.59</v>
      </c>
      <c r="AA29" s="15">
        <f>IFERROR(Z29/Z444, "NA")</f>
        <v>0.105893983310529</v>
      </c>
      <c r="AB29" s="2"/>
      <c r="AC29" s="14">
        <f t="shared" si="7"/>
        <v>1830.5899999999965</v>
      </c>
      <c r="AD29" s="15">
        <f>IFERROR(AC29/AC444, "NA")</f>
        <v>3.1220750639222181E-2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34565.839999999997</v>
      </c>
      <c r="F31" s="8">
        <f>IFERROR(E31/E444, "NA")</f>
        <v>0.19100000453106311</v>
      </c>
      <c r="G31" s="9"/>
      <c r="H31" s="10">
        <f t="shared" ref="H31:H40" si="8">IFERROR(B31-E31, "NA")</f>
        <v>-34565.839999999997</v>
      </c>
      <c r="I31" s="8">
        <f>IFERROR(H31/H444, "NA")</f>
        <v>0.9557421801230912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143120.94</v>
      </c>
      <c r="U31" s="8">
        <f>IFERROR(T31/T444, "NA")</f>
        <v>0.19099999316717761</v>
      </c>
      <c r="V31" s="9"/>
      <c r="W31" s="10">
        <f t="shared" ref="W31:W40" si="10">IFERROR(Q31-T31, "NA")</f>
        <v>-143120.94</v>
      </c>
      <c r="X31" s="8">
        <f>IFERROR(W31/W444, "NA")</f>
        <v>2.9357840432405822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10724.5</v>
      </c>
      <c r="C33" s="8">
        <f>IFERROR(B33/B444, "NA")</f>
        <v>7.4060907076747742E-2</v>
      </c>
      <c r="D33" s="9"/>
      <c r="E33" s="7">
        <v>0</v>
      </c>
      <c r="F33" s="8">
        <f>IFERROR(E33/E444, "NA")</f>
        <v>0</v>
      </c>
      <c r="G33" s="9"/>
      <c r="H33" s="10">
        <f t="shared" si="8"/>
        <v>10724.5</v>
      </c>
      <c r="I33" s="8">
        <f>IFERROR(H33/H444, "NA")</f>
        <v>-0.29653140241145864</v>
      </c>
      <c r="J33" s="9"/>
      <c r="K33" s="7">
        <v>7090.83</v>
      </c>
      <c r="L33" s="8">
        <f>IFERROR(K33/K444, "NA")</f>
        <v>4.7409862437230235E-2</v>
      </c>
      <c r="M33" s="9"/>
      <c r="N33" s="10">
        <f t="shared" si="9"/>
        <v>3633.67</v>
      </c>
      <c r="O33" s="8">
        <f>IFERROR(N33/N444, "NA")</f>
        <v>-0.76370335185667471</v>
      </c>
      <c r="P33" s="9"/>
      <c r="Q33" s="7">
        <v>50848.49</v>
      </c>
      <c r="R33" s="8">
        <f>IFERROR(Q33/Q444, "NA")</f>
        <v>7.2581202078033688E-2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50848.49</v>
      </c>
      <c r="X33" s="8">
        <f>IFERROR(W33/W444, "NA")</f>
        <v>-1.0430352509205034</v>
      </c>
      <c r="Y33" s="9"/>
      <c r="Z33" s="7">
        <v>34713.46</v>
      </c>
      <c r="AA33" s="8">
        <f>IFERROR(Z33/Z444, "NA")</f>
        <v>5.407585873360201E-2</v>
      </c>
      <c r="AB33" s="9"/>
      <c r="AC33" s="10">
        <f t="shared" si="11"/>
        <v>16135.029999999999</v>
      </c>
      <c r="AD33" s="8">
        <f>IFERROR(AC33/AC444, "NA")</f>
        <v>0.27518327325418035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1693.16</v>
      </c>
      <c r="C35" s="8">
        <f>IFERROR(B35/B444, "NA")</f>
        <v>1.169256985650298E-2</v>
      </c>
      <c r="D35" s="9"/>
      <c r="E35" s="7">
        <v>0</v>
      </c>
      <c r="F35" s="8">
        <f>IFERROR(E35/E444, "NA")</f>
        <v>0</v>
      </c>
      <c r="G35" s="9"/>
      <c r="H35" s="10">
        <f t="shared" si="8"/>
        <v>1693.16</v>
      </c>
      <c r="I35" s="8">
        <f>IFERROR(H35/H444, "NA")</f>
        <v>-4.6815712556015229E-2</v>
      </c>
      <c r="J35" s="9"/>
      <c r="K35" s="7">
        <v>0</v>
      </c>
      <c r="L35" s="8">
        <f>IFERROR(K35/K444, "NA")</f>
        <v>0</v>
      </c>
      <c r="M35" s="9"/>
      <c r="N35" s="10">
        <f t="shared" si="9"/>
        <v>1693.16</v>
      </c>
      <c r="O35" s="8">
        <f>IFERROR(N35/N444, "NA")</f>
        <v>-0.35585839309283657</v>
      </c>
      <c r="P35" s="9"/>
      <c r="Q35" s="7">
        <v>8197.6</v>
      </c>
      <c r="R35" s="8">
        <f>IFERROR(Q35/Q444, "NA")</f>
        <v>1.1701265114360112E-2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8197.6</v>
      </c>
      <c r="X35" s="8">
        <f>IFERROR(W35/W444, "NA")</f>
        <v>-0.16815417277771511</v>
      </c>
      <c r="Y35" s="9"/>
      <c r="Z35" s="7">
        <v>0</v>
      </c>
      <c r="AA35" s="8">
        <f>IFERROR(Z35/Z444, "NA")</f>
        <v>0</v>
      </c>
      <c r="AB35" s="9"/>
      <c r="AC35" s="10">
        <f t="shared" si="11"/>
        <v>8197.6</v>
      </c>
      <c r="AD35" s="8">
        <f>IFERROR(AC35/AC444, "NA")</f>
        <v>0.13981023901588463</v>
      </c>
    </row>
    <row r="36" spans="1:30" ht="16.5" customHeight="1" x14ac:dyDescent="0.45">
      <c r="A36" s="12" t="s">
        <v>36</v>
      </c>
      <c r="B36" s="7">
        <v>10774.05</v>
      </c>
      <c r="C36" s="8">
        <f>IFERROR(B36/B444, "NA")</f>
        <v>7.4403087872649903E-2</v>
      </c>
      <c r="D36" s="9"/>
      <c r="E36" s="7">
        <v>0</v>
      </c>
      <c r="F36" s="8">
        <f>IFERROR(E36/E444, "NA")</f>
        <v>0</v>
      </c>
      <c r="G36" s="9"/>
      <c r="H36" s="10">
        <f t="shared" si="8"/>
        <v>10774.05</v>
      </c>
      <c r="I36" s="8">
        <f>IFERROR(H36/H444, "NA")</f>
        <v>-0.29790145518683159</v>
      </c>
      <c r="J36" s="9"/>
      <c r="K36" s="7">
        <v>7177.8</v>
      </c>
      <c r="L36" s="8">
        <f>IFERROR(K36/K444, "NA")</f>
        <v>4.7991350885855558E-2</v>
      </c>
      <c r="M36" s="9"/>
      <c r="N36" s="10">
        <f t="shared" si="9"/>
        <v>3596.2499999999991</v>
      </c>
      <c r="O36" s="8">
        <f>IFERROR(N36/N444, "NA")</f>
        <v>-0.75583863672666085</v>
      </c>
      <c r="P36" s="9"/>
      <c r="Q36" s="7">
        <v>63060.74</v>
      </c>
      <c r="R36" s="8">
        <f>IFERROR(Q36/Q444, "NA")</f>
        <v>9.0012983927946377E-2</v>
      </c>
      <c r="S36" s="9"/>
      <c r="T36" s="7">
        <v>0</v>
      </c>
      <c r="U36" s="8">
        <f>IFERROR(T36/T444, "NA")</f>
        <v>0</v>
      </c>
      <c r="V36" s="9"/>
      <c r="W36" s="10">
        <f t="shared" si="10"/>
        <v>63060.74</v>
      </c>
      <c r="X36" s="8">
        <f>IFERROR(W36/W444, "NA")</f>
        <v>-1.2935403739448825</v>
      </c>
      <c r="Y36" s="9"/>
      <c r="Z36" s="7">
        <v>39608.65</v>
      </c>
      <c r="AA36" s="8">
        <f>IFERROR(Z36/Z444, "NA")</f>
        <v>6.1701477237609999E-2</v>
      </c>
      <c r="AB36" s="9"/>
      <c r="AC36" s="10">
        <f t="shared" si="11"/>
        <v>23452.089999999997</v>
      </c>
      <c r="AD36" s="8">
        <f>IFERROR(AC36/AC444, "NA")</f>
        <v>0.39997588420050223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822.46</v>
      </c>
      <c r="C39" s="8">
        <f>IFERROR(B39/B444, "NA")</f>
        <v>5.6797178082280712E-3</v>
      </c>
      <c r="D39" s="9"/>
      <c r="E39" s="7">
        <v>0</v>
      </c>
      <c r="F39" s="8">
        <f>IFERROR(E39/E444, "NA")</f>
        <v>0</v>
      </c>
      <c r="G39" s="9"/>
      <c r="H39" s="10">
        <f t="shared" si="8"/>
        <v>822.46</v>
      </c>
      <c r="I39" s="8">
        <f>IFERROR(H39/H444, "NA")</f>
        <v>-2.2740940577866405E-2</v>
      </c>
      <c r="J39" s="9"/>
      <c r="K39" s="7">
        <v>1229.8800000000001</v>
      </c>
      <c r="L39" s="8">
        <f>IFERROR(K39/K444, "NA")</f>
        <v>8.2230770747995265E-3</v>
      </c>
      <c r="M39" s="9"/>
      <c r="N39" s="10">
        <f t="shared" si="9"/>
        <v>-407.42000000000007</v>
      </c>
      <c r="O39" s="8">
        <f>IFERROR(N39/N444, "NA")</f>
        <v>8.5629135175579088E-2</v>
      </c>
      <c r="P39" s="9"/>
      <c r="Q39" s="7">
        <v>5585.21</v>
      </c>
      <c r="R39" s="8">
        <f>IFERROR(Q39/Q444, "NA")</f>
        <v>7.9723361629471124E-3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5585.21</v>
      </c>
      <c r="X39" s="8">
        <f>IFERROR(W39/W444, "NA")</f>
        <v>-0.11456723520784402</v>
      </c>
      <c r="Y39" s="9"/>
      <c r="Z39" s="7">
        <v>5894.85</v>
      </c>
      <c r="AA39" s="8">
        <f>IFERROR(Z39/Z444, "NA")</f>
        <v>9.1828666994236193E-3</v>
      </c>
      <c r="AB39" s="9"/>
      <c r="AC39" s="10">
        <f t="shared" si="11"/>
        <v>-309.64000000000033</v>
      </c>
      <c r="AD39" s="8">
        <f>IFERROR(AC39/AC444, "NA")</f>
        <v>-5.2809166596172732E-3</v>
      </c>
    </row>
    <row r="40" spans="1:30" ht="16.5" customHeight="1" x14ac:dyDescent="0.45">
      <c r="A40" s="13" t="s">
        <v>40</v>
      </c>
      <c r="B40" s="14">
        <f>IFERROR(B31+B32+B33+B34+B35+B36+B37+B38+B39, "NA")</f>
        <v>24014.17</v>
      </c>
      <c r="C40" s="15">
        <f>IFERROR(B40/B444, "NA")</f>
        <v>0.16583628261412869</v>
      </c>
      <c r="D40" s="2"/>
      <c r="E40" s="14">
        <f>IFERROR(E31+E32+E33+E34+E35+E36+E37+E38+E39, "NA")</f>
        <v>34565.839999999997</v>
      </c>
      <c r="F40" s="15">
        <f>IFERROR(E40/E444, "NA")</f>
        <v>0.19100000453106311</v>
      </c>
      <c r="G40" s="2"/>
      <c r="H40" s="14">
        <f t="shared" si="8"/>
        <v>-10551.669999999998</v>
      </c>
      <c r="I40" s="15">
        <f>IFERROR(H40/H444, "NA")</f>
        <v>0.29175266939091937</v>
      </c>
      <c r="J40" s="2"/>
      <c r="K40" s="14">
        <f>IFERROR(K31+K32+K33+K34+K35+K36+K37+K38+K39, "NA")</f>
        <v>15498.510000000002</v>
      </c>
      <c r="L40" s="15">
        <f>IFERROR(K40/K444, "NA")</f>
        <v>0.10362429039788533</v>
      </c>
      <c r="M40" s="2"/>
      <c r="N40" s="14">
        <f t="shared" si="9"/>
        <v>8515.6599999999962</v>
      </c>
      <c r="O40" s="15">
        <f>IFERROR(N40/N444, "NA")</f>
        <v>-1.7897712465005924</v>
      </c>
      <c r="P40" s="2"/>
      <c r="Q40" s="14">
        <f>IFERROR(Q31+Q32+Q33+Q34+Q35+Q36+Q37+Q38+Q39, "NA")</f>
        <v>127692.04</v>
      </c>
      <c r="R40" s="15">
        <f>IFERROR(Q40/Q444, "NA")</f>
        <v>0.1822677872832873</v>
      </c>
      <c r="S40" s="2"/>
      <c r="T40" s="14">
        <f>IFERROR(T31+T32+T33+T34+T35+T36+T37+T38+T39, "NA")</f>
        <v>143120.94</v>
      </c>
      <c r="U40" s="15">
        <f>IFERROR(T40/T444, "NA")</f>
        <v>0.19099999316717761</v>
      </c>
      <c r="V40" s="2"/>
      <c r="W40" s="14">
        <f t="shared" si="10"/>
        <v>-15428.900000000009</v>
      </c>
      <c r="X40" s="15">
        <f>IFERROR(W40/W444, "NA")</f>
        <v>0.31648701038963722</v>
      </c>
      <c r="Y40" s="2"/>
      <c r="Z40" s="14">
        <f>IFERROR(Z31+Z32+Z33+Z34+Z35+Z36+Z37+Z38+Z39, "NA")</f>
        <v>80216.960000000006</v>
      </c>
      <c r="AA40" s="15">
        <f>IFERROR(Z40/Z444, "NA")</f>
        <v>0.12496020267063564</v>
      </c>
      <c r="AB40" s="2"/>
      <c r="AC40" s="14">
        <f t="shared" si="11"/>
        <v>47475.079999999987</v>
      </c>
      <c r="AD40" s="15">
        <f>IFERROR(AC40/AC444, "NA")</f>
        <v>0.80968847981094971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20117.240000000002</v>
      </c>
      <c r="C43" s="8">
        <f>IFERROR(B43/B444, "NA")</f>
        <v>0.13892498879021239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20117.240000000002</v>
      </c>
      <c r="I43" s="8">
        <f>IFERROR(H43/H444, "NA")</f>
        <v>-0.55623976780716045</v>
      </c>
      <c r="J43" s="9"/>
      <c r="K43" s="7">
        <v>0</v>
      </c>
      <c r="L43" s="8">
        <f>IFERROR(K43/K444, "NA")</f>
        <v>0</v>
      </c>
      <c r="M43" s="9"/>
      <c r="N43" s="10">
        <f>IFERROR(B43-K43, "NA")</f>
        <v>20117.240000000002</v>
      </c>
      <c r="O43" s="8">
        <f>IFERROR(N43/N444, "NA")</f>
        <v>-4.2281229770741904</v>
      </c>
      <c r="P43" s="9"/>
      <c r="Q43" s="7">
        <v>41572.5</v>
      </c>
      <c r="R43" s="8">
        <f>IFERROR(Q43/Q444, "NA")</f>
        <v>5.9340641647157188E-2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41572.5</v>
      </c>
      <c r="X43" s="8">
        <f>IFERROR(W43/W444, "NA")</f>
        <v>-0.85276048450785125</v>
      </c>
      <c r="Y43" s="9"/>
      <c r="Z43" s="7">
        <v>0</v>
      </c>
      <c r="AA43" s="8">
        <f>IFERROR(Z43/Z444, "NA")</f>
        <v>0</v>
      </c>
      <c r="AB43" s="9"/>
      <c r="AC43" s="10">
        <f>IFERROR(Q43-Z43, "NA")</f>
        <v>41572.5</v>
      </c>
      <c r="AD43" s="8">
        <f>IFERROR(AC43/AC444, "NA")</f>
        <v>0.7090198547730876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35651.68</v>
      </c>
      <c r="F46" s="8">
        <f>IFERROR(E46/E444, "NA")</f>
        <v>0.19700001624551908</v>
      </c>
      <c r="G46" s="9"/>
      <c r="H46" s="10">
        <f t="shared" ref="H46:H62" si="12">IFERROR(B46-E46, "NA")</f>
        <v>-35651.68</v>
      </c>
      <c r="I46" s="8">
        <f>IFERROR(H46/H444, "NA")</f>
        <v>0.98576555258749132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147616.9</v>
      </c>
      <c r="U46" s="8">
        <f>IFERROR(T46/T444, "NA")</f>
        <v>0.19700001195743921</v>
      </c>
      <c r="V46" s="9"/>
      <c r="W46" s="10">
        <f t="shared" ref="W46:W62" si="14">IFERROR(Q46-T46, "NA")</f>
        <v>-147616.9</v>
      </c>
      <c r="X46" s="8">
        <f>IFERROR(W46/W444, "NA")</f>
        <v>3.0280079178675088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5534.78</v>
      </c>
      <c r="C48" s="8">
        <f>IFERROR(B48/B444, "NA")</f>
        <v>3.8221905661824963E-2</v>
      </c>
      <c r="D48" s="9"/>
      <c r="E48" s="7">
        <v>0</v>
      </c>
      <c r="F48" s="8">
        <f>IFERROR(E48/E444, "NA")</f>
        <v>0</v>
      </c>
      <c r="G48" s="9"/>
      <c r="H48" s="10">
        <f t="shared" si="12"/>
        <v>5534.78</v>
      </c>
      <c r="I48" s="8">
        <f>IFERROR(H48/H444, "NA")</f>
        <v>-0.15303613925487369</v>
      </c>
      <c r="J48" s="9"/>
      <c r="K48" s="7">
        <v>35215.29</v>
      </c>
      <c r="L48" s="8">
        <f>IFERROR(K48/K444, "NA")</f>
        <v>0.23545227492228266</v>
      </c>
      <c r="M48" s="9"/>
      <c r="N48" s="10">
        <f t="shared" si="13"/>
        <v>-29680.510000000002</v>
      </c>
      <c r="O48" s="8">
        <f>IFERROR(N48/N444, "NA")</f>
        <v>6.2380747210989309</v>
      </c>
      <c r="P48" s="9"/>
      <c r="Q48" s="7">
        <v>90330.58</v>
      </c>
      <c r="R48" s="8">
        <f>IFERROR(Q48/Q444, "NA")</f>
        <v>0.12893798971819986</v>
      </c>
      <c r="S48" s="9"/>
      <c r="T48" s="7">
        <v>0</v>
      </c>
      <c r="U48" s="8">
        <f>IFERROR(T48/T444, "NA")</f>
        <v>0</v>
      </c>
      <c r="V48" s="9"/>
      <c r="W48" s="10">
        <f t="shared" si="14"/>
        <v>90330.58</v>
      </c>
      <c r="X48" s="8">
        <f>IFERROR(W48/W444, "NA")</f>
        <v>-1.8529159700926146</v>
      </c>
      <c r="Y48" s="9"/>
      <c r="Z48" s="7">
        <v>125789.13</v>
      </c>
      <c r="AA48" s="8">
        <f>IFERROR(Z48/Z444, "NA")</f>
        <v>0.19595151921193388</v>
      </c>
      <c r="AB48" s="9"/>
      <c r="AC48" s="10">
        <f t="shared" si="15"/>
        <v>-35458.550000000003</v>
      </c>
      <c r="AD48" s="8">
        <f>IFERROR(AC48/AC444, "NA")</f>
        <v>-0.60474630997568757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12.85</v>
      </c>
      <c r="R49" s="8">
        <f>IFERROR(Q49/Q444, "NA")</f>
        <v>1.8342107045907025E-5</v>
      </c>
      <c r="S49" s="9"/>
      <c r="T49" s="7">
        <v>0</v>
      </c>
      <c r="U49" s="8">
        <f>IFERROR(T49/T444, "NA")</f>
        <v>0</v>
      </c>
      <c r="V49" s="9"/>
      <c r="W49" s="10">
        <f t="shared" si="14"/>
        <v>12.85</v>
      </c>
      <c r="X49" s="8">
        <f>IFERROR(W49/W444, "NA")</f>
        <v>-2.6358704013292169E-4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12.85</v>
      </c>
      <c r="AD49" s="8">
        <f>IFERROR(AC49/AC444, "NA")</f>
        <v>2.1915701807286489E-4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23.3</v>
      </c>
      <c r="R54" s="8">
        <f>IFERROR(Q54/Q444, "NA")</f>
        <v>3.3258450908142705E-5</v>
      </c>
      <c r="S54" s="9"/>
      <c r="T54" s="7">
        <v>0</v>
      </c>
      <c r="U54" s="8">
        <f>IFERROR(T54/T444, "NA")</f>
        <v>0</v>
      </c>
      <c r="V54" s="9"/>
      <c r="W54" s="10">
        <f t="shared" si="14"/>
        <v>23.3</v>
      </c>
      <c r="X54" s="8">
        <f>IFERROR(W54/W444, "NA")</f>
        <v>-4.7794381596086196E-4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23.3</v>
      </c>
      <c r="AD54" s="8">
        <f>IFERROR(AC54/AC444, "NA")</f>
        <v>3.9738198607764611E-4</v>
      </c>
    </row>
    <row r="55" spans="1:30" ht="16.5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35.75</v>
      </c>
      <c r="R55" s="8">
        <f>IFERROR(Q55/Q444, "NA")</f>
        <v>5.1029597423437837E-5</v>
      </c>
      <c r="S55" s="9"/>
      <c r="T55" s="7">
        <v>0</v>
      </c>
      <c r="U55" s="8">
        <f>IFERROR(T55/T444, "NA")</f>
        <v>0</v>
      </c>
      <c r="V55" s="9"/>
      <c r="W55" s="10">
        <f t="shared" si="14"/>
        <v>35.75</v>
      </c>
      <c r="X55" s="8">
        <f>IFERROR(W55/W444, "NA")</f>
        <v>-7.3332581204295345E-4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35.75</v>
      </c>
      <c r="AD55" s="8">
        <f>IFERROR(AC55/AC444, "NA")</f>
        <v>6.0971699580583043E-4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56.2</v>
      </c>
      <c r="R56" s="8">
        <f>IFERROR(Q56/Q444, "NA")</f>
        <v>8.0219954550970817E-5</v>
      </c>
      <c r="S56" s="9"/>
      <c r="T56" s="7">
        <v>0</v>
      </c>
      <c r="U56" s="8">
        <f>IFERROR(T56/T444, "NA")</f>
        <v>0</v>
      </c>
      <c r="V56" s="9"/>
      <c r="W56" s="10">
        <f t="shared" si="14"/>
        <v>56.2</v>
      </c>
      <c r="X56" s="8">
        <f>IFERROR(W56/W444, "NA")</f>
        <v>-1.15280868914165E-3</v>
      </c>
      <c r="Y56" s="9"/>
      <c r="Z56" s="7">
        <v>0</v>
      </c>
      <c r="AA56" s="8">
        <f>IFERROR(Z56/Z444, "NA")</f>
        <v>0</v>
      </c>
      <c r="AB56" s="9"/>
      <c r="AC56" s="10">
        <f t="shared" si="15"/>
        <v>56.2</v>
      </c>
      <c r="AD56" s="8">
        <f>IFERROR(AC56/AC444, "NA")</f>
        <v>9.5849217242762711E-4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492.65</v>
      </c>
      <c r="L59" s="8">
        <f>IFERROR(K59/K444, "NA")</f>
        <v>3.2938977143298419E-3</v>
      </c>
      <c r="M59" s="9"/>
      <c r="N59" s="10">
        <f t="shared" si="13"/>
        <v>-492.65</v>
      </c>
      <c r="O59" s="8">
        <f>IFERROR(N59/N444, "NA")</f>
        <v>0.10354227442012917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492.65</v>
      </c>
      <c r="AA59" s="8">
        <f>IFERROR(Z59/Z444, "NA")</f>
        <v>7.6743925281746702E-4</v>
      </c>
      <c r="AB59" s="9"/>
      <c r="AC59" s="10">
        <f t="shared" si="15"/>
        <v>-492.65</v>
      </c>
      <c r="AD59" s="8">
        <f>IFERROR(AC59/AC444, "NA")</f>
        <v>-8.4021560275172671E-3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5534.78</v>
      </c>
      <c r="C61" s="15">
        <f>IFERROR(B61/B444, "NA")</f>
        <v>3.8221905661824963E-2</v>
      </c>
      <c r="D61" s="2"/>
      <c r="E61" s="14">
        <f>IFERROR(E46+E47+E48+E49+E50+E51+E52+E53+E54+E55+E56+E57+E58+E59+E60, "NA")</f>
        <v>35651.68</v>
      </c>
      <c r="F61" s="15">
        <f>IFERROR(E61/E444, "NA")</f>
        <v>0.19700001624551908</v>
      </c>
      <c r="G61" s="2"/>
      <c r="H61" s="14">
        <f t="shared" si="12"/>
        <v>-30116.9</v>
      </c>
      <c r="I61" s="15">
        <f>IFERROR(H61/H444, "NA")</f>
        <v>0.83272941333261774</v>
      </c>
      <c r="J61" s="2"/>
      <c r="K61" s="14">
        <f>IFERROR(K46+K47+K48+K49+K50+K51+K52+K53+K54+K55+K56+K57+K58+K59+K60, "NA")</f>
        <v>35707.94</v>
      </c>
      <c r="L61" s="15">
        <f>IFERROR(K61/K444, "NA")</f>
        <v>0.23874617263661252</v>
      </c>
      <c r="M61" s="2"/>
      <c r="N61" s="14">
        <f t="shared" si="13"/>
        <v>-30173.160000000003</v>
      </c>
      <c r="O61" s="15">
        <f>IFERROR(N61/N444, "NA")</f>
        <v>6.3416169955190611</v>
      </c>
      <c r="P61" s="2"/>
      <c r="Q61" s="14">
        <f>IFERROR(Q46+Q47+Q48+Q49+Q50+Q51+Q52+Q53+Q54+Q55+Q56+Q57+Q58+Q59+Q60, "NA")</f>
        <v>90458.680000000008</v>
      </c>
      <c r="R61" s="15">
        <f>IFERROR(Q61/Q444, "NA")</f>
        <v>0.12912083982812833</v>
      </c>
      <c r="S61" s="2"/>
      <c r="T61" s="14">
        <f>IFERROR(T46+T47+T48+T49+T50+T51+T52+T53+T54+T55+T56+T57+T58+T59+T60, "NA")</f>
        <v>147616.9</v>
      </c>
      <c r="U61" s="15">
        <f>IFERROR(T61/T444, "NA")</f>
        <v>0.19700001195743921</v>
      </c>
      <c r="V61" s="2"/>
      <c r="W61" s="14">
        <f t="shared" si="14"/>
        <v>-57158.219999999987</v>
      </c>
      <c r="X61" s="15">
        <f>IFERROR(W61/W444, "NA")</f>
        <v>1.1724642824176159</v>
      </c>
      <c r="Y61" s="2"/>
      <c r="Z61" s="14">
        <f>IFERROR(Z46+Z47+Z48+Z49+Z50+Z51+Z52+Z53+Z54+Z55+Z56+Z57+Z58+Z59+Z60, "NA")</f>
        <v>126281.78</v>
      </c>
      <c r="AA61" s="15">
        <f>IFERROR(Z61/Z444, "NA")</f>
        <v>0.19671895846475135</v>
      </c>
      <c r="AB61" s="2"/>
      <c r="AC61" s="14">
        <f t="shared" si="15"/>
        <v>-35823.099999999991</v>
      </c>
      <c r="AD61" s="15">
        <f>IFERROR(AC61/AC444, "NA")</f>
        <v>-0.6109637178308206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25652.02</v>
      </c>
      <c r="C62" s="15">
        <f>IFERROR(B62/B444, "NA")</f>
        <v>0.17714689445203735</v>
      </c>
      <c r="D62" s="2"/>
      <c r="E62" s="14">
        <f>IFERROR(E42+E43+E44+E46+E47+E48+E49+E50+E51+E52+E53+E54+E55+E56+E57+E58+E59+E60, "NA")</f>
        <v>35651.68</v>
      </c>
      <c r="F62" s="15">
        <f>IFERROR(E62/E444, "NA")</f>
        <v>0.19700001624551908</v>
      </c>
      <c r="G62" s="2"/>
      <c r="H62" s="14">
        <f t="shared" si="12"/>
        <v>-9999.66</v>
      </c>
      <c r="I62" s="15">
        <f>IFERROR(H62/H444, "NA")</f>
        <v>0.27648964552545724</v>
      </c>
      <c r="J62" s="2"/>
      <c r="K62" s="14">
        <f>IFERROR(K42+K43+K44+K46+K47+K48+K49+K50+K51+K52+K53+K54+K55+K56+K57+K58+K59+K60, "NA")</f>
        <v>35707.94</v>
      </c>
      <c r="L62" s="15">
        <f>IFERROR(K62/K444, "NA")</f>
        <v>0.23874617263661252</v>
      </c>
      <c r="M62" s="2"/>
      <c r="N62" s="14">
        <f t="shared" si="13"/>
        <v>-10055.920000000002</v>
      </c>
      <c r="O62" s="15">
        <f>IFERROR(N62/N444, "NA")</f>
        <v>2.1134940184448707</v>
      </c>
      <c r="P62" s="2"/>
      <c r="Q62" s="14">
        <f>IFERROR(Q42+Q43+Q44+Q46+Q47+Q48+Q49+Q50+Q51+Q52+Q53+Q54+Q55+Q56+Q57+Q58+Q59+Q60, "NA")</f>
        <v>132031.18000000002</v>
      </c>
      <c r="R62" s="15">
        <f>IFERROR(Q62/Q444, "NA")</f>
        <v>0.18846148147528555</v>
      </c>
      <c r="S62" s="2"/>
      <c r="T62" s="14">
        <f>IFERROR(T42+T43+T44+T46+T47+T48+T49+T50+T51+T52+T53+T54+T55+T56+T57+T58+T59+T60, "NA")</f>
        <v>147616.9</v>
      </c>
      <c r="U62" s="15">
        <f>IFERROR(T62/T444, "NA")</f>
        <v>0.19700001195743921</v>
      </c>
      <c r="V62" s="2"/>
      <c r="W62" s="14">
        <f t="shared" si="14"/>
        <v>-15585.719999999972</v>
      </c>
      <c r="X62" s="15">
        <f>IFERROR(W62/W444, "NA")</f>
        <v>0.31970379790976444</v>
      </c>
      <c r="Y62" s="2"/>
      <c r="Z62" s="14">
        <f>IFERROR(Z42+Z43+Z44+Z46+Z47+Z48+Z49+Z50+Z51+Z52+Z53+Z54+Z55+Z56+Z57+Z58+Z59+Z60, "NA")</f>
        <v>126281.78</v>
      </c>
      <c r="AA62" s="15">
        <f>IFERROR(Z62/Z444, "NA")</f>
        <v>0.19671895846475135</v>
      </c>
      <c r="AB62" s="2"/>
      <c r="AC62" s="14">
        <f t="shared" si="15"/>
        <v>5749.4000000000233</v>
      </c>
      <c r="AD62" s="15">
        <f>IFERROR(AC62/AC444, "NA")</f>
        <v>9.805613694226728E-2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4422.6099999999997</v>
      </c>
      <c r="C65" s="8">
        <f>IFERROR(B65/B444, "NA")</f>
        <v>3.0541517856002173E-2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4422.6099999999997</v>
      </c>
      <c r="I65" s="8">
        <f>IFERROR(H65/H444, "NA")</f>
        <v>-0.12228474480105747</v>
      </c>
      <c r="J65" s="9"/>
      <c r="K65" s="7">
        <v>343.75</v>
      </c>
      <c r="L65" s="8">
        <f>IFERROR(K65/K444, "NA")</f>
        <v>2.298340280728475E-3</v>
      </c>
      <c r="M65" s="9"/>
      <c r="N65" s="10">
        <f t="shared" si="17"/>
        <v>4078.8599999999997</v>
      </c>
      <c r="O65" s="8">
        <f>IFERROR(N65/N444, "NA")</f>
        <v>-0.85727076310014827</v>
      </c>
      <c r="P65" s="9"/>
      <c r="Q65" s="7">
        <v>8755.11</v>
      </c>
      <c r="R65" s="8">
        <f>IFERROR(Q65/Q444, "NA")</f>
        <v>1.2497055627913702E-2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8755.11</v>
      </c>
      <c r="X65" s="8">
        <f>IFERROR(W65/W444, "NA")</f>
        <v>-0.17959015804966105</v>
      </c>
      <c r="Y65" s="9"/>
      <c r="Z65" s="7">
        <v>343.75</v>
      </c>
      <c r="AA65" s="8">
        <f>IFERROR(Z65/Z444, "NA")</f>
        <v>5.3548613245915817E-4</v>
      </c>
      <c r="AB65" s="9"/>
      <c r="AC65" s="10">
        <f t="shared" si="19"/>
        <v>8411.36</v>
      </c>
      <c r="AD65" s="8">
        <f>IFERROR(AC65/AC444, "NA")</f>
        <v>0.14345592027528195</v>
      </c>
    </row>
    <row r="66" spans="1:30" ht="16.5" customHeight="1" x14ac:dyDescent="0.45">
      <c r="A66" s="12" t="s">
        <v>63</v>
      </c>
      <c r="B66" s="7">
        <v>4049.29</v>
      </c>
      <c r="C66" s="8">
        <f>IFERROR(B66/B444, "NA")</f>
        <v>2.7963456610266571E-2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4049.29</v>
      </c>
      <c r="I66" s="8">
        <f>IFERROR(H66/H444, "NA")</f>
        <v>-0.1119624823973794</v>
      </c>
      <c r="J66" s="9"/>
      <c r="K66" s="7">
        <v>0</v>
      </c>
      <c r="L66" s="8">
        <f>IFERROR(K66/K444, "NA")</f>
        <v>0</v>
      </c>
      <c r="M66" s="9"/>
      <c r="N66" s="10">
        <f t="shared" si="17"/>
        <v>4049.29</v>
      </c>
      <c r="O66" s="8">
        <f>IFERROR(N66/N444, "NA")</f>
        <v>-0.85105591471975006</v>
      </c>
      <c r="P66" s="9"/>
      <c r="Q66" s="7">
        <v>35334.19</v>
      </c>
      <c r="R66" s="8">
        <f>IFERROR(Q66/Q444, "NA")</f>
        <v>5.0436069677853509E-2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35334.19</v>
      </c>
      <c r="X66" s="8">
        <f>IFERROR(W66/W444, "NA")</f>
        <v>-0.72479646362601413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35334.19</v>
      </c>
      <c r="AD66" s="8">
        <f>IFERROR(AC66/AC444, "NA")</f>
        <v>0.60262534758132635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customHeight="1" x14ac:dyDescent="0.45">
      <c r="A68" s="12" t="s">
        <v>65</v>
      </c>
      <c r="B68" s="7">
        <v>2041.52</v>
      </c>
      <c r="C68" s="8">
        <f>IFERROR(B68/B444, "NA")</f>
        <v>1.4098263137239223E-2</v>
      </c>
      <c r="D68" s="9"/>
      <c r="E68" s="7">
        <v>0</v>
      </c>
      <c r="F68" s="8">
        <f>IFERROR(E68/E444, "NA")</f>
        <v>0</v>
      </c>
      <c r="G68" s="9"/>
      <c r="H68" s="10">
        <f t="shared" si="16"/>
        <v>2041.52</v>
      </c>
      <c r="I68" s="8">
        <f>IFERROR(H68/H444, "NA")</f>
        <v>-5.6447833339646696E-2</v>
      </c>
      <c r="J68" s="9"/>
      <c r="K68" s="7">
        <v>0</v>
      </c>
      <c r="L68" s="8">
        <f>IFERROR(K68/K444, "NA")</f>
        <v>0</v>
      </c>
      <c r="M68" s="9"/>
      <c r="N68" s="10">
        <f t="shared" si="17"/>
        <v>2041.52</v>
      </c>
      <c r="O68" s="8">
        <f>IFERROR(N68/N444, "NA")</f>
        <v>-0.42907464543627755</v>
      </c>
      <c r="P68" s="9"/>
      <c r="Q68" s="7">
        <v>2879.87</v>
      </c>
      <c r="R68" s="8">
        <f>IFERROR(Q68/Q444, "NA")</f>
        <v>4.1107302582331726E-3</v>
      </c>
      <c r="S68" s="9"/>
      <c r="T68" s="7">
        <v>0</v>
      </c>
      <c r="U68" s="8">
        <f>IFERROR(T68/T444, "NA")</f>
        <v>0</v>
      </c>
      <c r="V68" s="9"/>
      <c r="W68" s="10">
        <f t="shared" si="18"/>
        <v>2879.87</v>
      </c>
      <c r="X68" s="8">
        <f>IFERROR(W68/W444, "NA")</f>
        <v>-5.9073650526661262E-2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2879.87</v>
      </c>
      <c r="AD68" s="8">
        <f>IFERROR(AC68/AC444, "NA")</f>
        <v>4.9116242928988439E-2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10513.42</v>
      </c>
      <c r="C73" s="15">
        <f>IFERROR(B73/B444, "NA")</f>
        <v>7.2603237603507967E-2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10513.42</v>
      </c>
      <c r="I73" s="15">
        <f>IFERROR(H73/H444, "NA")</f>
        <v>-0.29069506053808358</v>
      </c>
      <c r="J73" s="2"/>
      <c r="K73" s="14">
        <f>IFERROR(K64+K65+K66+K67+K68+K69+K70+K71+K72, "NA")</f>
        <v>343.75</v>
      </c>
      <c r="L73" s="15">
        <f>IFERROR(K73/K444, "NA")</f>
        <v>2.298340280728475E-3</v>
      </c>
      <c r="M73" s="2"/>
      <c r="N73" s="14">
        <f t="shared" si="17"/>
        <v>10169.67</v>
      </c>
      <c r="O73" s="15">
        <f>IFERROR(N73/N444, "NA")</f>
        <v>-2.1374013232561762</v>
      </c>
      <c r="P73" s="2"/>
      <c r="Q73" s="14">
        <f>IFERROR(Q64+Q65+Q66+Q67+Q68+Q69+Q70+Q71+Q72, "NA")</f>
        <v>46969.170000000006</v>
      </c>
      <c r="R73" s="15">
        <f>IFERROR(Q73/Q444, "NA")</f>
        <v>6.7043855564000387E-2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46969.170000000006</v>
      </c>
      <c r="X73" s="15">
        <f>IFERROR(W73/W444, "NA")</f>
        <v>-0.96346027220233654</v>
      </c>
      <c r="Y73" s="2"/>
      <c r="Z73" s="14">
        <f>IFERROR(Z64+Z65+Z66+Z67+Z68+Z69+Z70+Z71+Z72, "NA")</f>
        <v>343.75</v>
      </c>
      <c r="AA73" s="15">
        <f>IFERROR(Z73/Z444, "NA")</f>
        <v>5.3548613245915817E-4</v>
      </c>
      <c r="AB73" s="2"/>
      <c r="AC73" s="14">
        <f t="shared" si="19"/>
        <v>46625.420000000006</v>
      </c>
      <c r="AD73" s="15">
        <f>IFERROR(AC73/AC444, "NA")</f>
        <v>0.79519751078559675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2714.59</v>
      </c>
      <c r="F75" s="8">
        <f>IFERROR(E75/E444, "NA")</f>
        <v>1.4999974029272216E-2</v>
      </c>
      <c r="G75" s="9"/>
      <c r="H75" s="10">
        <f t="shared" ref="H75:H92" si="20">IFERROR(B75-E75, "NA")</f>
        <v>-2714.59</v>
      </c>
      <c r="I75" s="8">
        <f>IFERROR(H75/H444, "NA")</f>
        <v>7.5058154661953605E-2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11239.86</v>
      </c>
      <c r="U75" s="8">
        <f>IFERROR(T75/T444, "NA")</f>
        <v>1.4999993594229001E-2</v>
      </c>
      <c r="V75" s="9"/>
      <c r="W75" s="10">
        <f t="shared" ref="W75:W92" si="22">IFERROR(Q75-T75, "NA")</f>
        <v>-11239.86</v>
      </c>
      <c r="X75" s="8">
        <f>IFERROR(W75/W444, "NA")</f>
        <v>0.23055886606291218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1737.59</v>
      </c>
      <c r="C77" s="8">
        <f>IFERROR(B77/B444, "NA")</f>
        <v>1.1999393121123232E-2</v>
      </c>
      <c r="D77" s="9"/>
      <c r="E77" s="7">
        <v>0</v>
      </c>
      <c r="F77" s="8">
        <f>IFERROR(E77/E444, "NA")</f>
        <v>0</v>
      </c>
      <c r="G77" s="9"/>
      <c r="H77" s="10">
        <f t="shared" si="20"/>
        <v>1737.59</v>
      </c>
      <c r="I77" s="8">
        <f>IFERROR(H77/H444, "NA")</f>
        <v>-4.8044197819583793E-2</v>
      </c>
      <c r="J77" s="9"/>
      <c r="K77" s="7">
        <v>101.66</v>
      </c>
      <c r="L77" s="8">
        <f>IFERROR(K77/K444, "NA")</f>
        <v>6.797069758221288E-4</v>
      </c>
      <c r="M77" s="9"/>
      <c r="N77" s="10">
        <f t="shared" si="21"/>
        <v>1635.9299999999998</v>
      </c>
      <c r="O77" s="8">
        <f>IFERROR(N77/N444, "NA")</f>
        <v>-0.34383012887876163</v>
      </c>
      <c r="P77" s="9"/>
      <c r="Q77" s="7">
        <v>3514.63</v>
      </c>
      <c r="R77" s="8">
        <f>IFERROR(Q77/Q444, "NA")</f>
        <v>5.0167875242611839E-3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3514.63</v>
      </c>
      <c r="X77" s="8">
        <f>IFERROR(W77/W444, "NA")</f>
        <v>-7.209423493092379E-2</v>
      </c>
      <c r="Y77" s="9"/>
      <c r="Z77" s="7">
        <v>469.43</v>
      </c>
      <c r="AA77" s="8">
        <f>IFERROR(Z77/Z444, "NA")</f>
        <v>7.3126765137542589E-4</v>
      </c>
      <c r="AB77" s="9"/>
      <c r="AC77" s="10">
        <f t="shared" si="23"/>
        <v>3045.2000000000003</v>
      </c>
      <c r="AD77" s="8">
        <f>IFERROR(AC77/AC444, "NA")</f>
        <v>5.1935949528053561E-2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2.99</v>
      </c>
      <c r="L79" s="8">
        <f>IFERROR(K79/K444, "NA")</f>
        <v>1.9991381641827318E-5</v>
      </c>
      <c r="M79" s="9"/>
      <c r="N79" s="10">
        <f t="shared" si="21"/>
        <v>-2.99</v>
      </c>
      <c r="O79" s="8">
        <f>IFERROR(N79/N444, "NA")</f>
        <v>6.28420583611461E-4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44.85</v>
      </c>
      <c r="AA79" s="8">
        <f>IFERROR(Z79/Z444, "NA")</f>
        <v>6.9866336118671265E-5</v>
      </c>
      <c r="AB79" s="9"/>
      <c r="AC79" s="10">
        <f t="shared" si="23"/>
        <v>-44.85</v>
      </c>
      <c r="AD79" s="8">
        <f>IFERROR(AC79/AC444, "NA")</f>
        <v>-7.6491768564731447E-4</v>
      </c>
    </row>
    <row r="80" spans="1:30" ht="16.5" customHeight="1" x14ac:dyDescent="0.45">
      <c r="A80" s="12" t="s">
        <v>76</v>
      </c>
      <c r="B80" s="7">
        <v>551.41999999999996</v>
      </c>
      <c r="C80" s="8">
        <f>IFERROR(B80/B444, "NA")</f>
        <v>3.8079784959914433E-3</v>
      </c>
      <c r="D80" s="9"/>
      <c r="E80" s="7">
        <v>0</v>
      </c>
      <c r="F80" s="8">
        <f>IFERROR(E80/E444, "NA")</f>
        <v>0</v>
      </c>
      <c r="G80" s="9"/>
      <c r="H80" s="10">
        <f t="shared" si="20"/>
        <v>551.41999999999996</v>
      </c>
      <c r="I80" s="8">
        <f>IFERROR(H80/H444, "NA")</f>
        <v>-1.5246710421719101E-2</v>
      </c>
      <c r="J80" s="9"/>
      <c r="K80" s="7">
        <v>2460</v>
      </c>
      <c r="L80" s="8">
        <f>IFERROR(K80/K444, "NA")</f>
        <v>1.6447758808995051E-2</v>
      </c>
      <c r="M80" s="9"/>
      <c r="N80" s="10">
        <f t="shared" si="21"/>
        <v>-1908.58</v>
      </c>
      <c r="O80" s="8">
        <f>IFERROR(N80/N444, "NA")</f>
        <v>0.4011340994880141</v>
      </c>
      <c r="P80" s="9"/>
      <c r="Q80" s="7">
        <v>7138.37</v>
      </c>
      <c r="R80" s="8">
        <f>IFERROR(Q80/Q444, "NA")</f>
        <v>1.0189318807260027E-2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7138.37</v>
      </c>
      <c r="X80" s="8">
        <f>IFERROR(W80/W444, "NA")</f>
        <v>-0.1464266007528128</v>
      </c>
      <c r="Y80" s="9"/>
      <c r="Z80" s="7">
        <v>7960</v>
      </c>
      <c r="AA80" s="8">
        <f>IFERROR(Z80/Z444, "NA")</f>
        <v>1.2399911605454252E-2</v>
      </c>
      <c r="AB80" s="9"/>
      <c r="AC80" s="10">
        <f t="shared" si="23"/>
        <v>-821.63000000000011</v>
      </c>
      <c r="AD80" s="8">
        <f>IFERROR(AC80/AC444, "NA")</f>
        <v>-1.4012916790599846E-2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2289.0099999999998</v>
      </c>
      <c r="C88" s="15">
        <f>IFERROR(B88/B444, "NA")</f>
        <v>1.5807371617114676E-2</v>
      </c>
      <c r="D88" s="2"/>
      <c r="E88" s="14">
        <f>IFERROR(E75+E76+E77+E78+E79+E80+E81+E82+E83+E84+E85+E86+E87, "NA")</f>
        <v>2714.59</v>
      </c>
      <c r="F88" s="15">
        <f>IFERROR(E88/E444, "NA")</f>
        <v>1.4999974029272216E-2</v>
      </c>
      <c r="G88" s="2"/>
      <c r="H88" s="14">
        <f t="shared" si="20"/>
        <v>-425.58000000000038</v>
      </c>
      <c r="I88" s="15">
        <f>IFERROR(H88/H444, "NA")</f>
        <v>1.1767246420650723E-2</v>
      </c>
      <c r="J88" s="2"/>
      <c r="K88" s="14">
        <f>IFERROR(K75+K76+K77+K78+K79+K80+K81+K82+K83+K84+K85+K86+K87, "NA")</f>
        <v>2564.65</v>
      </c>
      <c r="L88" s="15">
        <f>IFERROR(K88/K444, "NA")</f>
        <v>1.7147457166459008E-2</v>
      </c>
      <c r="M88" s="2"/>
      <c r="N88" s="14">
        <f t="shared" si="21"/>
        <v>-275.64000000000033</v>
      </c>
      <c r="O88" s="15">
        <f>IFERROR(N88/N444, "NA")</f>
        <v>5.7932391192863981E-2</v>
      </c>
      <c r="P88" s="2"/>
      <c r="Q88" s="14">
        <f>IFERROR(Q75+Q76+Q77+Q78+Q79+Q80+Q81+Q82+Q83+Q84+Q85+Q86+Q87, "NA")</f>
        <v>10653</v>
      </c>
      <c r="R88" s="15">
        <f>IFERROR(Q88/Q444, "NA")</f>
        <v>1.520610633152121E-2</v>
      </c>
      <c r="S88" s="2"/>
      <c r="T88" s="14">
        <f>IFERROR(T75+T76+T77+T78+T79+T80+T81+T82+T83+T84+T85+T86+T87, "NA")</f>
        <v>11239.86</v>
      </c>
      <c r="U88" s="15">
        <f>IFERROR(T88/T444, "NA")</f>
        <v>1.4999993594229001E-2</v>
      </c>
      <c r="V88" s="2"/>
      <c r="W88" s="14">
        <f t="shared" si="22"/>
        <v>-586.86000000000058</v>
      </c>
      <c r="X88" s="15">
        <f>IFERROR(W88/W444, "NA")</f>
        <v>1.2038030379175611E-2</v>
      </c>
      <c r="Y88" s="2"/>
      <c r="Z88" s="14">
        <f>IFERROR(Z75+Z76+Z77+Z78+Z79+Z80+Z81+Z82+Z83+Z84+Z85+Z86+Z87, "NA")</f>
        <v>8474.2800000000007</v>
      </c>
      <c r="AA88" s="15">
        <f>IFERROR(Z88/Z444, "NA")</f>
        <v>1.3201045592948352E-2</v>
      </c>
      <c r="AB88" s="2"/>
      <c r="AC88" s="14">
        <f t="shared" si="23"/>
        <v>2178.7199999999993</v>
      </c>
      <c r="AD88" s="15">
        <f>IFERROR(AC88/AC444, "NA")</f>
        <v>3.7158115051806391E-2</v>
      </c>
    </row>
    <row r="89" spans="1:30" ht="16.5" customHeight="1" x14ac:dyDescent="0.45">
      <c r="A89" s="6" t="s">
        <v>85</v>
      </c>
      <c r="B89" s="7">
        <v>105.88</v>
      </c>
      <c r="C89" s="8">
        <f>IFERROR(B89/B444, "NA")</f>
        <v>7.3118269768157487E-4</v>
      </c>
      <c r="D89" s="9"/>
      <c r="E89" s="7">
        <v>0</v>
      </c>
      <c r="F89" s="8">
        <f>IFERROR(E89/E444, "NA")</f>
        <v>0</v>
      </c>
      <c r="G89" s="9"/>
      <c r="H89" s="10">
        <f t="shared" si="20"/>
        <v>105.88</v>
      </c>
      <c r="I89" s="8">
        <f>IFERROR(H89/H444, "NA")</f>
        <v>-2.9275719042682865E-3</v>
      </c>
      <c r="J89" s="9"/>
      <c r="K89" s="7">
        <v>-171.81</v>
      </c>
      <c r="L89" s="8">
        <f>IFERROR(K89/K444, "NA")</f>
        <v>-1.1487355451111543E-3</v>
      </c>
      <c r="M89" s="9"/>
      <c r="N89" s="10">
        <f t="shared" si="21"/>
        <v>277.69</v>
      </c>
      <c r="O89" s="8">
        <f>IFERROR(N89/N444, "NA")</f>
        <v>-5.8363248114737989E-2</v>
      </c>
      <c r="P89" s="9"/>
      <c r="Q89" s="7">
        <v>89.94</v>
      </c>
      <c r="R89" s="8">
        <f>IFERROR(Q89/Q444, "NA")</f>
        <v>1.2838047530808389E-4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89.94</v>
      </c>
      <c r="X89" s="8">
        <f>IFERROR(W89/W444, "NA")</f>
        <v>-1.8449041548291812E-3</v>
      </c>
      <c r="Y89" s="9"/>
      <c r="Z89" s="7">
        <v>-165.72</v>
      </c>
      <c r="AA89" s="8">
        <f>IFERROR(Z89/Z444, "NA")</f>
        <v>-2.5815494362511042E-4</v>
      </c>
      <c r="AB89" s="9"/>
      <c r="AC89" s="10">
        <f t="shared" si="23"/>
        <v>255.66</v>
      </c>
      <c r="AD89" s="8">
        <f>IFERROR(AC89/AC444, "NA")</f>
        <v>4.3602866335026181E-3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-7781.84</v>
      </c>
      <c r="F94" s="8">
        <f>IFERROR(E94/E444, "NA")</f>
        <v>-4.3000010277777376E-2</v>
      </c>
      <c r="G94" s="9"/>
      <c r="H94" s="10">
        <f t="shared" ref="H94:H124" si="24">IFERROR(B94-E94, "NA")</f>
        <v>7781.84</v>
      </c>
      <c r="I94" s="8">
        <f>IFERROR(H94/H444, "NA")</f>
        <v>-0.21516713399613829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-32220.95</v>
      </c>
      <c r="U94" s="8">
        <f>IFERROR(T94/T444, "NA")</f>
        <v>-4.3000005658431054E-2</v>
      </c>
      <c r="V94" s="9"/>
      <c r="W94" s="10">
        <f t="shared" ref="W94:W124" si="26">IFERROR(Q94-T94, "NA")</f>
        <v>32220.95</v>
      </c>
      <c r="X94" s="8">
        <f>IFERROR(W94/W444, "NA")</f>
        <v>-0.66093578527399721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-438.95</v>
      </c>
      <c r="C96" s="8">
        <f>IFERROR(B96/B444, "NA")</f>
        <v>-3.031286788320054E-3</v>
      </c>
      <c r="D96" s="9"/>
      <c r="E96" s="7">
        <v>0</v>
      </c>
      <c r="F96" s="8">
        <f>IFERROR(E96/E444, "NA")</f>
        <v>0</v>
      </c>
      <c r="G96" s="9"/>
      <c r="H96" s="10">
        <f t="shared" si="24"/>
        <v>-438.95</v>
      </c>
      <c r="I96" s="8">
        <f>IFERROR(H96/H444, "NA")</f>
        <v>1.2136925645811904E-2</v>
      </c>
      <c r="J96" s="9"/>
      <c r="K96" s="7">
        <v>-1451.89</v>
      </c>
      <c r="L96" s="8">
        <f>IFERROR(K96/K444, "NA")</f>
        <v>-9.707453876907246E-3</v>
      </c>
      <c r="M96" s="9"/>
      <c r="N96" s="10">
        <f t="shared" si="25"/>
        <v>1012.94</v>
      </c>
      <c r="O96" s="8">
        <f>IFERROR(N96/N444, "NA")</f>
        <v>-0.21289376119177034</v>
      </c>
      <c r="P96" s="9"/>
      <c r="Q96" s="7">
        <v>-6480.05</v>
      </c>
      <c r="R96" s="8">
        <f>IFERROR(Q96/Q444, "NA")</f>
        <v>-9.2496319659789751E-3</v>
      </c>
      <c r="S96" s="9"/>
      <c r="T96" s="7">
        <v>0</v>
      </c>
      <c r="U96" s="8">
        <f>IFERROR(T96/T444, "NA")</f>
        <v>0</v>
      </c>
      <c r="V96" s="9"/>
      <c r="W96" s="10">
        <f t="shared" si="26"/>
        <v>-6480.05</v>
      </c>
      <c r="X96" s="8">
        <f>IFERROR(W96/W444, "NA")</f>
        <v>0.13292273925395637</v>
      </c>
      <c r="Y96" s="9"/>
      <c r="Z96" s="7">
        <v>-7879.93</v>
      </c>
      <c r="AA96" s="8">
        <f>IFERROR(Z96/Z444, "NA")</f>
        <v>-1.2275180333814967E-2</v>
      </c>
      <c r="AB96" s="9"/>
      <c r="AC96" s="10">
        <f t="shared" si="27"/>
        <v>1399.88</v>
      </c>
      <c r="AD96" s="8">
        <f>IFERROR(AC96/AC444, "NA")</f>
        <v>2.3874982603878766E-2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-4466.82</v>
      </c>
      <c r="C98" s="8">
        <f>IFERROR(B98/B444, "NA")</f>
        <v>-3.0846821851700155E-2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-4466.82</v>
      </c>
      <c r="I98" s="8">
        <f>IFERROR(H98/H444, "NA")</f>
        <v>0.1235071470856032</v>
      </c>
      <c r="J98" s="9"/>
      <c r="K98" s="7">
        <v>-2922.06</v>
      </c>
      <c r="L98" s="8">
        <f>IFERROR(K98/K444, "NA")</f>
        <v>-1.9537129311143122E-2</v>
      </c>
      <c r="M98" s="9"/>
      <c r="N98" s="10">
        <f t="shared" si="25"/>
        <v>-1544.7599999999998</v>
      </c>
      <c r="O98" s="8">
        <f>IFERROR(N98/N444, "NA")</f>
        <v>0.32466855543131784</v>
      </c>
      <c r="P98" s="9"/>
      <c r="Q98" s="7">
        <v>-16507.740000000002</v>
      </c>
      <c r="R98" s="8">
        <f>IFERROR(Q98/Q444, "NA")</f>
        <v>-2.3563169974007883E-2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-16507.740000000002</v>
      </c>
      <c r="X98" s="8">
        <f>IFERROR(W98/W444, "NA")</f>
        <v>0.33861683469913134</v>
      </c>
      <c r="Y98" s="9"/>
      <c r="Z98" s="7">
        <v>-15628.54</v>
      </c>
      <c r="AA98" s="8">
        <f>IFERROR(Z98/Z444, "NA")</f>
        <v>-2.4345793281696736E-2</v>
      </c>
      <c r="AB98" s="9"/>
      <c r="AC98" s="10">
        <f t="shared" si="27"/>
        <v>-879.20000000000073</v>
      </c>
      <c r="AD98" s="8">
        <f>IFERROR(AC98/AC444, "NA")</f>
        <v>-1.4994774341608015E-2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-276.44</v>
      </c>
      <c r="C100" s="8">
        <f>IFERROR(B100/B444, "NA")</f>
        <v>-1.9090304585105268E-3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-276.44</v>
      </c>
      <c r="I100" s="8">
        <f>IFERROR(H100/H444, "NA")</f>
        <v>7.6435396412535429E-3</v>
      </c>
      <c r="J100" s="9"/>
      <c r="K100" s="7">
        <v>-105.78</v>
      </c>
      <c r="L100" s="8">
        <f>IFERROR(K100/K444, "NA")</f>
        <v>-7.072536287867872E-4</v>
      </c>
      <c r="M100" s="9"/>
      <c r="N100" s="10">
        <f t="shared" si="25"/>
        <v>-170.66</v>
      </c>
      <c r="O100" s="8">
        <f>IFERROR(N100/N444, "NA")</f>
        <v>3.5868313310746462E-2</v>
      </c>
      <c r="P100" s="9"/>
      <c r="Q100" s="7">
        <v>-3162.5</v>
      </c>
      <c r="R100" s="8">
        <f>IFERROR(Q100/Q444, "NA")</f>
        <v>-4.5141566951502699E-3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-3162.5</v>
      </c>
      <c r="X100" s="8">
        <f>IFERROR(W100/W444, "NA")</f>
        <v>6.4871129526876653E-2</v>
      </c>
      <c r="Y100" s="9"/>
      <c r="Z100" s="7">
        <v>-620.38</v>
      </c>
      <c r="AA100" s="8">
        <f>IFERROR(Z100/Z444, "NA")</f>
        <v>-9.6641421630549106E-4</v>
      </c>
      <c r="AB100" s="9"/>
      <c r="AC100" s="10">
        <f t="shared" si="27"/>
        <v>-2542.12</v>
      </c>
      <c r="AD100" s="8">
        <f>IFERROR(AC100/AC444, "NA")</f>
        <v>-4.335590963294874E-2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-167.74</v>
      </c>
      <c r="C102" s="8">
        <f>IFERROR(B102/B444, "NA")</f>
        <v>-1.1583734955525821E-3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-167.74</v>
      </c>
      <c r="I102" s="8">
        <f>IFERROR(H102/H444, "NA")</f>
        <v>4.6379950058742202E-3</v>
      </c>
      <c r="J102" s="9"/>
      <c r="K102" s="7">
        <v>-356.18</v>
      </c>
      <c r="L102" s="8">
        <f>IFERROR(K102/K444, "NA")</f>
        <v>-2.3814482652796168E-3</v>
      </c>
      <c r="M102" s="9"/>
      <c r="N102" s="10">
        <f t="shared" si="25"/>
        <v>188.44</v>
      </c>
      <c r="O102" s="8">
        <f>IFERROR(N102/N444, "NA")</f>
        <v>-3.9605208955098226E-2</v>
      </c>
      <c r="P102" s="9"/>
      <c r="Q102" s="7">
        <v>-1890.53</v>
      </c>
      <c r="R102" s="8">
        <f>IFERROR(Q102/Q444, "NA")</f>
        <v>-2.69854502984425E-3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-1890.53</v>
      </c>
      <c r="X102" s="8">
        <f>IFERROR(W102/W444, "NA")</f>
        <v>3.8779704823540269E-2</v>
      </c>
      <c r="Y102" s="9"/>
      <c r="Z102" s="7">
        <v>-2159.08</v>
      </c>
      <c r="AA102" s="8">
        <f>IFERROR(Z102/Z444, "NA")</f>
        <v>-3.363366978530674E-3</v>
      </c>
      <c r="AB102" s="9"/>
      <c r="AC102" s="10">
        <f t="shared" si="27"/>
        <v>268.54999999999995</v>
      </c>
      <c r="AD102" s="8">
        <f>IFERROR(AC102/AC444, "NA")</f>
        <v>4.5801258524099499E-3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-861.13</v>
      </c>
      <c r="C104" s="8">
        <f>IFERROR(B104/B444, "NA")</f>
        <v>-5.9467638501561641E-3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-861.13</v>
      </c>
      <c r="I104" s="8">
        <f>IFERROR(H104/H444, "NA")</f>
        <v>2.3810162390654983E-2</v>
      </c>
      <c r="J104" s="9"/>
      <c r="K104" s="7">
        <v>-2142.96</v>
      </c>
      <c r="L104" s="8">
        <f>IFERROR(K104/K444, "NA")</f>
        <v>-1.4328003746879689E-2</v>
      </c>
      <c r="M104" s="9"/>
      <c r="N104" s="10">
        <f t="shared" si="25"/>
        <v>1281.83</v>
      </c>
      <c r="O104" s="8">
        <f>IFERROR(N104/N444, "NA")</f>
        <v>-0.26940747715407326</v>
      </c>
      <c r="P104" s="9"/>
      <c r="Q104" s="7">
        <v>-4646.3599999999997</v>
      </c>
      <c r="R104" s="8">
        <f>IFERROR(Q104/Q444, "NA")</f>
        <v>-6.6322204275346746E-3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-4646.3599999999997</v>
      </c>
      <c r="X104" s="8">
        <f>IFERROR(W104/W444, "NA")</f>
        <v>9.5308971190039074E-2</v>
      </c>
      <c r="Y104" s="9"/>
      <c r="Z104" s="7">
        <v>-7860.87</v>
      </c>
      <c r="AA104" s="8">
        <f>IFERROR(Z104/Z444, "NA")</f>
        <v>-1.2245489088186831E-2</v>
      </c>
      <c r="AB104" s="9"/>
      <c r="AC104" s="10">
        <f t="shared" si="27"/>
        <v>3214.51</v>
      </c>
      <c r="AD104" s="8">
        <f>IFERROR(AC104/AC444, "NA")</f>
        <v>5.4823535110148251E-2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0</v>
      </c>
      <c r="L106" s="8">
        <f>IFERROR(K106/K444, "NA")</f>
        <v>0</v>
      </c>
      <c r="M106" s="9"/>
      <c r="N106" s="10">
        <f t="shared" si="25"/>
        <v>0</v>
      </c>
      <c r="O106" s="8">
        <f>IFERROR(N106/N444, "NA")</f>
        <v>0</v>
      </c>
      <c r="P106" s="9"/>
      <c r="Q106" s="7">
        <v>-145.1</v>
      </c>
      <c r="R106" s="8">
        <f>IFERROR(Q106/Q444, "NA")</f>
        <v>-2.0711593247946377E-4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-145.1</v>
      </c>
      <c r="X106" s="8">
        <f>IFERROR(W106/W444, "NA")</f>
        <v>2.9763797294386721E-3</v>
      </c>
      <c r="Y106" s="9"/>
      <c r="Z106" s="7">
        <v>-2385.25</v>
      </c>
      <c r="AA106" s="8">
        <f>IFERROR(Z106/Z444, "NA")</f>
        <v>-3.7156895925766027E-3</v>
      </c>
      <c r="AB106" s="9"/>
      <c r="AC106" s="10">
        <f t="shared" si="27"/>
        <v>2240.15</v>
      </c>
      <c r="AD106" s="8">
        <f>IFERROR(AC106/AC444, "NA")</f>
        <v>3.8205804983340724E-2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-5</v>
      </c>
      <c r="AA108" s="8">
        <f>IFERROR(Z108/Z444, "NA")</f>
        <v>-7.7888891994059375E-6</v>
      </c>
      <c r="AB108" s="9"/>
      <c r="AC108" s="10">
        <f t="shared" si="27"/>
        <v>5</v>
      </c>
      <c r="AD108" s="8">
        <f>IFERROR(AC108/AC444, "NA")</f>
        <v>8.527510430850774E-5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-6211.079999999999</v>
      </c>
      <c r="C118" s="15">
        <f>IFERROR(B118/B444, "NA")</f>
        <v>-4.2892276444239479E-2</v>
      </c>
      <c r="D118" s="2"/>
      <c r="E118" s="14">
        <f>IFERROR(E94+E95+E96+E97+E98+E99+E100+E101+E102+E103+E104+E105+E106+E107+E108+E109+E110+E111+E112+E113+E114+E115+E116+E117, "NA")</f>
        <v>-7781.84</v>
      </c>
      <c r="F118" s="15">
        <f>IFERROR(E118/E444, "NA")</f>
        <v>-4.3000010277777376E-2</v>
      </c>
      <c r="G118" s="2"/>
      <c r="H118" s="14">
        <f t="shared" si="24"/>
        <v>1570.7600000000011</v>
      </c>
      <c r="I118" s="15">
        <f>IFERROR(H118/H444, "NA")</f>
        <v>-4.3431364226940473E-2</v>
      </c>
      <c r="J118" s="2"/>
      <c r="K118" s="14">
        <f>IFERROR(K94+K95+K96+K97+K98+K99+K100+K101+K102+K103+K104+K105+K106+K107+K108+K109+K110+K111+K112+K113+K114+K115+K116+K117, "NA")</f>
        <v>-6978.87</v>
      </c>
      <c r="L118" s="15">
        <f>IFERROR(K118/K444, "NA")</f>
        <v>-4.6661288828996457E-2</v>
      </c>
      <c r="M118" s="2"/>
      <c r="N118" s="14">
        <f t="shared" si="25"/>
        <v>767.79000000000087</v>
      </c>
      <c r="O118" s="15">
        <f>IFERROR(N118/N444, "NA")</f>
        <v>-0.16136957855887765</v>
      </c>
      <c r="P118" s="2"/>
      <c r="Q118" s="14">
        <f>IFERROR(Q94+Q95+Q96+Q97+Q98+Q99+Q100+Q101+Q102+Q103+Q104+Q105+Q106+Q107+Q108+Q109+Q110+Q111+Q112+Q113+Q114+Q115+Q116+Q117, "NA")</f>
        <v>-32832.28</v>
      </c>
      <c r="R118" s="15">
        <f>IFERROR(Q118/Q444, "NA")</f>
        <v>-4.686484002499551E-2</v>
      </c>
      <c r="S118" s="2"/>
      <c r="T118" s="14">
        <f>IFERROR(T94+T95+T96+T97+T98+T99+T100+T101+T102+T103+T104+T105+T106+T107+T108+T109+T110+T111+T112+T113+T114+T115+T116+T117, "NA")</f>
        <v>-32220.95</v>
      </c>
      <c r="U118" s="15">
        <f>IFERROR(T118/T444, "NA")</f>
        <v>-4.3000005658431054E-2</v>
      </c>
      <c r="V118" s="2"/>
      <c r="W118" s="14">
        <f t="shared" si="26"/>
        <v>-611.32999999999811</v>
      </c>
      <c r="X118" s="15">
        <f>IFERROR(W118/W444, "NA")</f>
        <v>1.25399739489851E-2</v>
      </c>
      <c r="Y118" s="2"/>
      <c r="Z118" s="14">
        <f>IFERROR(Z94+Z95+Z96+Z97+Z98+Z99+Z100+Z101+Z102+Z103+Z104+Z105+Z106+Z107+Z108+Z109+Z110+Z111+Z112+Z113+Z114+Z115+Z116+Z117, "NA")</f>
        <v>-36539.050000000003</v>
      </c>
      <c r="AA118" s="15">
        <f>IFERROR(Z118/Z444, "NA")</f>
        <v>-5.6919722380310712E-2</v>
      </c>
      <c r="AB118" s="2"/>
      <c r="AC118" s="14">
        <f t="shared" si="27"/>
        <v>3706.7700000000041</v>
      </c>
      <c r="AD118" s="15">
        <f>IFERROR(AC118/AC444, "NA")</f>
        <v>6.3219039679529521E-2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144806.49</v>
      </c>
      <c r="C122" s="15">
        <f>IFERROR(B122/B444, "NA")</f>
        <v>1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180972.97999999998</v>
      </c>
      <c r="F122" s="15">
        <f>IFERROR(E122/E444, "NA")</f>
        <v>0.99999999999999989</v>
      </c>
      <c r="G122" s="2"/>
      <c r="H122" s="14">
        <f t="shared" si="24"/>
        <v>-36166.489999999991</v>
      </c>
      <c r="I122" s="15">
        <f>IFERROR(H122/H444, "NA")</f>
        <v>0.99999999999999922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149564.45000000001</v>
      </c>
      <c r="L122" s="15">
        <f>IFERROR(K122/K444, "NA")</f>
        <v>1</v>
      </c>
      <c r="M122" s="2"/>
      <c r="N122" s="14">
        <f t="shared" si="25"/>
        <v>-4757.960000000021</v>
      </c>
      <c r="O122" s="15">
        <f>IFERROR(N122/N444, "NA")</f>
        <v>1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700573.81999999972</v>
      </c>
      <c r="R122" s="15">
        <f>IFERROR(Q122/Q444, "NA")</f>
        <v>0.99999999999999967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749324.32000000007</v>
      </c>
      <c r="U122" s="15">
        <f>IFERROR(T122/T444, "NA")</f>
        <v>1.0000000000000002</v>
      </c>
      <c r="V122" s="2"/>
      <c r="W122" s="14">
        <f t="shared" si="26"/>
        <v>-48750.500000000349</v>
      </c>
      <c r="X122" s="15">
        <f>IFERROR(W122/W444, "NA")</f>
        <v>1.0000000000000071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641940.06000000006</v>
      </c>
      <c r="AA122" s="15">
        <f>IFERROR(Z122/Z444, "NA")</f>
        <v>1</v>
      </c>
      <c r="AB122" s="2"/>
      <c r="AC122" s="14">
        <f t="shared" si="27"/>
        <v>58633.75999999966</v>
      </c>
      <c r="AD122" s="15">
        <f>IFERROR(AC122/AC444, "NA")</f>
        <v>0.999999999999996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144806.49</v>
      </c>
      <c r="C124" s="15">
        <f>IFERROR(B124/B444, "NA")</f>
        <v>1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180972.97999999998</v>
      </c>
      <c r="F124" s="15">
        <f>IFERROR(E124/E444, "NA")</f>
        <v>0.99999999999999989</v>
      </c>
      <c r="G124" s="2"/>
      <c r="H124" s="14">
        <f t="shared" si="24"/>
        <v>-36166.489999999991</v>
      </c>
      <c r="I124" s="15">
        <f>IFERROR(H124/H444, "NA")</f>
        <v>0.99999999999999922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149564.45000000001</v>
      </c>
      <c r="L124" s="15">
        <f>IFERROR(K124/K444, "NA")</f>
        <v>1</v>
      </c>
      <c r="M124" s="2"/>
      <c r="N124" s="14">
        <f t="shared" si="25"/>
        <v>-4757.960000000021</v>
      </c>
      <c r="O124" s="15">
        <f>IFERROR(N124/N444, "NA")</f>
        <v>1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700573.81999999972</v>
      </c>
      <c r="R124" s="15">
        <f>IFERROR(Q124/Q444, "NA")</f>
        <v>0.99999999999999967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749324.32000000007</v>
      </c>
      <c r="U124" s="15">
        <f>IFERROR(T124/T444, "NA")</f>
        <v>1.0000000000000002</v>
      </c>
      <c r="V124" s="2"/>
      <c r="W124" s="14">
        <f t="shared" si="26"/>
        <v>-48750.500000000349</v>
      </c>
      <c r="X124" s="15">
        <f>IFERROR(W124/W444, "NA")</f>
        <v>1.0000000000000071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641940.06000000006</v>
      </c>
      <c r="AA124" s="15">
        <f>IFERROR(Z124/Z444, "NA")</f>
        <v>1</v>
      </c>
      <c r="AB124" s="2"/>
      <c r="AC124" s="14">
        <f t="shared" si="27"/>
        <v>58633.75999999966</v>
      </c>
      <c r="AD124" s="15">
        <f>IFERROR(AC124/AC444, "NA")</f>
        <v>0.999999999999996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40899.89</v>
      </c>
      <c r="F129" s="8">
        <f>IFERROR(E129/E444, "NA")</f>
        <v>0.22599998077061004</v>
      </c>
      <c r="G129" s="9"/>
      <c r="H129" s="10">
        <f t="shared" ref="H129:H141" si="28">IFERROR(-(B129-E129), "NA")</f>
        <v>40899.89</v>
      </c>
      <c r="I129" s="8">
        <f>IFERROR(H129/H444, "NA")</f>
        <v>-1.130878058667014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174855.5</v>
      </c>
      <c r="U129" s="8">
        <f>IFERROR(T129/T444, "NA")</f>
        <v>0.23335089404278245</v>
      </c>
      <c r="V129" s="9"/>
      <c r="W129" s="10">
        <f t="shared" ref="W129:W141" si="30">IFERROR(-(Q129-T129), "NA")</f>
        <v>174855.5</v>
      </c>
      <c r="X129" s="8">
        <f>IFERROR(W129/W444, "NA")</f>
        <v>-3.5867427000748711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7981.11</v>
      </c>
      <c r="C130" s="8">
        <f>IFERROR(B130/B444, "NA")</f>
        <v>5.5115692673719255E-2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-7981.11</v>
      </c>
      <c r="I130" s="8">
        <f>IFERROR(H130/H444, "NA")</f>
        <v>0.22067693049560505</v>
      </c>
      <c r="J130" s="9"/>
      <c r="K130" s="7">
        <v>10326.120000000001</v>
      </c>
      <c r="L130" s="8">
        <f>IFERROR(K130/K444, "NA")</f>
        <v>6.9041272842577231E-2</v>
      </c>
      <c r="M130" s="9"/>
      <c r="N130" s="10">
        <f t="shared" si="29"/>
        <v>2345.0100000000011</v>
      </c>
      <c r="O130" s="8">
        <f>IFERROR(N130/N444, "NA")</f>
        <v>-0.49286038554338218</v>
      </c>
      <c r="P130" s="9"/>
      <c r="Q130" s="7">
        <v>41893.620000000003</v>
      </c>
      <c r="R130" s="8">
        <f>IFERROR(Q130/Q444, "NA")</f>
        <v>5.9799008761132415E-2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-41893.620000000003</v>
      </c>
      <c r="X130" s="8">
        <f>IFERROR(W130/W444, "NA")</f>
        <v>0.85934749387185783</v>
      </c>
      <c r="Y130" s="9"/>
      <c r="Z130" s="7">
        <v>44022.66</v>
      </c>
      <c r="AA130" s="8">
        <f>IFERROR(Z130/Z444, "NA")</f>
        <v>6.8577524200623963E-2</v>
      </c>
      <c r="AB130" s="9"/>
      <c r="AC130" s="10">
        <f t="shared" si="31"/>
        <v>2129.0400000000009</v>
      </c>
      <c r="AD130" s="8">
        <f>IFERROR(AC130/AC444, "NA")</f>
        <v>3.6310821615397081E-2</v>
      </c>
    </row>
    <row r="131" spans="1:30" ht="16.5" customHeight="1" x14ac:dyDescent="0.45">
      <c r="A131" s="12" t="s">
        <v>123</v>
      </c>
      <c r="B131" s="7">
        <v>4831.0200000000004</v>
      </c>
      <c r="C131" s="8">
        <f>IFERROR(B131/B444, "NA")</f>
        <v>3.3361902494839842E-2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-4831.0200000000004</v>
      </c>
      <c r="I131" s="8">
        <f>IFERROR(H131/H444, "NA")</f>
        <v>0.13357724235887966</v>
      </c>
      <c r="J131" s="9"/>
      <c r="K131" s="7">
        <v>5111.7</v>
      </c>
      <c r="L131" s="8">
        <f>IFERROR(K131/K444, "NA")</f>
        <v>3.4177239310544713E-2</v>
      </c>
      <c r="M131" s="9"/>
      <c r="N131" s="10">
        <f t="shared" si="29"/>
        <v>280.67999999999938</v>
      </c>
      <c r="O131" s="8">
        <f>IFERROR(N131/N444, "NA")</f>
        <v>-5.899166869834932E-2</v>
      </c>
      <c r="P131" s="9"/>
      <c r="Q131" s="7">
        <v>23257.08</v>
      </c>
      <c r="R131" s="8">
        <f>IFERROR(Q131/Q444, "NA")</f>
        <v>3.3197186843208049E-2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-23257.08</v>
      </c>
      <c r="X131" s="8">
        <f>IFERROR(W131/W444, "NA")</f>
        <v>0.47706341473420788</v>
      </c>
      <c r="Y131" s="9"/>
      <c r="Z131" s="7">
        <v>21675.71</v>
      </c>
      <c r="AA131" s="8">
        <f>IFERROR(Z131/Z444, "NA")</f>
        <v>3.3765940701691054E-2</v>
      </c>
      <c r="AB131" s="9"/>
      <c r="AC131" s="10">
        <f t="shared" si="31"/>
        <v>-1581.3700000000026</v>
      </c>
      <c r="AD131" s="8">
        <f>IFERROR(AC131/AC444, "NA")</f>
        <v>-2.6970298340069025E-2</v>
      </c>
    </row>
    <row r="132" spans="1:30" ht="16.5" customHeight="1" x14ac:dyDescent="0.45">
      <c r="A132" s="12" t="s">
        <v>124</v>
      </c>
      <c r="B132" s="7">
        <v>7530.81</v>
      </c>
      <c r="C132" s="8">
        <f>IFERROR(B132/B444, "NA")</f>
        <v>5.2006025420545728E-2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-7530.81</v>
      </c>
      <c r="I132" s="8">
        <f>IFERROR(H132/H444, "NA")</f>
        <v>0.20822617843202357</v>
      </c>
      <c r="J132" s="9"/>
      <c r="K132" s="7">
        <v>5426.3</v>
      </c>
      <c r="L132" s="8">
        <f>IFERROR(K132/K444, "NA")</f>
        <v>3.628068033546742E-2</v>
      </c>
      <c r="M132" s="9"/>
      <c r="N132" s="10">
        <f t="shared" si="29"/>
        <v>-2104.5100000000002</v>
      </c>
      <c r="O132" s="8">
        <f>IFERROR(N132/N444, "NA")</f>
        <v>0.4423135125137645</v>
      </c>
      <c r="P132" s="9"/>
      <c r="Q132" s="7">
        <v>30388.54</v>
      </c>
      <c r="R132" s="8">
        <f>IFERROR(Q132/Q444, "NA")</f>
        <v>4.3376642307301753E-2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-30388.54</v>
      </c>
      <c r="X132" s="8">
        <f>IFERROR(W132/W444, "NA")</f>
        <v>0.62334827335104259</v>
      </c>
      <c r="Y132" s="9"/>
      <c r="Z132" s="7">
        <v>21762.19</v>
      </c>
      <c r="AA132" s="8">
        <f>IFERROR(Z132/Z444, "NA")</f>
        <v>3.3900657329283976E-2</v>
      </c>
      <c r="AB132" s="9"/>
      <c r="AC132" s="10">
        <f t="shared" si="31"/>
        <v>-8626.3500000000022</v>
      </c>
      <c r="AD132" s="8">
        <f>IFERROR(AC132/AC444, "NA")</f>
        <v>-0.14712257921033919</v>
      </c>
    </row>
    <row r="133" spans="1:30" ht="16.5" customHeight="1" x14ac:dyDescent="0.45">
      <c r="A133" s="12" t="s">
        <v>125</v>
      </c>
      <c r="B133" s="7">
        <v>3636.35</v>
      </c>
      <c r="C133" s="8">
        <f>IFERROR(B133/B444, "NA")</f>
        <v>2.5111788843165801E-2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-3636.35</v>
      </c>
      <c r="I133" s="8">
        <f>IFERROR(H133/H444, "NA")</f>
        <v>0.10054473077149588</v>
      </c>
      <c r="J133" s="9"/>
      <c r="K133" s="7">
        <v>2785.06</v>
      </c>
      <c r="L133" s="8">
        <f>IFERROR(K133/K444, "NA")</f>
        <v>1.8621136239260063E-2</v>
      </c>
      <c r="M133" s="9"/>
      <c r="N133" s="10">
        <f t="shared" si="29"/>
        <v>-851.29</v>
      </c>
      <c r="O133" s="8">
        <f>IFERROR(N133/N444, "NA")</f>
        <v>0.17891911659618748</v>
      </c>
      <c r="P133" s="9"/>
      <c r="Q133" s="7">
        <v>17871.91</v>
      </c>
      <c r="R133" s="8">
        <f>IFERROR(Q133/Q444, "NA")</f>
        <v>2.5510388041619942E-2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-17871.91</v>
      </c>
      <c r="X133" s="8">
        <f>IFERROR(W133/W444, "NA")</f>
        <v>0.36659952205618401</v>
      </c>
      <c r="Y133" s="9"/>
      <c r="Z133" s="7">
        <v>14303.93</v>
      </c>
      <c r="AA133" s="8">
        <f>IFERROR(Z133/Z444, "NA")</f>
        <v>2.2282345177211716E-2</v>
      </c>
      <c r="AB133" s="9"/>
      <c r="AC133" s="10">
        <f t="shared" si="31"/>
        <v>-3567.9799999999996</v>
      </c>
      <c r="AD133" s="8">
        <f>IFERROR(AC133/AC444, "NA")</f>
        <v>-6.0851973334133884E-2</v>
      </c>
    </row>
    <row r="134" spans="1:30" ht="16.5" customHeight="1" x14ac:dyDescent="0.45">
      <c r="A134" s="12" t="s">
        <v>126</v>
      </c>
      <c r="B134" s="7">
        <v>1323.09</v>
      </c>
      <c r="C134" s="8">
        <f>IFERROR(B134/B444, "NA")</f>
        <v>9.136952356210001E-3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-1323.09</v>
      </c>
      <c r="I134" s="8">
        <f>IFERROR(H134/H444, "NA")</f>
        <v>3.6583312342447362E-2</v>
      </c>
      <c r="J134" s="9"/>
      <c r="K134" s="7">
        <v>1569.9</v>
      </c>
      <c r="L134" s="8">
        <f>IFERROR(K134/K444, "NA")</f>
        <v>1.0496478274081842E-2</v>
      </c>
      <c r="M134" s="9"/>
      <c r="N134" s="10">
        <f t="shared" si="29"/>
        <v>246.81000000000017</v>
      </c>
      <c r="O134" s="8">
        <f>IFERROR(N134/N444, "NA")</f>
        <v>-5.1873071652556786E-2</v>
      </c>
      <c r="P134" s="9"/>
      <c r="Q134" s="7">
        <v>6674.64</v>
      </c>
      <c r="R134" s="8">
        <f>IFERROR(Q134/Q444, "NA")</f>
        <v>9.5273899901083953E-3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-6674.64</v>
      </c>
      <c r="X134" s="8">
        <f>IFERROR(W134/W444, "NA")</f>
        <v>0.13691428805858402</v>
      </c>
      <c r="Y134" s="9"/>
      <c r="Z134" s="7">
        <v>8058.03</v>
      </c>
      <c r="AA134" s="8">
        <f>IFERROR(Z134/Z444, "NA")</f>
        <v>1.2552620567097805E-2</v>
      </c>
      <c r="AB134" s="9"/>
      <c r="AC134" s="10">
        <f t="shared" si="31"/>
        <v>1383.3899999999994</v>
      </c>
      <c r="AD134" s="8">
        <f>IFERROR(AC134/AC444, "NA")</f>
        <v>2.3593745309869296E-2</v>
      </c>
    </row>
    <row r="135" spans="1:30" ht="16.5" customHeight="1" x14ac:dyDescent="0.45">
      <c r="A135" s="12" t="s">
        <v>127</v>
      </c>
      <c r="B135" s="7">
        <v>964.7</v>
      </c>
      <c r="C135" s="8">
        <f>IFERROR(B135/B444, "NA")</f>
        <v>6.6619942241539047E-3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-964.7</v>
      </c>
      <c r="I135" s="8">
        <f>IFERROR(H135/H444, "NA")</f>
        <v>2.6673863015183378E-2</v>
      </c>
      <c r="J135" s="9"/>
      <c r="K135" s="7">
        <v>1195.68</v>
      </c>
      <c r="L135" s="8">
        <f>IFERROR(K135/K444, "NA")</f>
        <v>7.9944131108695953E-3</v>
      </c>
      <c r="M135" s="9"/>
      <c r="N135" s="10">
        <f t="shared" si="29"/>
        <v>230.98000000000002</v>
      </c>
      <c r="O135" s="8">
        <f>IFERROR(N135/N444, "NA")</f>
        <v>-4.8546015519255942E-2</v>
      </c>
      <c r="P135" s="9"/>
      <c r="Q135" s="7">
        <v>5443.01</v>
      </c>
      <c r="R135" s="8">
        <f>IFERROR(Q135/Q444, "NA")</f>
        <v>7.7693596943145841E-3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-5443.01</v>
      </c>
      <c r="X135" s="8">
        <f>IFERROR(W135/W444, "NA")</f>
        <v>0.11165034204777387</v>
      </c>
      <c r="Y135" s="9"/>
      <c r="Z135" s="7">
        <v>5156.1000000000004</v>
      </c>
      <c r="AA135" s="8">
        <f>IFERROR(Z135/Z444, "NA")</f>
        <v>8.032058320211392E-3</v>
      </c>
      <c r="AB135" s="9"/>
      <c r="AC135" s="10">
        <f t="shared" si="31"/>
        <v>-286.90999999999985</v>
      </c>
      <c r="AD135" s="8">
        <f>IFERROR(AC135/AC444, "NA")</f>
        <v>-4.8932560354307889E-3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844.84</v>
      </c>
      <c r="L136" s="8">
        <f>IFERROR(K136/K444, "NA")</f>
        <v>5.6486685171509669E-3</v>
      </c>
      <c r="M136" s="9"/>
      <c r="N136" s="10">
        <f t="shared" si="29"/>
        <v>844.84</v>
      </c>
      <c r="O136" s="8">
        <f>IFERROR(N136/N444, "NA")</f>
        <v>-0.1775634935980959</v>
      </c>
      <c r="P136" s="9"/>
      <c r="Q136" s="7">
        <v>5225.92</v>
      </c>
      <c r="R136" s="8">
        <f>IFERROR(Q136/Q444, "NA")</f>
        <v>7.4594851403382454E-3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-5225.92</v>
      </c>
      <c r="X136" s="8">
        <f>IFERROR(W136/W444, "NA")</f>
        <v>0.10719725951528702</v>
      </c>
      <c r="Y136" s="9"/>
      <c r="Z136" s="7">
        <v>5790.6</v>
      </c>
      <c r="AA136" s="8">
        <f>IFERROR(Z136/Z444, "NA")</f>
        <v>9.0204683596160056E-3</v>
      </c>
      <c r="AB136" s="9"/>
      <c r="AC136" s="10">
        <f t="shared" si="31"/>
        <v>564.68000000000029</v>
      </c>
      <c r="AD136" s="8">
        <f>IFERROR(AC136/AC444, "NA")</f>
        <v>9.6306291801856354E-3</v>
      </c>
    </row>
    <row r="137" spans="1:30" ht="16.5" customHeight="1" x14ac:dyDescent="0.45">
      <c r="A137" s="12" t="s">
        <v>129</v>
      </c>
      <c r="B137" s="7">
        <v>879.32</v>
      </c>
      <c r="C137" s="8">
        <f>IFERROR(B137/B444, "NA")</f>
        <v>6.0723797669565783E-3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-879.32</v>
      </c>
      <c r="I137" s="8">
        <f>IFERROR(H137/H444, "NA")</f>
        <v>2.4313114156225821E-2</v>
      </c>
      <c r="J137" s="9"/>
      <c r="K137" s="7">
        <v>856.37</v>
      </c>
      <c r="L137" s="8">
        <f>IFERROR(K137/K444, "NA")</f>
        <v>5.7257590289671104E-3</v>
      </c>
      <c r="M137" s="9"/>
      <c r="N137" s="10">
        <f t="shared" si="29"/>
        <v>-22.950000000000045</v>
      </c>
      <c r="O137" s="8">
        <f>IFERROR(N137/N444, "NA")</f>
        <v>4.8234957839073771E-3</v>
      </c>
      <c r="P137" s="9"/>
      <c r="Q137" s="7">
        <v>3827.75</v>
      </c>
      <c r="R137" s="8">
        <f>IFERROR(Q137/Q444, "NA")</f>
        <v>5.463735427624173E-3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-3827.75</v>
      </c>
      <c r="X137" s="8">
        <f>IFERROR(W137/W444, "NA")</f>
        <v>7.8517143413913706E-2</v>
      </c>
      <c r="Y137" s="9"/>
      <c r="Z137" s="7">
        <v>3591.05</v>
      </c>
      <c r="AA137" s="8">
        <f>IFERROR(Z137/Z444, "NA")</f>
        <v>5.594058111905339E-3</v>
      </c>
      <c r="AB137" s="9"/>
      <c r="AC137" s="10">
        <f t="shared" si="31"/>
        <v>-236.69999999999982</v>
      </c>
      <c r="AD137" s="8">
        <f>IFERROR(AC137/AC444, "NA")</f>
        <v>-4.0369234379647534E-3</v>
      </c>
    </row>
    <row r="138" spans="1:30" ht="16.5" customHeight="1" x14ac:dyDescent="0.45">
      <c r="A138" s="12" t="s">
        <v>130</v>
      </c>
      <c r="B138" s="7">
        <v>7049.54</v>
      </c>
      <c r="C138" s="8">
        <f>IFERROR(B138/B444, "NA")</f>
        <v>4.8682486537723557E-2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-7049.54</v>
      </c>
      <c r="I138" s="8">
        <f>IFERROR(H138/H444, "NA")</f>
        <v>0.19491910882145314</v>
      </c>
      <c r="J138" s="9"/>
      <c r="K138" s="7">
        <v>6341.63</v>
      </c>
      <c r="L138" s="8">
        <f>IFERROR(K138/K444, "NA")</f>
        <v>4.2400650689385075E-2</v>
      </c>
      <c r="M138" s="9"/>
      <c r="N138" s="10">
        <f t="shared" si="29"/>
        <v>-707.90999999999985</v>
      </c>
      <c r="O138" s="8">
        <f>IFERROR(N138/N444, "NA")</f>
        <v>0.14878435295798972</v>
      </c>
      <c r="P138" s="9"/>
      <c r="Q138" s="7">
        <v>43344.91</v>
      </c>
      <c r="R138" s="8">
        <f>IFERROR(Q138/Q444, "NA")</f>
        <v>6.1870582032311751E-2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-43344.91</v>
      </c>
      <c r="X138" s="8">
        <f>IFERROR(W138/W444, "NA")</f>
        <v>0.88911723982318136</v>
      </c>
      <c r="Y138" s="9"/>
      <c r="Z138" s="7">
        <v>32117.59</v>
      </c>
      <c r="AA138" s="8">
        <f>IFERROR(Z138/Z444, "NA")</f>
        <v>5.0032069972389633E-2</v>
      </c>
      <c r="AB138" s="9"/>
      <c r="AC138" s="10">
        <f t="shared" si="31"/>
        <v>-11227.320000000003</v>
      </c>
      <c r="AD138" s="8">
        <f>IFERROR(AC138/AC444, "NA")</f>
        <v>-0.19148217682099911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36.020000000000003</v>
      </c>
      <c r="L140" s="8">
        <f>IFERROR(K140/K444, "NA")</f>
        <v>2.4083263101626088E-4</v>
      </c>
      <c r="M140" s="9"/>
      <c r="N140" s="10">
        <f t="shared" si="29"/>
        <v>36.020000000000003</v>
      </c>
      <c r="O140" s="8">
        <f>IFERROR(N140/N444, "NA")</f>
        <v>-7.5704713784899083E-3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124.04</v>
      </c>
      <c r="AA140" s="8">
        <f>IFERROR(Z140/Z444, "NA")</f>
        <v>1.9322676325886251E-4</v>
      </c>
      <c r="AB140" s="9"/>
      <c r="AC140" s="10">
        <f t="shared" si="31"/>
        <v>124.04</v>
      </c>
      <c r="AD140" s="8">
        <f>IFERROR(AC140/AC444, "NA")</f>
        <v>2.1155047876854601E-3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34195.94</v>
      </c>
      <c r="C141" s="15">
        <f>IFERROR(B141/B444, "NA")</f>
        <v>0.23614922231731467</v>
      </c>
      <c r="D141" s="2"/>
      <c r="E141" s="14">
        <f>IFERROR(E129+E130+E131+E132+E133+E134+E135+E136+E137+E138+E139+E140, "NA")</f>
        <v>40899.89</v>
      </c>
      <c r="F141" s="15">
        <f>IFERROR(E141/E444, "NA")</f>
        <v>0.22599998077061004</v>
      </c>
      <c r="G141" s="2"/>
      <c r="H141" s="14">
        <f t="shared" si="28"/>
        <v>6703.9499999999971</v>
      </c>
      <c r="I141" s="15">
        <f>IFERROR(H141/H444, "NA")</f>
        <v>-0.18536357827370015</v>
      </c>
      <c r="J141" s="2"/>
      <c r="K141" s="14">
        <f>IFERROR(K129+K130+K131+K132+K133+K134+K135+K136+K137+K138+K139+K140, "NA")</f>
        <v>34493.619999999995</v>
      </c>
      <c r="L141" s="15">
        <f>IFERROR(K141/K444, "NA")</f>
        <v>0.23062713097932025</v>
      </c>
      <c r="M141" s="2"/>
      <c r="N141" s="14">
        <f t="shared" si="29"/>
        <v>297.67999999999302</v>
      </c>
      <c r="O141" s="15">
        <f>IFERROR(N141/N444, "NA")</f>
        <v>-6.2564628538279363E-2</v>
      </c>
      <c r="P141" s="2"/>
      <c r="Q141" s="14">
        <f>IFERROR(Q129+Q130+Q131+Q132+Q133+Q134+Q135+Q136+Q137+Q138+Q139+Q140, "NA")</f>
        <v>177927.38</v>
      </c>
      <c r="R141" s="15">
        <f>IFERROR(Q141/Q444, "NA")</f>
        <v>0.2539737782379593</v>
      </c>
      <c r="S141" s="2"/>
      <c r="T141" s="14">
        <f>IFERROR(T129+T130+T131+T132+T133+T134+T135+T136+T137+T138+T139+T140, "NA")</f>
        <v>174855.5</v>
      </c>
      <c r="U141" s="15">
        <f>IFERROR(T141/T444, "NA")</f>
        <v>0.23335089404278245</v>
      </c>
      <c r="V141" s="2"/>
      <c r="W141" s="14">
        <f t="shared" si="30"/>
        <v>-3071.8800000000047</v>
      </c>
      <c r="X141" s="15">
        <f>IFERROR(W141/W444, "NA")</f>
        <v>6.3012276797161149E-2</v>
      </c>
      <c r="Y141" s="2"/>
      <c r="Z141" s="14">
        <f>IFERROR(Z129+Z130+Z131+Z132+Z133+Z134+Z135+Z136+Z137+Z138+Z139+Z140, "NA")</f>
        <v>156601.90000000002</v>
      </c>
      <c r="AA141" s="15">
        <f>IFERROR(Z141/Z444, "NA")</f>
        <v>0.24395096950328979</v>
      </c>
      <c r="AB141" s="2"/>
      <c r="AC141" s="14">
        <f t="shared" si="31"/>
        <v>-21325.479999999981</v>
      </c>
      <c r="AD141" s="15">
        <f>IFERROR(AC141/AC444, "NA")</f>
        <v>-0.36370650628579881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2068.9</v>
      </c>
      <c r="C144" s="8">
        <f>IFERROR(B144/B444, "NA")</f>
        <v>1.4287343060383552E-2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-2068.9</v>
      </c>
      <c r="I144" s="8">
        <f>IFERROR(H144/H444, "NA")</f>
        <v>5.7204887728944637E-2</v>
      </c>
      <c r="J144" s="9"/>
      <c r="K144" s="7">
        <v>1836.8</v>
      </c>
      <c r="L144" s="8">
        <f>IFERROR(K144/K444, "NA")</f>
        <v>1.2280993244049637E-2</v>
      </c>
      <c r="M144" s="9"/>
      <c r="N144" s="10">
        <f t="shared" si="33"/>
        <v>-232.10000000000014</v>
      </c>
      <c r="O144" s="8">
        <f>IFERROR(N144/N444, "NA")</f>
        <v>4.8781410520474973E-2</v>
      </c>
      <c r="P144" s="9"/>
      <c r="Q144" s="7">
        <v>10012.459999999999</v>
      </c>
      <c r="R144" s="8">
        <f>IFERROR(Q144/Q444, "NA")</f>
        <v>1.4291798685825856E-2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-10012.459999999999</v>
      </c>
      <c r="X144" s="8">
        <f>IFERROR(W144/W444, "NA")</f>
        <v>0.20538168839293955</v>
      </c>
      <c r="Y144" s="9"/>
      <c r="Z144" s="7">
        <v>7524.72</v>
      </c>
      <c r="AA144" s="8">
        <f>IFERROR(Z144/Z444, "NA")</f>
        <v>1.1721842067310769E-2</v>
      </c>
      <c r="AB144" s="9"/>
      <c r="AC144" s="10">
        <f t="shared" si="35"/>
        <v>-2487.7399999999989</v>
      </c>
      <c r="AD144" s="8">
        <f>IFERROR(AC144/AC444, "NA")</f>
        <v>-4.2428457598489393E-2</v>
      </c>
    </row>
    <row r="145" spans="1:30" ht="16.5" customHeight="1" x14ac:dyDescent="0.45">
      <c r="A145" s="12" t="s">
        <v>136</v>
      </c>
      <c r="B145" s="7">
        <v>198.63</v>
      </c>
      <c r="C145" s="8">
        <f>IFERROR(B145/B444, "NA")</f>
        <v>1.3716926637749455E-3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-198.63</v>
      </c>
      <c r="I145" s="8">
        <f>IFERROR(H145/H444, "NA")</f>
        <v>5.492100560491214E-3</v>
      </c>
      <c r="J145" s="9"/>
      <c r="K145" s="7">
        <v>131.36000000000001</v>
      </c>
      <c r="L145" s="8">
        <f>IFERROR(K145/K444, "NA")</f>
        <v>8.7828357607706918E-4</v>
      </c>
      <c r="M145" s="9"/>
      <c r="N145" s="10">
        <f t="shared" si="33"/>
        <v>-67.269999999999982</v>
      </c>
      <c r="O145" s="8">
        <f>IFERROR(N145/N444, "NA")</f>
        <v>1.4138412260716712E-2</v>
      </c>
      <c r="P145" s="9"/>
      <c r="Q145" s="7">
        <v>351</v>
      </c>
      <c r="R145" s="8">
        <f>IFERROR(Q145/Q444, "NA")</f>
        <v>5.0101786561193508E-4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-351</v>
      </c>
      <c r="X145" s="8">
        <f>IFERROR(W145/W444, "NA")</f>
        <v>7.1999261546035424E-3</v>
      </c>
      <c r="Y145" s="9"/>
      <c r="Z145" s="7">
        <v>520.04</v>
      </c>
      <c r="AA145" s="8">
        <f>IFERROR(Z145/Z444, "NA")</f>
        <v>8.1010678785181265E-4</v>
      </c>
      <c r="AB145" s="9"/>
      <c r="AC145" s="10">
        <f t="shared" si="35"/>
        <v>169.03999999999996</v>
      </c>
      <c r="AD145" s="8">
        <f>IFERROR(AC145/AC444, "NA")</f>
        <v>2.8829807264620293E-3</v>
      </c>
    </row>
    <row r="146" spans="1:30" ht="16.5" customHeight="1" x14ac:dyDescent="0.45">
      <c r="A146" s="12" t="s">
        <v>137</v>
      </c>
      <c r="B146" s="7">
        <v>82.24</v>
      </c>
      <c r="C146" s="8">
        <f>IFERROR(B146/B444, "NA")</f>
        <v>5.6793034621583608E-4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-82.24</v>
      </c>
      <c r="I146" s="8">
        <f>IFERROR(H146/H444, "NA")</f>
        <v>2.2739281583587447E-3</v>
      </c>
      <c r="J146" s="9"/>
      <c r="K146" s="7">
        <v>716.36</v>
      </c>
      <c r="L146" s="8">
        <f>IFERROR(K146/K444, "NA")</f>
        <v>4.7896408538258923E-3</v>
      </c>
      <c r="M146" s="9"/>
      <c r="N146" s="10">
        <f t="shared" si="33"/>
        <v>634.12</v>
      </c>
      <c r="O146" s="8">
        <f>IFERROR(N146/N444, "NA")</f>
        <v>-0.13327560551160522</v>
      </c>
      <c r="P146" s="9"/>
      <c r="Q146" s="7">
        <v>717.24</v>
      </c>
      <c r="R146" s="8">
        <f>IFERROR(Q146/Q444, "NA")</f>
        <v>1.0237893274401832E-3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-717.24</v>
      </c>
      <c r="X146" s="8">
        <f>IFERROR(W146/W444, "NA")</f>
        <v>1.4712464487543717E-2</v>
      </c>
      <c r="Y146" s="9"/>
      <c r="Z146" s="7">
        <v>1850.15</v>
      </c>
      <c r="AA146" s="8">
        <f>IFERROR(Z146/Z444, "NA")</f>
        <v>2.8821226704561793E-3</v>
      </c>
      <c r="AB146" s="9"/>
      <c r="AC146" s="10">
        <f t="shared" si="35"/>
        <v>1132.9100000000001</v>
      </c>
      <c r="AD146" s="8">
        <f>IFERROR(AC146/AC444, "NA")</f>
        <v>1.9321803684430303E-2</v>
      </c>
    </row>
    <row r="147" spans="1:30" ht="16.5" customHeight="1" x14ac:dyDescent="0.45">
      <c r="A147" s="12" t="s">
        <v>138</v>
      </c>
      <c r="B147" s="7">
        <v>0</v>
      </c>
      <c r="C147" s="8">
        <f>IFERROR(B147/B444, "NA")</f>
        <v>0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0</v>
      </c>
      <c r="I147" s="8">
        <f>IFERROR(H147/H444, "NA")</f>
        <v>0</v>
      </c>
      <c r="J147" s="9"/>
      <c r="K147" s="7">
        <v>29.5</v>
      </c>
      <c r="L147" s="8">
        <f>IFERROR(K147/K444, "NA")</f>
        <v>1.9723938409160733E-4</v>
      </c>
      <c r="M147" s="9"/>
      <c r="N147" s="10">
        <f t="shared" si="33"/>
        <v>29.5</v>
      </c>
      <c r="O147" s="8">
        <f>IFERROR(N147/N444, "NA")</f>
        <v>-6.2001361928221066E-3</v>
      </c>
      <c r="P147" s="9"/>
      <c r="Q147" s="7">
        <v>62.46</v>
      </c>
      <c r="R147" s="8">
        <f>IFERROR(Q147/Q444, "NA")</f>
        <v>8.9155486855046915E-5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-62.46</v>
      </c>
      <c r="X147" s="8">
        <f>IFERROR(W147/W444, "NA")</f>
        <v>1.2812176285371432E-3</v>
      </c>
      <c r="Y147" s="9"/>
      <c r="Z147" s="7">
        <v>214</v>
      </c>
      <c r="AA147" s="8">
        <f>IFERROR(Z147/Z444, "NA")</f>
        <v>3.3336445773457415E-4</v>
      </c>
      <c r="AB147" s="9"/>
      <c r="AC147" s="10">
        <f t="shared" si="35"/>
        <v>151.54</v>
      </c>
      <c r="AD147" s="8">
        <f>IFERROR(AC147/AC444, "NA")</f>
        <v>2.5845178613822526E-3</v>
      </c>
    </row>
    <row r="148" spans="1:30" ht="16.5" customHeight="1" x14ac:dyDescent="0.45">
      <c r="A148" s="13" t="s">
        <v>139</v>
      </c>
      <c r="B148" s="14">
        <f>IFERROR(B143+B144+B145+B146+B147, "NA")</f>
        <v>2349.77</v>
      </c>
      <c r="C148" s="15">
        <f>IFERROR(B148/B444, "NA")</f>
        <v>1.6226966070374334E-2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-2349.77</v>
      </c>
      <c r="I148" s="15">
        <f>IFERROR(H148/H444, "NA")</f>
        <v>6.4970916447794597E-2</v>
      </c>
      <c r="J148" s="2"/>
      <c r="K148" s="14">
        <f>IFERROR(K143+K144+K145+K146+K147, "NA")</f>
        <v>2714.02</v>
      </c>
      <c r="L148" s="15">
        <f>IFERROR(K148/K444, "NA")</f>
        <v>1.8146157058044208E-2</v>
      </c>
      <c r="M148" s="2"/>
      <c r="N148" s="14">
        <f t="shared" si="33"/>
        <v>364.25</v>
      </c>
      <c r="O148" s="15">
        <f>IFERROR(N148/N444, "NA")</f>
        <v>-7.6555918923235669E-2</v>
      </c>
      <c r="P148" s="2"/>
      <c r="Q148" s="14">
        <f>IFERROR(Q143+Q144+Q145+Q146+Q147, "NA")</f>
        <v>11143.159999999998</v>
      </c>
      <c r="R148" s="15">
        <f>IFERROR(Q148/Q444, "NA")</f>
        <v>1.5905761365733021E-2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-11143.159999999998</v>
      </c>
      <c r="X148" s="15">
        <f>IFERROR(W148/W444, "NA")</f>
        <v>0.22857529666362392</v>
      </c>
      <c r="Y148" s="2"/>
      <c r="Z148" s="14">
        <f>IFERROR(Z143+Z144+Z145+Z146+Z147, "NA")</f>
        <v>10108.91</v>
      </c>
      <c r="AA148" s="15">
        <f>IFERROR(Z148/Z444, "NA")</f>
        <v>1.5747435983353337E-2</v>
      </c>
      <c r="AB148" s="2"/>
      <c r="AC148" s="14">
        <f t="shared" si="35"/>
        <v>-1034.2499999999982</v>
      </c>
      <c r="AD148" s="15">
        <f>IFERROR(AC148/AC444, "NA")</f>
        <v>-1.7639155326214795E-2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36545.71</v>
      </c>
      <c r="C149" s="15">
        <f>IFERROR(B149/B444, "NA")</f>
        <v>0.25237618838768899</v>
      </c>
      <c r="D149" s="2"/>
      <c r="E149" s="14">
        <f>IFERROR(E127+E129+E130+E131+E132+E133+E134+E135+E136+E137+E138+E139+E140+E143+E144+E145+E146+E147, "NA")</f>
        <v>40899.89</v>
      </c>
      <c r="F149" s="15">
        <f>IFERROR(E149/E444, "NA")</f>
        <v>0.22599998077061004</v>
      </c>
      <c r="G149" s="2"/>
      <c r="H149" s="14">
        <f t="shared" si="32"/>
        <v>4354.18</v>
      </c>
      <c r="I149" s="15">
        <f>IFERROR(H149/H444, "NA")</f>
        <v>-0.12039266182590563</v>
      </c>
      <c r="J149" s="2"/>
      <c r="K149" s="14">
        <f>IFERROR(K127+K129+K130+K131+K132+K133+K134+K135+K136+K137+K138+K139+K140+K143+K144+K145+K146+K147, "NA")</f>
        <v>37207.64</v>
      </c>
      <c r="L149" s="15">
        <f>IFERROR(K149/K444, "NA")</f>
        <v>0.24877328803736448</v>
      </c>
      <c r="M149" s="2"/>
      <c r="N149" s="14">
        <f t="shared" si="33"/>
        <v>661.93000000000029</v>
      </c>
      <c r="O149" s="15">
        <f>IFERROR(N149/N444, "NA")</f>
        <v>-0.13912054746151656</v>
      </c>
      <c r="P149" s="2"/>
      <c r="Q149" s="14">
        <f>IFERROR(Q127+Q129+Q130+Q131+Q132+Q133+Q134+Q135+Q136+Q137+Q138+Q139+Q140+Q143+Q144+Q145+Q146+Q147, "NA")</f>
        <v>189070.53999999998</v>
      </c>
      <c r="R149" s="15">
        <f>IFERROR(Q149/Q444, "NA")</f>
        <v>0.26987953960369226</v>
      </c>
      <c r="S149" s="2"/>
      <c r="T149" s="14">
        <f>IFERROR(T127+T129+T130+T131+T132+T133+T134+T135+T136+T137+T138+T139+T140+T143+T144+T145+T146+T147, "NA")</f>
        <v>174855.5</v>
      </c>
      <c r="U149" s="15">
        <f>IFERROR(T149/T444, "NA")</f>
        <v>0.23335089404278245</v>
      </c>
      <c r="V149" s="2"/>
      <c r="W149" s="14">
        <f t="shared" si="34"/>
        <v>-14215.039999999979</v>
      </c>
      <c r="X149" s="15">
        <f>IFERROR(W149/W444, "NA")</f>
        <v>0.29158757346078457</v>
      </c>
      <c r="Y149" s="2"/>
      <c r="Z149" s="14">
        <f>IFERROR(Z127+Z129+Z130+Z131+Z132+Z133+Z134+Z135+Z136+Z137+Z138+Z139+Z140+Z143+Z144+Z145+Z146+Z147, "NA")</f>
        <v>166710.81000000003</v>
      </c>
      <c r="AA149" s="15">
        <f>IFERROR(Z149/Z444, "NA")</f>
        <v>0.25969840548664314</v>
      </c>
      <c r="AB149" s="2"/>
      <c r="AC149" s="14">
        <f t="shared" si="35"/>
        <v>-22359.729999999952</v>
      </c>
      <c r="AD149" s="15">
        <f>IFERROR(AC149/AC444, "NA")</f>
        <v>-0.38134566161201316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3076.54</v>
      </c>
      <c r="F153" s="8">
        <f>IFERROR(E153/E444, "NA")</f>
        <v>1.6999996353046734E-2</v>
      </c>
      <c r="G153" s="9"/>
      <c r="H153" s="10">
        <f t="shared" ref="H153:H158" si="36">IFERROR(-(B153-E153), "NA")</f>
        <v>3076.54</v>
      </c>
      <c r="I153" s="8">
        <f>IFERROR(H153/H444, "NA")</f>
        <v>-8.5066037649769111E-2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13267.41</v>
      </c>
      <c r="U153" s="8">
        <f>IFERROR(T153/T444, "NA")</f>
        <v>1.770583130145836E-2</v>
      </c>
      <c r="V153" s="9"/>
      <c r="W153" s="10">
        <f t="shared" ref="W153:W158" si="38">IFERROR(-(Q153-T153), "NA")</f>
        <v>13267.41</v>
      </c>
      <c r="X153" s="8">
        <f>IFERROR(W153/W444, "NA")</f>
        <v>-0.27214920872606435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4745.8100000000004</v>
      </c>
      <c r="C154" s="8">
        <f>IFERROR(B154/B444, "NA")</f>
        <v>3.2773462018173362E-2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-4745.8100000000004</v>
      </c>
      <c r="I154" s="8">
        <f>IFERROR(H154/H444, "NA")</f>
        <v>0.13122119398371249</v>
      </c>
      <c r="J154" s="9"/>
      <c r="K154" s="7">
        <v>4754.8100000000004</v>
      </c>
      <c r="L154" s="8">
        <f>IFERROR(K154/K444, "NA")</f>
        <v>3.1791043927885267E-2</v>
      </c>
      <c r="M154" s="9"/>
      <c r="N154" s="10">
        <f t="shared" si="37"/>
        <v>9</v>
      </c>
      <c r="O154" s="8">
        <f>IFERROR(N154/N444, "NA")</f>
        <v>-1.8915669740813207E-3</v>
      </c>
      <c r="P154" s="9"/>
      <c r="Q154" s="7">
        <v>23127.94</v>
      </c>
      <c r="R154" s="8">
        <f>IFERROR(Q154/Q444, "NA")</f>
        <v>3.3012852235899996E-2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-23127.94</v>
      </c>
      <c r="X154" s="8">
        <f>IFERROR(W154/W444, "NA")</f>
        <v>0.47441441626239728</v>
      </c>
      <c r="Y154" s="9"/>
      <c r="Z154" s="7">
        <v>21738.32</v>
      </c>
      <c r="AA154" s="8">
        <f>IFERROR(Z154/Z444, "NA")</f>
        <v>3.3863473172246014E-2</v>
      </c>
      <c r="AB154" s="9"/>
      <c r="AC154" s="10">
        <f t="shared" si="39"/>
        <v>-1389.619999999999</v>
      </c>
      <c r="AD154" s="8">
        <f>IFERROR(AC154/AC444, "NA")</f>
        <v>-2.3699998089837689E-2</v>
      </c>
    </row>
    <row r="155" spans="1:30" ht="16.5" customHeight="1" x14ac:dyDescent="0.45">
      <c r="A155" s="12" t="s">
        <v>144</v>
      </c>
      <c r="B155" s="7">
        <v>1873.71</v>
      </c>
      <c r="C155" s="8">
        <f>IFERROR(B155/B444, "NA")</f>
        <v>1.2939406237938647E-2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-1873.71</v>
      </c>
      <c r="I155" s="8">
        <f>IFERROR(H155/H444, "NA")</f>
        <v>5.1807902840447027E-2</v>
      </c>
      <c r="J155" s="9"/>
      <c r="K155" s="7">
        <v>2236.17</v>
      </c>
      <c r="L155" s="8">
        <f>IFERROR(K155/K444, "NA")</f>
        <v>1.4951213339801001E-2</v>
      </c>
      <c r="M155" s="9"/>
      <c r="N155" s="10">
        <f t="shared" si="37"/>
        <v>362.46000000000004</v>
      </c>
      <c r="O155" s="8">
        <f>IFERROR(N155/N444, "NA")</f>
        <v>-7.6179707269501726E-2</v>
      </c>
      <c r="P155" s="9"/>
      <c r="Q155" s="7">
        <v>7564.89</v>
      </c>
      <c r="R155" s="8">
        <f>IFERROR(Q155/Q444, "NA")</f>
        <v>1.0798134021051488E-2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-7564.89</v>
      </c>
      <c r="X155" s="8">
        <f>IFERROR(W155/W444, "NA")</f>
        <v>0.1551756392242131</v>
      </c>
      <c r="Y155" s="9"/>
      <c r="Z155" s="7">
        <v>8231.9500000000007</v>
      </c>
      <c r="AA155" s="8">
        <f>IFERROR(Z155/Z444, "NA")</f>
        <v>1.2823549289009943E-2</v>
      </c>
      <c r="AB155" s="9"/>
      <c r="AC155" s="10">
        <f t="shared" si="39"/>
        <v>667.0600000000004</v>
      </c>
      <c r="AD155" s="8">
        <f>IFERROR(AC155/AC444, "NA")</f>
        <v>1.1376722216006642E-2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62.07</v>
      </c>
      <c r="L156" s="8">
        <f>IFERROR(K156/K444, "NA")</f>
        <v>4.1500503629037514E-4</v>
      </c>
      <c r="M156" s="9"/>
      <c r="N156" s="10">
        <f t="shared" si="37"/>
        <v>62.07</v>
      </c>
      <c r="O156" s="8">
        <f>IFERROR(N156/N444, "NA")</f>
        <v>-1.3045506897914175E-2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-39.67</v>
      </c>
      <c r="AA156" s="8">
        <f>IFERROR(Z156/Z444, "NA")</f>
        <v>-6.1797046908086713E-5</v>
      </c>
      <c r="AB156" s="9"/>
      <c r="AC156" s="10">
        <f t="shared" si="39"/>
        <v>-39.67</v>
      </c>
      <c r="AD156" s="8">
        <f>IFERROR(AC156/AC444, "NA")</f>
        <v>-6.7657267758370048E-4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6619.52</v>
      </c>
      <c r="C158" s="15">
        <f>IFERROR(B158/B444, "NA")</f>
        <v>4.571286825611201E-2</v>
      </c>
      <c r="D158" s="2"/>
      <c r="E158" s="14">
        <f>IFERROR(E153+E154+E155+E156+E157, "NA")</f>
        <v>3076.54</v>
      </c>
      <c r="F158" s="15">
        <f>IFERROR(E158/E444, "NA")</f>
        <v>1.6999996353046734E-2</v>
      </c>
      <c r="G158" s="2"/>
      <c r="H158" s="14">
        <f t="shared" si="36"/>
        <v>-3542.9800000000005</v>
      </c>
      <c r="I158" s="15">
        <f>IFERROR(H158/H444, "NA")</f>
        <v>9.7963059174390396E-2</v>
      </c>
      <c r="J158" s="2"/>
      <c r="K158" s="14">
        <f>IFERROR(K153+K154+K155+K156+K157, "NA")</f>
        <v>7053.05</v>
      </c>
      <c r="L158" s="15">
        <f>IFERROR(K158/K444, "NA")</f>
        <v>4.7157262303976648E-2</v>
      </c>
      <c r="M158" s="2"/>
      <c r="N158" s="14">
        <f t="shared" si="37"/>
        <v>433.52999999999975</v>
      </c>
      <c r="O158" s="15">
        <f>IFERROR(N158/N444, "NA")</f>
        <v>-9.1116781141497155E-2</v>
      </c>
      <c r="P158" s="2"/>
      <c r="Q158" s="14">
        <f>IFERROR(Q153+Q154+Q155+Q156+Q157, "NA")</f>
        <v>30692.829999999998</v>
      </c>
      <c r="R158" s="15">
        <f>IFERROR(Q158/Q444, "NA")</f>
        <v>4.3810986256951484E-2</v>
      </c>
      <c r="S158" s="2"/>
      <c r="T158" s="14">
        <f>IFERROR(T153+T154+T155+T156+T157, "NA")</f>
        <v>13267.41</v>
      </c>
      <c r="U158" s="15">
        <f>IFERROR(T158/T444, "NA")</f>
        <v>1.770583130145836E-2</v>
      </c>
      <c r="V158" s="2"/>
      <c r="W158" s="14">
        <f t="shared" si="38"/>
        <v>-17425.419999999998</v>
      </c>
      <c r="X158" s="15">
        <f>IFERROR(W158/W444, "NA")</f>
        <v>0.35744084676054599</v>
      </c>
      <c r="Y158" s="2"/>
      <c r="Z158" s="14">
        <f>IFERROR(Z153+Z154+Z155+Z156+Z157, "NA")</f>
        <v>29930.600000000002</v>
      </c>
      <c r="AA158" s="15">
        <f>IFERROR(Z158/Z444, "NA")</f>
        <v>4.6625225414347875E-2</v>
      </c>
      <c r="AB158" s="2"/>
      <c r="AC158" s="14">
        <f t="shared" si="39"/>
        <v>-762.22999999999593</v>
      </c>
      <c r="AD158" s="15">
        <f>IFERROR(AC158/AC444, "NA")</f>
        <v>-1.2999848551414702E-2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268.54000000000002</v>
      </c>
      <c r="C161" s="8">
        <f>IFERROR(B161/B444, "NA")</f>
        <v>1.8544748926653774E-3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-268.54000000000002</v>
      </c>
      <c r="I161" s="8">
        <f>IFERROR(H161/H444, "NA")</f>
        <v>7.4251053945240432E-3</v>
      </c>
      <c r="J161" s="9"/>
      <c r="K161" s="7">
        <v>347.97</v>
      </c>
      <c r="L161" s="8">
        <f>IFERROR(K161/K444, "NA")</f>
        <v>2.3265555417748001E-3</v>
      </c>
      <c r="M161" s="9"/>
      <c r="N161" s="10">
        <f t="shared" si="41"/>
        <v>79.430000000000007</v>
      </c>
      <c r="O161" s="8">
        <f>IFERROR(N161/N444, "NA")</f>
        <v>-1.6694129416808812E-2</v>
      </c>
      <c r="P161" s="9"/>
      <c r="Q161" s="7">
        <v>2860.89</v>
      </c>
      <c r="R161" s="8">
        <f>IFERROR(Q161/Q444, "NA")</f>
        <v>4.083638181055638E-3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-2860.89</v>
      </c>
      <c r="X161" s="8">
        <f>IFERROR(W161/W444, "NA")</f>
        <v>5.8684321186449367E-2</v>
      </c>
      <c r="Y161" s="9"/>
      <c r="Z161" s="7">
        <v>2132.86</v>
      </c>
      <c r="AA161" s="8">
        <f>IFERROR(Z161/Z444, "NA")</f>
        <v>3.3225220435689896E-3</v>
      </c>
      <c r="AB161" s="9"/>
      <c r="AC161" s="10">
        <f t="shared" si="43"/>
        <v>-728.02999999999975</v>
      </c>
      <c r="AD161" s="8">
        <f>IFERROR(AC161/AC444, "NA")</f>
        <v>-1.2416566837944575E-2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268.54000000000002</v>
      </c>
      <c r="C166" s="15">
        <f>IFERROR(B166/B444, "NA")</f>
        <v>1.8544748926653774E-3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-268.54000000000002</v>
      </c>
      <c r="I166" s="15">
        <f>IFERROR(H166/H444, "NA")</f>
        <v>7.4251053945240432E-3</v>
      </c>
      <c r="J166" s="2"/>
      <c r="K166" s="14">
        <f>IFERROR(K160+K161+K162+K163+K164+K165, "NA")</f>
        <v>347.97</v>
      </c>
      <c r="L166" s="15">
        <f>IFERROR(K166/K444, "NA")</f>
        <v>2.3265555417748001E-3</v>
      </c>
      <c r="M166" s="2"/>
      <c r="N166" s="14">
        <f t="shared" si="41"/>
        <v>79.430000000000007</v>
      </c>
      <c r="O166" s="15">
        <f>IFERROR(N166/N444, "NA")</f>
        <v>-1.6694129416808812E-2</v>
      </c>
      <c r="P166" s="2"/>
      <c r="Q166" s="14">
        <f>IFERROR(Q160+Q161+Q162+Q163+Q164+Q165, "NA")</f>
        <v>2860.89</v>
      </c>
      <c r="R166" s="15">
        <f>IFERROR(Q166/Q444, "NA")</f>
        <v>4.083638181055638E-3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-2860.89</v>
      </c>
      <c r="X166" s="15">
        <f>IFERROR(W166/W444, "NA")</f>
        <v>5.8684321186449367E-2</v>
      </c>
      <c r="Y166" s="2"/>
      <c r="Z166" s="14">
        <f>IFERROR(Z160+Z161+Z162+Z163+Z164+Z165, "NA")</f>
        <v>2132.86</v>
      </c>
      <c r="AA166" s="15">
        <f>IFERROR(Z166/Z444, "NA")</f>
        <v>3.3225220435689896E-3</v>
      </c>
      <c r="AB166" s="2"/>
      <c r="AC166" s="14">
        <f t="shared" si="43"/>
        <v>-728.02999999999975</v>
      </c>
      <c r="AD166" s="15">
        <f>IFERROR(AC166/AC444, "NA")</f>
        <v>-1.2416566837944575E-2</v>
      </c>
    </row>
    <row r="167" spans="1:30" ht="16.5" customHeight="1" x14ac:dyDescent="0.45">
      <c r="A167" s="6" t="s">
        <v>155</v>
      </c>
      <c r="B167" s="7">
        <v>150.72999999999999</v>
      </c>
      <c r="C167" s="8">
        <f>IFERROR(B167/B444, "NA")</f>
        <v>1.0409063847897978E-3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-150.72999999999999</v>
      </c>
      <c r="I167" s="8">
        <f>IFERROR(H167/H444, "NA")</f>
        <v>4.167670127789562E-3</v>
      </c>
      <c r="J167" s="9"/>
      <c r="K167" s="7">
        <v>116.95</v>
      </c>
      <c r="L167" s="8">
        <f>IFERROR(K167/K444, "NA")</f>
        <v>7.819371515089314E-4</v>
      </c>
      <c r="M167" s="9"/>
      <c r="N167" s="10">
        <f t="shared" si="41"/>
        <v>-33.779999999999987</v>
      </c>
      <c r="O167" s="8">
        <f>IFERROR(N167/N444, "NA")</f>
        <v>7.0996813760518876E-3</v>
      </c>
      <c r="P167" s="9"/>
      <c r="Q167" s="7">
        <v>713.29</v>
      </c>
      <c r="R167" s="8">
        <f>IFERROR(Q167/Q444, "NA")</f>
        <v>1.0181510922003909E-3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-713.29</v>
      </c>
      <c r="X167" s="8">
        <f>IFERROR(W167/W444, "NA")</f>
        <v>1.4631439677541769E-2</v>
      </c>
      <c r="Y167" s="9"/>
      <c r="Z167" s="7">
        <v>810.13</v>
      </c>
      <c r="AA167" s="8">
        <f>IFERROR(Z167/Z444, "NA")</f>
        <v>1.2620025614229465E-3</v>
      </c>
      <c r="AB167" s="9"/>
      <c r="AC167" s="10">
        <f t="shared" si="43"/>
        <v>96.840000000000032</v>
      </c>
      <c r="AD167" s="8">
        <f>IFERROR(AC167/AC444, "NA")</f>
        <v>1.6516082202471785E-3</v>
      </c>
    </row>
    <row r="168" spans="1:30" ht="16.5" customHeight="1" x14ac:dyDescent="0.45">
      <c r="A168" s="6" t="s">
        <v>156</v>
      </c>
      <c r="B168" s="7">
        <v>39.11</v>
      </c>
      <c r="C168" s="8">
        <f>IFERROR(B168/B444, "NA")</f>
        <v>2.7008457977263314E-4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-39.11</v>
      </c>
      <c r="I168" s="8">
        <f>IFERROR(H168/H444, "NA")</f>
        <v>1.0813877708342717E-3</v>
      </c>
      <c r="J168" s="9"/>
      <c r="K168" s="7">
        <v>68.400000000000006</v>
      </c>
      <c r="L168" s="8">
        <f>IFERROR(K168/K444, "NA")</f>
        <v>4.573279278598624E-4</v>
      </c>
      <c r="M168" s="9"/>
      <c r="N168" s="10">
        <f t="shared" si="41"/>
        <v>29.290000000000006</v>
      </c>
      <c r="O168" s="8">
        <f>IFERROR(N168/N444, "NA")</f>
        <v>-6.1559996300935439E-3</v>
      </c>
      <c r="P168" s="9"/>
      <c r="Q168" s="7">
        <v>236.91</v>
      </c>
      <c r="R168" s="8">
        <f>IFERROR(Q168/Q444, "NA")</f>
        <v>3.3816564826815826E-4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-236.91</v>
      </c>
      <c r="X168" s="8">
        <f>IFERROR(W168/W444, "NA")</f>
        <v>4.8596424652054852E-3</v>
      </c>
      <c r="Y168" s="9"/>
      <c r="Z168" s="7">
        <v>280.5</v>
      </c>
      <c r="AA168" s="8">
        <f>IFERROR(Z168/Z444, "NA")</f>
        <v>4.3695668408667311E-4</v>
      </c>
      <c r="AB168" s="9"/>
      <c r="AC168" s="10">
        <f t="shared" si="43"/>
        <v>43.59</v>
      </c>
      <c r="AD168" s="8">
        <f>IFERROR(AC168/AC444, "NA")</f>
        <v>7.4342835936157064E-4</v>
      </c>
    </row>
    <row r="169" spans="1:30" ht="16.5" customHeight="1" x14ac:dyDescent="0.45">
      <c r="A169" s="6" t="s">
        <v>157</v>
      </c>
      <c r="B169" s="7">
        <v>-1546.3</v>
      </c>
      <c r="C169" s="8">
        <f>IFERROR(B169/B444, "NA")</f>
        <v>-1.0678388793209476E-2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1546.3</v>
      </c>
      <c r="I169" s="8">
        <f>IFERROR(H169/H444, "NA")</f>
        <v>-4.2755047559218468E-2</v>
      </c>
      <c r="J169" s="9"/>
      <c r="K169" s="7">
        <v>-3577.69</v>
      </c>
      <c r="L169" s="8">
        <f>IFERROR(K169/K444, "NA")</f>
        <v>-2.3920724476972969E-2</v>
      </c>
      <c r="M169" s="9"/>
      <c r="N169" s="10">
        <f t="shared" si="41"/>
        <v>-2031.39</v>
      </c>
      <c r="O169" s="8">
        <f>IFERROR(N169/N444, "NA")</f>
        <v>0.42694558171989488</v>
      </c>
      <c r="P169" s="9"/>
      <c r="Q169" s="7">
        <v>-14519.14</v>
      </c>
      <c r="R169" s="8">
        <f>IFERROR(Q169/Q444, "NA")</f>
        <v>-2.072463969607086E-2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14519.14</v>
      </c>
      <c r="X169" s="8">
        <f>IFERROR(W169/W444, "NA")</f>
        <v>-0.29782545820042872</v>
      </c>
      <c r="Y169" s="9"/>
      <c r="Z169" s="7">
        <v>-17833.759999999998</v>
      </c>
      <c r="AA169" s="8">
        <f>IFERROR(Z169/Z444, "NA")</f>
        <v>-2.7781036129759525E-2</v>
      </c>
      <c r="AB169" s="9"/>
      <c r="AC169" s="10">
        <f t="shared" si="43"/>
        <v>-3314.619999999999</v>
      </c>
      <c r="AD169" s="8">
        <f>IFERROR(AC169/AC444, "NA")</f>
        <v>-5.6530913248613174E-2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5531.5999999999995</v>
      </c>
      <c r="C170" s="15">
        <f>IFERROR(B170/B444, "NA")</f>
        <v>3.8199945320130331E-2</v>
      </c>
      <c r="D170" s="2"/>
      <c r="E170" s="14">
        <f>IFERROR(E151+E153+E154+E155+E156+E157+E160+E161+E162+E163+E164+E165+E167+E168+E169, "NA")</f>
        <v>3076.54</v>
      </c>
      <c r="F170" s="15">
        <f>IFERROR(E170/E444, "NA")</f>
        <v>1.6999996353046734E-2</v>
      </c>
      <c r="G170" s="2"/>
      <c r="H170" s="14">
        <f t="shared" si="40"/>
        <v>-2455.0599999999995</v>
      </c>
      <c r="I170" s="15">
        <f>IFERROR(H170/H444, "NA")</f>
        <v>6.7882174908319784E-2</v>
      </c>
      <c r="J170" s="2"/>
      <c r="K170" s="14">
        <f>IFERROR(K151+K153+K154+K155+K156+K157+K160+K161+K162+K163+K164+K165+K167+K168+K169, "NA")</f>
        <v>4008.68</v>
      </c>
      <c r="L170" s="15">
        <f>IFERROR(K170/K444, "NA")</f>
        <v>2.6802358448147268E-2</v>
      </c>
      <c r="M170" s="2"/>
      <c r="N170" s="14">
        <f t="shared" si="41"/>
        <v>-1522.9199999999996</v>
      </c>
      <c r="O170" s="15">
        <f>IFERROR(N170/N444, "NA")</f>
        <v>0.3200783529075471</v>
      </c>
      <c r="P170" s="2"/>
      <c r="Q170" s="14">
        <f>IFERROR(Q151+Q153+Q154+Q155+Q156+Q157+Q160+Q161+Q162+Q163+Q164+Q165+Q167+Q168+Q169, "NA")</f>
        <v>19984.780000000006</v>
      </c>
      <c r="R170" s="15">
        <f>IFERROR(Q170/Q444, "NA")</f>
        <v>2.8526301482404821E-2</v>
      </c>
      <c r="S170" s="2"/>
      <c r="T170" s="14">
        <f>IFERROR(T151+T153+T154+T155+T156+T157+T160+T161+T162+T163+T164+T165+T167+T168+T169, "NA")</f>
        <v>13267.41</v>
      </c>
      <c r="U170" s="15">
        <f>IFERROR(T170/T444, "NA")</f>
        <v>1.770583130145836E-2</v>
      </c>
      <c r="V170" s="2"/>
      <c r="W170" s="14">
        <f t="shared" si="42"/>
        <v>-6717.3700000000063</v>
      </c>
      <c r="X170" s="15">
        <f>IFERROR(W170/W444, "NA")</f>
        <v>0.13779079188931409</v>
      </c>
      <c r="Y170" s="2"/>
      <c r="Z170" s="14">
        <f>IFERROR(Z151+Z153+Z154+Z155+Z156+Z157+Z160+Z161+Z162+Z163+Z164+Z165+Z167+Z168+Z169, "NA")</f>
        <v>15320.330000000005</v>
      </c>
      <c r="AA170" s="15">
        <f>IFERROR(Z170/Z444, "NA")</f>
        <v>2.3865670573666963E-2</v>
      </c>
      <c r="AB170" s="2"/>
      <c r="AC170" s="14">
        <f t="shared" si="43"/>
        <v>-4664.4500000000007</v>
      </c>
      <c r="AD170" s="15">
        <f>IFERROR(AC170/AC444, "NA")</f>
        <v>-7.9552292058363797E-2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42077.31</v>
      </c>
      <c r="C171" s="15">
        <f>IFERROR(B171/B444, "NA")</f>
        <v>0.29057613370781932</v>
      </c>
      <c r="D171" s="2"/>
      <c r="E171" s="14">
        <f>IFERROR(E127+E129+E130+E131+E132+E133+E134+E135+E136+E137+E138+E139+E140+E143+E144+E145+E146+E147+E151+E153+E154+E155+E156+E157+E160+E161+E162+E163+E164+E165+E167+E168+E169, "NA")</f>
        <v>43976.43</v>
      </c>
      <c r="F171" s="15">
        <f>IFERROR(E171/E444, "NA")</f>
        <v>0.24299997712365679</v>
      </c>
      <c r="G171" s="2"/>
      <c r="H171" s="14">
        <f t="shared" si="40"/>
        <v>1899.1200000000026</v>
      </c>
      <c r="I171" s="15">
        <f>IFERROR(H171/H444, "NA")</f>
        <v>-5.2510486917585905E-2</v>
      </c>
      <c r="J171" s="2"/>
      <c r="K171" s="14">
        <f>IFERROR(K127+K129+K130+K131+K132+K133+K134+K135+K136+K137+K138+K139+K140+K143+K144+K145+K146+K147+K151+K153+K154+K155+K156+K157+K160+K161+K162+K163+K164+K165+K167+K168+K169, "NA")</f>
        <v>41216.319999999992</v>
      </c>
      <c r="L171" s="15">
        <f>IFERROR(K171/K444, "NA")</f>
        <v>0.27557564648551169</v>
      </c>
      <c r="M171" s="2"/>
      <c r="N171" s="14">
        <f t="shared" si="41"/>
        <v>-860.99000000000524</v>
      </c>
      <c r="O171" s="15">
        <f>IFERROR(N171/N444, "NA")</f>
        <v>0.18095780544603179</v>
      </c>
      <c r="P171" s="2"/>
      <c r="Q171" s="14">
        <f>IFERROR(Q127+Q129+Q130+Q131+Q132+Q133+Q134+Q135+Q136+Q137+Q138+Q139+Q140+Q143+Q144+Q145+Q146+Q147+Q151+Q153+Q154+Q155+Q156+Q157+Q160+Q161+Q162+Q163+Q164+Q165+Q167+Q168+Q169, "NA")</f>
        <v>209055.32</v>
      </c>
      <c r="R171" s="15">
        <f>IFERROR(Q171/Q444, "NA")</f>
        <v>0.29840584108609713</v>
      </c>
      <c r="S171" s="2"/>
      <c r="T171" s="14">
        <f>IFERROR(T127+T129+T130+T131+T132+T133+T134+T135+T136+T137+T138+T139+T140+T143+T144+T145+T146+T147+T151+T153+T154+T155+T156+T157+T160+T161+T162+T163+T164+T165+T167+T168+T169, "NA")</f>
        <v>188122.91</v>
      </c>
      <c r="U171" s="15">
        <f>IFERROR(T171/T444, "NA")</f>
        <v>0.25105672534424084</v>
      </c>
      <c r="V171" s="2"/>
      <c r="W171" s="14">
        <f t="shared" si="42"/>
        <v>-20932.410000000003</v>
      </c>
      <c r="X171" s="15">
        <f>IFERROR(W171/W444, "NA")</f>
        <v>0.42937836535009904</v>
      </c>
      <c r="Y171" s="2"/>
      <c r="Z171" s="14">
        <f>IFERROR(Z127+Z129+Z130+Z131+Z132+Z133+Z134+Z135+Z136+Z137+Z138+Z139+Z140+Z143+Z144+Z145+Z146+Z147+Z151+Z153+Z154+Z155+Z156+Z157+Z160+Z161+Z162+Z163+Z164+Z165+Z167+Z168+Z169, "NA")</f>
        <v>182031.14</v>
      </c>
      <c r="AA171" s="15">
        <f>IFERROR(Z171/Z444, "NA")</f>
        <v>0.28356407606031003</v>
      </c>
      <c r="AB171" s="2"/>
      <c r="AC171" s="14">
        <f t="shared" si="43"/>
        <v>-27024.179999999993</v>
      </c>
      <c r="AD171" s="15">
        <f>IFERROR(AC171/AC444, "NA")</f>
        <v>-0.46089795367037767</v>
      </c>
    </row>
    <row r="172" spans="1:30" ht="16.5" customHeight="1" x14ac:dyDescent="0.45">
      <c r="A172" s="22" t="s">
        <v>160</v>
      </c>
      <c r="B172" s="23">
        <f>IFERROR(B124-B171, "NA")</f>
        <v>102729.18</v>
      </c>
      <c r="C172" s="24">
        <f>IFERROR(B172/B444, "NA")</f>
        <v>0.70942386629218068</v>
      </c>
      <c r="D172" s="25"/>
      <c r="E172" s="23">
        <f>IFERROR(E124-E171, "NA")</f>
        <v>136996.54999999999</v>
      </c>
      <c r="F172" s="24">
        <f>IFERROR(E172/E444, "NA")</f>
        <v>0.75700002287634305</v>
      </c>
      <c r="G172" s="25"/>
      <c r="H172" s="23">
        <f>IFERROR(B172-E172, "NA")</f>
        <v>-34267.369999999995</v>
      </c>
      <c r="I172" s="24">
        <f>IFERROR(H172/H444, "NA")</f>
        <v>0.94748951308241347</v>
      </c>
      <c r="J172" s="25"/>
      <c r="K172" s="23">
        <f>IFERROR(K124-K171, "NA")</f>
        <v>108348.13000000002</v>
      </c>
      <c r="L172" s="24">
        <f>IFERROR(K172/K444, "NA")</f>
        <v>0.72442435351448831</v>
      </c>
      <c r="M172" s="25"/>
      <c r="N172" s="23">
        <f>IFERROR(B172-K172, "NA")</f>
        <v>-5618.9500000000262</v>
      </c>
      <c r="O172" s="24">
        <f>IFERROR(N172/N444, "NA")</f>
        <v>1.1809578054460319</v>
      </c>
      <c r="P172" s="25"/>
      <c r="Q172" s="23">
        <f>IFERROR(Q124-Q171, "NA")</f>
        <v>491518.49999999971</v>
      </c>
      <c r="R172" s="24">
        <f>IFERROR(Q172/Q444, "NA")</f>
        <v>0.70159415891390253</v>
      </c>
      <c r="S172" s="25"/>
      <c r="T172" s="23">
        <f>IFERROR(T124-T171, "NA")</f>
        <v>561201.41</v>
      </c>
      <c r="U172" s="24">
        <f>IFERROR(T172/T444, "NA")</f>
        <v>0.74894327465575927</v>
      </c>
      <c r="V172" s="25"/>
      <c r="W172" s="23">
        <f>IFERROR(Q172-T172, "NA")</f>
        <v>-69682.910000000324</v>
      </c>
      <c r="X172" s="24">
        <f>IFERROR(W172/W444, "NA")</f>
        <v>1.4293783653501055</v>
      </c>
      <c r="Y172" s="25"/>
      <c r="Z172" s="23">
        <f>IFERROR(Z124-Z171, "NA")</f>
        <v>459908.92000000004</v>
      </c>
      <c r="AA172" s="24">
        <f>IFERROR(Z172/Z444, "NA")</f>
        <v>0.71643592393968991</v>
      </c>
      <c r="AB172" s="25"/>
      <c r="AC172" s="23">
        <f>IFERROR(Q172-Z172, "NA")</f>
        <v>31609.579999999667</v>
      </c>
      <c r="AD172" s="24">
        <f>IFERROR(AC172/AC444, "NA")</f>
        <v>0.53910204632961833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6215.4</v>
      </c>
      <c r="C178" s="8">
        <f>IFERROR(B178/B444, "NA")</f>
        <v>4.2922109361258599E-2</v>
      </c>
      <c r="D178" s="9"/>
      <c r="E178" s="7">
        <v>6826.92</v>
      </c>
      <c r="F178" s="8">
        <f>IFERROR(E178/E444, "NA")</f>
        <v>3.7723421474299641E-2</v>
      </c>
      <c r="G178" s="9"/>
      <c r="H178" s="10">
        <f t="shared" si="44"/>
        <v>611.52000000000044</v>
      </c>
      <c r="I178" s="8">
        <f>IFERROR(H178/H444, "NA")</f>
        <v>-1.6908469691142274E-2</v>
      </c>
      <c r="J178" s="9"/>
      <c r="K178" s="7">
        <v>6490.4</v>
      </c>
      <c r="L178" s="8">
        <f>IFERROR(K178/K444, "NA")</f>
        <v>4.3395338932480272E-2</v>
      </c>
      <c r="M178" s="9"/>
      <c r="N178" s="10">
        <f t="shared" si="45"/>
        <v>275</v>
      </c>
      <c r="O178" s="8">
        <f>IFERROR(N178/N444, "NA")</f>
        <v>-5.7797879763595905E-2</v>
      </c>
      <c r="P178" s="9"/>
      <c r="Q178" s="7">
        <v>33475.08</v>
      </c>
      <c r="R178" s="8">
        <f>IFERROR(Q178/Q444, "NA")</f>
        <v>4.7782373597688825E-2</v>
      </c>
      <c r="S178" s="9"/>
      <c r="T178" s="7">
        <v>35500</v>
      </c>
      <c r="U178" s="8">
        <f>IFERROR(T178/T444, "NA")</f>
        <v>4.7376014700817398E-2</v>
      </c>
      <c r="V178" s="9"/>
      <c r="W178" s="10">
        <f t="shared" si="46"/>
        <v>2024.9199999999983</v>
      </c>
      <c r="X178" s="8">
        <f>IFERROR(W178/W444, "NA")</f>
        <v>-4.1536394498517926E-2</v>
      </c>
      <c r="Y178" s="9"/>
      <c r="Z178" s="7">
        <v>33750.080000000002</v>
      </c>
      <c r="AA178" s="8">
        <f>IFERROR(Z178/Z444, "NA")</f>
        <v>5.257512671821727E-2</v>
      </c>
      <c r="AB178" s="9"/>
      <c r="AC178" s="10">
        <f t="shared" si="47"/>
        <v>275</v>
      </c>
      <c r="AD178" s="8">
        <f>IFERROR(AC178/AC444, "NA")</f>
        <v>4.6901307369679257E-3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29079.51</v>
      </c>
      <c r="C180" s="8">
        <f>IFERROR(B180/B444, "NA")</f>
        <v>0.20081634462654263</v>
      </c>
      <c r="D180" s="9"/>
      <c r="E180" s="7">
        <v>35289.730000000003</v>
      </c>
      <c r="F180" s="8">
        <f>IFERROR(E180/E444, "NA")</f>
        <v>0.19499999392174458</v>
      </c>
      <c r="G180" s="9"/>
      <c r="H180" s="10">
        <f t="shared" si="44"/>
        <v>6210.2200000000048</v>
      </c>
      <c r="I180" s="8">
        <f>IFERROR(H180/H444, "NA")</f>
        <v>-0.17171199085119959</v>
      </c>
      <c r="J180" s="9"/>
      <c r="K180" s="7">
        <v>29324.77</v>
      </c>
      <c r="L180" s="8">
        <f>IFERROR(K180/K444, "NA")</f>
        <v>0.19606778215010318</v>
      </c>
      <c r="M180" s="9"/>
      <c r="N180" s="10">
        <f t="shared" si="45"/>
        <v>245.26000000000204</v>
      </c>
      <c r="O180" s="8">
        <f>IFERROR(N180/N444, "NA")</f>
        <v>-5.154730178479873E-2</v>
      </c>
      <c r="P180" s="9"/>
      <c r="Q180" s="7">
        <v>142812.23000000001</v>
      </c>
      <c r="R180" s="8">
        <f>IFERROR(Q180/Q444, "NA")</f>
        <v>0.20385036654666888</v>
      </c>
      <c r="S180" s="9"/>
      <c r="T180" s="7">
        <v>155936.72</v>
      </c>
      <c r="U180" s="8">
        <f>IFERROR(T180/T444, "NA")</f>
        <v>0.20810310814414779</v>
      </c>
      <c r="V180" s="9"/>
      <c r="W180" s="10">
        <f t="shared" si="46"/>
        <v>13124.489999999991</v>
      </c>
      <c r="X180" s="8">
        <f>IFERROR(W180/W444, "NA")</f>
        <v>-0.26921754648670249</v>
      </c>
      <c r="Y180" s="9"/>
      <c r="Z180" s="7">
        <v>146117.47</v>
      </c>
      <c r="AA180" s="8">
        <f>IFERROR(Z180/Z444, "NA")</f>
        <v>0.22761855678550422</v>
      </c>
      <c r="AB180" s="9"/>
      <c r="AC180" s="10">
        <f t="shared" si="47"/>
        <v>3305.2399999999907</v>
      </c>
      <c r="AD180" s="8">
        <f>IFERROR(AC180/AC444, "NA")</f>
        <v>5.6370937152930269E-2</v>
      </c>
    </row>
    <row r="181" spans="1:30" ht="16.5" customHeight="1" x14ac:dyDescent="0.45">
      <c r="A181" s="12" t="s">
        <v>166</v>
      </c>
      <c r="B181" s="7">
        <v>516.58000000000004</v>
      </c>
      <c r="C181" s="8">
        <f>IFERROR(B181/B444, "NA")</f>
        <v>3.5673815448465057E-3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-516.58000000000004</v>
      </c>
      <c r="I181" s="8">
        <f>IFERROR(H181/H444, "NA")</f>
        <v>1.428338774373736E-2</v>
      </c>
      <c r="J181" s="9"/>
      <c r="K181" s="7">
        <v>278.13</v>
      </c>
      <c r="L181" s="8">
        <f>IFERROR(K181/K444, "NA")</f>
        <v>1.8595996575389404E-3</v>
      </c>
      <c r="M181" s="9"/>
      <c r="N181" s="10">
        <f t="shared" si="45"/>
        <v>-238.45000000000005</v>
      </c>
      <c r="O181" s="8">
        <f>IFERROR(N181/N444, "NA")</f>
        <v>5.0116016107743445E-2</v>
      </c>
      <c r="P181" s="9"/>
      <c r="Q181" s="7">
        <v>986.55</v>
      </c>
      <c r="R181" s="8">
        <f>IFERROR(Q181/Q444, "NA")</f>
        <v>1.4082027786879048E-3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-986.55</v>
      </c>
      <c r="X181" s="8">
        <f>IFERROR(W181/W444, "NA")</f>
        <v>2.0236715520866453E-2</v>
      </c>
      <c r="Y181" s="9"/>
      <c r="Z181" s="7">
        <v>795.56</v>
      </c>
      <c r="AA181" s="8">
        <f>IFERROR(Z181/Z444, "NA")</f>
        <v>1.2393057382958776E-3</v>
      </c>
      <c r="AB181" s="9"/>
      <c r="AC181" s="10">
        <f t="shared" si="47"/>
        <v>-190.99</v>
      </c>
      <c r="AD181" s="8">
        <f>IFERROR(AC181/AC444, "NA")</f>
        <v>-3.2573384343763789E-3</v>
      </c>
    </row>
    <row r="182" spans="1:30" ht="16.5" customHeight="1" x14ac:dyDescent="0.45">
      <c r="A182" s="13" t="s">
        <v>167</v>
      </c>
      <c r="B182" s="14">
        <f>IFERROR(B177+B178+B179+B180+B181, "NA")</f>
        <v>35811.49</v>
      </c>
      <c r="C182" s="15">
        <f>IFERROR(B182/B444, "NA")</f>
        <v>0.24730583553264773</v>
      </c>
      <c r="D182" s="2"/>
      <c r="E182" s="14">
        <f>IFERROR(E177+E178+E179+E180+E181, "NA")</f>
        <v>42116.65</v>
      </c>
      <c r="F182" s="15">
        <f>IFERROR(E182/E444, "NA")</f>
        <v>0.23272341539604419</v>
      </c>
      <c r="G182" s="2"/>
      <c r="H182" s="14">
        <f t="shared" si="44"/>
        <v>6305.1600000000035</v>
      </c>
      <c r="I182" s="15">
        <f>IFERROR(H182/H444, "NA")</f>
        <v>-0.17433707279860444</v>
      </c>
      <c r="J182" s="2"/>
      <c r="K182" s="14">
        <f>IFERROR(K177+K178+K179+K180+K181, "NA")</f>
        <v>36093.299999999996</v>
      </c>
      <c r="L182" s="15">
        <f>IFERROR(K182/K444, "NA")</f>
        <v>0.24132272074012234</v>
      </c>
      <c r="M182" s="2"/>
      <c r="N182" s="14">
        <f t="shared" si="45"/>
        <v>281.80999999999767</v>
      </c>
      <c r="O182" s="15">
        <f>IFERROR(N182/N444, "NA")</f>
        <v>-5.9229165440650287E-2</v>
      </c>
      <c r="P182" s="2"/>
      <c r="Q182" s="14">
        <f>IFERROR(Q177+Q178+Q179+Q180+Q181, "NA")</f>
        <v>177273.86</v>
      </c>
      <c r="R182" s="15">
        <f>IFERROR(Q182/Q444, "NA")</f>
        <v>0.25304094292304558</v>
      </c>
      <c r="S182" s="2"/>
      <c r="T182" s="14">
        <f>IFERROR(T177+T178+T179+T180+T181, "NA")</f>
        <v>191436.72</v>
      </c>
      <c r="U182" s="15">
        <f>IFERROR(T182/T444, "NA")</f>
        <v>0.25547912284496521</v>
      </c>
      <c r="V182" s="2"/>
      <c r="W182" s="14">
        <f t="shared" si="46"/>
        <v>14162.860000000015</v>
      </c>
      <c r="X182" s="15">
        <f>IFERROR(W182/W444, "NA")</f>
        <v>-0.29051722546435454</v>
      </c>
      <c r="Y182" s="2"/>
      <c r="Z182" s="14">
        <f>IFERROR(Z177+Z178+Z179+Z180+Z181, "NA")</f>
        <v>180663.11</v>
      </c>
      <c r="AA182" s="15">
        <f>IFERROR(Z182/Z444, "NA")</f>
        <v>0.28143298924201737</v>
      </c>
      <c r="AB182" s="2"/>
      <c r="AC182" s="14">
        <f t="shared" si="47"/>
        <v>3389.25</v>
      </c>
      <c r="AD182" s="15">
        <f>IFERROR(AC182/AC444, "NA")</f>
        <v>5.7803729455521972E-2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-200</v>
      </c>
      <c r="C184" s="8">
        <f>IFERROR(B184/B444, "NA")</f>
        <v>-1.3811535656999905E-3</v>
      </c>
      <c r="D184" s="9"/>
      <c r="E184" s="7">
        <v>500</v>
      </c>
      <c r="F184" s="8">
        <f>IFERROR(E184/E444, "NA")</f>
        <v>2.7628433813710754E-3</v>
      </c>
      <c r="G184" s="9"/>
      <c r="H184" s="10">
        <f t="shared" si="44"/>
        <v>700</v>
      </c>
      <c r="I184" s="8">
        <f>IFERROR(H184/H444, "NA")</f>
        <v>-1.9354933254512662E-2</v>
      </c>
      <c r="J184" s="9"/>
      <c r="K184" s="7">
        <v>300</v>
      </c>
      <c r="L184" s="8">
        <f>IFERROR(K184/K444, "NA")</f>
        <v>2.0058242449993964E-3</v>
      </c>
      <c r="M184" s="9"/>
      <c r="N184" s="10">
        <f t="shared" si="45"/>
        <v>500</v>
      </c>
      <c r="O184" s="8">
        <f>IFERROR(N184/N444, "NA")</f>
        <v>-0.10508705411562892</v>
      </c>
      <c r="P184" s="9"/>
      <c r="Q184" s="7">
        <v>2300</v>
      </c>
      <c r="R184" s="8">
        <f>IFERROR(Q184/Q444, "NA")</f>
        <v>3.2830230510183783E-3</v>
      </c>
      <c r="S184" s="9"/>
      <c r="T184" s="7">
        <v>3000</v>
      </c>
      <c r="U184" s="8">
        <f>IFERROR(T184/T444, "NA")</f>
        <v>4.0036068761254142E-3</v>
      </c>
      <c r="V184" s="9"/>
      <c r="W184" s="10">
        <f t="shared" si="46"/>
        <v>700</v>
      </c>
      <c r="X184" s="8">
        <f>IFERROR(W184/W444, "NA")</f>
        <v>-1.4358827088952935E-2</v>
      </c>
      <c r="Y184" s="9"/>
      <c r="Z184" s="7">
        <v>1400</v>
      </c>
      <c r="AA184" s="8">
        <f>IFERROR(Z184/Z444, "NA")</f>
        <v>2.1808889758336623E-3</v>
      </c>
      <c r="AB184" s="9"/>
      <c r="AC184" s="10">
        <f t="shared" si="47"/>
        <v>-900</v>
      </c>
      <c r="AD184" s="8">
        <f>IFERROR(AC184/AC444, "NA")</f>
        <v>-1.5349518775531394E-2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3320.39</v>
      </c>
      <c r="C186" s="8">
        <f>IFERROR(B186/B444, "NA")</f>
        <v>2.2929842440072956E-2</v>
      </c>
      <c r="D186" s="9"/>
      <c r="E186" s="7">
        <v>4352.62</v>
      </c>
      <c r="F186" s="8">
        <f>IFERROR(E186/E444, "NA")</f>
        <v>2.4051214717246739E-2</v>
      </c>
      <c r="G186" s="9"/>
      <c r="H186" s="10">
        <f t="shared" ref="H186:H197" si="48">IFERROR(-(B186-E186), "NA")</f>
        <v>1032.23</v>
      </c>
      <c r="I186" s="8">
        <f>IFERROR(H186/H444, "NA")</f>
        <v>-2.8541061076150863E-2</v>
      </c>
      <c r="J186" s="9"/>
      <c r="K186" s="7">
        <v>3472.05</v>
      </c>
      <c r="L186" s="8">
        <f>IFERROR(K186/K444, "NA")</f>
        <v>2.3214406899500516E-2</v>
      </c>
      <c r="M186" s="9"/>
      <c r="N186" s="10">
        <f t="shared" ref="N186:N197" si="49">IFERROR(-(B186-K186), "NA")</f>
        <v>151.66000000000031</v>
      </c>
      <c r="O186" s="8">
        <f>IFERROR(N186/N444, "NA")</f>
        <v>-3.1875005254352627E-2</v>
      </c>
      <c r="P186" s="9"/>
      <c r="Q186" s="7">
        <v>16474.79</v>
      </c>
      <c r="R186" s="8">
        <f>IFERROR(Q186/Q444, "NA")</f>
        <v>2.3516137100298727E-2</v>
      </c>
      <c r="S186" s="9"/>
      <c r="T186" s="7">
        <v>21952.799999999999</v>
      </c>
      <c r="U186" s="8">
        <f>IFERROR(T186/T444, "NA")</f>
        <v>2.9296793676735329E-2</v>
      </c>
      <c r="V186" s="9"/>
      <c r="W186" s="10">
        <f t="shared" ref="W186:W197" si="50">IFERROR(-(Q186-T186), "NA")</f>
        <v>5478.0099999999984</v>
      </c>
      <c r="X186" s="8">
        <f>IFERROR(W186/W444, "NA")</f>
        <v>-0.11236828340222148</v>
      </c>
      <c r="Y186" s="9"/>
      <c r="Z186" s="7">
        <v>19391.599999999999</v>
      </c>
      <c r="AA186" s="8">
        <f>IFERROR(Z186/Z444, "NA")</f>
        <v>3.0207804759840032E-2</v>
      </c>
      <c r="AB186" s="9"/>
      <c r="AC186" s="10">
        <f t="shared" ref="AC186:AC197" si="51">IFERROR(-(Q186-Z186), "NA")</f>
        <v>2916.8099999999977</v>
      </c>
      <c r="AD186" s="8">
        <f>IFERROR(AC186/AC444, "NA")</f>
        <v>4.9746255399619653E-2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0.02</v>
      </c>
      <c r="AA187" s="8">
        <f>IFERROR(Z187/Z444, "NA")</f>
        <v>3.1155556797623751E-8</v>
      </c>
      <c r="AB187" s="9"/>
      <c r="AC187" s="10">
        <f t="shared" si="51"/>
        <v>0.02</v>
      </c>
      <c r="AD187" s="8">
        <f>IFERROR(AC187/AC444, "NA")</f>
        <v>3.41100417234031E-7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3320.39</v>
      </c>
      <c r="C193" s="15">
        <f>IFERROR(B193/B444, "NA")</f>
        <v>2.2929842440072956E-2</v>
      </c>
      <c r="D193" s="2"/>
      <c r="E193" s="14">
        <f>IFERROR(E186+E187+E188+E189+E190+E191+E192, "NA")</f>
        <v>4352.62</v>
      </c>
      <c r="F193" s="15">
        <f>IFERROR(E193/E444, "NA")</f>
        <v>2.4051214717246739E-2</v>
      </c>
      <c r="G193" s="2"/>
      <c r="H193" s="14">
        <f t="shared" si="48"/>
        <v>1032.23</v>
      </c>
      <c r="I193" s="15">
        <f>IFERROR(H193/H444, "NA")</f>
        <v>-2.8541061076150863E-2</v>
      </c>
      <c r="J193" s="2"/>
      <c r="K193" s="14">
        <f>IFERROR(K186+K187+K188+K189+K190+K191+K192, "NA")</f>
        <v>3472.05</v>
      </c>
      <c r="L193" s="15">
        <f>IFERROR(K193/K444, "NA")</f>
        <v>2.3214406899500516E-2</v>
      </c>
      <c r="M193" s="2"/>
      <c r="N193" s="14">
        <f t="shared" si="49"/>
        <v>151.66000000000031</v>
      </c>
      <c r="O193" s="15">
        <f>IFERROR(N193/N444, "NA")</f>
        <v>-3.1875005254352627E-2</v>
      </c>
      <c r="P193" s="2"/>
      <c r="Q193" s="14">
        <f>IFERROR(Q186+Q187+Q188+Q189+Q190+Q191+Q192, "NA")</f>
        <v>16474.79</v>
      </c>
      <c r="R193" s="15">
        <f>IFERROR(Q193/Q444, "NA")</f>
        <v>2.3516137100298727E-2</v>
      </c>
      <c r="S193" s="2"/>
      <c r="T193" s="14">
        <f>IFERROR(T186+T187+T188+T189+T190+T191+T192, "NA")</f>
        <v>21952.799999999999</v>
      </c>
      <c r="U193" s="15">
        <f>IFERROR(T193/T444, "NA")</f>
        <v>2.9296793676735329E-2</v>
      </c>
      <c r="V193" s="2"/>
      <c r="W193" s="14">
        <f t="shared" si="50"/>
        <v>5478.0099999999984</v>
      </c>
      <c r="X193" s="15">
        <f>IFERROR(W193/W444, "NA")</f>
        <v>-0.11236828340222148</v>
      </c>
      <c r="Y193" s="2"/>
      <c r="Z193" s="14">
        <f>IFERROR(Z186+Z187+Z188+Z189+Z190+Z191+Z192, "NA")</f>
        <v>19391.62</v>
      </c>
      <c r="AA193" s="15">
        <f>IFERROR(Z193/Z444, "NA")</f>
        <v>3.0207835915396834E-2</v>
      </c>
      <c r="AB193" s="2"/>
      <c r="AC193" s="14">
        <f t="shared" si="51"/>
        <v>2916.8299999999981</v>
      </c>
      <c r="AD193" s="15">
        <f>IFERROR(AC193/AC444, "NA")</f>
        <v>4.9746596500036898E-2</v>
      </c>
    </row>
    <row r="194" spans="1:30" ht="16.5" customHeight="1" x14ac:dyDescent="0.45">
      <c r="A194" s="6" t="s">
        <v>178</v>
      </c>
      <c r="B194" s="7">
        <v>275.60000000000002</v>
      </c>
      <c r="C194" s="8">
        <f>IFERROR(B194/B444, "NA")</f>
        <v>1.9032296135345871E-3</v>
      </c>
      <c r="D194" s="9"/>
      <c r="E194" s="7">
        <v>340.93</v>
      </c>
      <c r="F194" s="8">
        <f>IFERROR(E194/E444, "NA")</f>
        <v>1.8838723880216814E-3</v>
      </c>
      <c r="G194" s="9"/>
      <c r="H194" s="10">
        <f t="shared" si="48"/>
        <v>65.329999999999984</v>
      </c>
      <c r="I194" s="8">
        <f>IFERROR(H194/H444, "NA")</f>
        <v>-1.806368270739017E-3</v>
      </c>
      <c r="J194" s="9"/>
      <c r="K194" s="7">
        <v>576.64</v>
      </c>
      <c r="L194" s="8">
        <f>IFERROR(K194/K444, "NA")</f>
        <v>3.8554616421215063E-3</v>
      </c>
      <c r="M194" s="9"/>
      <c r="N194" s="10">
        <f t="shared" si="49"/>
        <v>301.03999999999996</v>
      </c>
      <c r="O194" s="8">
        <f>IFERROR(N194/N444, "NA")</f>
        <v>-6.3270813541937851E-2</v>
      </c>
      <c r="P194" s="9"/>
      <c r="Q194" s="7">
        <v>1723.16</v>
      </c>
      <c r="R194" s="8">
        <f>IFERROR(Q194/Q444, "NA")</f>
        <v>2.4596408698229692E-3</v>
      </c>
      <c r="S194" s="9"/>
      <c r="T194" s="7">
        <v>1555.5</v>
      </c>
      <c r="U194" s="8">
        <f>IFERROR(T194/T444, "NA")</f>
        <v>2.0758701652710274E-3</v>
      </c>
      <c r="V194" s="9"/>
      <c r="W194" s="10">
        <f t="shared" si="50"/>
        <v>-167.66000000000008</v>
      </c>
      <c r="X194" s="8">
        <f>IFERROR(W194/W444, "NA")</f>
        <v>3.4391442139055E-3</v>
      </c>
      <c r="Y194" s="9"/>
      <c r="Z194" s="7">
        <v>1828.5</v>
      </c>
      <c r="AA194" s="8">
        <f>IFERROR(Z194/Z444, "NA")</f>
        <v>2.8483967802227514E-3</v>
      </c>
      <c r="AB194" s="9"/>
      <c r="AC194" s="10">
        <f t="shared" si="51"/>
        <v>105.33999999999992</v>
      </c>
      <c r="AD194" s="8">
        <f>IFERROR(AC194/AC444, "NA")</f>
        <v>1.7965758975716398E-3</v>
      </c>
    </row>
    <row r="195" spans="1:30" ht="16.5" customHeight="1" x14ac:dyDescent="0.45">
      <c r="A195" s="6" t="s">
        <v>179</v>
      </c>
      <c r="B195" s="7">
        <v>756.32</v>
      </c>
      <c r="C195" s="8">
        <f>IFERROR(B195/B444, "NA")</f>
        <v>5.2229703240510841E-3</v>
      </c>
      <c r="D195" s="9"/>
      <c r="E195" s="7">
        <v>298.32</v>
      </c>
      <c r="F195" s="8">
        <f>IFERROR(E195/E444, "NA")</f>
        <v>1.6484228750612384E-3</v>
      </c>
      <c r="G195" s="9"/>
      <c r="H195" s="10">
        <f t="shared" si="48"/>
        <v>-458.00000000000006</v>
      </c>
      <c r="I195" s="8">
        <f>IFERROR(H195/H444, "NA")</f>
        <v>1.2663656329381143E-2</v>
      </c>
      <c r="J195" s="9"/>
      <c r="K195" s="7">
        <v>842.92</v>
      </c>
      <c r="L195" s="8">
        <f>IFERROR(K195/K444, "NA")</f>
        <v>5.6358312419829701E-3</v>
      </c>
      <c r="M195" s="9"/>
      <c r="N195" s="10">
        <f t="shared" si="49"/>
        <v>86.599999999999909</v>
      </c>
      <c r="O195" s="8">
        <f>IFERROR(N195/N444, "NA")</f>
        <v>-1.820107777282691E-2</v>
      </c>
      <c r="P195" s="9"/>
      <c r="Q195" s="7">
        <v>5155.75</v>
      </c>
      <c r="R195" s="8">
        <f>IFERROR(Q195/Q444, "NA")</f>
        <v>7.3593243892556542E-3</v>
      </c>
      <c r="S195" s="9"/>
      <c r="T195" s="7">
        <v>1361.06</v>
      </c>
      <c r="U195" s="8">
        <f>IFERROR(T195/T444, "NA")</f>
        <v>1.8163830582730853E-3</v>
      </c>
      <c r="V195" s="9"/>
      <c r="W195" s="10">
        <f t="shared" si="50"/>
        <v>-3794.69</v>
      </c>
      <c r="X195" s="8">
        <f>IFERROR(W195/W444, "NA")</f>
        <v>7.7838996523112589E-2</v>
      </c>
      <c r="Y195" s="9"/>
      <c r="Z195" s="7">
        <v>4709.33</v>
      </c>
      <c r="AA195" s="8">
        <f>IFERROR(Z195/Z444, "NA")</f>
        <v>7.3360899146876725E-3</v>
      </c>
      <c r="AB195" s="9"/>
      <c r="AC195" s="10">
        <f t="shared" si="51"/>
        <v>-446.42000000000007</v>
      </c>
      <c r="AD195" s="8">
        <f>IFERROR(AC195/AC444, "NA")</f>
        <v>-7.6137024130808065E-3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39963.799999999996</v>
      </c>
      <c r="C196" s="15">
        <f>IFERROR(B196/B444, "NA")</f>
        <v>0.27598072434460635</v>
      </c>
      <c r="D196" s="2"/>
      <c r="E196" s="14">
        <f>IFERROR(E175+E177+E178+E179+E180+E181+E183+E184+E186+E187+E188+E189+E190+E191+E192+E194+E195, "NA")</f>
        <v>47608.520000000004</v>
      </c>
      <c r="F196" s="15">
        <f>IFERROR(E196/E444, "NA")</f>
        <v>0.26306976875774496</v>
      </c>
      <c r="G196" s="2"/>
      <c r="H196" s="14">
        <f t="shared" si="48"/>
        <v>7644.7200000000084</v>
      </c>
      <c r="I196" s="15">
        <f>IFERROR(H196/H444, "NA")</f>
        <v>-0.21137577907062599</v>
      </c>
      <c r="J196" s="2"/>
      <c r="K196" s="14">
        <f>IFERROR(K175+K177+K178+K179+K180+K181+K183+K184+K186+K187+K188+K189+K190+K191+K192+K194+K195, "NA")</f>
        <v>41284.909999999996</v>
      </c>
      <c r="L196" s="15">
        <f>IFERROR(K196/K444, "NA")</f>
        <v>0.27603424476872673</v>
      </c>
      <c r="M196" s="2"/>
      <c r="N196" s="14">
        <f t="shared" si="49"/>
        <v>1321.1100000000006</v>
      </c>
      <c r="O196" s="15">
        <f>IFERROR(N196/N444, "NA")</f>
        <v>-0.27766311612539718</v>
      </c>
      <c r="P196" s="2"/>
      <c r="Q196" s="14">
        <f>IFERROR(Q175+Q177+Q178+Q179+Q180+Q181+Q183+Q184+Q186+Q187+Q188+Q189+Q190+Q191+Q192+Q194+Q195, "NA")</f>
        <v>202927.56</v>
      </c>
      <c r="R196" s="15">
        <f>IFERROR(Q196/Q444, "NA")</f>
        <v>0.28965906833344129</v>
      </c>
      <c r="S196" s="2"/>
      <c r="T196" s="14">
        <f>IFERROR(T175+T177+T178+T179+T180+T181+T183+T184+T186+T187+T188+T189+T190+T191+T192+T194+T195, "NA")</f>
        <v>219306.08</v>
      </c>
      <c r="U196" s="15">
        <f>IFERROR(T196/T444, "NA")</f>
        <v>0.29267177662137006</v>
      </c>
      <c r="V196" s="2"/>
      <c r="W196" s="14">
        <f t="shared" si="50"/>
        <v>16378.51999999999</v>
      </c>
      <c r="X196" s="15">
        <f>IFERROR(W196/W444, "NA")</f>
        <v>-0.33596619521851034</v>
      </c>
      <c r="Y196" s="2"/>
      <c r="Z196" s="14">
        <f>IFERROR(Z175+Z177+Z178+Z179+Z180+Z181+Z183+Z184+Z186+Z187+Z188+Z189+Z190+Z191+Z192+Z194+Z195, "NA")</f>
        <v>207992.55999999997</v>
      </c>
      <c r="AA196" s="15">
        <f>IFERROR(Z196/Z444, "NA")</f>
        <v>0.32400620082815823</v>
      </c>
      <c r="AB196" s="2"/>
      <c r="AC196" s="14">
        <f t="shared" si="51"/>
        <v>5064.9999999999709</v>
      </c>
      <c r="AD196" s="15">
        <f>IFERROR(AC196/AC444, "NA")</f>
        <v>8.6383680664517848E-2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39963.799999999996</v>
      </c>
      <c r="C197" s="15">
        <f>IFERROR(B197/B444, "NA")</f>
        <v>0.27598072434460635</v>
      </c>
      <c r="D197" s="2"/>
      <c r="E197" s="14">
        <f>IFERROR(E175+E177+E178+E179+E180+E181+E183+E184+E186+E187+E188+E189+E190+E191+E192+E194+E195, "NA")</f>
        <v>47608.520000000004</v>
      </c>
      <c r="F197" s="15">
        <f>IFERROR(E197/E444, "NA")</f>
        <v>0.26306976875774496</v>
      </c>
      <c r="G197" s="2"/>
      <c r="H197" s="14">
        <f t="shared" si="48"/>
        <v>7644.7200000000084</v>
      </c>
      <c r="I197" s="15">
        <f>IFERROR(H197/H444, "NA")</f>
        <v>-0.21137577907062599</v>
      </c>
      <c r="J197" s="2"/>
      <c r="K197" s="14">
        <f>IFERROR(K175+K177+K178+K179+K180+K181+K183+K184+K186+K187+K188+K189+K190+K191+K192+K194+K195, "NA")</f>
        <v>41284.909999999996</v>
      </c>
      <c r="L197" s="15">
        <f>IFERROR(K197/K444, "NA")</f>
        <v>0.27603424476872673</v>
      </c>
      <c r="M197" s="2"/>
      <c r="N197" s="14">
        <f t="shared" si="49"/>
        <v>1321.1100000000006</v>
      </c>
      <c r="O197" s="15">
        <f>IFERROR(N197/N444, "NA")</f>
        <v>-0.27766311612539718</v>
      </c>
      <c r="P197" s="2"/>
      <c r="Q197" s="14">
        <f>IFERROR(Q175+Q177+Q178+Q179+Q180+Q181+Q183+Q184+Q186+Q187+Q188+Q189+Q190+Q191+Q192+Q194+Q195, "NA")</f>
        <v>202927.56</v>
      </c>
      <c r="R197" s="15">
        <f>IFERROR(Q197/Q444, "NA")</f>
        <v>0.28965906833344129</v>
      </c>
      <c r="S197" s="2"/>
      <c r="T197" s="14">
        <f>IFERROR(T175+T177+T178+T179+T180+T181+T183+T184+T186+T187+T188+T189+T190+T191+T192+T194+T195, "NA")</f>
        <v>219306.08</v>
      </c>
      <c r="U197" s="15">
        <f>IFERROR(T197/T444, "NA")</f>
        <v>0.29267177662137006</v>
      </c>
      <c r="V197" s="2"/>
      <c r="W197" s="14">
        <f t="shared" si="50"/>
        <v>16378.51999999999</v>
      </c>
      <c r="X197" s="15">
        <f>IFERROR(W197/W444, "NA")</f>
        <v>-0.33596619521851034</v>
      </c>
      <c r="Y197" s="2"/>
      <c r="Z197" s="14">
        <f>IFERROR(Z175+Z177+Z178+Z179+Z180+Z181+Z183+Z184+Z186+Z187+Z188+Z189+Z190+Z191+Z192+Z194+Z195, "NA")</f>
        <v>207992.55999999997</v>
      </c>
      <c r="AA197" s="15">
        <f>IFERROR(Z197/Z444, "NA")</f>
        <v>0.32400620082815823</v>
      </c>
      <c r="AB197" s="2"/>
      <c r="AC197" s="14">
        <f t="shared" si="51"/>
        <v>5064.9999999999709</v>
      </c>
      <c r="AD197" s="15">
        <f>IFERROR(AC197/AC444, "NA")</f>
        <v>8.6383680664517848E-2</v>
      </c>
    </row>
    <row r="198" spans="1:30" ht="16.5" customHeight="1" x14ac:dyDescent="0.45">
      <c r="A198" s="22" t="s">
        <v>181</v>
      </c>
      <c r="B198" s="23">
        <f>IFERROR(B172-B197, "NA")</f>
        <v>62765.38</v>
      </c>
      <c r="C198" s="24">
        <f>IFERROR(B198/B444, "NA")</f>
        <v>0.43344314194757433</v>
      </c>
      <c r="D198" s="25"/>
      <c r="E198" s="23">
        <f>IFERROR(E172-E197, "NA")</f>
        <v>89388.029999999984</v>
      </c>
      <c r="F198" s="24">
        <f>IFERROR(E198/E444, "NA")</f>
        <v>0.49393025411859814</v>
      </c>
      <c r="G198" s="25"/>
      <c r="H198" s="23">
        <f>IFERROR(B198-E198, "NA")</f>
        <v>-26622.649999999987</v>
      </c>
      <c r="I198" s="24">
        <f>IFERROR(H198/H444, "NA")</f>
        <v>0.73611373401178748</v>
      </c>
      <c r="J198" s="25"/>
      <c r="K198" s="23">
        <f>IFERROR(K172-K197, "NA")</f>
        <v>67063.22000000003</v>
      </c>
      <c r="L198" s="24">
        <f>IFERROR(K198/K444, "NA")</f>
        <v>0.44839010874576163</v>
      </c>
      <c r="M198" s="25"/>
      <c r="N198" s="23">
        <f>IFERROR(B198-K198, "NA")</f>
        <v>-4297.8400000000329</v>
      </c>
      <c r="O198" s="24">
        <f>IFERROR(N198/N444, "NA")</f>
        <v>0.90329468932063617</v>
      </c>
      <c r="P198" s="25"/>
      <c r="Q198" s="23">
        <f>IFERROR(Q172-Q197, "NA")</f>
        <v>288590.93999999971</v>
      </c>
      <c r="R198" s="24">
        <f>IFERROR(Q198/Q444, "NA")</f>
        <v>0.41193509058046124</v>
      </c>
      <c r="S198" s="25"/>
      <c r="T198" s="23">
        <f>IFERROR(T172-T197, "NA")</f>
        <v>341895.33000000007</v>
      </c>
      <c r="U198" s="24">
        <f>IFERROR(T198/T444, "NA")</f>
        <v>0.45627149803438932</v>
      </c>
      <c r="V198" s="25"/>
      <c r="W198" s="23">
        <f>IFERROR(Q198-T198, "NA")</f>
        <v>-53304.390000000363</v>
      </c>
      <c r="X198" s="24">
        <f>IFERROR(W198/W444, "NA")</f>
        <v>1.0934121701315958</v>
      </c>
      <c r="Y198" s="25"/>
      <c r="Z198" s="23">
        <f>IFERROR(Z172-Z197, "NA")</f>
        <v>251916.36000000007</v>
      </c>
      <c r="AA198" s="24">
        <f>IFERROR(Z198/Z444, "NA")</f>
        <v>0.39242972311153168</v>
      </c>
      <c r="AB198" s="25"/>
      <c r="AC198" s="23">
        <f>IFERROR(Q198-Z198, "NA")</f>
        <v>36674.579999999638</v>
      </c>
      <c r="AD198" s="24">
        <f>IFERROR(AC198/AC444, "NA")</f>
        <v>0.62548572699413618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3619.46</v>
      </c>
      <c r="F201" s="8">
        <f>IFERROR(E201/E444, "NA")</f>
        <v>2.0000002210274703E-2</v>
      </c>
      <c r="G201" s="9"/>
      <c r="H201" s="10">
        <f t="shared" ref="H201:H209" si="52">IFERROR(-(B201-E201), "NA")</f>
        <v>3619.46</v>
      </c>
      <c r="I201" s="8">
        <f>IFERROR(H201/H444, "NA")</f>
        <v>-0.10007772388196914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14986.49</v>
      </c>
      <c r="U201" s="8">
        <f>IFERROR(T201/T444, "NA")</f>
        <v>2.0000004804328252E-2</v>
      </c>
      <c r="V201" s="9"/>
      <c r="W201" s="10">
        <f t="shared" ref="W201:W209" si="54">IFERROR(-(Q201-T201), "NA")</f>
        <v>14986.49</v>
      </c>
      <c r="X201" s="8">
        <f>IFERROR(W201/W444, "NA")</f>
        <v>-0.30741202654331751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1172.92</v>
      </c>
      <c r="C202" s="8">
        <f>IFERROR(B202/B444, "NA")</f>
        <v>8.0999132014041644E-3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-1172.92</v>
      </c>
      <c r="I202" s="8">
        <f>IFERROR(H202/H444, "NA")</f>
        <v>3.2431126161261419E-2</v>
      </c>
      <c r="J202" s="9"/>
      <c r="K202" s="7">
        <v>916.3</v>
      </c>
      <c r="L202" s="8">
        <f>IFERROR(K202/K444, "NA")</f>
        <v>6.1264558523098228E-3</v>
      </c>
      <c r="M202" s="9"/>
      <c r="N202" s="10">
        <f t="shared" si="53"/>
        <v>-256.62000000000012</v>
      </c>
      <c r="O202" s="8">
        <f>IFERROR(N202/N444, "NA")</f>
        <v>5.3934879654305413E-2</v>
      </c>
      <c r="P202" s="9"/>
      <c r="Q202" s="7">
        <v>6102.59</v>
      </c>
      <c r="R202" s="8">
        <f>IFERROR(Q202/Q444, "NA")</f>
        <v>8.7108450612670627E-3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-6102.59</v>
      </c>
      <c r="X202" s="8">
        <f>IFERROR(W202/W444, "NA")</f>
        <v>0.12518004943539041</v>
      </c>
      <c r="Y202" s="9"/>
      <c r="Z202" s="7">
        <v>4947.2700000000004</v>
      </c>
      <c r="AA202" s="8">
        <f>IFERROR(Z202/Z444, "NA")</f>
        <v>7.7067475739090036E-3</v>
      </c>
      <c r="AB202" s="9"/>
      <c r="AC202" s="10">
        <f t="shared" si="55"/>
        <v>-1155.3199999999997</v>
      </c>
      <c r="AD202" s="8">
        <f>IFERROR(AC202/AC444, "NA")</f>
        <v>-1.9704006701941029E-2</v>
      </c>
    </row>
    <row r="203" spans="1:30" ht="16.5" customHeight="1" x14ac:dyDescent="0.45">
      <c r="A203" s="6" t="s">
        <v>185</v>
      </c>
      <c r="B203" s="7">
        <v>2177.33</v>
      </c>
      <c r="C203" s="8">
        <f>IFERROR(B203/B444, "NA")</f>
        <v>1.5036135466027801E-2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-2177.33</v>
      </c>
      <c r="I203" s="8">
        <f>IFERROR(H203/H444, "NA")</f>
        <v>6.0202966890068647E-2</v>
      </c>
      <c r="J203" s="9"/>
      <c r="K203" s="7">
        <v>701.1</v>
      </c>
      <c r="L203" s="8">
        <f>IFERROR(K203/K444, "NA")</f>
        <v>4.6876112605635893E-3</v>
      </c>
      <c r="M203" s="9"/>
      <c r="N203" s="10">
        <f t="shared" si="53"/>
        <v>-1476.23</v>
      </c>
      <c r="O203" s="8">
        <f>IFERROR(N203/N444, "NA")</f>
        <v>0.31026532379422977</v>
      </c>
      <c r="P203" s="9"/>
      <c r="Q203" s="7">
        <v>5915.7</v>
      </c>
      <c r="R203" s="8">
        <f>IFERROR(Q203/Q444, "NA")</f>
        <v>8.4440780273519218E-3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-5915.7</v>
      </c>
      <c r="X203" s="8">
        <f>IFERROR(W203/W444, "NA")</f>
        <v>0.12134644772874124</v>
      </c>
      <c r="Y203" s="9"/>
      <c r="Z203" s="7">
        <v>3706.12</v>
      </c>
      <c r="AA203" s="8">
        <f>IFERROR(Z203/Z444, "NA")</f>
        <v>5.7733116079404668E-3</v>
      </c>
      <c r="AB203" s="9"/>
      <c r="AC203" s="10">
        <f t="shared" si="55"/>
        <v>-2209.58</v>
      </c>
      <c r="AD203" s="8">
        <f>IFERROR(AC203/AC444, "NA")</f>
        <v>-3.768443299559851E-2</v>
      </c>
    </row>
    <row r="204" spans="1:30" ht="16.5" customHeight="1" x14ac:dyDescent="0.45">
      <c r="A204" s="6" t="s">
        <v>186</v>
      </c>
      <c r="B204" s="7">
        <v>389.96</v>
      </c>
      <c r="C204" s="8">
        <f>IFERROR(B204/B444, "NA")</f>
        <v>2.6929732224018413E-3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-389.96</v>
      </c>
      <c r="I204" s="8">
        <f>IFERROR(H204/H444, "NA")</f>
        <v>1.078235681704251E-2</v>
      </c>
      <c r="J204" s="9"/>
      <c r="K204" s="7">
        <v>252.71</v>
      </c>
      <c r="L204" s="8">
        <f>IFERROR(K204/K444, "NA")</f>
        <v>1.6896394831793251E-3</v>
      </c>
      <c r="M204" s="9"/>
      <c r="N204" s="10">
        <f t="shared" si="53"/>
        <v>-137.24999999999997</v>
      </c>
      <c r="O204" s="8">
        <f>IFERROR(N204/N444, "NA")</f>
        <v>2.8846396354740133E-2</v>
      </c>
      <c r="P204" s="9"/>
      <c r="Q204" s="7">
        <v>714.4</v>
      </c>
      <c r="R204" s="8">
        <f>IFERROR(Q204/Q444, "NA")</f>
        <v>1.0197355076728388E-3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-714.4</v>
      </c>
      <c r="X204" s="8">
        <f>IFERROR(W204/W444, "NA")</f>
        <v>1.4654208674782822E-2</v>
      </c>
      <c r="Y204" s="9"/>
      <c r="Z204" s="7">
        <v>624.96</v>
      </c>
      <c r="AA204" s="8">
        <f>IFERROR(Z204/Z444, "NA")</f>
        <v>9.7354883881214699E-4</v>
      </c>
      <c r="AB204" s="9"/>
      <c r="AC204" s="10">
        <f t="shared" si="55"/>
        <v>-89.439999999999941</v>
      </c>
      <c r="AD204" s="8">
        <f>IFERROR(AC204/AC444, "NA")</f>
        <v>-1.5254010658705855E-3</v>
      </c>
    </row>
    <row r="205" spans="1:30" ht="16.5" customHeight="1" x14ac:dyDescent="0.45">
      <c r="A205" s="6" t="s">
        <v>187</v>
      </c>
      <c r="B205" s="7">
        <v>455.3</v>
      </c>
      <c r="C205" s="8">
        <f>IFERROR(B205/B444, "NA")</f>
        <v>3.1441960923160282E-3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-455.3</v>
      </c>
      <c r="I205" s="8">
        <f>IFERROR(H205/H444, "NA")</f>
        <v>1.2589001586828021E-2</v>
      </c>
      <c r="J205" s="9"/>
      <c r="K205" s="7">
        <v>269.45999999999998</v>
      </c>
      <c r="L205" s="8">
        <f>IFERROR(K205/K444, "NA")</f>
        <v>1.8016313368584577E-3</v>
      </c>
      <c r="M205" s="9"/>
      <c r="N205" s="10">
        <f t="shared" si="53"/>
        <v>-185.84000000000003</v>
      </c>
      <c r="O205" s="8">
        <f>IFERROR(N205/N444, "NA")</f>
        <v>3.9058756273696968E-2</v>
      </c>
      <c r="P205" s="9"/>
      <c r="Q205" s="7">
        <v>2367.56</v>
      </c>
      <c r="R205" s="8">
        <f>IFERROR(Q205/Q444, "NA")</f>
        <v>3.3794582846387268E-3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-2367.56</v>
      </c>
      <c r="X205" s="8">
        <f>IFERROR(W205/W444, "NA")</f>
        <v>4.856483523245915E-2</v>
      </c>
      <c r="Y205" s="9"/>
      <c r="Z205" s="7">
        <v>2348.2199999999998</v>
      </c>
      <c r="AA205" s="8">
        <f>IFERROR(Z205/Z444, "NA")</f>
        <v>3.6580050791658017E-3</v>
      </c>
      <c r="AB205" s="9"/>
      <c r="AC205" s="10">
        <f t="shared" si="55"/>
        <v>-19.340000000000146</v>
      </c>
      <c r="AD205" s="8">
        <f>IFERROR(AC205/AC444, "NA")</f>
        <v>-3.2984410346531047E-4</v>
      </c>
    </row>
    <row r="206" spans="1:30" ht="16.5" customHeight="1" x14ac:dyDescent="0.45">
      <c r="A206" s="6" t="s">
        <v>188</v>
      </c>
      <c r="B206" s="7">
        <v>490.95</v>
      </c>
      <c r="C206" s="8">
        <f>IFERROR(B206/B444, "NA")</f>
        <v>3.3903867154020514E-3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-490.95</v>
      </c>
      <c r="I206" s="8">
        <f>IFERROR(H206/H444, "NA")</f>
        <v>1.3574720687575701E-2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-490.95</v>
      </c>
      <c r="O206" s="8">
        <f>IFERROR(N206/N444, "NA")</f>
        <v>0.10318497843613604</v>
      </c>
      <c r="P206" s="9"/>
      <c r="Q206" s="7">
        <v>865.24</v>
      </c>
      <c r="R206" s="8">
        <f>IFERROR(Q206/Q444, "NA")</f>
        <v>1.2350447237665834E-3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-865.24</v>
      </c>
      <c r="X206" s="8">
        <f>IFERROR(W206/W444, "NA")</f>
        <v>1.7748330786350911E-2</v>
      </c>
      <c r="Y206" s="9"/>
      <c r="Z206" s="7">
        <v>218.64</v>
      </c>
      <c r="AA206" s="8">
        <f>IFERROR(Z206/Z444, "NA")</f>
        <v>3.4059254691162284E-4</v>
      </c>
      <c r="AB206" s="9"/>
      <c r="AC206" s="10">
        <f t="shared" si="55"/>
        <v>-646.6</v>
      </c>
      <c r="AD206" s="8">
        <f>IFERROR(AC206/AC444, "NA")</f>
        <v>-1.1027776489176222E-2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0</v>
      </c>
      <c r="I207" s="8">
        <f>IFERROR(H207/H444, "NA")</f>
        <v>0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0</v>
      </c>
      <c r="O207" s="8">
        <f>IFERROR(N207/N444, "NA")</f>
        <v>0</v>
      </c>
      <c r="P207" s="9"/>
      <c r="Q207" s="7">
        <v>588.29999999999995</v>
      </c>
      <c r="R207" s="8">
        <f>IFERROR(Q207/Q444, "NA")</f>
        <v>8.3974020039743991E-4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-588.29999999999995</v>
      </c>
      <c r="X207" s="8">
        <f>IFERROR(W207/W444, "NA")</f>
        <v>1.2067568537758587E-2</v>
      </c>
      <c r="Y207" s="9"/>
      <c r="Z207" s="7">
        <v>308.33999999999997</v>
      </c>
      <c r="AA207" s="8">
        <f>IFERROR(Z207/Z444, "NA")</f>
        <v>4.8032521914896534E-4</v>
      </c>
      <c r="AB207" s="9"/>
      <c r="AC207" s="10">
        <f t="shared" si="55"/>
        <v>-279.95999999999998</v>
      </c>
      <c r="AD207" s="8">
        <f>IFERROR(AC207/AC444, "NA")</f>
        <v>-4.7747236404419658E-3</v>
      </c>
    </row>
    <row r="208" spans="1:30" ht="16.5" customHeight="1" x14ac:dyDescent="0.45">
      <c r="A208" s="6" t="s">
        <v>190</v>
      </c>
      <c r="B208" s="7">
        <v>160</v>
      </c>
      <c r="C208" s="8">
        <f>IFERROR(B208/B444, "NA")</f>
        <v>1.1049228525599924E-3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-160</v>
      </c>
      <c r="I208" s="8">
        <f>IFERROR(H208/H444, "NA")</f>
        <v>4.4239847438886084E-3</v>
      </c>
      <c r="J208" s="9"/>
      <c r="K208" s="7">
        <v>273.45</v>
      </c>
      <c r="L208" s="8">
        <f>IFERROR(K208/K444, "NA")</f>
        <v>1.8283087993169497E-3</v>
      </c>
      <c r="M208" s="9"/>
      <c r="N208" s="10">
        <f t="shared" si="53"/>
        <v>113.44999999999999</v>
      </c>
      <c r="O208" s="8">
        <f>IFERROR(N208/N444, "NA")</f>
        <v>-2.3844252578836201E-2</v>
      </c>
      <c r="P208" s="9"/>
      <c r="Q208" s="7">
        <v>1034.05</v>
      </c>
      <c r="R208" s="8">
        <f>IFERROR(Q208/Q444, "NA")</f>
        <v>1.4760043416980669E-3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-1034.05</v>
      </c>
      <c r="X208" s="8">
        <f>IFERROR(W208/W444, "NA")</f>
        <v>2.1211064501902542E-2</v>
      </c>
      <c r="Y208" s="9"/>
      <c r="Z208" s="7">
        <v>602.92999999999995</v>
      </c>
      <c r="AA208" s="8">
        <f>IFERROR(Z208/Z444, "NA")</f>
        <v>9.3923099299956429E-4</v>
      </c>
      <c r="AB208" s="9"/>
      <c r="AC208" s="10">
        <f t="shared" si="55"/>
        <v>-431.12</v>
      </c>
      <c r="AD208" s="8">
        <f>IFERROR(AC208/AC444, "NA")</f>
        <v>-7.3527605938967719E-3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4846.46</v>
      </c>
      <c r="C209" s="15">
        <f>IFERROR(B209/B444, "NA")</f>
        <v>3.3468527550111878E-2</v>
      </c>
      <c r="D209" s="2"/>
      <c r="E209" s="14">
        <f>IFERROR(E201+E202+E203+E204+E205+E206+E207+E208, "NA")</f>
        <v>3619.46</v>
      </c>
      <c r="F209" s="15">
        <f>IFERROR(E209/E444, "NA")</f>
        <v>2.0000002210274703E-2</v>
      </c>
      <c r="G209" s="2"/>
      <c r="H209" s="14">
        <f t="shared" si="52"/>
        <v>-1227</v>
      </c>
      <c r="I209" s="15">
        <f>IFERROR(H209/H444, "NA")</f>
        <v>3.3926433004695764E-2</v>
      </c>
      <c r="J209" s="2"/>
      <c r="K209" s="14">
        <f>IFERROR(K201+K202+K203+K204+K205+K206+K207+K208, "NA")</f>
        <v>2413.02</v>
      </c>
      <c r="L209" s="15">
        <f>IFERROR(K209/K444, "NA")</f>
        <v>1.6133646732228144E-2</v>
      </c>
      <c r="M209" s="2"/>
      <c r="N209" s="14">
        <f t="shared" si="53"/>
        <v>-2433.44</v>
      </c>
      <c r="O209" s="15">
        <f>IFERROR(N209/N444, "NA")</f>
        <v>0.5114460819342721</v>
      </c>
      <c r="P209" s="2"/>
      <c r="Q209" s="14">
        <f>IFERROR(Q201+Q202+Q203+Q204+Q205+Q206+Q207+Q208, "NA")</f>
        <v>17587.84</v>
      </c>
      <c r="R209" s="15">
        <f>IFERROR(Q209/Q444, "NA")</f>
        <v>2.510490614679264E-2</v>
      </c>
      <c r="S209" s="2"/>
      <c r="T209" s="14">
        <f>IFERROR(T201+T202+T203+T204+T205+T206+T207+T208, "NA")</f>
        <v>14986.49</v>
      </c>
      <c r="U209" s="15">
        <f>IFERROR(T209/T444, "NA")</f>
        <v>2.0000004804328252E-2</v>
      </c>
      <c r="V209" s="2"/>
      <c r="W209" s="14">
        <f t="shared" si="54"/>
        <v>-2601.3500000000004</v>
      </c>
      <c r="X209" s="15">
        <f>IFERROR(W209/W444, "NA")</f>
        <v>5.3360478354068173E-2</v>
      </c>
      <c r="Y209" s="2"/>
      <c r="Z209" s="14">
        <f>IFERROR(Z201+Z202+Z203+Z204+Z205+Z206+Z207+Z208, "NA")</f>
        <v>12756.479999999998</v>
      </c>
      <c r="AA209" s="15">
        <f>IFERROR(Z209/Z444, "NA")</f>
        <v>1.9871761858887567E-2</v>
      </c>
      <c r="AB209" s="2"/>
      <c r="AC209" s="14">
        <f t="shared" si="55"/>
        <v>-4831.3600000000024</v>
      </c>
      <c r="AD209" s="15">
        <f>IFERROR(AC209/AC444, "NA")</f>
        <v>-8.2398945590390432E-2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4532.87</v>
      </c>
      <c r="F213" s="8">
        <f>IFERROR(E213/E444, "NA")</f>
        <v>2.5047219756231011E-2</v>
      </c>
      <c r="G213" s="9"/>
      <c r="H213" s="10">
        <f t="shared" ref="H213:H227" si="56">IFERROR(-(B213-E213), "NA")</f>
        <v>4532.87</v>
      </c>
      <c r="I213" s="8">
        <f>IFERROR(H213/H444, "NA")</f>
        <v>-0.12533342328768973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19455.37</v>
      </c>
      <c r="U213" s="8">
        <f>IFERROR(T213/T444, "NA")</f>
        <v>2.5963884369854699E-2</v>
      </c>
      <c r="V213" s="9"/>
      <c r="W213" s="10">
        <f t="shared" ref="W213:W227" si="58">IFERROR(-(Q213-T213), "NA")</f>
        <v>19455.37</v>
      </c>
      <c r="X213" s="8">
        <f>IFERROR(W213/W444, "NA")</f>
        <v>-0.39908041968800317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2299.33</v>
      </c>
      <c r="C214" s="8">
        <f>IFERROR(B214/B444, "NA")</f>
        <v>1.5878639141104794E-2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-2299.33</v>
      </c>
      <c r="I214" s="8">
        <f>IFERROR(H214/H444, "NA")</f>
        <v>6.3576255257283706E-2</v>
      </c>
      <c r="J214" s="9"/>
      <c r="K214" s="7">
        <v>625</v>
      </c>
      <c r="L214" s="8">
        <f>IFERROR(K214/K444, "NA")</f>
        <v>4.1788005104154095E-3</v>
      </c>
      <c r="M214" s="9"/>
      <c r="N214" s="10">
        <f t="shared" si="57"/>
        <v>-1674.33</v>
      </c>
      <c r="O214" s="8">
        <f>IFERROR(N214/N444, "NA")</f>
        <v>0.35190081463484196</v>
      </c>
      <c r="P214" s="9"/>
      <c r="Q214" s="7">
        <v>12750.56</v>
      </c>
      <c r="R214" s="8">
        <f>IFERROR(Q214/Q444, "NA")</f>
        <v>1.8200166257996909E-2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-12750.56</v>
      </c>
      <c r="X214" s="8">
        <f>IFERROR(W214/W444, "NA")</f>
        <v>0.26154726618188529</v>
      </c>
      <c r="Y214" s="9"/>
      <c r="Z214" s="7">
        <v>2870</v>
      </c>
      <c r="AA214" s="8">
        <f>IFERROR(Z214/Z444, "NA")</f>
        <v>4.4708224004590081E-3</v>
      </c>
      <c r="AB214" s="9"/>
      <c r="AC214" s="10">
        <f t="shared" si="59"/>
        <v>-9880.56</v>
      </c>
      <c r="AD214" s="8">
        <f>IFERROR(AC214/AC444, "NA")</f>
        <v>-0.16851315692529384</v>
      </c>
    </row>
    <row r="215" spans="1:30" ht="16.5" customHeight="1" x14ac:dyDescent="0.45">
      <c r="A215" s="12" t="s">
        <v>195</v>
      </c>
      <c r="B215" s="7">
        <v>18.440000000000001</v>
      </c>
      <c r="C215" s="8">
        <f>IFERROR(B215/B444, "NA")</f>
        <v>1.2734235875753913E-4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-18.440000000000001</v>
      </c>
      <c r="I215" s="8">
        <f>IFERROR(H215/H444, "NA")</f>
        <v>5.0986424173316209E-4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-18.440000000000001</v>
      </c>
      <c r="O215" s="8">
        <f>IFERROR(N215/N444, "NA")</f>
        <v>3.8756105557843949E-3</v>
      </c>
      <c r="P215" s="9"/>
      <c r="Q215" s="7">
        <v>18.440000000000001</v>
      </c>
      <c r="R215" s="8">
        <f>IFERROR(Q215/Q444, "NA")</f>
        <v>2.6321280461208217E-5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-18.440000000000001</v>
      </c>
      <c r="X215" s="8">
        <f>IFERROR(W215/W444, "NA")</f>
        <v>3.7825253074327445E-4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-18.440000000000001</v>
      </c>
      <c r="AD215" s="8">
        <f>IFERROR(AC215/AC444, "NA")</f>
        <v>-3.1449458468977659E-4</v>
      </c>
    </row>
    <row r="216" spans="1:30" ht="16.5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0</v>
      </c>
      <c r="O216" s="8">
        <f>IFERROR(N216/N444, "NA")</f>
        <v>0</v>
      </c>
      <c r="P216" s="9"/>
      <c r="Q216" s="7">
        <v>2.1</v>
      </c>
      <c r="R216" s="8">
        <f>IFERROR(Q216/Q444, "NA")</f>
        <v>2.9975427857124324E-6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-2.1</v>
      </c>
      <c r="X216" s="8">
        <f>IFERROR(W216/W444, "NA")</f>
        <v>4.3076481266858802E-5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-2.1</v>
      </c>
      <c r="AD216" s="8">
        <f>IFERROR(AC216/AC444, "NA")</f>
        <v>-3.5815543809573254E-5</v>
      </c>
    </row>
    <row r="217" spans="1:30" ht="16.5" customHeight="1" x14ac:dyDescent="0.45">
      <c r="A217" s="12" t="s">
        <v>197</v>
      </c>
      <c r="B217" s="7">
        <v>1905.34</v>
      </c>
      <c r="C217" s="8">
        <f>IFERROR(B217/B444, "NA")</f>
        <v>1.3157835674354098E-2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-1905.34</v>
      </c>
      <c r="I217" s="8">
        <f>IFERROR(H217/H444, "NA")</f>
        <v>5.2682469324504502E-2</v>
      </c>
      <c r="J217" s="9"/>
      <c r="K217" s="7">
        <v>241.5</v>
      </c>
      <c r="L217" s="8">
        <f>IFERROR(K217/K444, "NA")</f>
        <v>1.6146885172245141E-3</v>
      </c>
      <c r="M217" s="9"/>
      <c r="N217" s="10">
        <f t="shared" si="57"/>
        <v>-1663.84</v>
      </c>
      <c r="O217" s="8">
        <f>IFERROR(N217/N444, "NA")</f>
        <v>0.34969608823949605</v>
      </c>
      <c r="P217" s="9"/>
      <c r="Q217" s="7">
        <v>12758.66</v>
      </c>
      <c r="R217" s="8">
        <f>IFERROR(Q217/Q444, "NA")</f>
        <v>1.8211728208741802E-2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-12758.66</v>
      </c>
      <c r="X217" s="8">
        <f>IFERROR(W217/W444, "NA")</f>
        <v>0.26171341832391465</v>
      </c>
      <c r="Y217" s="9"/>
      <c r="Z217" s="7">
        <v>1318.84</v>
      </c>
      <c r="AA217" s="8">
        <f>IFERROR(Z217/Z444, "NA")</f>
        <v>2.0544597263489053E-3</v>
      </c>
      <c r="AB217" s="9"/>
      <c r="AC217" s="10">
        <f t="shared" si="59"/>
        <v>-11439.82</v>
      </c>
      <c r="AD217" s="8">
        <f>IFERROR(AC217/AC444, "NA")</f>
        <v>-0.19510636875411061</v>
      </c>
    </row>
    <row r="218" spans="1:30" ht="16.5" customHeight="1" x14ac:dyDescent="0.45">
      <c r="A218" s="13" t="s">
        <v>198</v>
      </c>
      <c r="B218" s="14">
        <f>IFERROR(B213+B214+B215+B216+B217, "NA")</f>
        <v>4223.1099999999997</v>
      </c>
      <c r="C218" s="15">
        <f>IFERROR(B218/B444, "NA")</f>
        <v>2.9163817174216431E-2</v>
      </c>
      <c r="D218" s="2"/>
      <c r="E218" s="14">
        <f>IFERROR(E213+E214+E215+E216+E217, "NA")</f>
        <v>4532.87</v>
      </c>
      <c r="F218" s="15">
        <f>IFERROR(E218/E444, "NA")</f>
        <v>2.5047219756231011E-2</v>
      </c>
      <c r="G218" s="2"/>
      <c r="H218" s="14">
        <f t="shared" si="56"/>
        <v>309.76000000000022</v>
      </c>
      <c r="I218" s="15">
        <f>IFERROR(H218/H444, "NA")</f>
        <v>-8.5648344641683517E-3</v>
      </c>
      <c r="J218" s="2"/>
      <c r="K218" s="14">
        <f>IFERROR(K213+K214+K215+K216+K217, "NA")</f>
        <v>866.5</v>
      </c>
      <c r="L218" s="15">
        <f>IFERROR(K218/K444, "NA")</f>
        <v>5.7934890276399231E-3</v>
      </c>
      <c r="M218" s="2"/>
      <c r="N218" s="14">
        <f t="shared" si="57"/>
        <v>-3356.6099999999997</v>
      </c>
      <c r="O218" s="15">
        <f>IFERROR(N218/N444, "NA")</f>
        <v>0.70547251343012229</v>
      </c>
      <c r="P218" s="2"/>
      <c r="Q218" s="14">
        <f>IFERROR(Q213+Q214+Q215+Q216+Q217, "NA")</f>
        <v>25529.760000000002</v>
      </c>
      <c r="R218" s="15">
        <f>IFERROR(Q218/Q444, "NA")</f>
        <v>3.6441213289985633E-2</v>
      </c>
      <c r="S218" s="2"/>
      <c r="T218" s="14">
        <f>IFERROR(T213+T214+T215+T216+T217, "NA")</f>
        <v>19455.37</v>
      </c>
      <c r="U218" s="15">
        <f>IFERROR(T218/T444, "NA")</f>
        <v>2.5963884369854699E-2</v>
      </c>
      <c r="V218" s="2"/>
      <c r="W218" s="14">
        <f t="shared" si="58"/>
        <v>-6074.3900000000031</v>
      </c>
      <c r="X218" s="15">
        <f>IFERROR(W218/W444, "NA")</f>
        <v>0.12460159382980694</v>
      </c>
      <c r="Y218" s="2"/>
      <c r="Z218" s="14">
        <f>IFERROR(Z213+Z214+Z215+Z216+Z217, "NA")</f>
        <v>4188.84</v>
      </c>
      <c r="AA218" s="15">
        <f>IFERROR(Z218/Z444, "NA")</f>
        <v>6.5252821268079134E-3</v>
      </c>
      <c r="AB218" s="2"/>
      <c r="AC218" s="14">
        <f t="shared" si="59"/>
        <v>-21340.920000000002</v>
      </c>
      <c r="AD218" s="15">
        <f>IFERROR(AC218/AC444, "NA")</f>
        <v>-0.36396983580790387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136.34</v>
      </c>
      <c r="C222" s="8">
        <f>IFERROR(B222/B444, "NA")</f>
        <v>9.4153238573768357E-4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-136.34</v>
      </c>
      <c r="I222" s="8">
        <f>IFERROR(H222/H444, "NA")</f>
        <v>3.7697879998860803E-3</v>
      </c>
      <c r="J222" s="9"/>
      <c r="K222" s="7">
        <v>0</v>
      </c>
      <c r="L222" s="8">
        <f>IFERROR(K222/K444, "NA")</f>
        <v>0</v>
      </c>
      <c r="M222" s="9"/>
      <c r="N222" s="10">
        <f t="shared" si="57"/>
        <v>-136.34</v>
      </c>
      <c r="O222" s="8">
        <f>IFERROR(N222/N444, "NA")</f>
        <v>2.8655137916249695E-2</v>
      </c>
      <c r="P222" s="9"/>
      <c r="Q222" s="7">
        <v>645.4</v>
      </c>
      <c r="R222" s="8">
        <f>IFERROR(Q222/Q444, "NA")</f>
        <v>9.2124481614228753E-4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-645.4</v>
      </c>
      <c r="X222" s="8">
        <f>IFERROR(W222/W444, "NA")</f>
        <v>1.3238838576014605E-2</v>
      </c>
      <c r="Y222" s="9"/>
      <c r="Z222" s="7">
        <v>0</v>
      </c>
      <c r="AA222" s="8">
        <f>IFERROR(Z222/Z444, "NA")</f>
        <v>0</v>
      </c>
      <c r="AB222" s="9"/>
      <c r="AC222" s="10">
        <f t="shared" si="59"/>
        <v>-645.4</v>
      </c>
      <c r="AD222" s="8">
        <f>IFERROR(AC222/AC444, "NA")</f>
        <v>-1.1007310464142179E-2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180.97</v>
      </c>
      <c r="F226" s="8">
        <f>IFERROR(E226/E444, "NA")</f>
        <v>9.9998353345344686E-4</v>
      </c>
      <c r="G226" s="9"/>
      <c r="H226" s="10">
        <f t="shared" si="56"/>
        <v>180.97</v>
      </c>
      <c r="I226" s="8">
        <f>IFERROR(H226/H444, "NA")</f>
        <v>-5.0038032443845094E-3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749.33</v>
      </c>
      <c r="U226" s="8">
        <f>IFERROR(T226/T444, "NA")</f>
        <v>1.0000075801623522E-3</v>
      </c>
      <c r="V226" s="9"/>
      <c r="W226" s="10">
        <f t="shared" si="58"/>
        <v>749.33</v>
      </c>
      <c r="X226" s="8">
        <f>IFERROR(W226/W444, "NA")</f>
        <v>-1.5370714146521575E-2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4359.45</v>
      </c>
      <c r="C227" s="15">
        <f>IFERROR(B227/B444, "NA")</f>
        <v>3.0105349559954114E-2</v>
      </c>
      <c r="D227" s="2"/>
      <c r="E227" s="14">
        <f>IFERROR(E211+E213+E214+E215+E216+E217+E219+E220+E221+E222+E223+E224+E225+E226, "NA")</f>
        <v>4713.84</v>
      </c>
      <c r="F227" s="15">
        <f>IFERROR(E227/E444, "NA")</f>
        <v>2.6047203289684458E-2</v>
      </c>
      <c r="G227" s="2"/>
      <c r="H227" s="14">
        <f t="shared" si="56"/>
        <v>354.39000000000033</v>
      </c>
      <c r="I227" s="15">
        <f>IFERROR(H227/H444, "NA")</f>
        <v>-9.7988497086667833E-3</v>
      </c>
      <c r="J227" s="2"/>
      <c r="K227" s="14">
        <f>IFERROR(K211+K213+K214+K215+K216+K217+K219+K220+K221+K222+K223+K224+K225+K226, "NA")</f>
        <v>866.5</v>
      </c>
      <c r="L227" s="15">
        <f>IFERROR(K227/K444, "NA")</f>
        <v>5.7934890276399231E-3</v>
      </c>
      <c r="M227" s="2"/>
      <c r="N227" s="14">
        <f t="shared" si="57"/>
        <v>-3492.95</v>
      </c>
      <c r="O227" s="15">
        <f>IFERROR(N227/N444, "NA")</f>
        <v>0.73412765134637203</v>
      </c>
      <c r="P227" s="2"/>
      <c r="Q227" s="14">
        <f>IFERROR(Q211+Q213+Q214+Q215+Q216+Q217+Q219+Q220+Q221+Q222+Q223+Q224+Q225+Q226, "NA")</f>
        <v>26175.160000000003</v>
      </c>
      <c r="R227" s="15">
        <f>IFERROR(Q227/Q444, "NA")</f>
        <v>3.7362458106127927E-2</v>
      </c>
      <c r="S227" s="2"/>
      <c r="T227" s="14">
        <f>IFERROR(T211+T213+T214+T215+T216+T217+T219+T220+T221+T222+T223+T224+T225+T226, "NA")</f>
        <v>20204.7</v>
      </c>
      <c r="U227" s="15">
        <f>IFERROR(T227/T444, "NA")</f>
        <v>2.6963891950017051E-2</v>
      </c>
      <c r="V227" s="2"/>
      <c r="W227" s="14">
        <f t="shared" si="58"/>
        <v>-5970.4600000000028</v>
      </c>
      <c r="X227" s="15">
        <f>IFERROR(W227/W444, "NA")</f>
        <v>0.12246971825929996</v>
      </c>
      <c r="Y227" s="2"/>
      <c r="Z227" s="14">
        <f>IFERROR(Z211+Z213+Z214+Z215+Z216+Z217+Z219+Z220+Z221+Z222+Z223+Z224+Z225+Z226, "NA")</f>
        <v>4188.84</v>
      </c>
      <c r="AA227" s="15">
        <f>IFERROR(Z227/Z444, "NA")</f>
        <v>6.5252821268079134E-3</v>
      </c>
      <c r="AB227" s="2"/>
      <c r="AC227" s="14">
        <f t="shared" si="59"/>
        <v>-21986.320000000003</v>
      </c>
      <c r="AD227" s="15">
        <f>IFERROR(AC227/AC444, "NA")</f>
        <v>-0.37497714627204604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2663.92</v>
      </c>
      <c r="F229" s="8">
        <f>IFERROR(E229/E444, "NA")</f>
        <v>1.471998748100407E-2</v>
      </c>
      <c r="G229" s="9"/>
      <c r="H229" s="10">
        <f t="shared" ref="H229:H236" si="60">IFERROR(-(B229-E229), "NA")</f>
        <v>2663.92</v>
      </c>
      <c r="I229" s="8">
        <f>IFERROR(H229/H444, "NA")</f>
        <v>-7.3657133993373383E-2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11030.06</v>
      </c>
      <c r="U229" s="8">
        <f>IFERROR(T229/T444, "NA")</f>
        <v>1.4720008020025295E-2</v>
      </c>
      <c r="V229" s="9"/>
      <c r="W229" s="10">
        <f t="shared" ref="W229:W236" si="62">IFERROR(-(Q229-T229), "NA")</f>
        <v>11030.06</v>
      </c>
      <c r="X229" s="8">
        <f>IFERROR(W229/W444, "NA")</f>
        <v>-0.2262553204582517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-257.66000000000003</v>
      </c>
      <c r="AA230" s="8">
        <f>IFERROR(Z230/Z444, "NA")</f>
        <v>-4.0137703822378684E-4</v>
      </c>
      <c r="AB230" s="9"/>
      <c r="AC230" s="10">
        <f t="shared" si="63"/>
        <v>-257.66000000000003</v>
      </c>
      <c r="AD230" s="8">
        <f>IFERROR(AC230/AC444, "NA")</f>
        <v>-4.3943966752260219E-3</v>
      </c>
    </row>
    <row r="231" spans="1:30" ht="16.5" customHeight="1" x14ac:dyDescent="0.45">
      <c r="A231" s="6" t="s">
        <v>210</v>
      </c>
      <c r="B231" s="7">
        <v>126</v>
      </c>
      <c r="C231" s="8">
        <f>IFERROR(B231/B444, "NA")</f>
        <v>8.7012674639099397E-4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-126</v>
      </c>
      <c r="I231" s="8">
        <f>IFERROR(H231/H444, "NA")</f>
        <v>3.4838879858122792E-3</v>
      </c>
      <c r="J231" s="9"/>
      <c r="K231" s="7">
        <v>204.49</v>
      </c>
      <c r="L231" s="8">
        <f>IFERROR(K231/K444, "NA")</f>
        <v>1.3672366661997553E-3</v>
      </c>
      <c r="M231" s="9"/>
      <c r="N231" s="10">
        <f t="shared" si="61"/>
        <v>78.490000000000009</v>
      </c>
      <c r="O231" s="8">
        <f>IFERROR(N231/N444, "NA")</f>
        <v>-1.649656575507143E-2</v>
      </c>
      <c r="P231" s="9"/>
      <c r="Q231" s="7">
        <v>1099.05</v>
      </c>
      <c r="R231" s="8">
        <f>IFERROR(Q231/Q444, "NA")</f>
        <v>1.5687854279224994E-3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-1099.05</v>
      </c>
      <c r="X231" s="8">
        <f>IFERROR(W231/W444, "NA")</f>
        <v>2.254438416016246E-2</v>
      </c>
      <c r="Y231" s="9"/>
      <c r="Z231" s="7">
        <v>1280.57</v>
      </c>
      <c r="AA231" s="8">
        <f>IFERROR(Z231/Z444, "NA")</f>
        <v>1.9948435684166523E-3</v>
      </c>
      <c r="AB231" s="9"/>
      <c r="AC231" s="10">
        <f t="shared" si="63"/>
        <v>181.51999999999998</v>
      </c>
      <c r="AD231" s="8">
        <f>IFERROR(AC231/AC444, "NA")</f>
        <v>3.0958273868160651E-3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937.95</v>
      </c>
      <c r="C234" s="8">
        <f>IFERROR(B234/B444, "NA")</f>
        <v>6.4772649347415306E-3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-937.95</v>
      </c>
      <c r="I234" s="8">
        <f>IFERROR(H234/H444, "NA")</f>
        <v>2.5934228065814503E-2</v>
      </c>
      <c r="J234" s="9"/>
      <c r="K234" s="7">
        <v>2546</v>
      </c>
      <c r="L234" s="8">
        <f>IFERROR(K234/K444, "NA")</f>
        <v>1.7022761759228212E-2</v>
      </c>
      <c r="M234" s="9"/>
      <c r="N234" s="10">
        <f t="shared" si="61"/>
        <v>1608.05</v>
      </c>
      <c r="O234" s="8">
        <f>IFERROR(N234/N444, "NA")</f>
        <v>-0.33797047474127417</v>
      </c>
      <c r="P234" s="9"/>
      <c r="Q234" s="7">
        <v>8524.52</v>
      </c>
      <c r="R234" s="8">
        <f>IFERROR(Q234/Q444, "NA")</f>
        <v>1.2167911156029212E-2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-8524.52</v>
      </c>
      <c r="X234" s="8">
        <f>IFERROR(W234/W444, "NA")</f>
        <v>0.17486015528045867</v>
      </c>
      <c r="Y234" s="9"/>
      <c r="Z234" s="7">
        <v>8685.2800000000007</v>
      </c>
      <c r="AA234" s="8">
        <f>IFERROR(Z234/Z444, "NA")</f>
        <v>1.3529736717163281E-2</v>
      </c>
      <c r="AB234" s="9"/>
      <c r="AC234" s="10">
        <f t="shared" si="63"/>
        <v>160.76000000000022</v>
      </c>
      <c r="AD234" s="8">
        <f>IFERROR(AC234/AC444, "NA")</f>
        <v>2.7417651537271449E-3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1063.95</v>
      </c>
      <c r="C236" s="15">
        <f>IFERROR(B236/B444, "NA")</f>
        <v>7.3473916811325245E-3</v>
      </c>
      <c r="D236" s="2"/>
      <c r="E236" s="14">
        <f>IFERROR(E229+E230+E231+E232+E233+E234+E235, "NA")</f>
        <v>2663.92</v>
      </c>
      <c r="F236" s="15">
        <f>IFERROR(E236/E444, "NA")</f>
        <v>1.471998748100407E-2</v>
      </c>
      <c r="G236" s="2"/>
      <c r="H236" s="14">
        <f t="shared" si="60"/>
        <v>1599.97</v>
      </c>
      <c r="I236" s="15">
        <f>IFERROR(H236/H444, "NA")</f>
        <v>-4.4239017941746603E-2</v>
      </c>
      <c r="J236" s="2"/>
      <c r="K236" s="14">
        <f>IFERROR(K229+K230+K231+K232+K233+K234+K235, "NA")</f>
        <v>2750.49</v>
      </c>
      <c r="L236" s="15">
        <f>IFERROR(K236/K444, "NA")</f>
        <v>1.8389998425427965E-2</v>
      </c>
      <c r="M236" s="2"/>
      <c r="N236" s="14">
        <f t="shared" si="61"/>
        <v>1686.5399999999997</v>
      </c>
      <c r="O236" s="15">
        <f>IFERROR(N236/N444, "NA")</f>
        <v>-0.35446704049634553</v>
      </c>
      <c r="P236" s="2"/>
      <c r="Q236" s="14">
        <f>IFERROR(Q229+Q230+Q231+Q232+Q233+Q234+Q235, "NA")</f>
        <v>9623.57</v>
      </c>
      <c r="R236" s="15">
        <f>IFERROR(Q236/Q444, "NA")</f>
        <v>1.373669658395171E-2</v>
      </c>
      <c r="S236" s="2"/>
      <c r="T236" s="14">
        <f>IFERROR(T229+T230+T231+T232+T233+T234+T235, "NA")</f>
        <v>11030.06</v>
      </c>
      <c r="U236" s="15">
        <f>IFERROR(T236/T444, "NA")</f>
        <v>1.4720008020025295E-2</v>
      </c>
      <c r="V236" s="2"/>
      <c r="W236" s="14">
        <f t="shared" si="62"/>
        <v>1406.4899999999998</v>
      </c>
      <c r="X236" s="15">
        <f>IFERROR(W236/W444, "NA")</f>
        <v>-2.8850781017630583E-2</v>
      </c>
      <c r="Y236" s="2"/>
      <c r="Z236" s="14">
        <f>IFERROR(Z229+Z230+Z231+Z232+Z233+Z234+Z235, "NA")</f>
        <v>9708.19</v>
      </c>
      <c r="AA236" s="15">
        <f>IFERROR(Z236/Z444, "NA")</f>
        <v>1.5123203247356146E-2</v>
      </c>
      <c r="AB236" s="2"/>
      <c r="AC236" s="14">
        <f t="shared" si="63"/>
        <v>84.6200000000008</v>
      </c>
      <c r="AD236" s="15">
        <f>IFERROR(AC236/AC444, "NA")</f>
        <v>1.4431958653171987E-3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9303.4599999999991</v>
      </c>
      <c r="F240" s="8">
        <f>IFERROR(E240/E444, "NA")</f>
        <v>5.140800576970108E-2</v>
      </c>
      <c r="G240" s="9"/>
      <c r="H240" s="10">
        <f t="shared" ref="H240:H263" si="64">IFERROR(-(B240-E240), "NA")</f>
        <v>9303.4599999999991</v>
      </c>
      <c r="I240" s="8">
        <f>IFERROR(H240/H444, "NA")</f>
        <v>-0.25723978190861191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39208.54</v>
      </c>
      <c r="U240" s="8">
        <f>IFERROR(T240/T444, "NA")</f>
        <v>5.2325193448946115E-2</v>
      </c>
      <c r="V240" s="9"/>
      <c r="W240" s="10">
        <f t="shared" ref="W240:W263" si="66">IFERROR(-(Q240-T240), "NA")</f>
        <v>39208.54</v>
      </c>
      <c r="X240" s="8">
        <f>IFERROR(W240/W444, "NA")</f>
        <v>-0.80426949467184949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1508.93</v>
      </c>
      <c r="C242" s="8">
        <f>IFERROR(B242/B444, "NA")</f>
        <v>1.0420320249458433E-2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-1508.93</v>
      </c>
      <c r="I242" s="8">
        <f>IFERROR(H242/H444, "NA")</f>
        <v>4.1721770622473987E-2</v>
      </c>
      <c r="J242" s="9"/>
      <c r="K242" s="7">
        <v>1109.05</v>
      </c>
      <c r="L242" s="8">
        <f>IFERROR(K242/K444, "NA")</f>
        <v>7.415197929721935E-3</v>
      </c>
      <c r="M242" s="9"/>
      <c r="N242" s="10">
        <f t="shared" si="65"/>
        <v>-399.88000000000011</v>
      </c>
      <c r="O242" s="8">
        <f>IFERROR(N242/N444, "NA")</f>
        <v>8.4044422399515414E-2</v>
      </c>
      <c r="P242" s="9"/>
      <c r="Q242" s="7">
        <v>6962.98</v>
      </c>
      <c r="R242" s="8">
        <f>IFERROR(Q242/Q444, "NA")</f>
        <v>9.9389668885999771E-3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-6962.98</v>
      </c>
      <c r="X242" s="8">
        <f>IFERROR(W242/W444, "NA")</f>
        <v>0.142828894062625</v>
      </c>
      <c r="Y242" s="9"/>
      <c r="Z242" s="7">
        <v>5510.07</v>
      </c>
      <c r="AA242" s="8">
        <f>IFERROR(Z242/Z444, "NA")</f>
        <v>8.5834649421941342E-3</v>
      </c>
      <c r="AB242" s="9"/>
      <c r="AC242" s="10">
        <f t="shared" si="67"/>
        <v>-1452.9099999999999</v>
      </c>
      <c r="AD242" s="8">
        <f>IFERROR(AC242/AC444, "NA")</f>
        <v>-2.4779410360174794E-2</v>
      </c>
    </row>
    <row r="243" spans="1:30" ht="16.5" customHeight="1" x14ac:dyDescent="0.45">
      <c r="A243" s="12" t="s">
        <v>220</v>
      </c>
      <c r="B243" s="7">
        <v>1463.64</v>
      </c>
      <c r="C243" s="8">
        <f>IFERROR(B243/B444, "NA")</f>
        <v>1.0107558024505671E-2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-1463.64</v>
      </c>
      <c r="I243" s="8">
        <f>IFERROR(H243/H444, "NA")</f>
        <v>4.0469506440907022E-2</v>
      </c>
      <c r="J243" s="9"/>
      <c r="K243" s="7">
        <v>5315.24</v>
      </c>
      <c r="L243" s="8">
        <f>IFERROR(K243/K444, "NA")</f>
        <v>3.5538124199968636E-2</v>
      </c>
      <c r="M243" s="9"/>
      <c r="N243" s="10">
        <f t="shared" si="65"/>
        <v>3851.5999999999995</v>
      </c>
      <c r="O243" s="8">
        <f>IFERROR(N243/N444, "NA")</f>
        <v>-0.80950659526351265</v>
      </c>
      <c r="P243" s="9"/>
      <c r="Q243" s="7">
        <v>16822.73</v>
      </c>
      <c r="R243" s="8">
        <f>IFERROR(Q243/Q444, "NA")</f>
        <v>2.4012787117851479E-2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-16822.73</v>
      </c>
      <c r="X243" s="8">
        <f>IFERROR(W243/W444, "NA")</f>
        <v>0.34507810176305881</v>
      </c>
      <c r="Y243" s="9"/>
      <c r="Z243" s="7">
        <v>19924.97</v>
      </c>
      <c r="AA243" s="8">
        <f>IFERROR(Z243/Z444, "NA")</f>
        <v>3.1038676726297468E-2</v>
      </c>
      <c r="AB243" s="9"/>
      <c r="AC243" s="10">
        <f t="shared" si="67"/>
        <v>3102.2400000000016</v>
      </c>
      <c r="AD243" s="8">
        <f>IFERROR(AC243/AC444, "NA")</f>
        <v>5.2908767918005042E-2</v>
      </c>
    </row>
    <row r="244" spans="1:30" ht="16.5" customHeight="1" x14ac:dyDescent="0.45">
      <c r="A244" s="12" t="s">
        <v>221</v>
      </c>
      <c r="B244" s="7">
        <v>818.93</v>
      </c>
      <c r="C244" s="8">
        <f>IFERROR(B244/B444, "NA")</f>
        <v>5.6553404477934655E-3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-818.93</v>
      </c>
      <c r="I244" s="8">
        <f>IFERROR(H244/H444, "NA")</f>
        <v>2.264333641445436E-2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-818.93</v>
      </c>
      <c r="O244" s="8">
        <f>IFERROR(N244/N444, "NA")</f>
        <v>0.17211788245382398</v>
      </c>
      <c r="P244" s="9"/>
      <c r="Q244" s="7">
        <v>1710.3</v>
      </c>
      <c r="R244" s="8">
        <f>IFERROR(Q244/Q444, "NA")</f>
        <v>2.4412844887637965E-3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-1710.3</v>
      </c>
      <c r="X244" s="8">
        <f>IFERROR(W244/W444, "NA")</f>
        <v>3.5082717100337432E-2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-1710.3</v>
      </c>
      <c r="AD244" s="8">
        <f>IFERROR(AC244/AC444, "NA")</f>
        <v>-2.916920217976816E-2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477.46</v>
      </c>
      <c r="C246" s="8">
        <f>IFERROR(B246/B444, "NA")</f>
        <v>3.2972279073955873E-3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-477.46</v>
      </c>
      <c r="I246" s="8">
        <f>IFERROR(H246/H444, "NA")</f>
        <v>1.3201723473856593E-2</v>
      </c>
      <c r="J246" s="9"/>
      <c r="K246" s="7">
        <v>0</v>
      </c>
      <c r="L246" s="8">
        <f>IFERROR(K246/K444, "NA")</f>
        <v>0</v>
      </c>
      <c r="M246" s="9"/>
      <c r="N246" s="10">
        <f t="shared" si="65"/>
        <v>-477.46</v>
      </c>
      <c r="O246" s="8">
        <f>IFERROR(N246/N444, "NA")</f>
        <v>0.10034972971609638</v>
      </c>
      <c r="P246" s="9"/>
      <c r="Q246" s="7">
        <v>2356.62</v>
      </c>
      <c r="R246" s="8">
        <f>IFERROR(Q246/Q444, "NA")</f>
        <v>3.3638425141264915E-3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-2356.62</v>
      </c>
      <c r="X246" s="8">
        <f>IFERROR(W246/W444, "NA")</f>
        <v>4.8340427277668942E-2</v>
      </c>
      <c r="Y246" s="9"/>
      <c r="Z246" s="7">
        <v>0</v>
      </c>
      <c r="AA246" s="8">
        <f>IFERROR(Z246/Z444, "NA")</f>
        <v>0</v>
      </c>
      <c r="AB246" s="9"/>
      <c r="AC246" s="10">
        <f t="shared" si="67"/>
        <v>-2356.62</v>
      </c>
      <c r="AD246" s="8">
        <f>IFERROR(AC246/AC444, "NA")</f>
        <v>-4.0192203263103105E-2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259.55</v>
      </c>
      <c r="C248" s="8">
        <f>IFERROR(B248/B444, "NA")</f>
        <v>1.7923920398871627E-3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-259.55</v>
      </c>
      <c r="I248" s="8">
        <f>IFERROR(H248/H444, "NA")</f>
        <v>7.1765327517268017E-3</v>
      </c>
      <c r="J248" s="9"/>
      <c r="K248" s="7">
        <v>259.55</v>
      </c>
      <c r="L248" s="8">
        <f>IFERROR(K248/K444, "NA")</f>
        <v>1.7353722759653111E-3</v>
      </c>
      <c r="M248" s="9"/>
      <c r="N248" s="10">
        <f t="shared" si="65"/>
        <v>0</v>
      </c>
      <c r="O248" s="8">
        <f>IFERROR(N248/N444, "NA")</f>
        <v>0</v>
      </c>
      <c r="P248" s="9"/>
      <c r="Q248" s="7">
        <v>1616.3</v>
      </c>
      <c r="R248" s="8">
        <f>IFERROR(Q248/Q444, "NA")</f>
        <v>2.3071087640700021E-3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-1616.3</v>
      </c>
      <c r="X248" s="8">
        <f>IFERROR(W248/W444, "NA")</f>
        <v>3.3154531748392321E-2</v>
      </c>
      <c r="Y248" s="9"/>
      <c r="Z248" s="7">
        <v>1458.02</v>
      </c>
      <c r="AA248" s="8">
        <f>IFERROR(Z248/Z444, "NA")</f>
        <v>2.271271246103569E-3</v>
      </c>
      <c r="AB248" s="9"/>
      <c r="AC248" s="10">
        <f t="shared" si="67"/>
        <v>-158.27999999999997</v>
      </c>
      <c r="AD248" s="8">
        <f>IFERROR(AC248/AC444, "NA")</f>
        <v>-2.6994687019901206E-3</v>
      </c>
    </row>
    <row r="249" spans="1:30" ht="16.5" customHeight="1" x14ac:dyDescent="0.45">
      <c r="A249" s="12" t="s">
        <v>226</v>
      </c>
      <c r="B249" s="7">
        <v>1464.07</v>
      </c>
      <c r="C249" s="8">
        <f>IFERROR(B249/B444, "NA")</f>
        <v>1.0110527504671925E-2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-1464.07</v>
      </c>
      <c r="I249" s="8">
        <f>IFERROR(H249/H444, "NA")</f>
        <v>4.0481395899906215E-2</v>
      </c>
      <c r="J249" s="9"/>
      <c r="K249" s="7">
        <v>1220.78</v>
      </c>
      <c r="L249" s="8">
        <f>IFERROR(K249/K444, "NA")</f>
        <v>8.1622337393678773E-3</v>
      </c>
      <c r="M249" s="9"/>
      <c r="N249" s="10">
        <f t="shared" si="65"/>
        <v>-243.28999999999996</v>
      </c>
      <c r="O249" s="8">
        <f>IFERROR(N249/N444, "NA")</f>
        <v>5.1133258791582717E-2</v>
      </c>
      <c r="P249" s="9"/>
      <c r="Q249" s="7">
        <v>8381.35</v>
      </c>
      <c r="R249" s="8">
        <f>IFERROR(Q249/Q444, "NA")</f>
        <v>1.196355010810995E-2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-8381.35</v>
      </c>
      <c r="X249" s="8">
        <f>IFERROR(W249/W444, "NA")</f>
        <v>0.17192336488856524</v>
      </c>
      <c r="Y249" s="9"/>
      <c r="Z249" s="7">
        <v>6620.29</v>
      </c>
      <c r="AA249" s="8">
        <f>IFERROR(Z249/Z444, "NA")</f>
        <v>1.0312941055587027E-2</v>
      </c>
      <c r="AB249" s="9"/>
      <c r="AC249" s="10">
        <f t="shared" si="67"/>
        <v>-1761.0600000000004</v>
      </c>
      <c r="AD249" s="8">
        <f>IFERROR(AC249/AC444, "NA")</f>
        <v>-3.0034915038708136E-2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customHeight="1" x14ac:dyDescent="0.45">
      <c r="A254" s="12" t="s">
        <v>231</v>
      </c>
      <c r="B254" s="7">
        <v>664.63</v>
      </c>
      <c r="C254" s="8">
        <f>IFERROR(B254/B444, "NA")</f>
        <v>4.5897804718559232E-3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-664.63</v>
      </c>
      <c r="I254" s="8">
        <f>IFERROR(H254/H444, "NA")</f>
        <v>1.8376956127066784E-2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-664.63</v>
      </c>
      <c r="O254" s="8">
        <f>IFERROR(N254/N444, "NA")</f>
        <v>0.13968801755374091</v>
      </c>
      <c r="P254" s="9"/>
      <c r="Q254" s="7">
        <v>4829.33</v>
      </c>
      <c r="R254" s="8">
        <f>IFERROR(Q254/Q444, "NA")</f>
        <v>6.893392048249819E-3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-4829.33</v>
      </c>
      <c r="X254" s="8">
        <f>IFERROR(W254/W444, "NA")</f>
        <v>9.9062163464990097E-2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-4829.33</v>
      </c>
      <c r="AD254" s="8">
        <f>IFERROR(AC254/AC444, "NA")</f>
        <v>-8.2364323898041145E-2</v>
      </c>
    </row>
    <row r="255" spans="1:30" ht="16.5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26.85</v>
      </c>
      <c r="L255" s="8">
        <f>IFERROR(K255/K444, "NA")</f>
        <v>1.7952126992744599E-4</v>
      </c>
      <c r="M255" s="9"/>
      <c r="N255" s="10">
        <f t="shared" si="65"/>
        <v>26.85</v>
      </c>
      <c r="O255" s="8">
        <f>IFERROR(N255/N444, "NA")</f>
        <v>-5.6431748060092731E-3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26.85</v>
      </c>
      <c r="AA255" s="8">
        <f>IFERROR(Z255/Z444, "NA")</f>
        <v>4.1826335000809884E-5</v>
      </c>
      <c r="AB255" s="9"/>
      <c r="AC255" s="10">
        <f t="shared" si="67"/>
        <v>26.85</v>
      </c>
      <c r="AD255" s="8">
        <f>IFERROR(AC255/AC444, "NA")</f>
        <v>4.5792731013668663E-4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customHeight="1" x14ac:dyDescent="0.45">
      <c r="A258" s="12" t="s">
        <v>235</v>
      </c>
      <c r="B258" s="7">
        <v>147.6</v>
      </c>
      <c r="C258" s="8">
        <f>IFERROR(B258/B444, "NA")</f>
        <v>1.019291331486593E-3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-147.6</v>
      </c>
      <c r="I258" s="8">
        <f>IFERROR(H258/H444, "NA")</f>
        <v>4.0811259262372411E-3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-147.6</v>
      </c>
      <c r="O258" s="8">
        <f>IFERROR(N258/N444, "NA")</f>
        <v>3.1021698374933657E-2</v>
      </c>
      <c r="P258" s="9"/>
      <c r="Q258" s="7">
        <v>273.35000000000002</v>
      </c>
      <c r="R258" s="8">
        <f>IFERROR(Q258/Q444, "NA")</f>
        <v>3.9018015260690162E-4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-273.35000000000002</v>
      </c>
      <c r="X258" s="8">
        <f>IFERROR(W258/W444, "NA")</f>
        <v>5.6071219782361211E-3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-273.35000000000002</v>
      </c>
      <c r="AD258" s="8">
        <f>IFERROR(AC258/AC444, "NA")</f>
        <v>-4.6619899525461184E-3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6804.81</v>
      </c>
      <c r="C262" s="15">
        <f>IFERROR(B262/B444, "NA")</f>
        <v>4.6992437977054761E-2</v>
      </c>
      <c r="D262" s="2"/>
      <c r="E262" s="14">
        <f>IFERROR(E240+E241+E242+E243+E244+E245+E246+E247+E248+E249+E250+E251+E252+E253+E254+E255+E256+E257+E258+E259+E260+E261, "NA")</f>
        <v>9303.4599999999991</v>
      </c>
      <c r="F262" s="15">
        <f>IFERROR(E262/E444, "NA")</f>
        <v>5.140800576970108E-2</v>
      </c>
      <c r="G262" s="2"/>
      <c r="H262" s="14">
        <f t="shared" si="64"/>
        <v>2498.6499999999987</v>
      </c>
      <c r="I262" s="15">
        <f>IFERROR(H262/H444, "NA")</f>
        <v>-6.908743425198291E-2</v>
      </c>
      <c r="J262" s="2"/>
      <c r="K262" s="14">
        <f>IFERROR(K240+K241+K242+K243+K244+K245+K246+K247+K248+K249+K250+K251+K252+K253+K254+K255+K256+K257+K258+K259+K260+K261, "NA")</f>
        <v>7931.47</v>
      </c>
      <c r="L262" s="15">
        <f>IFERROR(K262/K444, "NA")</f>
        <v>5.3030449414951213E-2</v>
      </c>
      <c r="M262" s="2"/>
      <c r="N262" s="14">
        <f t="shared" si="65"/>
        <v>1126.6599999999999</v>
      </c>
      <c r="O262" s="15">
        <f>IFERROR(N262/N444, "NA")</f>
        <v>-0.23679476077982894</v>
      </c>
      <c r="P262" s="2"/>
      <c r="Q262" s="14">
        <f>IFERROR(Q240+Q241+Q242+Q243+Q244+Q245+Q246+Q247+Q248+Q249+Q250+Q251+Q252+Q253+Q254+Q255+Q256+Q257+Q258+Q259+Q260+Q261, "NA")</f>
        <v>42952.959999999999</v>
      </c>
      <c r="R262" s="15">
        <f>IFERROR(Q262/Q444, "NA")</f>
        <v>6.1311112082378418E-2</v>
      </c>
      <c r="S262" s="2"/>
      <c r="T262" s="14">
        <f>IFERROR(T240+T241+T242+T243+T244+T245+T246+T247+T248+T249+T250+T251+T252+T253+T254+T255+T256+T257+T258+T259+T260+T261, "NA")</f>
        <v>39208.54</v>
      </c>
      <c r="U262" s="15">
        <f>IFERROR(T262/T444, "NA")</f>
        <v>5.2325193448946115E-2</v>
      </c>
      <c r="V262" s="2"/>
      <c r="W262" s="14">
        <f t="shared" si="66"/>
        <v>-3744.4199999999983</v>
      </c>
      <c r="X262" s="15">
        <f>IFERROR(W262/W444, "NA")</f>
        <v>7.6807827612024454E-2</v>
      </c>
      <c r="Y262" s="2"/>
      <c r="Z262" s="14">
        <f>IFERROR(Z240+Z241+Z242+Z243+Z244+Z245+Z246+Z247+Z248+Z249+Z250+Z251+Z252+Z253+Z254+Z255+Z256+Z257+Z258+Z259+Z260+Z261, "NA")</f>
        <v>33540.199999999997</v>
      </c>
      <c r="AA262" s="15">
        <f>IFERROR(Z262/Z444, "NA")</f>
        <v>5.2248180305183002E-2</v>
      </c>
      <c r="AB262" s="2"/>
      <c r="AC262" s="14">
        <f t="shared" si="67"/>
        <v>-9412.760000000002</v>
      </c>
      <c r="AD262" s="15">
        <f>IFERROR(AC262/AC444, "NA")</f>
        <v>-0.16053481816618992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6804.81</v>
      </c>
      <c r="C263" s="15">
        <f>IFERROR(B263/B444, "NA")</f>
        <v>4.6992437977054761E-2</v>
      </c>
      <c r="D263" s="2"/>
      <c r="E263" s="14">
        <f>IFERROR(E238+E240+E241+E242+E243+E244+E245+E246+E247+E248+E249+E250+E251+E252+E253+E254+E255+E256+E257+E258+E259+E260+E261, "NA")</f>
        <v>9303.4599999999991</v>
      </c>
      <c r="F263" s="15">
        <f>IFERROR(E263/E444, "NA")</f>
        <v>5.140800576970108E-2</v>
      </c>
      <c r="G263" s="2"/>
      <c r="H263" s="14">
        <f t="shared" si="64"/>
        <v>2498.6499999999987</v>
      </c>
      <c r="I263" s="15">
        <f>IFERROR(H263/H444, "NA")</f>
        <v>-6.908743425198291E-2</v>
      </c>
      <c r="J263" s="2"/>
      <c r="K263" s="14">
        <f>IFERROR(K238+K240+K241+K242+K243+K244+K245+K246+K247+K248+K249+K250+K251+K252+K253+K254+K255+K256+K257+K258+K259+K260+K261, "NA")</f>
        <v>7931.47</v>
      </c>
      <c r="L263" s="15">
        <f>IFERROR(K263/K444, "NA")</f>
        <v>5.3030449414951213E-2</v>
      </c>
      <c r="M263" s="2"/>
      <c r="N263" s="14">
        <f t="shared" si="65"/>
        <v>1126.6599999999999</v>
      </c>
      <c r="O263" s="15">
        <f>IFERROR(N263/N444, "NA")</f>
        <v>-0.23679476077982894</v>
      </c>
      <c r="P263" s="2"/>
      <c r="Q263" s="14">
        <f>IFERROR(Q238+Q240+Q241+Q242+Q243+Q244+Q245+Q246+Q247+Q248+Q249+Q250+Q251+Q252+Q253+Q254+Q255+Q256+Q257+Q258+Q259+Q260+Q261, "NA")</f>
        <v>42952.959999999999</v>
      </c>
      <c r="R263" s="15">
        <f>IFERROR(Q263/Q444, "NA")</f>
        <v>6.1311112082378418E-2</v>
      </c>
      <c r="S263" s="2"/>
      <c r="T263" s="14">
        <f>IFERROR(T238+T240+T241+T242+T243+T244+T245+T246+T247+T248+T249+T250+T251+T252+T253+T254+T255+T256+T257+T258+T259+T260+T261, "NA")</f>
        <v>39208.54</v>
      </c>
      <c r="U263" s="15">
        <f>IFERROR(T263/T444, "NA")</f>
        <v>5.2325193448946115E-2</v>
      </c>
      <c r="V263" s="2"/>
      <c r="W263" s="14">
        <f t="shared" si="66"/>
        <v>-3744.4199999999983</v>
      </c>
      <c r="X263" s="15">
        <f>IFERROR(W263/W444, "NA")</f>
        <v>7.6807827612024454E-2</v>
      </c>
      <c r="Y263" s="2"/>
      <c r="Z263" s="14">
        <f>IFERROR(Z238+Z240+Z241+Z242+Z243+Z244+Z245+Z246+Z247+Z248+Z249+Z250+Z251+Z252+Z253+Z254+Z255+Z256+Z257+Z258+Z259+Z260+Z261, "NA")</f>
        <v>33540.199999999997</v>
      </c>
      <c r="AA263" s="15">
        <f>IFERROR(Z263/Z444, "NA")</f>
        <v>5.2248180305183002E-2</v>
      </c>
      <c r="AB263" s="2"/>
      <c r="AC263" s="14">
        <f t="shared" si="67"/>
        <v>-9412.760000000002</v>
      </c>
      <c r="AD263" s="15">
        <f>IFERROR(AC263/AC444, "NA")</f>
        <v>-0.16053481816618992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4060.86</v>
      </c>
      <c r="C265" s="8">
        <f>IFERROR(B265/B444, "NA")</f>
        <v>2.8043356344042317E-2</v>
      </c>
      <c r="D265" s="9"/>
      <c r="E265" s="7">
        <v>5067.24</v>
      </c>
      <c r="F265" s="8">
        <f>IFERROR(E265/E444, "NA")</f>
        <v>2.7999980991637533E-2</v>
      </c>
      <c r="G265" s="9"/>
      <c r="H265" s="10">
        <f>IFERROR(-(B265-E265), "NA")</f>
        <v>1006.3799999999997</v>
      </c>
      <c r="I265" s="8">
        <f>IFERROR(H265/H444, "NA")</f>
        <v>-2.7826311040966351E-2</v>
      </c>
      <c r="J265" s="9"/>
      <c r="K265" s="7">
        <v>4538.13</v>
      </c>
      <c r="L265" s="8">
        <f>IFERROR(K265/K444, "NA")</f>
        <v>3.0342303936530372E-2</v>
      </c>
      <c r="M265" s="9"/>
      <c r="N265" s="10">
        <f>IFERROR(-(B265-K265), "NA")</f>
        <v>477.27</v>
      </c>
      <c r="O265" s="8">
        <f>IFERROR(N265/N444, "NA")</f>
        <v>-0.10030979663553242</v>
      </c>
      <c r="P265" s="9"/>
      <c r="Q265" s="7">
        <v>18663.52</v>
      </c>
      <c r="R265" s="8">
        <f>IFERROR(Q265/Q444, "NA")</f>
        <v>2.6640333205714142E-2</v>
      </c>
      <c r="S265" s="9"/>
      <c r="T265" s="7">
        <v>21157.38</v>
      </c>
      <c r="U265" s="8">
        <f>IFERROR(T265/T444, "NA")</f>
        <v>2.8235277349599439E-2</v>
      </c>
      <c r="V265" s="9"/>
      <c r="W265" s="10">
        <f>IFERROR(-(Q265-T265), "NA")</f>
        <v>2493.8600000000006</v>
      </c>
      <c r="X265" s="8">
        <f>IFERROR(W265/W444, "NA")</f>
        <v>-5.1155577891508819E-2</v>
      </c>
      <c r="Y265" s="9"/>
      <c r="Z265" s="7">
        <v>19097.62</v>
      </c>
      <c r="AA265" s="8">
        <f>IFERROR(Z265/Z444, "NA")</f>
        <v>2.9749849230471762E-2</v>
      </c>
      <c r="AB265" s="9"/>
      <c r="AC265" s="10">
        <f>IFERROR(-(Q265-Z265), "NA")</f>
        <v>434.09999999999854</v>
      </c>
      <c r="AD265" s="8">
        <f>IFERROR(AC265/AC444, "NA")</f>
        <v>7.4035845560646175E-3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74.099999999999994</v>
      </c>
      <c r="R266" s="8">
        <f>IFERROR(Q266/Q444, "NA")</f>
        <v>1.0577043829585297E-4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-74.099999999999994</v>
      </c>
      <c r="X266" s="8">
        <f>IFERROR(W266/W444, "NA")</f>
        <v>1.5199844104163032E-3</v>
      </c>
      <c r="Y266" s="9"/>
      <c r="Z266" s="7">
        <v>-49.23</v>
      </c>
      <c r="AA266" s="8">
        <f>IFERROR(Z266/Z444, "NA")</f>
        <v>-7.6689403057350852E-5</v>
      </c>
      <c r="AB266" s="9"/>
      <c r="AC266" s="10">
        <f>IFERROR(-(Q266-Z266), "NA")</f>
        <v>-123.32999999999998</v>
      </c>
      <c r="AD266" s="8">
        <f>IFERROR(AC266/AC444, "NA")</f>
        <v>-2.1033957228736517E-3</v>
      </c>
    </row>
    <row r="267" spans="1:30" ht="16.5" customHeight="1" x14ac:dyDescent="0.45">
      <c r="A267" s="19" t="s">
        <v>243</v>
      </c>
      <c r="B267" s="14">
        <f>IFERROR(B265+B266, "NA")</f>
        <v>4060.86</v>
      </c>
      <c r="C267" s="15">
        <f>IFERROR(B267/B444, "NA")</f>
        <v>2.8043356344042317E-2</v>
      </c>
      <c r="D267" s="2"/>
      <c r="E267" s="14">
        <f>IFERROR(E265+E266, "NA")</f>
        <v>5067.24</v>
      </c>
      <c r="F267" s="15">
        <f>IFERROR(E267/E444, "NA")</f>
        <v>2.7999980991637533E-2</v>
      </c>
      <c r="G267" s="2"/>
      <c r="H267" s="14">
        <f>IFERROR(-(B267-E267), "NA")</f>
        <v>1006.3799999999997</v>
      </c>
      <c r="I267" s="15">
        <f>IFERROR(H267/H444, "NA")</f>
        <v>-2.7826311040966351E-2</v>
      </c>
      <c r="J267" s="2"/>
      <c r="K267" s="14">
        <f>IFERROR(K265+K266, "NA")</f>
        <v>4538.13</v>
      </c>
      <c r="L267" s="15">
        <f>IFERROR(K267/K444, "NA")</f>
        <v>3.0342303936530372E-2</v>
      </c>
      <c r="M267" s="2"/>
      <c r="N267" s="14">
        <f>IFERROR(-(B267-K267), "NA")</f>
        <v>477.27</v>
      </c>
      <c r="O267" s="15">
        <f>IFERROR(N267/N444, "NA")</f>
        <v>-0.10030979663553242</v>
      </c>
      <c r="P267" s="2"/>
      <c r="Q267" s="14">
        <f>IFERROR(Q265+Q266, "NA")</f>
        <v>18737.62</v>
      </c>
      <c r="R267" s="15">
        <f>IFERROR(Q267/Q444, "NA")</f>
        <v>2.6746103644009991E-2</v>
      </c>
      <c r="S267" s="2"/>
      <c r="T267" s="14">
        <f>IFERROR(T265+T266, "NA")</f>
        <v>21157.38</v>
      </c>
      <c r="U267" s="15">
        <f>IFERROR(T267/T444, "NA")</f>
        <v>2.8235277349599439E-2</v>
      </c>
      <c r="V267" s="2"/>
      <c r="W267" s="14">
        <f>IFERROR(-(Q267-T267), "NA")</f>
        <v>2419.760000000002</v>
      </c>
      <c r="X267" s="15">
        <f>IFERROR(W267/W444, "NA")</f>
        <v>-4.9635593481092546E-2</v>
      </c>
      <c r="Y267" s="2"/>
      <c r="Z267" s="14">
        <f>IFERROR(Z265+Z266, "NA")</f>
        <v>19048.39</v>
      </c>
      <c r="AA267" s="15">
        <f>IFERROR(Z267/Z444, "NA")</f>
        <v>2.9673159827414412E-2</v>
      </c>
      <c r="AB267" s="2"/>
      <c r="AC267" s="14">
        <f>IFERROR(-(Q267-Z267), "NA")</f>
        <v>310.77000000000044</v>
      </c>
      <c r="AD267" s="15">
        <f>IFERROR(AC267/AC444, "NA")</f>
        <v>5.3001888331909979E-3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89.79</v>
      </c>
      <c r="C270" s="8">
        <f>IFERROR(B270/B444, "NA")</f>
        <v>6.2006889332101079E-4</v>
      </c>
      <c r="D270" s="9"/>
      <c r="E270" s="7">
        <v>255.7</v>
      </c>
      <c r="F270" s="8">
        <f>IFERROR(E270/E444, "NA")</f>
        <v>1.4129181052331679E-3</v>
      </c>
      <c r="G270" s="9"/>
      <c r="H270" s="10">
        <f>IFERROR(-(B270-E270), "NA")</f>
        <v>165.90999999999997</v>
      </c>
      <c r="I270" s="8">
        <f>IFERROR(H270/H444, "NA")</f>
        <v>-4.5873956803659929E-3</v>
      </c>
      <c r="J270" s="9"/>
      <c r="K270" s="7">
        <v>182.86</v>
      </c>
      <c r="L270" s="8">
        <f>IFERROR(K270/K444, "NA")</f>
        <v>1.2226167381352989E-3</v>
      </c>
      <c r="M270" s="9"/>
      <c r="N270" s="10">
        <f>IFERROR(-(B270-K270), "NA")</f>
        <v>93.070000000000007</v>
      </c>
      <c r="O270" s="8">
        <f>IFERROR(N270/N444, "NA")</f>
        <v>-1.9560904253083169E-2</v>
      </c>
      <c r="P270" s="9"/>
      <c r="Q270" s="7">
        <v>797.55</v>
      </c>
      <c r="R270" s="8">
        <f>IFERROR(Q270/Q444, "NA")</f>
        <v>1.1384239279737859E-3</v>
      </c>
      <c r="S270" s="9"/>
      <c r="T270" s="7">
        <v>1340.96</v>
      </c>
      <c r="U270" s="8">
        <f>IFERROR(T270/T444, "NA")</f>
        <v>1.7895588922030451E-3</v>
      </c>
      <c r="V270" s="9"/>
      <c r="W270" s="10">
        <f>IFERROR(-(Q270-T270), "NA")</f>
        <v>543.41000000000008</v>
      </c>
      <c r="X270" s="8">
        <f>IFERROR(W270/W444, "NA")</f>
        <v>-1.1146757469154164E-2</v>
      </c>
      <c r="Y270" s="9"/>
      <c r="Z270" s="7">
        <v>1145.04</v>
      </c>
      <c r="AA270" s="8">
        <f>IFERROR(Z270/Z444, "NA")</f>
        <v>1.7837179377775548E-3</v>
      </c>
      <c r="AB270" s="9"/>
      <c r="AC270" s="10">
        <f>IFERROR(-(Q270-Z270), "NA")</f>
        <v>347.49</v>
      </c>
      <c r="AD270" s="8">
        <f>IFERROR(AC270/AC444, "NA")</f>
        <v>5.9264491992326715E-3</v>
      </c>
    </row>
    <row r="271" spans="1:30" ht="16.5" customHeight="1" x14ac:dyDescent="0.45">
      <c r="A271" s="6" t="s">
        <v>246</v>
      </c>
      <c r="B271" s="7">
        <v>1183.75</v>
      </c>
      <c r="C271" s="8">
        <f>IFERROR(B271/B444, "NA")</f>
        <v>8.1747026669868189E-3</v>
      </c>
      <c r="D271" s="9"/>
      <c r="E271" s="7">
        <v>1266.81</v>
      </c>
      <c r="F271" s="8">
        <f>IFERROR(E271/E444, "NA")</f>
        <v>6.9999952479093833E-3</v>
      </c>
      <c r="G271" s="9"/>
      <c r="H271" s="10">
        <f>IFERROR(-(B271-E271), "NA")</f>
        <v>83.059999999999945</v>
      </c>
      <c r="I271" s="8">
        <f>IFERROR(H271/H444, "NA")</f>
        <v>-2.2966010801711723E-3</v>
      </c>
      <c r="J271" s="9"/>
      <c r="K271" s="7">
        <v>804.25</v>
      </c>
      <c r="L271" s="8">
        <f>IFERROR(K271/K444, "NA")</f>
        <v>5.3772804968025487E-3</v>
      </c>
      <c r="M271" s="9"/>
      <c r="N271" s="10">
        <f>IFERROR(-(B271-K271), "NA")</f>
        <v>-379.5</v>
      </c>
      <c r="O271" s="8">
        <f>IFERROR(N271/N444, "NA")</f>
        <v>7.9761074073762359E-2</v>
      </c>
      <c r="P271" s="9"/>
      <c r="Q271" s="7">
        <v>6291.28</v>
      </c>
      <c r="R271" s="8">
        <f>IFERROR(Q271/Q444, "NA")</f>
        <v>8.9801814175699581E-3</v>
      </c>
      <c r="S271" s="9"/>
      <c r="T271" s="7">
        <v>5245.27</v>
      </c>
      <c r="U271" s="8">
        <f>IFERROR(T271/T444, "NA")</f>
        <v>6.999999679711451E-3</v>
      </c>
      <c r="V271" s="9"/>
      <c r="W271" s="10">
        <f>IFERROR(-(Q271-T271), "NA")</f>
        <v>-1046.0099999999993</v>
      </c>
      <c r="X271" s="8">
        <f>IFERROR(W271/W444, "NA")</f>
        <v>2.1456395319022353E-2</v>
      </c>
      <c r="Y271" s="9"/>
      <c r="Z271" s="7">
        <v>5369.62</v>
      </c>
      <c r="AA271" s="8">
        <f>IFERROR(Z271/Z444, "NA")</f>
        <v>8.364675044582822E-3</v>
      </c>
      <c r="AB271" s="9"/>
      <c r="AC271" s="10">
        <f>IFERROR(-(Q271-Z271), "NA")</f>
        <v>-921.65999999999985</v>
      </c>
      <c r="AD271" s="8">
        <f>IFERROR(AC271/AC444, "NA")</f>
        <v>-1.5718930527395848E-2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1273.54</v>
      </c>
      <c r="C273" s="15">
        <f>IFERROR(B273/B444, "NA")</f>
        <v>8.7947715603078295E-3</v>
      </c>
      <c r="D273" s="2"/>
      <c r="E273" s="14">
        <f>IFERROR(E269+E270+E271+E272, "NA")</f>
        <v>1522.51</v>
      </c>
      <c r="F273" s="15">
        <f>IFERROR(E273/E444, "NA")</f>
        <v>8.412913353142551E-3</v>
      </c>
      <c r="G273" s="2"/>
      <c r="H273" s="14">
        <f>IFERROR(-(B273-E273), "NA")</f>
        <v>248.97000000000003</v>
      </c>
      <c r="I273" s="15">
        <f>IFERROR(H273/H444, "NA")</f>
        <v>-6.8839967605371687E-3</v>
      </c>
      <c r="J273" s="2"/>
      <c r="K273" s="14">
        <f>IFERROR(K269+K270+K271+K272, "NA")</f>
        <v>987.11</v>
      </c>
      <c r="L273" s="15">
        <f>IFERROR(K273/K444, "NA")</f>
        <v>6.5998972349378474E-3</v>
      </c>
      <c r="M273" s="2"/>
      <c r="N273" s="14">
        <f>IFERROR(-(B273-K273), "NA")</f>
        <v>-286.42999999999995</v>
      </c>
      <c r="O273" s="15">
        <f>IFERROR(N273/N444, "NA")</f>
        <v>6.0200169820679175E-2</v>
      </c>
      <c r="P273" s="2"/>
      <c r="Q273" s="14">
        <f>IFERROR(Q269+Q270+Q271+Q272, "NA")</f>
        <v>7088.83</v>
      </c>
      <c r="R273" s="15">
        <f>IFERROR(Q273/Q444, "NA")</f>
        <v>1.0118605345543744E-2</v>
      </c>
      <c r="S273" s="2"/>
      <c r="T273" s="14">
        <f>IFERROR(T269+T270+T271+T272, "NA")</f>
        <v>6586.2300000000005</v>
      </c>
      <c r="U273" s="15">
        <f>IFERROR(T273/T444, "NA")</f>
        <v>8.7895585719144961E-3</v>
      </c>
      <c r="V273" s="2"/>
      <c r="W273" s="14">
        <f>IFERROR(-(Q273-T273), "NA")</f>
        <v>-502.59999999999945</v>
      </c>
      <c r="X273" s="15">
        <f>IFERROR(W273/W444, "NA")</f>
        <v>1.0309637849868195E-2</v>
      </c>
      <c r="Y273" s="2"/>
      <c r="Z273" s="14">
        <f>IFERROR(Z269+Z270+Z271+Z272, "NA")</f>
        <v>6514.66</v>
      </c>
      <c r="AA273" s="15">
        <f>IFERROR(Z273/Z444, "NA")</f>
        <v>1.0148392982360376E-2</v>
      </c>
      <c r="AB273" s="2"/>
      <c r="AC273" s="14">
        <f>IFERROR(-(Q273-Z273), "NA")</f>
        <v>-574.17000000000007</v>
      </c>
      <c r="AD273" s="15">
        <f>IFERROR(AC273/AC444, "NA")</f>
        <v>-9.7924813281631794E-3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357</v>
      </c>
      <c r="F287" s="8">
        <f>IFERROR(E287/E444, "NA")</f>
        <v>1.9726701742989478E-3</v>
      </c>
      <c r="G287" s="9"/>
      <c r="H287" s="10">
        <f t="shared" si="72"/>
        <v>357</v>
      </c>
      <c r="I287" s="8">
        <f>IFERROR(H287/H444, "NA")</f>
        <v>-9.8710159598014574E-3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2142</v>
      </c>
      <c r="U287" s="8">
        <f>IFERROR(T287/T444, "NA")</f>
        <v>2.8585753095535459E-3</v>
      </c>
      <c r="V287" s="9"/>
      <c r="W287" s="10">
        <f t="shared" si="74"/>
        <v>2142</v>
      </c>
      <c r="X287" s="8">
        <f>IFERROR(W287/W444, "NA")</f>
        <v>-4.3938010892195976E-2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158.33000000000001</v>
      </c>
      <c r="C288" s="8">
        <f>IFERROR(B288/B444, "NA")</f>
        <v>1.0933902202863975E-3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-158.33000000000001</v>
      </c>
      <c r="I288" s="8">
        <f>IFERROR(H288/H444, "NA")</f>
        <v>4.3778094031242717E-3</v>
      </c>
      <c r="J288" s="9"/>
      <c r="K288" s="7">
        <v>158.33000000000001</v>
      </c>
      <c r="L288" s="8">
        <f>IFERROR(K288/K444, "NA")</f>
        <v>1.0586071757025149E-3</v>
      </c>
      <c r="M288" s="9"/>
      <c r="N288" s="10">
        <f t="shared" si="73"/>
        <v>0</v>
      </c>
      <c r="O288" s="8">
        <f>IFERROR(N288/N444, "NA")</f>
        <v>0</v>
      </c>
      <c r="P288" s="9"/>
      <c r="Q288" s="7">
        <v>950</v>
      </c>
      <c r="R288" s="8">
        <f>IFERROR(Q288/Q444, "NA")</f>
        <v>1.3560312602032432E-3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-950</v>
      </c>
      <c r="X288" s="8">
        <f>IFERROR(W288/W444, "NA")</f>
        <v>1.948697962072184E-2</v>
      </c>
      <c r="Y288" s="9"/>
      <c r="Z288" s="7">
        <v>950</v>
      </c>
      <c r="AA288" s="8">
        <f>IFERROR(Z288/Z444, "NA")</f>
        <v>1.4798889478871281E-3</v>
      </c>
      <c r="AB288" s="9"/>
      <c r="AC288" s="10">
        <f t="shared" si="75"/>
        <v>0</v>
      </c>
      <c r="AD288" s="8">
        <f>IFERROR(AC288/AC444, "NA")</f>
        <v>0</v>
      </c>
    </row>
    <row r="289" spans="1:30" ht="16.5" customHeight="1" x14ac:dyDescent="0.45">
      <c r="A289" s="6" t="s">
        <v>262</v>
      </c>
      <c r="B289" s="7">
        <v>216.02</v>
      </c>
      <c r="C289" s="8">
        <f>IFERROR(B289/B444, "NA")</f>
        <v>1.4917839663125597E-3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-216.02</v>
      </c>
      <c r="I289" s="8">
        <f>IFERROR(H289/H444, "NA")</f>
        <v>5.9729324023426074E-3</v>
      </c>
      <c r="J289" s="9"/>
      <c r="K289" s="7">
        <v>198.68</v>
      </c>
      <c r="L289" s="8">
        <f>IFERROR(K289/K444, "NA")</f>
        <v>1.3283905366549336E-3</v>
      </c>
      <c r="M289" s="9"/>
      <c r="N289" s="10">
        <f t="shared" si="73"/>
        <v>-17.340000000000003</v>
      </c>
      <c r="O289" s="8">
        <f>IFERROR(N289/N444, "NA")</f>
        <v>3.6444190367300117E-3</v>
      </c>
      <c r="P289" s="9"/>
      <c r="Q289" s="7">
        <v>1260.46</v>
      </c>
      <c r="R289" s="8">
        <f>IFERROR(Q289/Q444, "NA")</f>
        <v>1.7991822760376631E-3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-1260.46</v>
      </c>
      <c r="X289" s="8">
        <f>IFERROR(W289/W444, "NA")</f>
        <v>2.5855324560773735E-2</v>
      </c>
      <c r="Y289" s="9"/>
      <c r="Z289" s="7">
        <v>1192.08</v>
      </c>
      <c r="AA289" s="8">
        <f>IFERROR(Z289/Z444, "NA")</f>
        <v>1.8569958073655659E-3</v>
      </c>
      <c r="AB289" s="9"/>
      <c r="AC289" s="10">
        <f t="shared" si="75"/>
        <v>-68.380000000000109</v>
      </c>
      <c r="AD289" s="8">
        <f>IFERROR(AC289/AC444, "NA")</f>
        <v>-1.1662223265231537E-3</v>
      </c>
    </row>
    <row r="290" spans="1:30" ht="16.5" customHeight="1" x14ac:dyDescent="0.45">
      <c r="A290" s="6" t="s">
        <v>263</v>
      </c>
      <c r="B290" s="7">
        <v>6.61</v>
      </c>
      <c r="C290" s="8">
        <f>IFERROR(B290/B444, "NA")</f>
        <v>4.5647125346384685E-5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-6.61</v>
      </c>
      <c r="I290" s="8">
        <f>IFERROR(H290/H444, "NA")</f>
        <v>1.8276586973189814E-4</v>
      </c>
      <c r="J290" s="9"/>
      <c r="K290" s="7">
        <v>1139.28</v>
      </c>
      <c r="L290" s="8">
        <f>IFERROR(K290/K444, "NA")</f>
        <v>7.6173181528097073E-3</v>
      </c>
      <c r="M290" s="9"/>
      <c r="N290" s="10">
        <f t="shared" si="73"/>
        <v>1132.67</v>
      </c>
      <c r="O290" s="8">
        <f>IFERROR(N290/N444, "NA")</f>
        <v>-0.23805790717029884</v>
      </c>
      <c r="P290" s="9"/>
      <c r="Q290" s="7">
        <v>215.74</v>
      </c>
      <c r="R290" s="8">
        <f>IFERROR(Q290/Q444, "NA")</f>
        <v>3.0794756218552392E-4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-215.74</v>
      </c>
      <c r="X290" s="8">
        <f>IFERROR(W290/W444, "NA")</f>
        <v>4.4253905088152941E-3</v>
      </c>
      <c r="Y290" s="9"/>
      <c r="Z290" s="7">
        <v>2684.8</v>
      </c>
      <c r="AA290" s="8">
        <f>IFERROR(Z290/Z444, "NA")</f>
        <v>4.1823219445130122E-3</v>
      </c>
      <c r="AB290" s="9"/>
      <c r="AC290" s="10">
        <f t="shared" si="75"/>
        <v>2469.0600000000004</v>
      </c>
      <c r="AD290" s="8">
        <f>IFERROR(AC290/AC444, "NA")</f>
        <v>4.2109869808792832E-2</v>
      </c>
    </row>
    <row r="291" spans="1:30" ht="16.5" customHeight="1" x14ac:dyDescent="0.45">
      <c r="A291" s="6" t="s">
        <v>264</v>
      </c>
      <c r="B291" s="7">
        <v>1482.27</v>
      </c>
      <c r="C291" s="8">
        <f>IFERROR(B291/B444, "NA")</f>
        <v>1.0236212479150623E-2</v>
      </c>
      <c r="D291" s="9"/>
      <c r="E291" s="7">
        <v>1809.73</v>
      </c>
      <c r="F291" s="8">
        <f>IFERROR(E291/E444, "NA")</f>
        <v>1.0000001105137352E-2</v>
      </c>
      <c r="G291" s="9"/>
      <c r="H291" s="10">
        <f t="shared" si="72"/>
        <v>327.46000000000004</v>
      </c>
      <c r="I291" s="8">
        <f>IFERROR(H291/H444, "NA")</f>
        <v>-9.0542377764610237E-3</v>
      </c>
      <c r="J291" s="9"/>
      <c r="K291" s="7">
        <v>0</v>
      </c>
      <c r="L291" s="8">
        <f>IFERROR(K291/K444, "NA")</f>
        <v>0</v>
      </c>
      <c r="M291" s="9"/>
      <c r="N291" s="10">
        <f t="shared" si="73"/>
        <v>-1482.27</v>
      </c>
      <c r="O291" s="8">
        <f>IFERROR(N291/N444, "NA")</f>
        <v>0.31153477540794655</v>
      </c>
      <c r="P291" s="9"/>
      <c r="Q291" s="7">
        <v>2499.58</v>
      </c>
      <c r="R291" s="8">
        <f>IFERROR(Q291/Q444, "NA")</f>
        <v>3.5679038077671816E-3</v>
      </c>
      <c r="S291" s="9"/>
      <c r="T291" s="7">
        <v>7493.24</v>
      </c>
      <c r="U291" s="8">
        <f>IFERROR(T291/T444, "NA")</f>
        <v>9.9999957294859988E-3</v>
      </c>
      <c r="V291" s="9"/>
      <c r="W291" s="10">
        <f t="shared" si="74"/>
        <v>4993.66</v>
      </c>
      <c r="X291" s="8">
        <f>IFERROR(W291/W444, "NA")</f>
        <v>-0.10243300068717244</v>
      </c>
      <c r="Y291" s="9"/>
      <c r="Z291" s="7">
        <v>913.93</v>
      </c>
      <c r="AA291" s="8">
        <f>IFERROR(Z291/Z444, "NA")</f>
        <v>1.4236999012026137E-3</v>
      </c>
      <c r="AB291" s="9"/>
      <c r="AC291" s="10">
        <f t="shared" si="75"/>
        <v>-1585.65</v>
      </c>
      <c r="AD291" s="8">
        <f>IFERROR(AC291/AC444, "NA")</f>
        <v>-2.7043293829357062E-2</v>
      </c>
    </row>
    <row r="292" spans="1:30" ht="16.5" hidden="1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0</v>
      </c>
      <c r="R292" s="8">
        <f>IFERROR(Q292/Q444, "NA")</f>
        <v>0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0</v>
      </c>
      <c r="X292" s="8">
        <f>IFERROR(W292/W444, "NA")</f>
        <v>0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0</v>
      </c>
      <c r="AD292" s="8">
        <f>IFERROR(AC292/AC444, "NA")</f>
        <v>0</v>
      </c>
    </row>
    <row r="293" spans="1:30" ht="16.5" hidden="1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0</v>
      </c>
      <c r="R293" s="8">
        <f>IFERROR(Q293/Q444, "NA")</f>
        <v>0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0</v>
      </c>
      <c r="X293" s="8">
        <f>IFERROR(W293/W444, "NA")</f>
        <v>0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0</v>
      </c>
      <c r="AD293" s="8">
        <f>IFERROR(AC293/AC444, "NA")</f>
        <v>0</v>
      </c>
    </row>
    <row r="294" spans="1:30" ht="16.5" customHeight="1" x14ac:dyDescent="0.45">
      <c r="A294" s="6" t="s">
        <v>267</v>
      </c>
      <c r="B294" s="7">
        <v>430.72</v>
      </c>
      <c r="C294" s="8">
        <f>IFERROR(B294/B444, "NA")</f>
        <v>2.9744523190914996E-3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-430.72</v>
      </c>
      <c r="I294" s="8">
        <f>IFERROR(H294/H444, "NA")</f>
        <v>1.1909366930548134E-2</v>
      </c>
      <c r="J294" s="9"/>
      <c r="K294" s="7">
        <v>124.25</v>
      </c>
      <c r="L294" s="8">
        <f>IFERROR(K294/K444, "NA")</f>
        <v>8.3074554147058335E-4</v>
      </c>
      <c r="M294" s="9"/>
      <c r="N294" s="10">
        <f t="shared" si="73"/>
        <v>-306.47000000000003</v>
      </c>
      <c r="O294" s="8">
        <f>IFERROR(N294/N444, "NA")</f>
        <v>6.4412058949633602E-2</v>
      </c>
      <c r="P294" s="9"/>
      <c r="Q294" s="7">
        <v>2360.41</v>
      </c>
      <c r="R294" s="8">
        <f>IFERROR(Q294/Q444, "NA")</f>
        <v>3.369252365154039E-3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-2360.41</v>
      </c>
      <c r="X294" s="8">
        <f>IFERROR(W294/W444, "NA")</f>
        <v>4.8418170070050559E-2</v>
      </c>
      <c r="Y294" s="9"/>
      <c r="Z294" s="7">
        <v>745.5</v>
      </c>
      <c r="AA294" s="8">
        <f>IFERROR(Z294/Z444, "NA")</f>
        <v>1.1613233796314254E-3</v>
      </c>
      <c r="AB294" s="9"/>
      <c r="AC294" s="10">
        <f t="shared" si="75"/>
        <v>-1614.9099999999999</v>
      </c>
      <c r="AD294" s="8">
        <f>IFERROR(AC294/AC444, "NA")</f>
        <v>-2.7542323739770447E-2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2293.9499999999998</v>
      </c>
      <c r="C295" s="15">
        <f>IFERROR(B295/B444, "NA")</f>
        <v>1.5841486110187465E-2</v>
      </c>
      <c r="D295" s="2"/>
      <c r="E295" s="14">
        <f>IFERROR(E286+E287+E288+E289+E290+E291+E292+E293+E294, "NA")</f>
        <v>2166.73</v>
      </c>
      <c r="F295" s="15">
        <f>IFERROR(E295/E444, "NA")</f>
        <v>1.1972671279436299E-2</v>
      </c>
      <c r="G295" s="2"/>
      <c r="H295" s="14">
        <f t="shared" si="72"/>
        <v>-127.2199999999998</v>
      </c>
      <c r="I295" s="15">
        <f>IFERROR(H295/H444, "NA")</f>
        <v>3.5176208694844241E-3</v>
      </c>
      <c r="J295" s="2"/>
      <c r="K295" s="14">
        <f>IFERROR(K286+K287+K288+K289+K290+K291+K292+K293+K294, "NA")</f>
        <v>1620.54</v>
      </c>
      <c r="L295" s="15">
        <f>IFERROR(K295/K444, "NA")</f>
        <v>1.0835061406637739E-2</v>
      </c>
      <c r="M295" s="2"/>
      <c r="N295" s="14">
        <f t="shared" si="73"/>
        <v>-673.40999999999985</v>
      </c>
      <c r="O295" s="15">
        <f>IFERROR(N295/N444, "NA")</f>
        <v>0.14153334622401131</v>
      </c>
      <c r="P295" s="2"/>
      <c r="Q295" s="14">
        <f>IFERROR(Q286+Q287+Q288+Q289+Q290+Q291+Q292+Q293+Q294, "NA")</f>
        <v>7286.19</v>
      </c>
      <c r="R295" s="15">
        <f>IFERROR(Q295/Q444, "NA")</f>
        <v>1.040031727134765E-2</v>
      </c>
      <c r="S295" s="2"/>
      <c r="T295" s="14">
        <f>IFERROR(T286+T287+T288+T289+T290+T291+T292+T293+T294, "NA")</f>
        <v>9635.24</v>
      </c>
      <c r="U295" s="15">
        <f>IFERROR(T295/T444, "NA")</f>
        <v>1.2858571039039545E-2</v>
      </c>
      <c r="V295" s="2"/>
      <c r="W295" s="14">
        <f t="shared" si="74"/>
        <v>2349.0500000000002</v>
      </c>
      <c r="X295" s="15">
        <f>IFERROR(W295/W444, "NA")</f>
        <v>-4.8185146819006985E-2</v>
      </c>
      <c r="Y295" s="2"/>
      <c r="Z295" s="14">
        <f>IFERROR(Z286+Z287+Z288+Z289+Z290+Z291+Z292+Z293+Z294, "NA")</f>
        <v>6486.31</v>
      </c>
      <c r="AA295" s="15">
        <f>IFERROR(Z295/Z444, "NA")</f>
        <v>1.0104229980599747E-2</v>
      </c>
      <c r="AB295" s="2"/>
      <c r="AC295" s="14">
        <f t="shared" si="75"/>
        <v>-799.8799999999992</v>
      </c>
      <c r="AD295" s="15">
        <f>IFERROR(AC295/AC444, "NA")</f>
        <v>-1.3641970086857821E-2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2352.65</v>
      </c>
      <c r="F297" s="8">
        <f>IFERROR(E297/E444, "NA")</f>
        <v>1.3000006962365321E-2</v>
      </c>
      <c r="G297" s="9"/>
      <c r="H297" s="10">
        <f t="shared" ref="H297:H325" si="76">IFERROR(-(B297-E297), "NA")</f>
        <v>2352.65</v>
      </c>
      <c r="I297" s="8">
        <f>IFERROR(H297/H444, "NA")</f>
        <v>-6.5050548173184591E-2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9741.2199999999993</v>
      </c>
      <c r="U297" s="8">
        <f>IFERROR(T297/T444, "NA")</f>
        <v>1.3000005124616801E-2</v>
      </c>
      <c r="V297" s="9"/>
      <c r="W297" s="10">
        <f t="shared" ref="W297:W325" si="78">IFERROR(-(Q297-T297), "NA")</f>
        <v>9741.2199999999993</v>
      </c>
      <c r="X297" s="8">
        <f>IFERROR(W297/W444, "NA")</f>
        <v>-0.19981784802207156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457.63</v>
      </c>
      <c r="C299" s="8">
        <f>IFERROR(B299/B444, "NA")</f>
        <v>3.1602865313564332E-3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-457.63</v>
      </c>
      <c r="I299" s="8">
        <f>IFERROR(H299/H444, "NA")</f>
        <v>1.2653425864660898E-2</v>
      </c>
      <c r="J299" s="9"/>
      <c r="K299" s="7">
        <v>183.75</v>
      </c>
      <c r="L299" s="8">
        <f>IFERROR(K299/K444, "NA")</f>
        <v>1.2285673500621304E-3</v>
      </c>
      <c r="M299" s="9"/>
      <c r="N299" s="10">
        <f t="shared" si="77"/>
        <v>-273.88</v>
      </c>
      <c r="O299" s="8">
        <f>IFERROR(N299/N444, "NA")</f>
        <v>5.7562484762376902E-2</v>
      </c>
      <c r="P299" s="9"/>
      <c r="Q299" s="7">
        <v>2594.75</v>
      </c>
      <c r="R299" s="8">
        <f>IFERROR(Q299/Q444, "NA")</f>
        <v>3.703749592013016E-3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-2594.75</v>
      </c>
      <c r="X299" s="8">
        <f>IFERROR(W299/W444, "NA")</f>
        <v>5.3225095127229463E-2</v>
      </c>
      <c r="Y299" s="9"/>
      <c r="Z299" s="7">
        <v>1102.5</v>
      </c>
      <c r="AA299" s="8">
        <f>IFERROR(Z299/Z444, "NA")</f>
        <v>1.7174500684690092E-3</v>
      </c>
      <c r="AB299" s="9"/>
      <c r="AC299" s="10">
        <f t="shared" si="79"/>
        <v>-1492.25</v>
      </c>
      <c r="AD299" s="8">
        <f>IFERROR(AC299/AC444, "NA")</f>
        <v>-2.5450354880874135E-2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107.65</v>
      </c>
      <c r="AA304" s="8">
        <f>IFERROR(Z304/Z444, "NA")</f>
        <v>1.6769478446320986E-4</v>
      </c>
      <c r="AB304" s="9"/>
      <c r="AC304" s="10">
        <f t="shared" si="79"/>
        <v>107.65</v>
      </c>
      <c r="AD304" s="8">
        <f>IFERROR(AC304/AC444, "NA")</f>
        <v>1.8359729957621719E-3</v>
      </c>
    </row>
    <row r="305" spans="1:30" ht="16.5" customHeight="1" x14ac:dyDescent="0.45">
      <c r="A305" s="6" t="s">
        <v>277</v>
      </c>
      <c r="B305" s="7">
        <v>58.33</v>
      </c>
      <c r="C305" s="8">
        <f>IFERROR(B305/B444, "NA")</f>
        <v>4.0281343743640223E-4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-58.33</v>
      </c>
      <c r="I305" s="8">
        <f>IFERROR(H305/H444, "NA")</f>
        <v>1.6128189381938907E-3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-58.33</v>
      </c>
      <c r="O305" s="8">
        <f>IFERROR(N305/N444, "NA")</f>
        <v>1.225945573312927E-2</v>
      </c>
      <c r="P305" s="9"/>
      <c r="Q305" s="7">
        <v>58.33</v>
      </c>
      <c r="R305" s="8">
        <f>IFERROR(Q305/Q444, "NA")</f>
        <v>8.3260319376479133E-5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-58.33</v>
      </c>
      <c r="X305" s="8">
        <f>IFERROR(W305/W444, "NA")</f>
        <v>1.1965005487123209E-3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-58.33</v>
      </c>
      <c r="AD305" s="8">
        <f>IFERROR(AC305/AC444, "NA")</f>
        <v>-9.9481936686305131E-4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114.52</v>
      </c>
      <c r="C310" s="8">
        <f>IFERROR(B310/B444, "NA")</f>
        <v>7.9084853171981447E-4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-114.52</v>
      </c>
      <c r="I310" s="8">
        <f>IFERROR(H310/H444, "NA")</f>
        <v>3.1664670804382711E-3</v>
      </c>
      <c r="J310" s="9"/>
      <c r="K310" s="7">
        <v>66.680000000000007</v>
      </c>
      <c r="L310" s="8">
        <f>IFERROR(K310/K444, "NA")</f>
        <v>4.458278688551992E-4</v>
      </c>
      <c r="M310" s="9"/>
      <c r="N310" s="10">
        <f t="shared" si="77"/>
        <v>-47.839999999999989</v>
      </c>
      <c r="O310" s="8">
        <f>IFERROR(N310/N444, "NA")</f>
        <v>1.0054729337783373E-2</v>
      </c>
      <c r="P310" s="9"/>
      <c r="Q310" s="7">
        <v>130.41999999999999</v>
      </c>
      <c r="R310" s="8">
        <f>IFERROR(Q310/Q444, "NA")</f>
        <v>1.8616168100600732E-4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-130.41999999999999</v>
      </c>
      <c r="X310" s="8">
        <f>IFERROR(W310/W444, "NA")</f>
        <v>2.6752546127732021E-3</v>
      </c>
      <c r="Y310" s="9"/>
      <c r="Z310" s="7">
        <v>132.9</v>
      </c>
      <c r="AA310" s="8">
        <f>IFERROR(Z310/Z444, "NA")</f>
        <v>2.0702867492020983E-4</v>
      </c>
      <c r="AB310" s="9"/>
      <c r="AC310" s="10">
        <f t="shared" si="79"/>
        <v>2.4800000000000182</v>
      </c>
      <c r="AD310" s="8">
        <f>IFERROR(AC310/AC444, "NA")</f>
        <v>4.2296451737020156E-5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26.7</v>
      </c>
      <c r="R311" s="8">
        <f>IFERROR(Q311/Q444, "NA")</f>
        <v>3.8111615418343783E-5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</v>
      </c>
      <c r="X311" s="8">
        <f>IFERROR(W311/W444, "NA")</f>
        <v>5.4768669039291908E-4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</v>
      </c>
      <c r="AD311" s="8">
        <f>IFERROR(AC311/AC444, "NA")</f>
        <v>-4.5536905700743134E-4</v>
      </c>
    </row>
    <row r="312" spans="1:30" ht="16.5" customHeight="1" x14ac:dyDescent="0.45">
      <c r="A312" s="6" t="s">
        <v>284</v>
      </c>
      <c r="B312" s="7">
        <v>711.27</v>
      </c>
      <c r="C312" s="8">
        <f>IFERROR(B312/B444, "NA")</f>
        <v>4.9118654833771608E-3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-711.27</v>
      </c>
      <c r="I312" s="8">
        <f>IFERROR(H312/H444, "NA")</f>
        <v>1.9666547679910315E-2</v>
      </c>
      <c r="J312" s="9"/>
      <c r="K312" s="7">
        <v>0</v>
      </c>
      <c r="L312" s="8">
        <f>IFERROR(K312/K444, "NA")</f>
        <v>0</v>
      </c>
      <c r="M312" s="9"/>
      <c r="N312" s="10">
        <f t="shared" si="77"/>
        <v>-711.27</v>
      </c>
      <c r="O312" s="8">
        <f>IFERROR(N312/N444, "NA")</f>
        <v>0.14949053796164677</v>
      </c>
      <c r="P312" s="9"/>
      <c r="Q312" s="7">
        <v>2642.88</v>
      </c>
      <c r="R312" s="8">
        <f>IFERROR(Q312/Q444, "NA")</f>
        <v>3.7724504178588921E-3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-2642.88</v>
      </c>
      <c r="X312" s="8">
        <f>IFERROR(W312/W444, "NA")</f>
        <v>5.4212367052645614E-2</v>
      </c>
      <c r="Y312" s="9"/>
      <c r="Z312" s="7">
        <v>0</v>
      </c>
      <c r="AA312" s="8">
        <f>IFERROR(Z312/Z444, "NA")</f>
        <v>0</v>
      </c>
      <c r="AB312" s="9"/>
      <c r="AC312" s="10">
        <f t="shared" si="79"/>
        <v>-2642.88</v>
      </c>
      <c r="AD312" s="8">
        <f>IFERROR(AC312/AC444, "NA")</f>
        <v>-4.5074373534973795E-2</v>
      </c>
    </row>
    <row r="313" spans="1:30" ht="16.5" customHeight="1" x14ac:dyDescent="0.45">
      <c r="A313" s="6" t="s">
        <v>285</v>
      </c>
      <c r="B313" s="7">
        <v>0</v>
      </c>
      <c r="C313" s="8">
        <f>IFERROR(B313/B444, "NA")</f>
        <v>0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0</v>
      </c>
      <c r="I313" s="8">
        <f>IFERROR(H313/H444, "NA")</f>
        <v>0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0</v>
      </c>
      <c r="O313" s="8">
        <f>IFERROR(N313/N444, "NA")</f>
        <v>0</v>
      </c>
      <c r="P313" s="9"/>
      <c r="Q313" s="7">
        <v>33</v>
      </c>
      <c r="R313" s="8">
        <f>IFERROR(Q313/Q444, "NA")</f>
        <v>4.7104243775481079E-5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-33</v>
      </c>
      <c r="X313" s="8">
        <f>IFERROR(W313/W444, "NA")</f>
        <v>6.7691613419349546E-4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-33</v>
      </c>
      <c r="AD313" s="8">
        <f>IFERROR(AC313/AC444, "NA")</f>
        <v>-5.6281568843615111E-4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1133.3399999999999</v>
      </c>
      <c r="C315" s="8">
        <f>IFERROR(B315/B444, "NA")</f>
        <v>7.8265829107521355E-3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-1133.3399999999999</v>
      </c>
      <c r="I315" s="8">
        <f>IFERROR(H315/H444, "NA")</f>
        <v>3.1336742935241968E-2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-1133.3399999999999</v>
      </c>
      <c r="O315" s="8">
        <f>IFERROR(N315/N444, "NA")</f>
        <v>0.23819872382281376</v>
      </c>
      <c r="P315" s="9"/>
      <c r="Q315" s="7">
        <v>2200.02</v>
      </c>
      <c r="R315" s="8">
        <f>IFERROR(Q315/Q444, "NA")</f>
        <v>3.1403114663919357E-3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-2200.02</v>
      </c>
      <c r="X315" s="8">
        <f>IFERROR(W315/W444, "NA")</f>
        <v>4.5128152531768904E-2</v>
      </c>
      <c r="Y315" s="9"/>
      <c r="Z315" s="7">
        <v>300</v>
      </c>
      <c r="AA315" s="8">
        <f>IFERROR(Z315/Z444, "NA")</f>
        <v>4.6733335196435627E-4</v>
      </c>
      <c r="AB315" s="9"/>
      <c r="AC315" s="10">
        <f t="shared" si="79"/>
        <v>-1900.02</v>
      </c>
      <c r="AD315" s="8">
        <f>IFERROR(AC315/AC444, "NA")</f>
        <v>-3.2404880737650174E-2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0</v>
      </c>
      <c r="C318" s="8">
        <f>IFERROR(B318/B444, "NA")</f>
        <v>0</v>
      </c>
      <c r="D318" s="9"/>
      <c r="E318" s="7">
        <v>469</v>
      </c>
      <c r="F318" s="8">
        <f>IFERROR(E318/E444, "NA")</f>
        <v>2.5915470917260686E-3</v>
      </c>
      <c r="G318" s="9"/>
      <c r="H318" s="10">
        <f t="shared" si="76"/>
        <v>469</v>
      </c>
      <c r="I318" s="8">
        <f>IFERROR(H318/H444, "NA")</f>
        <v>-1.2967805280523484E-2</v>
      </c>
      <c r="J318" s="9"/>
      <c r="K318" s="7">
        <v>0</v>
      </c>
      <c r="L318" s="8">
        <f>IFERROR(K318/K444, "NA")</f>
        <v>0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0</v>
      </c>
      <c r="R318" s="8">
        <f>IFERROR(Q318/Q444, "NA")</f>
        <v>0</v>
      </c>
      <c r="S318" s="9"/>
      <c r="T318" s="7">
        <v>2814</v>
      </c>
      <c r="U318" s="8">
        <f>IFERROR(T318/T444, "NA")</f>
        <v>3.7553832498056386E-3</v>
      </c>
      <c r="V318" s="9"/>
      <c r="W318" s="10">
        <f t="shared" si="78"/>
        <v>2814</v>
      </c>
      <c r="X318" s="8">
        <f>IFERROR(W318/W444, "NA")</f>
        <v>-5.7722484897590791E-2</v>
      </c>
      <c r="Y318" s="9"/>
      <c r="Z318" s="7">
        <v>0</v>
      </c>
      <c r="AA318" s="8">
        <f>IFERROR(Z318/Z444, "NA")</f>
        <v>0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306.64</v>
      </c>
      <c r="C319" s="8">
        <f>IFERROR(B319/B444, "NA")</f>
        <v>2.1175846469312252E-3</v>
      </c>
      <c r="D319" s="9"/>
      <c r="E319" s="7">
        <v>232</v>
      </c>
      <c r="F319" s="8">
        <f>IFERROR(E319/E444, "NA")</f>
        <v>1.281959328956179E-3</v>
      </c>
      <c r="G319" s="9"/>
      <c r="H319" s="10">
        <f t="shared" si="76"/>
        <v>-74.639999999999986</v>
      </c>
      <c r="I319" s="8">
        <f>IFERROR(H319/H444, "NA")</f>
        <v>2.0637888830240354E-3</v>
      </c>
      <c r="J319" s="9"/>
      <c r="K319" s="7">
        <v>231.41</v>
      </c>
      <c r="L319" s="8">
        <f>IFERROR(K319/K444, "NA")</f>
        <v>1.5472259617843678E-3</v>
      </c>
      <c r="M319" s="9"/>
      <c r="N319" s="10">
        <f t="shared" si="77"/>
        <v>-75.22999999999999</v>
      </c>
      <c r="O319" s="8">
        <f>IFERROR(N319/N444, "NA")</f>
        <v>1.5811398162237526E-2</v>
      </c>
      <c r="P319" s="9"/>
      <c r="Q319" s="7">
        <v>1708.36</v>
      </c>
      <c r="R319" s="8">
        <f>IFERROR(Q319/Q444, "NA")</f>
        <v>2.4385153301903287E-3</v>
      </c>
      <c r="S319" s="9"/>
      <c r="T319" s="7">
        <v>1392</v>
      </c>
      <c r="U319" s="8">
        <f>IFERROR(T319/T444, "NA")</f>
        <v>1.8576735905221921E-3</v>
      </c>
      <c r="V319" s="9"/>
      <c r="W319" s="10">
        <f t="shared" si="78"/>
        <v>-316.3599999999999</v>
      </c>
      <c r="X319" s="8">
        <f>IFERROR(W319/W444, "NA")</f>
        <v>6.4893693398016409E-3</v>
      </c>
      <c r="Y319" s="9"/>
      <c r="Z319" s="7">
        <v>1358.46</v>
      </c>
      <c r="AA319" s="8">
        <f>IFERROR(Z319/Z444, "NA")</f>
        <v>2.1161788843649981E-3</v>
      </c>
      <c r="AB319" s="9"/>
      <c r="AC319" s="10">
        <f t="shared" si="79"/>
        <v>-349.89999999999986</v>
      </c>
      <c r="AD319" s="8">
        <f>IFERROR(AC319/AC444, "NA")</f>
        <v>-5.9675517995093699E-3</v>
      </c>
    </row>
    <row r="320" spans="1:30" ht="16.5" customHeight="1" x14ac:dyDescent="0.45">
      <c r="A320" s="6" t="s">
        <v>292</v>
      </c>
      <c r="B320" s="7">
        <v>1246.21</v>
      </c>
      <c r="C320" s="8">
        <f>IFERROR(B320/B444, "NA")</f>
        <v>8.6060369255549253E-3</v>
      </c>
      <c r="D320" s="9"/>
      <c r="E320" s="7">
        <v>905</v>
      </c>
      <c r="F320" s="8">
        <f>IFERROR(E320/E444, "NA")</f>
        <v>5.0007465202816462E-3</v>
      </c>
      <c r="G320" s="9"/>
      <c r="H320" s="10">
        <f t="shared" si="76"/>
        <v>-341.21000000000004</v>
      </c>
      <c r="I320" s="8">
        <f>IFERROR(H320/H444, "NA")</f>
        <v>9.4344239653889519E-3</v>
      </c>
      <c r="J320" s="9"/>
      <c r="K320" s="7">
        <v>762.86</v>
      </c>
      <c r="L320" s="8">
        <f>IFERROR(K320/K444, "NA")</f>
        <v>5.1005436118007983E-3</v>
      </c>
      <c r="M320" s="9"/>
      <c r="N320" s="10">
        <f t="shared" si="77"/>
        <v>-483.35</v>
      </c>
      <c r="O320" s="8">
        <f>IFERROR(N320/N444, "NA")</f>
        <v>0.10158765521357849</v>
      </c>
      <c r="P320" s="9"/>
      <c r="Q320" s="7">
        <v>6957.77</v>
      </c>
      <c r="R320" s="8">
        <f>IFERROR(Q320/Q444, "NA")</f>
        <v>9.9315301276887581E-3</v>
      </c>
      <c r="S320" s="9"/>
      <c r="T320" s="7">
        <v>5430</v>
      </c>
      <c r="U320" s="8">
        <f>IFERROR(T320/T444, "NA")</f>
        <v>7.2465284457869997E-3</v>
      </c>
      <c r="V320" s="9"/>
      <c r="W320" s="10">
        <f t="shared" si="78"/>
        <v>-1527.7700000000004</v>
      </c>
      <c r="X320" s="8">
        <f>IFERROR(W320/W444, "NA")</f>
        <v>3.1338550373842332E-2</v>
      </c>
      <c r="Y320" s="9"/>
      <c r="Z320" s="7">
        <v>5458.18</v>
      </c>
      <c r="AA320" s="8">
        <f>IFERROR(Z320/Z444, "NA")</f>
        <v>8.5026318500827005E-3</v>
      </c>
      <c r="AB320" s="9"/>
      <c r="AC320" s="10">
        <f t="shared" si="79"/>
        <v>-1499.5900000000001</v>
      </c>
      <c r="AD320" s="8">
        <f>IFERROR(AC320/AC444, "NA")</f>
        <v>-2.557553873399903E-2</v>
      </c>
    </row>
    <row r="321" spans="1:30" ht="16.5" customHeight="1" x14ac:dyDescent="0.45">
      <c r="A321" s="6" t="s">
        <v>293</v>
      </c>
      <c r="B321" s="7">
        <v>1546.3</v>
      </c>
      <c r="C321" s="8">
        <f>IFERROR(B321/B444, "NA")</f>
        <v>1.0678388793209476E-2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-1546.3</v>
      </c>
      <c r="I321" s="8">
        <f>IFERROR(H321/H444, "NA")</f>
        <v>4.2755047559218468E-2</v>
      </c>
      <c r="J321" s="9"/>
      <c r="K321" s="7">
        <v>3577.69</v>
      </c>
      <c r="L321" s="8">
        <f>IFERROR(K321/K444, "NA")</f>
        <v>2.3920724476972969E-2</v>
      </c>
      <c r="M321" s="9"/>
      <c r="N321" s="10">
        <f t="shared" si="77"/>
        <v>2031.39</v>
      </c>
      <c r="O321" s="8">
        <f>IFERROR(N321/N444, "NA")</f>
        <v>-0.42694558171989488</v>
      </c>
      <c r="P321" s="9"/>
      <c r="Q321" s="7">
        <v>14519.14</v>
      </c>
      <c r="R321" s="8">
        <f>IFERROR(Q321/Q444, "NA")</f>
        <v>2.072463969607086E-2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-14519.14</v>
      </c>
      <c r="X321" s="8">
        <f>IFERROR(W321/W444, "NA")</f>
        <v>0.29782545820042872</v>
      </c>
      <c r="Y321" s="9"/>
      <c r="Z321" s="7">
        <v>17833.759999999998</v>
      </c>
      <c r="AA321" s="8">
        <f>IFERROR(Z321/Z444, "NA")</f>
        <v>2.7781036129759525E-2</v>
      </c>
      <c r="AB321" s="9"/>
      <c r="AC321" s="10">
        <f t="shared" si="79"/>
        <v>3314.619999999999</v>
      </c>
      <c r="AD321" s="8">
        <f>IFERROR(AC321/AC444, "NA")</f>
        <v>5.6530913248613174E-2</v>
      </c>
    </row>
    <row r="322" spans="1:30" ht="16.5" customHeight="1" x14ac:dyDescent="0.45">
      <c r="A322" s="6" t="s">
        <v>294</v>
      </c>
      <c r="B322" s="7">
        <v>1352.08</v>
      </c>
      <c r="C322" s="8">
        <f>IFERROR(B322/B444, "NA")</f>
        <v>9.3371505655582155E-3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-1352.08</v>
      </c>
      <c r="I322" s="8">
        <f>IFERROR(H322/H444, "NA")</f>
        <v>3.738488307823068E-2</v>
      </c>
      <c r="J322" s="9"/>
      <c r="K322" s="7">
        <v>287.7</v>
      </c>
      <c r="L322" s="8">
        <f>IFERROR(K322/K444, "NA")</f>
        <v>1.9235854509544212E-3</v>
      </c>
      <c r="M322" s="9"/>
      <c r="N322" s="10">
        <f t="shared" si="77"/>
        <v>-1064.3799999999999</v>
      </c>
      <c r="O322" s="8">
        <f>IFERROR(N322/N444, "NA")</f>
        <v>0.22370511731918621</v>
      </c>
      <c r="P322" s="9"/>
      <c r="Q322" s="7">
        <v>3349.38</v>
      </c>
      <c r="R322" s="8">
        <f>IFERROR(Q322/Q444, "NA")</f>
        <v>4.780909455052146E-3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-3349.38</v>
      </c>
      <c r="X322" s="8">
        <f>IFERROR(W322/W444, "NA")</f>
        <v>6.8704526107424543E-2</v>
      </c>
      <c r="Y322" s="9"/>
      <c r="Z322" s="7">
        <v>2081.4899999999998</v>
      </c>
      <c r="AA322" s="8">
        <f>IFERROR(Z322/Z444, "NA")</f>
        <v>3.2424989959342928E-3</v>
      </c>
      <c r="AB322" s="9"/>
      <c r="AC322" s="10">
        <f t="shared" si="79"/>
        <v>-1267.8900000000003</v>
      </c>
      <c r="AD322" s="8">
        <f>IFERROR(AC322/AC444, "NA")</f>
        <v>-2.1623890400342783E-2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6926.32</v>
      </c>
      <c r="C324" s="15">
        <f>IFERROR(B324/B444, "NA")</f>
        <v>4.7831557825895786E-2</v>
      </c>
      <c r="D324" s="2"/>
      <c r="E324" s="14">
        <f>IFERROR(E297+E298+E299+E300+E301+E302+E303+E304+E305+E306+E307+E308+E309+E310+E311+E312+E313+E314+E315+E316+E317+E318+E319+E320+E321+E322+E323, "NA")</f>
        <v>3958.65</v>
      </c>
      <c r="F324" s="15">
        <f>IFERROR(E324/E444, "NA")</f>
        <v>2.1874259903329214E-2</v>
      </c>
      <c r="G324" s="2"/>
      <c r="H324" s="14">
        <f t="shared" si="76"/>
        <v>-2967.6699999999996</v>
      </c>
      <c r="I324" s="15">
        <f>IFERROR(H324/H444, "NA")</f>
        <v>8.20557925305994E-2</v>
      </c>
      <c r="J324" s="2"/>
      <c r="K324" s="14">
        <f>IFERROR(K297+K298+K299+K300+K301+K302+K303+K304+K305+K306+K307+K308+K309+K310+K311+K312+K313+K314+K315+K316+K317+K318+K319+K320+K321+K322+K323, "NA")</f>
        <v>5110.09</v>
      </c>
      <c r="L324" s="15">
        <f>IFERROR(K324/K444, "NA")</f>
        <v>3.4166474720429885E-2</v>
      </c>
      <c r="M324" s="2"/>
      <c r="N324" s="14">
        <f t="shared" si="77"/>
        <v>-1816.2299999999996</v>
      </c>
      <c r="O324" s="15">
        <f>IFERROR(N324/N444, "NA")</f>
        <v>0.38172452059285733</v>
      </c>
      <c r="P324" s="2"/>
      <c r="Q324" s="14">
        <f>IFERROR(Q297+Q298+Q299+Q300+Q301+Q302+Q303+Q304+Q305+Q306+Q307+Q308+Q309+Q310+Q311+Q312+Q313+Q314+Q315+Q316+Q317+Q318+Q319+Q320+Q321+Q322+Q323, "NA")</f>
        <v>34220.75</v>
      </c>
      <c r="R324" s="15">
        <f>IFERROR(Q324/Q444, "NA")</f>
        <v>4.8846743944842244E-2</v>
      </c>
      <c r="S324" s="2"/>
      <c r="T324" s="14">
        <f>IFERROR(T297+T298+T299+T300+T301+T302+T303+T304+T305+T306+T307+T308+T309+T310+T311+T312+T313+T314+T315+T316+T317+T318+T319+T320+T321+T322+T323, "NA")</f>
        <v>19377.22</v>
      </c>
      <c r="U324" s="15">
        <f>IFERROR(T324/T444, "NA")</f>
        <v>2.5859590410731634E-2</v>
      </c>
      <c r="V324" s="2"/>
      <c r="W324" s="14">
        <f t="shared" si="78"/>
        <v>-14843.529999999999</v>
      </c>
      <c r="X324" s="15">
        <f>IFERROR(W324/W444, "NA")</f>
        <v>0.30447954379955072</v>
      </c>
      <c r="Y324" s="2"/>
      <c r="Z324" s="14">
        <f>IFERROR(Z297+Z298+Z299+Z300+Z301+Z302+Z303+Z304+Z305+Z306+Z307+Z308+Z309+Z310+Z311+Z312+Z313+Z314+Z315+Z316+Z317+Z318+Z319+Z320+Z321+Z322+Z323, "NA")</f>
        <v>28374.939999999995</v>
      </c>
      <c r="AA324" s="15">
        <f>IFERROR(Z324/Z444, "NA")</f>
        <v>4.4201852739958296E-2</v>
      </c>
      <c r="AB324" s="2"/>
      <c r="AC324" s="14">
        <f t="shared" si="79"/>
        <v>-5845.8100000000049</v>
      </c>
      <c r="AD324" s="15">
        <f>IFERROR(AC324/AC444, "NA")</f>
        <v>-9.9700411503543612E-2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31629.340000000004</v>
      </c>
      <c r="C325" s="15">
        <f>IFERROR(B325/B444, "NA")</f>
        <v>0.2184248786086867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33015.81</v>
      </c>
      <c r="F325" s="15">
        <f>IFERROR(E325/E444, "NA")</f>
        <v>0.1824350242782099</v>
      </c>
      <c r="G325" s="2"/>
      <c r="H325" s="14">
        <f t="shared" si="76"/>
        <v>1386.4699999999939</v>
      </c>
      <c r="I325" s="15">
        <f>IFERROR(H325/H444, "NA")</f>
        <v>-3.8335763299120071E-2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26217.350000000002</v>
      </c>
      <c r="L325" s="15">
        <f>IFERROR(K325/K444, "NA")</f>
        <v>0.1752913208987831</v>
      </c>
      <c r="M325" s="2"/>
      <c r="N325" s="14">
        <f t="shared" si="77"/>
        <v>-5411.9900000000016</v>
      </c>
      <c r="O325" s="15">
        <f>IFERROR(N325/N444, "NA")</f>
        <v>1.1374601720064854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163672.92000000004</v>
      </c>
      <c r="R325" s="15">
        <f>IFERROR(Q325/Q444, "NA")</f>
        <v>0.23362694312499438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142185.86000000002</v>
      </c>
      <c r="U325" s="15">
        <f>IFERROR(T325/T444, "NA")</f>
        <v>0.18975209559460185</v>
      </c>
      <c r="V325" s="2"/>
      <c r="W325" s="14">
        <f t="shared" si="78"/>
        <v>-21487.060000000027</v>
      </c>
      <c r="X325" s="15">
        <f>IFERROR(W325/W444, "NA")</f>
        <v>0.44075568455708203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120618.00999999998</v>
      </c>
      <c r="AA325" s="15">
        <f>IFERROR(Z325/Z444, "NA")</f>
        <v>0.18789606306856743</v>
      </c>
      <c r="AB325" s="2"/>
      <c r="AC325" s="14">
        <f t="shared" si="79"/>
        <v>-43054.910000000062</v>
      </c>
      <c r="AD325" s="15">
        <f>IFERROR(AC325/AC444, "NA")</f>
        <v>-0.73430238824868366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19569.79</v>
      </c>
      <c r="C329" s="8">
        <f>IFERROR(B329/B444, "NA")</f>
        <v>0.13514442619250008</v>
      </c>
      <c r="D329" s="9"/>
      <c r="E329" s="7">
        <v>22583</v>
      </c>
      <c r="F329" s="8">
        <f>IFERROR(E329/E444, "NA")</f>
        <v>0.12478658416300599</v>
      </c>
      <c r="G329" s="9"/>
      <c r="H329" s="10">
        <f t="shared" si="80"/>
        <v>3013.2099999999991</v>
      </c>
      <c r="I329" s="8">
        <f>IFERROR(H329/H444, "NA")</f>
        <v>-8.3314969188328689E-2</v>
      </c>
      <c r="J329" s="9"/>
      <c r="K329" s="7">
        <v>19092.48</v>
      </c>
      <c r="L329" s="8">
        <f>IFERROR(K329/K444, "NA")</f>
        <v>0.12765386427055359</v>
      </c>
      <c r="M329" s="9"/>
      <c r="N329" s="10">
        <f t="shared" si="81"/>
        <v>-477.31000000000131</v>
      </c>
      <c r="O329" s="8">
        <f>IFERROR(N329/N444, "NA")</f>
        <v>0.10031820359986196</v>
      </c>
      <c r="P329" s="9"/>
      <c r="Q329" s="7">
        <v>117418.74</v>
      </c>
      <c r="R329" s="8">
        <f>IFERROR(Q329/Q444, "NA")</f>
        <v>0.16760366523544945</v>
      </c>
      <c r="S329" s="9"/>
      <c r="T329" s="7">
        <v>117414</v>
      </c>
      <c r="U329" s="8">
        <f>IFERROR(T329/T444, "NA")</f>
        <v>0.15669316591779647</v>
      </c>
      <c r="V329" s="9"/>
      <c r="W329" s="10">
        <f t="shared" si="82"/>
        <v>-4.7400000000052387</v>
      </c>
      <c r="X329" s="8">
        <f>IFERROR(W329/W444, "NA")</f>
        <v>9.7229772002445898E-5</v>
      </c>
      <c r="Y329" s="9"/>
      <c r="Z329" s="7">
        <v>114554.88</v>
      </c>
      <c r="AA329" s="8">
        <f>IFERROR(Z329/Z444, "NA")</f>
        <v>0.17845105351424867</v>
      </c>
      <c r="AB329" s="9"/>
      <c r="AC329" s="10">
        <f t="shared" si="83"/>
        <v>-2863.8600000000006</v>
      </c>
      <c r="AD329" s="8">
        <f>IFERROR(AC329/AC444, "NA")</f>
        <v>-4.8843192044992607E-2</v>
      </c>
    </row>
    <row r="330" spans="1:30" ht="16.5" customHeight="1" x14ac:dyDescent="0.45">
      <c r="A330" s="6" t="s">
        <v>301</v>
      </c>
      <c r="B330" s="7">
        <v>658.51</v>
      </c>
      <c r="C330" s="8">
        <f>IFERROR(B330/B444, "NA")</f>
        <v>4.5475171727455037E-3</v>
      </c>
      <c r="D330" s="9"/>
      <c r="E330" s="7">
        <v>659</v>
      </c>
      <c r="F330" s="8">
        <f>IFERROR(E330/E444, "NA")</f>
        <v>3.6414275766470773E-3</v>
      </c>
      <c r="G330" s="9"/>
      <c r="H330" s="10">
        <f t="shared" si="80"/>
        <v>0.49000000000000909</v>
      </c>
      <c r="I330" s="8">
        <f>IFERROR(H330/H444, "NA")</f>
        <v>-1.3548453278159114E-5</v>
      </c>
      <c r="J330" s="9"/>
      <c r="K330" s="7">
        <v>658.51</v>
      </c>
      <c r="L330" s="8">
        <f>IFERROR(K330/K444, "NA")</f>
        <v>4.4028510785818417E-3</v>
      </c>
      <c r="M330" s="9"/>
      <c r="N330" s="10">
        <f t="shared" si="81"/>
        <v>0</v>
      </c>
      <c r="O330" s="8">
        <f>IFERROR(N330/N444, "NA")</f>
        <v>0</v>
      </c>
      <c r="P330" s="9"/>
      <c r="Q330" s="7">
        <v>4272.7700000000004</v>
      </c>
      <c r="R330" s="8">
        <f>IFERROR(Q330/Q444, "NA")</f>
        <v>6.098957565956434E-3</v>
      </c>
      <c r="S330" s="9"/>
      <c r="T330" s="7">
        <v>3954</v>
      </c>
      <c r="U330" s="8">
        <f>IFERROR(T330/T444, "NA")</f>
        <v>5.2767538627332957E-3</v>
      </c>
      <c r="V330" s="9"/>
      <c r="W330" s="10">
        <f t="shared" si="82"/>
        <v>-318.77000000000044</v>
      </c>
      <c r="X330" s="8">
        <f>IFERROR(W330/W444, "NA")</f>
        <v>6.5388047302079042E-3</v>
      </c>
      <c r="Y330" s="9"/>
      <c r="Z330" s="7">
        <v>4002.8</v>
      </c>
      <c r="AA330" s="8">
        <f>IFERROR(Z330/Z444, "NA")</f>
        <v>6.2354731374764175E-3</v>
      </c>
      <c r="AB330" s="9"/>
      <c r="AC330" s="10">
        <f t="shared" si="83"/>
        <v>-269.97000000000025</v>
      </c>
      <c r="AD330" s="8">
        <f>IFERROR(AC330/AC444, "NA")</f>
        <v>-4.604343982033572E-3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855.93</v>
      </c>
      <c r="C333" s="8">
        <f>IFERROR(B333/B444, "NA")</f>
        <v>5.910853857447964E-3</v>
      </c>
      <c r="D333" s="9"/>
      <c r="E333" s="7">
        <v>761</v>
      </c>
      <c r="F333" s="8">
        <f>IFERROR(E333/E444, "NA")</f>
        <v>4.2050476264467763E-3</v>
      </c>
      <c r="G333" s="9"/>
      <c r="H333" s="10">
        <f t="shared" si="80"/>
        <v>-94.92999999999995</v>
      </c>
      <c r="I333" s="8">
        <f>IFERROR(H333/H444, "NA")</f>
        <v>2.6248054483584086E-3</v>
      </c>
      <c r="J333" s="9"/>
      <c r="K333" s="7">
        <v>760.64</v>
      </c>
      <c r="L333" s="8">
        <f>IFERROR(K333/K444, "NA")</f>
        <v>5.0857005123878026E-3</v>
      </c>
      <c r="M333" s="9"/>
      <c r="N333" s="10">
        <f t="shared" si="81"/>
        <v>-95.289999999999964</v>
      </c>
      <c r="O333" s="8">
        <f>IFERROR(N333/N444, "NA")</f>
        <v>2.0027490773356554E-2</v>
      </c>
      <c r="P333" s="9"/>
      <c r="Q333" s="7">
        <v>5040.29</v>
      </c>
      <c r="R333" s="8">
        <f>IFERROR(Q333/Q444, "NA")</f>
        <v>7.194516632094531E-3</v>
      </c>
      <c r="S333" s="9"/>
      <c r="T333" s="7">
        <v>4566</v>
      </c>
      <c r="U333" s="8">
        <f>IFERROR(T333/T444, "NA")</f>
        <v>6.0934896654628807E-3</v>
      </c>
      <c r="V333" s="9"/>
      <c r="W333" s="10">
        <f t="shared" si="82"/>
        <v>-474.28999999999996</v>
      </c>
      <c r="X333" s="8">
        <f>IFERROR(W333/W444, "NA")</f>
        <v>9.7289258571706949E-3</v>
      </c>
      <c r="Y333" s="9"/>
      <c r="Z333" s="7">
        <v>6292.55</v>
      </c>
      <c r="AA333" s="8">
        <f>IFERROR(Z333/Z444, "NA")</f>
        <v>9.8023949463443664E-3</v>
      </c>
      <c r="AB333" s="9"/>
      <c r="AC333" s="10">
        <f t="shared" si="83"/>
        <v>1252.2600000000002</v>
      </c>
      <c r="AD333" s="8">
        <f>IFERROR(AC333/AC444, "NA")</f>
        <v>2.1357320424274386E-2</v>
      </c>
    </row>
    <row r="334" spans="1:30" ht="16.5" customHeight="1" x14ac:dyDescent="0.45">
      <c r="A334" s="6" t="s">
        <v>305</v>
      </c>
      <c r="B334" s="7">
        <v>3013.74</v>
      </c>
      <c r="C334" s="8">
        <f>IFERROR(B334/B444, "NA")</f>
        <v>2.0812188735463446E-2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-3013.74</v>
      </c>
      <c r="I334" s="8">
        <f>IFERROR(H334/H444, "NA")</f>
        <v>8.3329623637792838E-2</v>
      </c>
      <c r="J334" s="9"/>
      <c r="K334" s="7">
        <v>2940.24</v>
      </c>
      <c r="L334" s="8">
        <f>IFERROR(K334/K444, "NA")</f>
        <v>1.9658682260390085E-2</v>
      </c>
      <c r="M334" s="9"/>
      <c r="N334" s="10">
        <f t="shared" si="81"/>
        <v>-73.5</v>
      </c>
      <c r="O334" s="8">
        <f>IFERROR(N334/N444, "NA")</f>
        <v>1.5447796954997452E-2</v>
      </c>
      <c r="P334" s="9"/>
      <c r="Q334" s="7">
        <v>0</v>
      </c>
      <c r="R334" s="8">
        <f>IFERROR(Q334/Q444, "NA")</f>
        <v>0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0</v>
      </c>
      <c r="X334" s="8">
        <f>IFERROR(W334/W444, "NA")</f>
        <v>0</v>
      </c>
      <c r="Y334" s="9"/>
      <c r="Z334" s="7">
        <v>0</v>
      </c>
      <c r="AA334" s="8">
        <f>IFERROR(Z334/Z444, "NA")</f>
        <v>0</v>
      </c>
      <c r="AB334" s="9"/>
      <c r="AC334" s="10">
        <f t="shared" si="83"/>
        <v>0</v>
      </c>
      <c r="AD334" s="8">
        <f>IFERROR(AC334/AC444, "NA")</f>
        <v>0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5908.45</v>
      </c>
      <c r="F337" s="8">
        <f>IFERROR(E337/E444, "NA")</f>
        <v>3.2648243953323858E-2</v>
      </c>
      <c r="G337" s="9"/>
      <c r="H337" s="10">
        <f t="shared" ref="H337:H344" si="84">IFERROR(-(B337-E337), "NA")</f>
        <v>5908.45</v>
      </c>
      <c r="I337" s="8">
        <f>IFERROR(H337/H444, "NA")</f>
        <v>-0.16336807912517903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31331.66</v>
      </c>
      <c r="U337" s="8">
        <f>IFERROR(T337/T444, "NA")</f>
        <v>4.1813216472141194E-2</v>
      </c>
      <c r="V337" s="9"/>
      <c r="W337" s="10">
        <f t="shared" ref="W337:W344" si="86">IFERROR(-(Q337-T337), "NA")</f>
        <v>31331.66</v>
      </c>
      <c r="X337" s="8">
        <f>IFERROR(W337/W444, "NA")</f>
        <v>-0.64269412621409006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2517.14</v>
      </c>
      <c r="C338" s="8">
        <f>IFERROR(B338/B444, "NA")</f>
        <v>1.7382784431830368E-2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-2517.14</v>
      </c>
      <c r="I338" s="8">
        <f>IFERROR(H338/H444, "NA")</f>
        <v>6.9598680988948572E-2</v>
      </c>
      <c r="J338" s="9"/>
      <c r="K338" s="7">
        <v>2282.0500000000002</v>
      </c>
      <c r="L338" s="8">
        <f>IFERROR(K338/K444, "NA")</f>
        <v>1.5257970727669577E-2</v>
      </c>
      <c r="M338" s="9"/>
      <c r="N338" s="10">
        <f t="shared" si="85"/>
        <v>-235.08999999999969</v>
      </c>
      <c r="O338" s="8">
        <f>IFERROR(N338/N444, "NA")</f>
        <v>4.9409831104086345E-2</v>
      </c>
      <c r="P338" s="9"/>
      <c r="Q338" s="7">
        <v>12080.06</v>
      </c>
      <c r="R338" s="8">
        <f>IFERROR(Q338/Q444, "NA")</f>
        <v>1.7243093668558727E-2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-12080.06</v>
      </c>
      <c r="X338" s="8">
        <f>IFERROR(W338/W444, "NA")</f>
        <v>0.2477935610916811</v>
      </c>
      <c r="Y338" s="9"/>
      <c r="Z338" s="7">
        <v>11180.58</v>
      </c>
      <c r="AA338" s="8">
        <f>IFERROR(Z338/Z444, "NA")</f>
        <v>1.7416859761018807E-2</v>
      </c>
      <c r="AB338" s="9"/>
      <c r="AC338" s="10">
        <f t="shared" si="87"/>
        <v>-899.47999999999956</v>
      </c>
      <c r="AD338" s="8">
        <f>IFERROR(AC338/AC444, "NA")</f>
        <v>-1.5340650164683303E-2</v>
      </c>
    </row>
    <row r="339" spans="1:30" ht="16.5" customHeight="1" x14ac:dyDescent="0.45">
      <c r="A339" s="12" t="s">
        <v>309</v>
      </c>
      <c r="B339" s="7">
        <v>615.46</v>
      </c>
      <c r="C339" s="8">
        <f>IFERROR(B339/B444, "NA")</f>
        <v>4.2502238677285809E-3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-615.46</v>
      </c>
      <c r="I339" s="8">
        <f>IFERROR(H339/H444, "NA")</f>
        <v>1.7017410315460519E-2</v>
      </c>
      <c r="J339" s="9"/>
      <c r="K339" s="7">
        <v>532.4</v>
      </c>
      <c r="L339" s="8">
        <f>IFERROR(K339/K444, "NA")</f>
        <v>3.5596694267922622E-3</v>
      </c>
      <c r="M339" s="9"/>
      <c r="N339" s="10">
        <f t="shared" si="85"/>
        <v>-83.060000000000059</v>
      </c>
      <c r="O339" s="8">
        <f>IFERROR(N339/N444, "NA")</f>
        <v>1.7457061429688288E-2</v>
      </c>
      <c r="P339" s="9"/>
      <c r="Q339" s="7">
        <v>6003.39</v>
      </c>
      <c r="R339" s="8">
        <f>IFERROR(Q339/Q444, "NA")</f>
        <v>8.5692468496753136E-3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-6003.39</v>
      </c>
      <c r="X339" s="8">
        <f>IFERROR(W339/W444, "NA")</f>
        <v>0.12314519851078451</v>
      </c>
      <c r="Y339" s="9"/>
      <c r="Z339" s="7">
        <v>5895.34</v>
      </c>
      <c r="AA339" s="8">
        <f>IFERROR(Z339/Z444, "NA")</f>
        <v>9.1836300105651598E-3</v>
      </c>
      <c r="AB339" s="9"/>
      <c r="AC339" s="10">
        <f t="shared" si="87"/>
        <v>-108.05000000000018</v>
      </c>
      <c r="AD339" s="8">
        <f>IFERROR(AC339/AC444, "NA")</f>
        <v>-1.8427950041068554E-3</v>
      </c>
    </row>
    <row r="340" spans="1:30" ht="16.5" customHeight="1" x14ac:dyDescent="0.45">
      <c r="A340" s="12" t="s">
        <v>310</v>
      </c>
      <c r="B340" s="7">
        <v>968.12</v>
      </c>
      <c r="C340" s="8">
        <f>IFERROR(B340/B444, "NA")</f>
        <v>6.6856119501273736E-3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-968.12</v>
      </c>
      <c r="I340" s="8">
        <f>IFERROR(H340/H444, "NA")</f>
        <v>2.6768425689083997E-2</v>
      </c>
      <c r="J340" s="9"/>
      <c r="K340" s="7">
        <v>782.66</v>
      </c>
      <c r="L340" s="8">
        <f>IFERROR(K340/K444, "NA")</f>
        <v>5.2329280119707581E-3</v>
      </c>
      <c r="M340" s="9"/>
      <c r="N340" s="10">
        <f t="shared" si="85"/>
        <v>-185.46000000000004</v>
      </c>
      <c r="O340" s="8">
        <f>IFERROR(N340/N444, "NA")</f>
        <v>3.8978890112569088E-2</v>
      </c>
      <c r="P340" s="9"/>
      <c r="Q340" s="7">
        <v>5368</v>
      </c>
      <c r="R340" s="8">
        <f>IFERROR(Q340/Q444, "NA")</f>
        <v>7.6622903208115887E-3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-5368</v>
      </c>
      <c r="X340" s="8">
        <f>IFERROR(W340/W444, "NA")</f>
        <v>0.11011169116214192</v>
      </c>
      <c r="Y340" s="9"/>
      <c r="Z340" s="7">
        <v>4994.22</v>
      </c>
      <c r="AA340" s="8">
        <f>IFERROR(Z340/Z444, "NA")</f>
        <v>7.7798852434914243E-3</v>
      </c>
      <c r="AB340" s="9"/>
      <c r="AC340" s="10">
        <f t="shared" si="87"/>
        <v>-373.77999999999975</v>
      </c>
      <c r="AD340" s="8">
        <f>IFERROR(AC340/AC444, "NA")</f>
        <v>-6.3748256976868005E-3</v>
      </c>
    </row>
    <row r="341" spans="1:30" ht="16.5" customHeight="1" x14ac:dyDescent="0.45">
      <c r="A341" s="12" t="s">
        <v>311</v>
      </c>
      <c r="B341" s="7">
        <v>1031.99</v>
      </c>
      <c r="C341" s="8">
        <f>IFERROR(B341/B444, "NA")</f>
        <v>7.1266833413336662E-3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-1031.99</v>
      </c>
      <c r="I341" s="8">
        <f>IFERROR(H341/H444, "NA")</f>
        <v>2.8534425099035032E-2</v>
      </c>
      <c r="J341" s="9"/>
      <c r="K341" s="7">
        <v>957.58</v>
      </c>
      <c r="L341" s="8">
        <f>IFERROR(K341/K444, "NA")</f>
        <v>6.40245726842174E-3</v>
      </c>
      <c r="M341" s="9"/>
      <c r="N341" s="10">
        <f t="shared" si="85"/>
        <v>-74.409999999999968</v>
      </c>
      <c r="O341" s="8">
        <f>IFERROR(N341/N444, "NA")</f>
        <v>1.5639055393487891E-2</v>
      </c>
      <c r="P341" s="9"/>
      <c r="Q341" s="7">
        <v>6154.26</v>
      </c>
      <c r="R341" s="8">
        <f>IFERROR(Q341/Q444, "NA")</f>
        <v>8.7845988878088553E-3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-6154.26</v>
      </c>
      <c r="X341" s="8">
        <f>IFERROR(W341/W444, "NA")</f>
        <v>0.12623993600065642</v>
      </c>
      <c r="Y341" s="9"/>
      <c r="Z341" s="7">
        <v>5745.48</v>
      </c>
      <c r="AA341" s="8">
        <f>IFERROR(Z341/Z444, "NA")</f>
        <v>8.9501814234805646E-3</v>
      </c>
      <c r="AB341" s="9"/>
      <c r="AC341" s="10">
        <f t="shared" si="87"/>
        <v>-408.78000000000065</v>
      </c>
      <c r="AD341" s="8">
        <f>IFERROR(AC341/AC444, "NA")</f>
        <v>-6.9717514278463703E-3</v>
      </c>
    </row>
    <row r="342" spans="1:30" ht="16.5" customHeight="1" x14ac:dyDescent="0.45">
      <c r="A342" s="13" t="s">
        <v>312</v>
      </c>
      <c r="B342" s="14">
        <f>IFERROR(B337+B338+B339+B340+B341, "NA")</f>
        <v>5132.71</v>
      </c>
      <c r="C342" s="15">
        <f>IFERROR(B342/B444, "NA")</f>
        <v>3.5445303591019987E-2</v>
      </c>
      <c r="D342" s="2"/>
      <c r="E342" s="14">
        <f>IFERROR(E337+E338+E339+E340+E341, "NA")</f>
        <v>5908.45</v>
      </c>
      <c r="F342" s="15">
        <f>IFERROR(E342/E444, "NA")</f>
        <v>3.2648243953323858E-2</v>
      </c>
      <c r="G342" s="2"/>
      <c r="H342" s="14">
        <f t="shared" si="84"/>
        <v>775.73999999999978</v>
      </c>
      <c r="I342" s="15">
        <f>IFERROR(H342/H444, "NA")</f>
        <v>-2.1449137032650924E-2</v>
      </c>
      <c r="J342" s="2"/>
      <c r="K342" s="14">
        <f>IFERROR(K337+K338+K339+K340+K341, "NA")</f>
        <v>4554.6900000000005</v>
      </c>
      <c r="L342" s="15">
        <f>IFERROR(K342/K444, "NA")</f>
        <v>3.0453025434854338E-2</v>
      </c>
      <c r="M342" s="2"/>
      <c r="N342" s="14">
        <f t="shared" si="85"/>
        <v>-578.01999999999953</v>
      </c>
      <c r="O342" s="15">
        <f>IFERROR(N342/N444, "NA")</f>
        <v>0.12148483803983157</v>
      </c>
      <c r="P342" s="2"/>
      <c r="Q342" s="14">
        <f>IFERROR(Q337+Q338+Q339+Q340+Q341, "NA")</f>
        <v>29605.71</v>
      </c>
      <c r="R342" s="15">
        <f>IFERROR(Q342/Q444, "NA")</f>
        <v>4.2259229726854482E-2</v>
      </c>
      <c r="S342" s="2"/>
      <c r="T342" s="14">
        <f>IFERROR(T337+T338+T339+T340+T341, "NA")</f>
        <v>31331.66</v>
      </c>
      <c r="U342" s="15">
        <f>IFERROR(T342/T444, "NA")</f>
        <v>4.1813216472141194E-2</v>
      </c>
      <c r="V342" s="2"/>
      <c r="W342" s="14">
        <f t="shared" si="86"/>
        <v>1725.9500000000007</v>
      </c>
      <c r="X342" s="15">
        <f>IFERROR(W342/W444, "NA")</f>
        <v>-3.5403739448826181E-2</v>
      </c>
      <c r="Y342" s="2"/>
      <c r="Z342" s="14">
        <f>IFERROR(Z337+Z338+Z339+Z340+Z341, "NA")</f>
        <v>27815.62</v>
      </c>
      <c r="AA342" s="15">
        <f>IFERROR(Z342/Z444, "NA")</f>
        <v>4.3330556438555955E-2</v>
      </c>
      <c r="AB342" s="2"/>
      <c r="AC342" s="14">
        <f t="shared" si="87"/>
        <v>-1790.0900000000001</v>
      </c>
      <c r="AD342" s="15">
        <f>IFERROR(AC342/AC444, "NA")</f>
        <v>-3.053002229432333E-2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29230.68</v>
      </c>
      <c r="C343" s="15">
        <f>IFERROR(B343/B444, "NA")</f>
        <v>0.20186028954917698</v>
      </c>
      <c r="D343" s="2"/>
      <c r="E343" s="14">
        <f>IFERROR(E328+E329+E330+E331+E332+E333+E334+E335+E337+E338+E339+E340+E341, "NA")</f>
        <v>29911.45</v>
      </c>
      <c r="F343" s="15">
        <f>IFERROR(E343/E444, "NA")</f>
        <v>0.1652813033194237</v>
      </c>
      <c r="G343" s="2"/>
      <c r="H343" s="14">
        <f t="shared" si="84"/>
        <v>680.77000000000044</v>
      </c>
      <c r="I343" s="15">
        <f>IFERROR(H343/H444, "NA")</f>
        <v>-1.8823225588106562E-2</v>
      </c>
      <c r="J343" s="2"/>
      <c r="K343" s="14">
        <f>IFERROR(K328+K329+K330+K331+K332+K333+K334+K335+K337+K338+K339+K340+K341, "NA")</f>
        <v>28006.559999999998</v>
      </c>
      <c r="L343" s="15">
        <f>IFERROR(K343/K444, "NA")</f>
        <v>0.18725412355676763</v>
      </c>
      <c r="M343" s="2"/>
      <c r="N343" s="14">
        <f t="shared" si="85"/>
        <v>-1224.1200000000026</v>
      </c>
      <c r="O343" s="15">
        <f>IFERROR(N343/N444, "NA")</f>
        <v>0.2572783293680479</v>
      </c>
      <c r="P343" s="2"/>
      <c r="Q343" s="14">
        <f>IFERROR(Q328+Q329+Q330+Q331+Q332+Q333+Q334+Q335+Q337+Q338+Q339+Q340+Q341, "NA")</f>
        <v>156337.51000000004</v>
      </c>
      <c r="R343" s="15">
        <f>IFERROR(Q343/Q444, "NA")</f>
        <v>0.22315636916035494</v>
      </c>
      <c r="S343" s="2"/>
      <c r="T343" s="14">
        <f>IFERROR(T328+T329+T330+T331+T332+T333+T334+T335+T337+T338+T339+T340+T341, "NA")</f>
        <v>157265.66</v>
      </c>
      <c r="U343" s="15">
        <f>IFERROR(T343/T444, "NA")</f>
        <v>0.20987662591813383</v>
      </c>
      <c r="V343" s="2"/>
      <c r="W343" s="14">
        <f t="shared" si="86"/>
        <v>928.14999999996508</v>
      </c>
      <c r="X343" s="15">
        <f>IFERROR(W343/W444, "NA")</f>
        <v>-1.903877908944452E-2</v>
      </c>
      <c r="Y343" s="2"/>
      <c r="Z343" s="14">
        <f>IFERROR(Z328+Z329+Z330+Z331+Z332+Z333+Z334+Z335+Z337+Z338+Z339+Z340+Z341, "NA")</f>
        <v>152665.85</v>
      </c>
      <c r="AA343" s="15">
        <f>IFERROR(Z343/Z444, "NA")</f>
        <v>0.2378194780366254</v>
      </c>
      <c r="AB343" s="2"/>
      <c r="AC343" s="14">
        <f t="shared" si="87"/>
        <v>-3671.6600000000326</v>
      </c>
      <c r="AD343" s="15">
        <f>IFERROR(AC343/AC444, "NA")</f>
        <v>-6.2620237897075673E-2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29230.68</v>
      </c>
      <c r="C344" s="15">
        <f>IFERROR(B344/B444, "NA")</f>
        <v>0.20186028954917698</v>
      </c>
      <c r="D344" s="2"/>
      <c r="E344" s="14">
        <f>IFERROR(E328+E329+E330+E331+E332+E333+E334+E335+E337+E338+E339+E340+E341, "NA")</f>
        <v>29911.45</v>
      </c>
      <c r="F344" s="15">
        <f>IFERROR(E344/E444, "NA")</f>
        <v>0.1652813033194237</v>
      </c>
      <c r="G344" s="2"/>
      <c r="H344" s="14">
        <f t="shared" si="84"/>
        <v>680.77000000000044</v>
      </c>
      <c r="I344" s="15">
        <f>IFERROR(H344/H444, "NA")</f>
        <v>-1.8823225588106562E-2</v>
      </c>
      <c r="J344" s="2"/>
      <c r="K344" s="14">
        <f>IFERROR(K328+K329+K330+K331+K332+K333+K334+K335+K337+K338+K339+K340+K341, "NA")</f>
        <v>28006.559999999998</v>
      </c>
      <c r="L344" s="15">
        <f>IFERROR(K344/K444, "NA")</f>
        <v>0.18725412355676763</v>
      </c>
      <c r="M344" s="2"/>
      <c r="N344" s="14">
        <f t="shared" si="85"/>
        <v>-1224.1200000000026</v>
      </c>
      <c r="O344" s="15">
        <f>IFERROR(N344/N444, "NA")</f>
        <v>0.2572783293680479</v>
      </c>
      <c r="P344" s="2"/>
      <c r="Q344" s="14">
        <f>IFERROR(Q328+Q329+Q330+Q331+Q332+Q333+Q334+Q335+Q337+Q338+Q339+Q340+Q341, "NA")</f>
        <v>156337.51000000004</v>
      </c>
      <c r="R344" s="15">
        <f>IFERROR(Q344/Q444, "NA")</f>
        <v>0.22315636916035494</v>
      </c>
      <c r="S344" s="2"/>
      <c r="T344" s="14">
        <f>IFERROR(T328+T329+T330+T331+T332+T333+T334+T335+T337+T338+T339+T340+T341, "NA")</f>
        <v>157265.66</v>
      </c>
      <c r="U344" s="15">
        <f>IFERROR(T344/T444, "NA")</f>
        <v>0.20987662591813383</v>
      </c>
      <c r="V344" s="2"/>
      <c r="W344" s="14">
        <f t="shared" si="86"/>
        <v>928.14999999996508</v>
      </c>
      <c r="X344" s="15">
        <f>IFERROR(W344/W444, "NA")</f>
        <v>-1.903877908944452E-2</v>
      </c>
      <c r="Y344" s="2"/>
      <c r="Z344" s="14">
        <f>IFERROR(Z328+Z329+Z330+Z331+Z332+Z333+Z334+Z335+Z337+Z338+Z339+Z340+Z341, "NA")</f>
        <v>152665.85</v>
      </c>
      <c r="AA344" s="15">
        <f>IFERROR(Z344/Z444, "NA")</f>
        <v>0.2378194780366254</v>
      </c>
      <c r="AB344" s="2"/>
      <c r="AC344" s="14">
        <f t="shared" si="87"/>
        <v>-3671.6600000000326</v>
      </c>
      <c r="AD344" s="15">
        <f>IFERROR(AC344/AC444, "NA")</f>
        <v>-6.2620237897075673E-2</v>
      </c>
    </row>
    <row r="345" spans="1:30" ht="16.5" customHeight="1" x14ac:dyDescent="0.45">
      <c r="A345" s="22" t="s">
        <v>315</v>
      </c>
      <c r="B345" s="23">
        <f>IFERROR(B198-B325-B344, "NA")</f>
        <v>1905.3599999999933</v>
      </c>
      <c r="C345" s="24">
        <f>IFERROR(B345/B444, "NA")</f>
        <v>1.3157973789710623E-2</v>
      </c>
      <c r="D345" s="25"/>
      <c r="E345" s="23">
        <f>IFERROR(E198-E325-E344, "NA")</f>
        <v>26460.769999999986</v>
      </c>
      <c r="F345" s="24">
        <f>IFERROR(E345/E444, "NA")</f>
        <v>0.14621392652096454</v>
      </c>
      <c r="G345" s="25"/>
      <c r="H345" s="23">
        <f>IFERROR(B345-E345, "NA")</f>
        <v>-24555.409999999993</v>
      </c>
      <c r="I345" s="24">
        <f>IFERROR(H345/H444, "NA")</f>
        <v>0.67895474512456089</v>
      </c>
      <c r="J345" s="25"/>
      <c r="K345" s="23">
        <f>IFERROR(K198-K325-K344, "NA")</f>
        <v>12839.310000000027</v>
      </c>
      <c r="L345" s="24">
        <f>IFERROR(K345/K444, "NA")</f>
        <v>8.5844664290210843E-2</v>
      </c>
      <c r="M345" s="25"/>
      <c r="N345" s="23">
        <f>IFERROR(B345-K345, "NA")</f>
        <v>-10933.950000000033</v>
      </c>
      <c r="O345" s="24">
        <f>IFERROR(N345/N444, "NA")</f>
        <v>2.2980331906951688</v>
      </c>
      <c r="P345" s="25"/>
      <c r="Q345" s="23">
        <f>IFERROR(Q198-Q325-Q344, "NA")</f>
        <v>-31419.490000000369</v>
      </c>
      <c r="R345" s="24">
        <f>IFERROR(Q345/Q444, "NA")</f>
        <v>-4.4848221704888107E-2</v>
      </c>
      <c r="S345" s="25"/>
      <c r="T345" s="23">
        <f>IFERROR(T198-T325-T344, "NA")</f>
        <v>42443.810000000056</v>
      </c>
      <c r="U345" s="24">
        <f>IFERROR(T345/T444, "NA")</f>
        <v>5.6642776521653615E-2</v>
      </c>
      <c r="V345" s="25"/>
      <c r="W345" s="23">
        <f>IFERROR(Q345-T345, "NA")</f>
        <v>-73863.300000000425</v>
      </c>
      <c r="X345" s="24">
        <f>IFERROR(W345/W444, "NA")</f>
        <v>1.5151290755992333</v>
      </c>
      <c r="Y345" s="25"/>
      <c r="Z345" s="23">
        <f>IFERROR(Z198-Z325-Z344, "NA")</f>
        <v>-21367.499999999913</v>
      </c>
      <c r="AA345" s="24">
        <f>IFERROR(Z345/Z444, "NA")</f>
        <v>-3.3285817993661142E-2</v>
      </c>
      <c r="AB345" s="25"/>
      <c r="AC345" s="23">
        <f>IFERROR(Q345-Z345, "NA")</f>
        <v>-10051.990000000456</v>
      </c>
      <c r="AD345" s="24">
        <f>IFERROR(AC345/AC444, "NA")</f>
        <v>-0.17143689915162313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1905.3599999999933</v>
      </c>
      <c r="C404" s="24">
        <f>IFERROR(B404/B444, "NA")</f>
        <v>1.3157973789710623E-2</v>
      </c>
      <c r="D404" s="25"/>
      <c r="E404" s="23">
        <f>IFERROR(E345-E403, "NA")</f>
        <v>26460.769999999986</v>
      </c>
      <c r="F404" s="24">
        <f>IFERROR(E404/E444, "NA")</f>
        <v>0.14621392652096454</v>
      </c>
      <c r="G404" s="25"/>
      <c r="H404" s="23">
        <f>IFERROR(B404-E404, "NA")</f>
        <v>-24555.409999999993</v>
      </c>
      <c r="I404" s="24">
        <f>IFERROR(H404/H444, "NA")</f>
        <v>0.67895474512456089</v>
      </c>
      <c r="J404" s="25"/>
      <c r="K404" s="23">
        <f>IFERROR(K345-K403, "NA")</f>
        <v>12839.310000000027</v>
      </c>
      <c r="L404" s="24">
        <f>IFERROR(K404/K444, "NA")</f>
        <v>8.5844664290210843E-2</v>
      </c>
      <c r="M404" s="25"/>
      <c r="N404" s="23">
        <f>IFERROR(B404-K404, "NA")</f>
        <v>-10933.950000000033</v>
      </c>
      <c r="O404" s="24">
        <f>IFERROR(N404/N444, "NA")</f>
        <v>2.2980331906951688</v>
      </c>
      <c r="P404" s="25"/>
      <c r="Q404" s="23">
        <f>IFERROR(Q345-Q403, "NA")</f>
        <v>-31419.490000000369</v>
      </c>
      <c r="R404" s="24">
        <f>IFERROR(Q404/Q444, "NA")</f>
        <v>-4.4848221704888107E-2</v>
      </c>
      <c r="S404" s="25"/>
      <c r="T404" s="23">
        <f>IFERROR(T345-T403, "NA")</f>
        <v>42443.810000000056</v>
      </c>
      <c r="U404" s="24">
        <f>IFERROR(T404/T444, "NA")</f>
        <v>5.6642776521653615E-2</v>
      </c>
      <c r="V404" s="25"/>
      <c r="W404" s="23">
        <f>IFERROR(Q404-T404, "NA")</f>
        <v>-73863.300000000425</v>
      </c>
      <c r="X404" s="24">
        <f>IFERROR(W404/W444, "NA")</f>
        <v>1.5151290755992333</v>
      </c>
      <c r="Y404" s="25"/>
      <c r="Z404" s="23">
        <f>IFERROR(Z345-Z403, "NA")</f>
        <v>-21367.499999999913</v>
      </c>
      <c r="AA404" s="24">
        <f>IFERROR(Z404/Z444, "NA")</f>
        <v>-3.3285817993661142E-2</v>
      </c>
      <c r="AB404" s="25"/>
      <c r="AC404" s="23">
        <f>IFERROR(Q404-Z404, "NA")</f>
        <v>-10051.990000000456</v>
      </c>
      <c r="AD404" s="24">
        <f>IFERROR(AC404/AC444, "NA")</f>
        <v>-0.17143689915162313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1222</v>
      </c>
      <c r="AA408" s="8">
        <f>IFERROR(Z408/Z444, "NA")</f>
        <v>1.9036045203348112E-3</v>
      </c>
      <c r="AB408" s="9"/>
      <c r="AC408" s="10">
        <f t="shared" si="103"/>
        <v>1222</v>
      </c>
      <c r="AD408" s="8">
        <f>IFERROR(AC408/AC444, "NA")</f>
        <v>2.0841235492999294E-2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10092.84</v>
      </c>
      <c r="C410" s="8">
        <f>IFERROR(B410/B444, "NA")</f>
        <v>6.9698809770197462E-2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-10092.84</v>
      </c>
      <c r="I410" s="8">
        <f>IFERROR(H410/H444, "NA")</f>
        <v>0.27906606364067937</v>
      </c>
      <c r="J410" s="9"/>
      <c r="K410" s="7">
        <v>9542.9</v>
      </c>
      <c r="L410" s="8">
        <f>IFERROR(K410/K444, "NA")</f>
        <v>6.3804600625349137E-2</v>
      </c>
      <c r="M410" s="9"/>
      <c r="N410" s="10">
        <f t="shared" si="101"/>
        <v>-549.94000000000051</v>
      </c>
      <c r="O410" s="8">
        <f>IFERROR(N410/N444, "NA")</f>
        <v>0.11558314908069806</v>
      </c>
      <c r="P410" s="9"/>
      <c r="Q410" s="7">
        <v>58997.33</v>
      </c>
      <c r="R410" s="8">
        <f>IFERROR(Q410/Q444, "NA")</f>
        <v>8.4212867103712216E-2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-58997.33</v>
      </c>
      <c r="X410" s="8">
        <f>IFERROR(W410/W444, "NA")</f>
        <v>1.2101892288284224</v>
      </c>
      <c r="Y410" s="9"/>
      <c r="Z410" s="7">
        <v>57257.39</v>
      </c>
      <c r="AA410" s="8">
        <f>IFERROR(Z410/Z444, "NA")</f>
        <v>8.9194293311434705E-2</v>
      </c>
      <c r="AB410" s="9"/>
      <c r="AC410" s="10">
        <f t="shared" si="103"/>
        <v>-1739.9400000000023</v>
      </c>
      <c r="AD410" s="8">
        <f>IFERROR(AC410/AC444, "NA")</f>
        <v>-2.9674712998109032E-2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-57.56</v>
      </c>
      <c r="C416" s="8">
        <f>IFERROR(B416/B444, "NA")</f>
        <v>-3.9749599620845729E-4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57.56</v>
      </c>
      <c r="I416" s="8">
        <f>IFERROR(H416/H444, "NA")</f>
        <v>-1.5915285116139268E-3</v>
      </c>
      <c r="J416" s="9"/>
      <c r="K416" s="7">
        <v>-69.67</v>
      </c>
      <c r="L416" s="8">
        <f>IFERROR(K416/K444, "NA")</f>
        <v>-4.6581925049702652E-4</v>
      </c>
      <c r="M416" s="9"/>
      <c r="N416" s="10">
        <f t="shared" si="101"/>
        <v>-12.11</v>
      </c>
      <c r="O416" s="8">
        <f>IFERROR(N416/N444, "NA")</f>
        <v>2.5452084506805326E-3</v>
      </c>
      <c r="P416" s="9"/>
      <c r="Q416" s="7">
        <v>110.77</v>
      </c>
      <c r="R416" s="8">
        <f>IFERROR(Q416/Q444, "NA")</f>
        <v>1.5811324493969814E-4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-110.77</v>
      </c>
      <c r="X416" s="8">
        <f>IFERROR(W416/W444, "NA")</f>
        <v>2.2721818237761665E-3</v>
      </c>
      <c r="Y416" s="9"/>
      <c r="Z416" s="7">
        <v>-343.62</v>
      </c>
      <c r="AA416" s="8">
        <f>IFERROR(Z416/Z444, "NA")</f>
        <v>-5.3528362133997362E-4</v>
      </c>
      <c r="AB416" s="9"/>
      <c r="AC416" s="10">
        <f t="shared" si="103"/>
        <v>-454.39</v>
      </c>
      <c r="AD416" s="8">
        <f>IFERROR(AC416/AC444, "NA")</f>
        <v>-7.7496309293485664E-3</v>
      </c>
    </row>
    <row r="417" spans="1:30" ht="16.5" customHeight="1" x14ac:dyDescent="0.45">
      <c r="A417" s="6" t="s">
        <v>382</v>
      </c>
      <c r="B417" s="7">
        <v>-9.58</v>
      </c>
      <c r="C417" s="8">
        <f>IFERROR(B417/B444, "NA")</f>
        <v>-6.6157255797029538E-5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9.58</v>
      </c>
      <c r="I417" s="8">
        <f>IFERROR(H417/H444, "NA")</f>
        <v>-2.6488608654033044E-4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9.58</v>
      </c>
      <c r="O417" s="8">
        <f>IFERROR(N417/N444, "NA")</f>
        <v>-2.01346795685545E-3</v>
      </c>
      <c r="P417" s="9"/>
      <c r="Q417" s="7">
        <v>-147.02000000000001</v>
      </c>
      <c r="R417" s="8">
        <f>IFERROR(Q417/Q444, "NA")</f>
        <v>-2.0985654302640088E-4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147.02000000000001</v>
      </c>
      <c r="X417" s="8">
        <f>IFERROR(W417/W444, "NA")</f>
        <v>-3.0157639408826577E-3</v>
      </c>
      <c r="Y417" s="9"/>
      <c r="Z417" s="7">
        <v>0</v>
      </c>
      <c r="AA417" s="8">
        <f>IFERROR(Z417/Z444, "NA")</f>
        <v>0</v>
      </c>
      <c r="AB417" s="9"/>
      <c r="AC417" s="10">
        <f t="shared" si="103"/>
        <v>147.02000000000001</v>
      </c>
      <c r="AD417" s="8">
        <f>IFERROR(AC417/AC444, "NA")</f>
        <v>2.507429167087362E-3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24.48</v>
      </c>
      <c r="AA424" s="8">
        <f>IFERROR(Z424/Z444, "NA")</f>
        <v>3.8134401520291473E-5</v>
      </c>
      <c r="AB424" s="9"/>
      <c r="AC424" s="10">
        <f t="shared" si="103"/>
        <v>24.48</v>
      </c>
      <c r="AD424" s="8">
        <f>IFERROR(AC424/AC444, "NA")</f>
        <v>4.1750691069445393E-4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10025.700000000001</v>
      </c>
      <c r="C428" s="15">
        <f>IFERROR(B428/B444, "NA")</f>
        <v>6.9235156518191981E-2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-10025.700000000001</v>
      </c>
      <c r="I428" s="15">
        <f>IFERROR(H428/H444, "NA")</f>
        <v>0.27720964904252515</v>
      </c>
      <c r="J428" s="2"/>
      <c r="K428" s="14">
        <f>IFERROR(K407+K408+K409+K410+K411+K412+K413+K414+K415+K416+K417+K418+K419+K420+K421+K422+K423+K424+K425+K426+K427, "NA")</f>
        <v>9473.23</v>
      </c>
      <c r="L428" s="15">
        <f>IFERROR(K428/K444, "NA")</f>
        <v>6.3338781374852104E-2</v>
      </c>
      <c r="M428" s="2"/>
      <c r="N428" s="14">
        <f t="shared" si="101"/>
        <v>-552.47000000000116</v>
      </c>
      <c r="O428" s="15">
        <f>IFERROR(N428/N444, "NA")</f>
        <v>0.11611488957452328</v>
      </c>
      <c r="P428" s="2"/>
      <c r="Q428" s="14">
        <f>IFERROR(Q407+Q408+Q409+Q410+Q411+Q412+Q413+Q414+Q415+Q416+Q417+Q418+Q419+Q420+Q421+Q422+Q423+Q424+Q425+Q426+Q427, "NA")</f>
        <v>58961.08</v>
      </c>
      <c r="R428" s="15">
        <f>IFERROR(Q428/Q444, "NA")</f>
        <v>8.4161123805625515E-2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-58961.08</v>
      </c>
      <c r="X428" s="15">
        <f>IFERROR(W428/W444, "NA")</f>
        <v>1.2094456467113157</v>
      </c>
      <c r="Y428" s="2"/>
      <c r="Z428" s="14">
        <f>IFERROR(Z407+Z408+Z409+Z410+Z411+Z412+Z413+Z414+Z415+Z416+Z417+Z418+Z419+Z420+Z421+Z422+Z423+Z424+Z425+Z426+Z427, "NA")</f>
        <v>58160.25</v>
      </c>
      <c r="AA428" s="15">
        <f>IFERROR(Z428/Z444, "NA")</f>
        <v>9.0600748611949833E-2</v>
      </c>
      <c r="AB428" s="2"/>
      <c r="AC428" s="14">
        <f t="shared" si="103"/>
        <v>-800.83000000000175</v>
      </c>
      <c r="AD428" s="15">
        <f>IFERROR(AC428/AC444, "NA")</f>
        <v>-1.3658172356676481E-2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10025.700000000001</v>
      </c>
      <c r="C429" s="15">
        <f>IFERROR(B429/B444, "NA")</f>
        <v>6.9235156518191981E-2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-10025.700000000001</v>
      </c>
      <c r="I429" s="15">
        <f>IFERROR(H429/H444, "NA")</f>
        <v>0.27720964904252515</v>
      </c>
      <c r="J429" s="2"/>
      <c r="K429" s="14">
        <f>IFERROR(K407+K408+K409+K410+K411+K412+K413+K414+K415+K416+K417+K418+K419+K420+K421+K422+K423+K424+K425+K426+K427, "NA")</f>
        <v>9473.23</v>
      </c>
      <c r="L429" s="15">
        <f>IFERROR(K429/K444, "NA")</f>
        <v>6.3338781374852104E-2</v>
      </c>
      <c r="M429" s="2"/>
      <c r="N429" s="14">
        <f t="shared" si="101"/>
        <v>-552.47000000000116</v>
      </c>
      <c r="O429" s="15">
        <f>IFERROR(N429/N444, "NA")</f>
        <v>0.11611488957452328</v>
      </c>
      <c r="P429" s="2"/>
      <c r="Q429" s="14">
        <f>IFERROR(Q407+Q408+Q409+Q410+Q411+Q412+Q413+Q414+Q415+Q416+Q417+Q418+Q419+Q420+Q421+Q422+Q423+Q424+Q425+Q426+Q427, "NA")</f>
        <v>58961.08</v>
      </c>
      <c r="R429" s="15">
        <f>IFERROR(Q429/Q444, "NA")</f>
        <v>8.4161123805625515E-2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-58961.08</v>
      </c>
      <c r="X429" s="15">
        <f>IFERROR(W429/W444, "NA")</f>
        <v>1.2094456467113157</v>
      </c>
      <c r="Y429" s="2"/>
      <c r="Z429" s="14">
        <f>IFERROR(Z407+Z408+Z409+Z410+Z411+Z412+Z413+Z414+Z415+Z416+Z417+Z418+Z419+Z420+Z421+Z422+Z423+Z424+Z425+Z426+Z427, "NA")</f>
        <v>58160.25</v>
      </c>
      <c r="AA429" s="15">
        <f>IFERROR(Z429/Z444, "NA")</f>
        <v>9.0600748611949833E-2</v>
      </c>
      <c r="AB429" s="2"/>
      <c r="AC429" s="14">
        <f t="shared" si="103"/>
        <v>-800.83000000000175</v>
      </c>
      <c r="AD429" s="15">
        <f>IFERROR(AC429/AC444, "NA")</f>
        <v>-1.3658172356676481E-2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-8120.3400000000074</v>
      </c>
      <c r="C443" s="24">
        <f>IFERROR(B443/B444, "NA")</f>
        <v>-5.6077182728481355E-2</v>
      </c>
      <c r="D443" s="25"/>
      <c r="E443" s="23">
        <f>IFERROR(E404-E429-E442, "NA")</f>
        <v>26460.769999999986</v>
      </c>
      <c r="F443" s="24">
        <f>IFERROR(E443/E444, "NA")</f>
        <v>0.14621392652096454</v>
      </c>
      <c r="G443" s="25"/>
      <c r="H443" s="23">
        <f>IFERROR(B443-E443, "NA")</f>
        <v>-34581.109999999993</v>
      </c>
      <c r="I443" s="24">
        <f>IFERROR(H443/H444, "NA")</f>
        <v>0.95616439416708598</v>
      </c>
      <c r="J443" s="25"/>
      <c r="K443" s="23">
        <f>IFERROR(K404-K429-K442, "NA")</f>
        <v>3366.0800000000272</v>
      </c>
      <c r="L443" s="24">
        <f>IFERROR(K443/K444, "NA")</f>
        <v>2.2505882915358742E-2</v>
      </c>
      <c r="M443" s="25"/>
      <c r="N443" s="23">
        <f>IFERROR(B443-K443, "NA")</f>
        <v>-11486.420000000035</v>
      </c>
      <c r="O443" s="24">
        <f>IFERROR(N443/N444, "NA")</f>
        <v>2.4141480802696922</v>
      </c>
      <c r="P443" s="25"/>
      <c r="Q443" s="23">
        <f>IFERROR(Q404-Q429-Q442, "NA")</f>
        <v>-90380.570000000371</v>
      </c>
      <c r="R443" s="24">
        <f>IFERROR(Q443/Q444, "NA")</f>
        <v>-0.12900934551051363</v>
      </c>
      <c r="S443" s="25"/>
      <c r="T443" s="23">
        <f>IFERROR(T404-T429-T442, "NA")</f>
        <v>42443.810000000056</v>
      </c>
      <c r="U443" s="24">
        <f>IFERROR(T443/T444, "NA")</f>
        <v>5.6642776521653615E-2</v>
      </c>
      <c r="V443" s="25"/>
      <c r="W443" s="23">
        <f>IFERROR(Q443-T443, "NA")</f>
        <v>-132824.38000000041</v>
      </c>
      <c r="X443" s="24">
        <f>IFERROR(W443/W444, "NA")</f>
        <v>2.7245747223105488</v>
      </c>
      <c r="Y443" s="25"/>
      <c r="Z443" s="23">
        <f>IFERROR(Z404-Z429-Z442, "NA")</f>
        <v>-79527.749999999913</v>
      </c>
      <c r="AA443" s="24">
        <f>IFERROR(Z443/Z444, "NA")</f>
        <v>-0.12388656660561098</v>
      </c>
      <c r="AB443" s="25"/>
      <c r="AC443" s="23">
        <f>IFERROR(Q443-Z443, "NA")</f>
        <v>-10852.820000000458</v>
      </c>
      <c r="AD443" s="24">
        <f>IFERROR(AC443/AC444, "NA")</f>
        <v>-0.18509507150829962</v>
      </c>
    </row>
    <row r="444" spans="1:30" ht="15.75" hidden="1" x14ac:dyDescent="0.45">
      <c r="A444" s="26" t="s">
        <v>117</v>
      </c>
      <c r="B444" s="7">
        <v>144806.49</v>
      </c>
      <c r="C444" s="27"/>
      <c r="D444" s="9"/>
      <c r="E444" s="7">
        <v>180972.98</v>
      </c>
      <c r="F444" s="27"/>
      <c r="G444" s="9"/>
      <c r="H444" s="10">
        <f>IFERROR(B444-E444, "NA")</f>
        <v>-36166.49000000002</v>
      </c>
      <c r="I444" s="27"/>
      <c r="J444" s="9"/>
      <c r="K444" s="7">
        <v>149564.45000000001</v>
      </c>
      <c r="L444" s="27"/>
      <c r="M444" s="9"/>
      <c r="N444" s="10">
        <f>IFERROR(B444-K444, "NA")</f>
        <v>-4757.960000000021</v>
      </c>
      <c r="O444" s="27"/>
      <c r="P444" s="9"/>
      <c r="Q444" s="7">
        <v>700573.82</v>
      </c>
      <c r="R444" s="27"/>
      <c r="S444" s="9"/>
      <c r="T444" s="7">
        <v>749324.32</v>
      </c>
      <c r="U444" s="27"/>
      <c r="V444" s="9"/>
      <c r="W444" s="10">
        <f>IFERROR(Q444-T444, "NA")</f>
        <v>-48750.5</v>
      </c>
      <c r="X444" s="27"/>
      <c r="Y444" s="9"/>
      <c r="Z444" s="7">
        <v>641940.06000000006</v>
      </c>
      <c r="AA444" s="27"/>
      <c r="AB444" s="9"/>
      <c r="AC444" s="10">
        <f>IFERROR(Q444-Z444, "NA")</f>
        <v>58633.759999999893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Consolidated</vt:lpstr>
      <vt:lpstr>1 - RASA Worldwide</vt:lpstr>
      <vt:lpstr>2 - RASA - Ballpark</vt:lpstr>
      <vt:lpstr>4 - RASA - MVT</vt:lpstr>
      <vt:lpstr>5 - RASA - National Landin</vt:lpstr>
      <vt:lpstr>6 - RASA - Mosaic</vt:lpstr>
      <vt:lpstr>7 - RASA - Rockville</vt:lpstr>
      <vt:lpstr>'1 - RASA Worldwide'!Print_Titles</vt:lpstr>
      <vt:lpstr>'2 - RASA - Ballpark'!Print_Titles</vt:lpstr>
      <vt:lpstr>'4 - RASA - MVT'!Print_Titles</vt:lpstr>
      <vt:lpstr>'5 - RASA - National Landin'!Print_Titles</vt:lpstr>
      <vt:lpstr>'6 - RASA - Mosaic'!Print_Titles</vt:lpstr>
      <vt:lpstr>'7 - RASA - Rockville'!Print_Titles</vt:lpstr>
      <vt:lpstr>Consolidated!Print_Titles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Trey Moats</cp:lastModifiedBy>
  <dcterms:created xsi:type="dcterms:W3CDTF">2026-04-07T01:55:09Z</dcterms:created>
  <dcterms:modified xsi:type="dcterms:W3CDTF">2026-04-07T01:55:36Z</dcterms:modified>
</cp:coreProperties>
</file>