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0">Consolidated!$1:$5</definedName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</definedNames>
  <calcPr fullCalcOnLoad="1"/>
</workbook>
</file>

<file path=xl/sharedStrings.xml><?xml version="1.0" encoding="utf-8"?>
<sst xmlns="http://schemas.openxmlformats.org/spreadsheetml/2006/main">
  <si>
    <t>P&amp;L - Per. &amp; YTD vs Budget and PY</t>
  </si>
  <si>
    <t>03/29/2026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</si>
  <si>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</si>
  <si>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</si>
  <si>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</si>
  <si>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</si>
  <si>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</si>
  <si>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</si>
  <si>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</si>
  <si>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</si>
  <si>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</si>
  <si>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</si>
  <si>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</si>
  <si>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</si>
  <si>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</si>
  <si>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</si>
  <si>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</si>
  <si>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</si>
  <si>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</si>
  <si>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</si>
  <si>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</si>
  <si>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</si>
  <si>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</si>
  <si>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</si>
  <si>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</si>
  <si>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</si>
  <si>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</si>
  <si>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</si>
  <si>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</si>
  <si>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</si>
  <si>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</si>
  <si>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</si>
  <si>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</si>
  <si>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</si>
  <si>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</si>
  <si>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</si>
  <si>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</si>
  <si>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</si>
  <si>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</si>
  <si>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</si>
  <si>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</si>
  <si>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</si>
  <si>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</si>
  <si>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</si>
  <si>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</si>
  <si>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</si>
  <si>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</si>
  <si>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</si>
  <si>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</si>
  <si>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</si>
  <si>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</si>
  <si>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</si>
  <si>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</si>
  <si>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</si>
  <si>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</si>
  <si>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</si>
  <si>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</si>
  <si>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</si>
  <si>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</si>
  <si>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</si>
  <si>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</si>
  <si>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</si>
  <si>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</si>
  <si>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</si>
  <si>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</si>
  <si>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</si>
  <si>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</si>
  <si>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</si>
  <si>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</si>
  <si>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</si>
  <si>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</si>
  <si>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</si>
  <si>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</si>
  <si>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</si>
  <si>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</si>
  <si>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</si>
  <si>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</si>
  <si>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</si>
  <si>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</si>
  <si>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</si>
  <si>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</si>
  <si>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</si>
  <si>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</si>
  <si>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</si>
  <si>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</si>
  <si>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</si>
  <si>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</si>
  <si>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</si>
  <si>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</si>
  <si>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</si>
  <si>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</si>
  <si>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</si>
  <si>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</si>
  <si>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</si>
  <si>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</si>
  <si>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</si>
  <si>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</si>
  <si>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</si>
  <si>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</si>
  <si>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</si>
  <si>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</si>
  <si>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</si>
  <si>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</si>
  <si>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</si>
  <si>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</si>
  <si>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</si>
  <si>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</si>
  <si>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</si>
  <si>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</si>
  <si>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</si>
  <si>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</si>
  <si>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</si>
  <si>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</si>
  <si>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</si>
  <si>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</si>
  <si>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</si>
  <si>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</si>
  <si>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</si>
  <si>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</si>
  <si>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</si>
  <si>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</si>
  <si>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</si>
  <si>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</si>
  <si>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</si>
  <si>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</si>
  <si>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</si>
  <si>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</si>
  <si>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</si>
  <si>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</si>
  <si>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</si>
  <si>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</si>
  <si>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</si>
  <si>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</si>
  <si>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</si>
  <si>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</si>
  <si>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</si>
  <si>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</si>
  <si>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</si>
  <si>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</si>
  <si>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</si>
  <si>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</si>
  <si>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</si>
  <si>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</si>
  <si>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</si>
  <si>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</si>
  <si>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</si>
  <si>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</si>
  <si>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</si>
  <si>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</si>
  <si>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</si>
  <si>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</si>
  <si>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</si>
  <si>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</si>
  <si>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</si>
  <si>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</si>
  <si>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</si>
  <si>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</si>
  <si>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</si>
  <si>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</si>
  <si>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</si>
  <si>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</si>
  <si>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</si>
  <si>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</si>
  <si>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</si>
  <si>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</si>
  <si>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</si>
  <si>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</si>
  <si>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</si>
  <si>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</si>
  <si>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</si>
  <si>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</si>
  <si>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</si>
  <si>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</si>
  <si>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</si>
  <si>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</si>
  <si>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</si>
  <si>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</si>
  <si>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</si>
  <si>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</si>
  <si>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</si>
  <si>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</si>
  <si>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</si>
  <si>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</si>
  <si>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</si>
  <si>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</si>
  <si>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</si>
  <si>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</si>
  <si>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</si>
  <si>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</si>
  <si>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</si>
  <si>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</si>
  <si>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</si>
  <si>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</si>
  <si>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</si>
  <si>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</si>
  <si>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</si>
  <si>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</si>
  <si>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</si>
  <si>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</si>
  <si>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</si>
  <si>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</si>
  <si>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</si>
  <si>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</si>
  <si>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</si>
  <si>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</si>
  <si>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</si>
  <si>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</si>
  <si>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</si>
  <si>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</si>
  <si>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</si>
  <si>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</si>
  <si>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</si>
  <si>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First Delivery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</si>
  <si>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</si>
  <si>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</si>
  <si>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</si>
  <si>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</si>
  <si>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</si>
  <si>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</si>
  <si>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</si>
  <si>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</si>
  <si>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</si>
  <si>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</si>
  <si>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</si>
  <si>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</si>
  <si>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</si>
  <si>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</si>
  <si>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</si>
  <si>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</si>
  <si>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</si>
  <si>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</si>
  <si>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</si>
  <si>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</si>
  <si>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</si>
  <si>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</si>
  <si>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</si>
  <si>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</si>
  <si>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</si>
  <si>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</si>
  <si>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Foodworks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</si>
  <si>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</si>
  <si>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</si>
  <si>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</si>
  <si>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</si>
  <si>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</si>
  <si>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</si>
  <si>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</si>
  <si>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</si>
  <si>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</si>
  <si>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</si>
  <si>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</si>
  <si>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</si>
  <si>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</si>
  <si>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</si>
  <si>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</si>
  <si>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</si>
  <si>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</si>
  <si>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</si>
  <si>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</si>
  <si>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</si>
  <si>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</si>
  <si>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</si>
  <si>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</si>
  <si>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</si>
  <si>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</si>
  <si>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</si>
  <si>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</si>
  <si>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</si>
  <si>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</si>
  <si>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</si>
  <si>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</si>
  <si>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</si>
  <si>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</si>
  <si>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</si>
  <si>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</si>
  <si>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</si>
  <si>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</si>
  <si>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</si>
  <si>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</si>
  <si>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</si>
  <si>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</si>
  <si>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</si>
  <si>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</si>
  <si>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</si>
  <si>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</si>
  <si>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</si>
  <si>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</si>
  <si>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</si>
  <si>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</si>
  <si>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</si>
  <si>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</si>
  <si>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</si>
  <si>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</si>
  <si>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</si>
  <si>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</si>
  <si>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</si>
  <si>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</si>
  <si>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</si>
  <si>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</si>
  <si>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</si>
  <si>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</si>
  <si>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</si>
  <si>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</si>
  <si>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</si>
  <si>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</si>
  <si>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</si>
  <si>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</si>
  <si>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</si>
  <si>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</si>
  <si>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</si>
  <si>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</si>
  <si>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</si>
  <si>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</si>
  <si>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</si>
  <si>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</si>
  <si>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</si>
  <si>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</si>
  <si>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</si>
  <si>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</si>
  <si>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</si>
  <si>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</si>
  <si>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</si>
  <si>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</si>
  <si>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</si>
  <si>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</si>
  <si>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</si>
  <si>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</si>
  <si>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</si>
  <si>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</si>
  <si>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</si>
  <si>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</si>
  <si>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</si>
  <si>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</si>
  <si>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</si>
  <si>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</si>
  <si>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</si>
  <si>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</si>
  <si>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</si>
  <si>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</si>
  <si>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</si>
  <si>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</si>
  <si>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</si>
  <si>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</si>
  <si>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</si>
  <si>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</si>
  <si>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</si>
  <si>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</si>
  <si>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</si>
  <si>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</si>
  <si>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</si>
  <si>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</si>
  <si>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</si>
  <si>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</si>
  <si>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</si>
  <si>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</si>
  <si>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</si>
  <si>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</si>
  <si>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</si>
  <si>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</si>
  <si>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</si>
  <si>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</si>
  <si>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</si>
  <si>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</si>
  <si>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</si>
  <si>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</si>
  <si>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</si>
  <si>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</si>
  <si>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</si>
  <si>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</si>
  <si>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</si>
  <si>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</si>
  <si>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</si>
  <si>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</si>
  <si>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</si>
  <si>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</si>
  <si>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</si>
  <si>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</si>
  <si>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</si>
  <si>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</si>
  <si>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</si>
  <si>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</si>
  <si>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</si>
  <si>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</si>
  <si>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</si>
  <si>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</si>
  <si>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</si>
  <si>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</si>
  <si>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</si>
  <si>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</si>
  <si>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</si>
  <si>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Store Closing Expense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</si>
  <si>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</si>
  <si>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</si>
  <si>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</si>
  <si>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</si>
  <si>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</si>
  <si>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</si>
  <si>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</si>
  <si>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</si>
  <si>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</si>
  <si>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</si>
  <si>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</si>
  <si>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</si>
  <si>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</si>
  <si>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</si>
  <si>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</si>
  <si>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</si>
  <si>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</si>
  <si>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</si>
  <si>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</si>
  <si>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</si>
  <si>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</si>
  <si>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07/23/2026 08:29 AM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</si>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</sst>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>
  <numFmts count="3">
    <numFmt numFmtId="164" formatCode="#,##0.0%"/>
    <numFmt numFmtId="165" formatCode="#,##0.0%;(#,##0.0%)"/>
    <numFmt numFmtId="166" formatCode="#,##0.0;(#,##0.0)"/>
  </numFmts>
  <fonts count="1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NumberFormat="1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2"/>
    </xf>
    <xf numFmtId="0" fontId="4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3"/>
    </xf>
    <xf numFmtId="0" fontId="4" fillId="0" borderId="0" xfId="0" applyNumberFormat="1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2</v>
      </c>
      <c t="s" r="B3" s="3">
        <v>2</v>
      </c>
      <c t="s" r="C3" s="3">
        <v>2</v>
      </c>
      <c t="s" r="D3" s="3">
        <v>2</v>
      </c>
      <c t="s" r="E3" s="3">
        <v>2</v>
      </c>
      <c t="s" r="F3" s="3">
        <v>2</v>
      </c>
      <c t="s" r="G3" s="3">
        <v>2</v>
      </c>
      <c t="s" r="H3" s="3">
        <v>2</v>
      </c>
      <c t="s" r="I3" s="3">
        <v>2</v>
      </c>
      <c t="s" r="J3" s="3">
        <v>2</v>
      </c>
      <c t="s" r="K3" s="3">
        <v>2</v>
      </c>
      <c t="s" r="L3" s="3">
        <v>2</v>
      </c>
      <c t="s" r="M3" s="3">
        <v>2</v>
      </c>
      <c t="s" r="N3" s="3">
        <v>2</v>
      </c>
      <c t="s" r="O3" s="3">
        <v>2</v>
      </c>
      <c t="s" r="P3" s="3">
        <v>2</v>
      </c>
      <c t="s" r="Q3" s="3">
        <v>2</v>
      </c>
      <c t="s" r="R3" s="3">
        <v>2</v>
      </c>
      <c t="s" r="S3" s="3">
        <v>2</v>
      </c>
      <c t="s" r="T3" s="3">
        <v>2</v>
      </c>
      <c t="s" r="U3" s="3">
        <v>2</v>
      </c>
      <c t="s" r="V3" s="3">
        <v>2</v>
      </c>
      <c t="s" r="W3" s="3">
        <v>2</v>
      </c>
      <c t="s" r="X3" s="3">
        <v>2</v>
      </c>
      <c t="s" r="Y3" s="3">
        <v>2</v>
      </c>
      <c t="s" r="Z3" s="3">
        <v>2</v>
      </c>
      <c t="s" r="AA3" s="3">
        <v>2</v>
      </c>
      <c t="s" r="AB3" s="3">
        <v>2</v>
      </c>
      <c t="s" r="AC3" s="3">
        <v>2</v>
      </c>
      <c t="s" r="AD3" s="3">
        <v>2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340470.79000000004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736995.91999999993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272529.78000000003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308410.74000000005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596069.3600000001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641437.47999999998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27853.300000000003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33861.290000000001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59059.75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65850.889999999999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1003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1578.5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1861.5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2602.5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201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2595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376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4885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251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292.5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639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669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1.1700000000000002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1.3500000000000001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3.54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3.0500000000000003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75264.009999999995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164241.79000000001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44842.100000000006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16536.610000000001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105276.95000000001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37639.769999999997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74359.830000000002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5351.3499999999995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8204.4799999999996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13369.25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18521.510000000002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1153.54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2347.8899999999999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16702.170000000002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4938.1599999999999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26836.589999999997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9994.7399999999998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4336.7600000000002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4461.2299999999996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12099.800000000001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12433.919999999998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163572.19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357619.88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70946.25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67598.209999999992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181057.73999999999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166857.87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5336.6900000000005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8776.2900000000009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12286.02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19593.669999999998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102362.02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101424.36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203601.19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227974.17999999999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7542.619999999999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13261.490000000002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7386.6000000000004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1679.9900000000002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16193.48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191015.09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418478.93000000005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33540.679999999993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39593.400000000001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65948.680000000008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85607.070000000007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453.01999999999998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581.63999999999999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1100.2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3454.79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111735.71000000001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106851.69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247644.36999999997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257883.45000000001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1925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4368.5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7804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5644.6700000000001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2413.1500000000001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3787.6399999999999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6911.7399999999998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10567.08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21300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28300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817.53999999999996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467.61000000000001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5978.6400000000003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993.17000000000007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1767.3800000000001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3735.79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1767.3800000000001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47.5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47.5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661.07000000000005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62463.849999999991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137943.77000000002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27009.09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3208.27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58763.93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6667.9799999999996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20754.869999999999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16298.790000000001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50156.699999999997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41023.730000000003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7119.3999999999996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9609.6599999999999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9880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17807.150000000001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5319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14100.5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t="16.5" customHeight="1">
      <c t="s" r="A71" s="18">
        <v>68</v>
      </c>
      <c r="B71" s="13">
        <v>5101.7600000000002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7267.8900000000003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1353.8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2707.5999999999999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14286.919999999998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31263.550000000003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2679.04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3707.8800000000001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5538.1199999999999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6856.8300000000008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75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50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200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11225.379999999999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7463.8499999999995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24446.349999999999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22805.720000000001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25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168.44999999999999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402.97000000000003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25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50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25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-37.129999999999995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-134.09000000000003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-55.230000000000004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-266.67000000000002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117.48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-1756.23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-41003.869999999995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-88953.37999999999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-7934.6000000000004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-10614.289999999999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-19480.970000000001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-25336.709999999999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-6560.2999999999993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-12363.710000000001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-21420.25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-27907.93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-1340.1899999999998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-1390.3499999999999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-2935.1400000000003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-5496.0500000000002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-98.5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-394.36000000000001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-6213.8800000000001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-6382.9200000000001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-14522.889999999999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-16136.610000000001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-61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-284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-3933.4499999999998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-4603.5699999999997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-6382.8800000000001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-9588.8199999999997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-602.16999999999996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-1729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-893.00999999999999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-2907.77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169619.25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374489.33000000002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38410.860000000001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41080.93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82650.820000000007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93777.699999999997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20960.149999999998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23511.760000000002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46969.109999999993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51903.630000000005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30332.989999999998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26510.670000000002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59528.200000000004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61069.169999999998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17251.02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17434.799999999999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37814.669999999998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38318.869999999995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8017.7999999999993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6957.4899999999998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18449.580000000002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14496.940000000001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6102.4099999999999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6110.1599999999999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13860.559999999999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14358.349999999999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6986.3999999999996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13904.960000000001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3565.3400000000001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3634.1199999999994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8266.5300000000007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8430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49449.029999999999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43042.190000000002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115455.88999999998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90935.220000000001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19.800000000000001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41.859999999999999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8623.9099999999999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18791.899999999998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8853.1700000000001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8316.2399999999998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19502.579999999998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19203.970000000001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311.59000000000003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1858.3600000000001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583.57000000000005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1236.3199999999999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136.30000000000001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-542.77000000000021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298.25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564.88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102.28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425.11000000000001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174.94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552.61999999999989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33098.040000000001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72120.62000000001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21481.410000000003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24134.93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49123.490000000005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52583.939999999995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10458.08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9122.1100000000006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23100.790000000001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19514.970000000001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168.72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271.11000000000001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1817.9100000000003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1824.29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4243.1199999999999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4585.8600000000006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9.6099999999999994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13.109999999999999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t="16.5" customHeight="1">
      <c t="s" r="A163" s="18">
        <v>151</v>
      </c>
      <c r="B163" s="13">
        <v>1.3999999999999999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1.3999999999999999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1049.8199999999999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987.49000000000001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2509.46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2277.4300000000003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980.97000000000003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241.19999999999999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1271.76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632.79999999999995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-6369.3800000000001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-17044.59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-15802.880000000001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-40184.239999999998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39363.32</v>
      </c>
      <c r="C178" s="14">
        <f>IFERROR(B178/B446, "NA")</f>
      </c>
      <c r="D178" s="15"/>
      <c r="E178" s="13">
        <v>39213.5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39213.5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103027.95999999999</v>
      </c>
      <c r="R178" s="14">
        <f>IFERROR(Q178/Q446, "NA")</f>
      </c>
      <c r="S178" s="15"/>
      <c r="T178" s="13">
        <v>101955.10000000001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101955.10000000001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130369.2</v>
      </c>
      <c r="C180" s="14">
        <f>IFERROR(B180/B446, "NA")</f>
      </c>
      <c r="D180" s="15"/>
      <c r="E180" s="13">
        <v>139198.17000000001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131414.47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304399.48999999999</v>
      </c>
      <c r="R180" s="14">
        <f>IFERROR(Q180/Q446, "NA")</f>
      </c>
      <c r="S180" s="15"/>
      <c r="T180" s="13">
        <v>319343.85000000003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308960.14000000001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2554.23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1390.6999999999998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3109.8699999999999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1765.3099999999999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-4326</v>
      </c>
      <c r="C184" s="14">
        <f>IFERROR(B184/B446, "NA")</f>
      </c>
      <c r="D184" s="15"/>
      <c r="E184" s="13">
        <v>2722.5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2950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-334</v>
      </c>
      <c r="R184" s="14">
        <f>IFERROR(Q184/Q446, "NA")</f>
      </c>
      <c r="S184" s="15"/>
      <c r="T184" s="13">
        <v>6712.5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8850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17677.18</v>
      </c>
      <c r="C186" s="14">
        <f>IFERROR(B186/B446, "NA")</f>
      </c>
      <c r="D186" s="15"/>
      <c r="E186" s="13">
        <v>20144.900000000001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18623.459999999999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42909.029999999999</v>
      </c>
      <c r="R186" s="14">
        <f>IFERROR(Q186/Q446, "NA")</f>
      </c>
      <c r="S186" s="15"/>
      <c r="T186" s="13">
        <v>48278.93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45647.639999999999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1131.8499999999999</v>
      </c>
      <c r="C194" s="14">
        <f>IFERROR(B194/B446, "NA")</f>
      </c>
      <c r="D194" s="15"/>
      <c r="E194" s="13">
        <v>1449.0699999999999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1173.04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4215.9500000000007</v>
      </c>
      <c r="R194" s="14">
        <f>IFERROR(Q194/Q446, "NA")</f>
      </c>
      <c r="S194" s="15"/>
      <c r="T194" s="13">
        <v>3424.0900000000001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4067.6799999999998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1614.1900000000001</v>
      </c>
      <c r="C195" s="14">
        <f>IFERROR(B195/B446, "NA")</f>
      </c>
      <c r="D195" s="15"/>
      <c r="E195" s="13">
        <v>2643.9700000000003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982.42000000000007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5381.4100000000008</v>
      </c>
      <c r="R195" s="14">
        <f>IFERROR(Q195/Q446, "NA")</f>
      </c>
      <c r="S195" s="15"/>
      <c r="T195" s="13">
        <v>5742.54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4040.1500000000001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7497.6800000000003</v>
      </c>
      <c r="C202" s="14">
        <f>IFERROR(B202/B446, "NA")</f>
      </c>
      <c r="D202" s="15"/>
      <c r="E202" s="13">
        <v>7458.6000000000004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7020.1700000000001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17994.57</v>
      </c>
      <c r="R202" s="14">
        <f>IFERROR(Q202/Q446, "NA")</f>
      </c>
      <c r="S202" s="15"/>
      <c r="T202" s="13">
        <v>16270.070000000002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16836.529999999999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6288.5599999999995</v>
      </c>
      <c r="C203" s="14">
        <f>IFERROR(B203/B446, "NA")</f>
      </c>
      <c r="D203" s="15"/>
      <c r="E203" s="13">
        <v>5335.4799999999996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5617.7099999999991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12125.34</v>
      </c>
      <c r="R203" s="14">
        <f>IFERROR(Q203/Q446, "NA")</f>
      </c>
      <c r="S203" s="15"/>
      <c r="T203" s="13">
        <v>11680.91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11246.370000000001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2477.0899999999997</v>
      </c>
      <c r="C204" s="14">
        <f>IFERROR(B204/B446, "NA")</f>
      </c>
      <c r="D204" s="15"/>
      <c r="E204" s="13">
        <v>1612.1399999999999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218.88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2732.4299999999998</v>
      </c>
      <c r="R204" s="14">
        <f>IFERROR(Q204/Q446, "NA")</f>
      </c>
      <c r="S204" s="15"/>
      <c r="T204" s="13">
        <v>3515.1900000000001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1527.75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2335.9000000000001</v>
      </c>
      <c r="C205" s="14">
        <f>IFERROR(B205/B446, "NA")</f>
      </c>
      <c r="D205" s="15"/>
      <c r="E205" s="13">
        <v>2418.21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2533.2600000000002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6339.7600000000002</v>
      </c>
      <c r="R205" s="14">
        <f>IFERROR(Q205/Q446, "NA")</f>
      </c>
      <c r="S205" s="15"/>
      <c r="T205" s="13">
        <v>5272.7700000000004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6271.0399999999991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811.49000000000001</v>
      </c>
      <c r="C206" s="14">
        <f>IFERROR(B206/B446, "NA")</f>
      </c>
      <c r="D206" s="15"/>
      <c r="E206" s="13">
        <v>806.07000000000005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119.48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1273.5699999999997</v>
      </c>
      <c r="R206" s="14">
        <f>IFERROR(Q206/Q446, "NA")</f>
      </c>
      <c r="S206" s="15"/>
      <c r="T206" s="13">
        <v>1757.5899999999999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445.65000000000003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500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806.55999999999995</v>
      </c>
      <c r="R207" s="14">
        <f>IFERROR(Q207/Q446, "NA")</f>
      </c>
      <c r="S207" s="15"/>
      <c r="T207" s="13">
        <v>1500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497.99000000000001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631.86999999999989</v>
      </c>
      <c r="C208" s="14">
        <f>IFERROR(B208/B446, "NA")</f>
      </c>
      <c r="D208" s="15"/>
      <c r="E208" s="13">
        <v>500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811.3900000000001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1153.4899999999998</v>
      </c>
      <c r="R208" s="14">
        <f>IFERROR(Q208/Q446, "NA")</f>
      </c>
      <c r="S208" s="15"/>
      <c r="T208" s="13">
        <v>1500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2631.5999999999999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27103.32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59218.110000000001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8563.6399999999994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20944.730000000003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25004.500000000004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49209.510000000002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3289.52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7225.4900000000007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392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13.82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646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15.92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25374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23061.289999999997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40976.270000000004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49613.159999999996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2749.54</v>
      </c>
      <c r="C222" s="14">
        <f>IFERROR(B222/B446, "NA")</f>
      </c>
      <c r="D222" s="15"/>
      <c r="E222" s="13">
        <v>500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1721.6200000000001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3785.8399999999997</v>
      </c>
      <c r="R222" s="14">
        <f>IFERROR(Q222/Q446, "NA")</f>
      </c>
      <c r="S222" s="15"/>
      <c r="T222" s="13">
        <v>1500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3238.6499999999996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12351.73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26984.420000000002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83.950000000000003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83.950000000000003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1392.9099999999999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574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3346.3000000000002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14.34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285.66000000000003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12322.110000000001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10932.949999999999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26910.5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26030.450000000001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260.75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403.78999999999996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53410.010000000002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116958.24000000002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74.75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101.95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189.78999999999999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561.48000000000002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10373.560000000001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8317.8499999999985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26203.799999999999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20669.049999999999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19563.809999999998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17974.169999999998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43080.889999999999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45382.510000000002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5729.5600000000004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559.58000000000004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12689.58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1296.8299999999999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1129.8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2522.9400000000001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2438.7600000000002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5630.4200000000001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1413.5600000000002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1437.6700000000001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3520.1999999999998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3616.1599999999999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18237.800000000003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14312.699999999999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35516.069999999992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31721.040000000001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65.109999999999999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71.269999999999996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352.32000000000005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166.55000000000001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441.85000000000002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933.95000000000005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441.85000000000002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4150.3999999999996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881.60000000000002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10026.360000000001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5826.8500000000004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1555.96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1832.29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1063.8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2820.0999999999999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433.70999999999998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21519.23</v>
      </c>
      <c r="C266" s="14">
        <f>IFERROR(B266/B446, "NA")</f>
      </c>
      <c r="D266" s="15"/>
      <c r="E266" s="13">
        <v>20975.480000000003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19370.73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45245.620000000003</v>
      </c>
      <c r="R266" s="14">
        <f>IFERROR(Q266/Q446, "NA")</f>
      </c>
      <c r="S266" s="15"/>
      <c r="T266" s="13">
        <v>45625.439999999995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41231.690000000002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-48.5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69.079999999999998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14.839999999999996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113.69999999999999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1181.0599999999999</v>
      </c>
      <c r="C271" s="14">
        <f>IFERROR(B271/B446, "NA")</f>
      </c>
      <c r="D271" s="15"/>
      <c r="E271" s="13">
        <v>1139.0599999999999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1169.0599999999999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3466.0500000000002</v>
      </c>
      <c r="R271" s="14">
        <f>IFERROR(Q271/Q446, "NA")</f>
      </c>
      <c r="S271" s="15"/>
      <c r="T271" s="13">
        <v>3417.1799999999998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3591.75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4973.6599999999999</v>
      </c>
      <c r="C272" s="14">
        <f>IFERROR(B272/B446, "NA")</f>
      </c>
      <c r="D272" s="15"/>
      <c r="E272" s="13">
        <v>5130.2199999999993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4819.2699999999995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15066.5</v>
      </c>
      <c r="R272" s="14">
        <f>IFERROR(Q272/Q446, "NA")</f>
      </c>
      <c r="S272" s="15"/>
      <c r="T272" s="13">
        <v>15390.66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14269.529999999999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597.80999999999995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1067.5899999999999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3202.77</v>
      </c>
      <c r="R288" s="14">
        <f>IFERROR(Q288/Q446, "NA")</f>
      </c>
      <c r="S288" s="15"/>
      <c r="T288" s="13">
        <v>2913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2911.5900000000001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839.22000000000003</v>
      </c>
      <c r="C289" s="14">
        <f>IFERROR(B289/B446, "NA")</f>
      </c>
      <c r="D289" s="15"/>
      <c r="E289" s="13">
        <v>843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949.93000000000006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2517.6799999999998</v>
      </c>
      <c r="R289" s="14">
        <f>IFERROR(Q289/Q446, "NA")</f>
      </c>
      <c r="S289" s="15"/>
      <c r="T289" s="13">
        <v>2529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2849.8100000000004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1151.1199999999999</v>
      </c>
      <c r="C290" s="14">
        <f>IFERROR(B290/B446, "NA")</f>
      </c>
      <c r="D290" s="15"/>
      <c r="E290" s="13">
        <v>1149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1175.8499999999999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3438.52</v>
      </c>
      <c r="R290" s="14">
        <f>IFERROR(Q290/Q446, "NA")</f>
      </c>
      <c r="S290" s="15"/>
      <c r="T290" s="13">
        <v>3447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3171.9100000000003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2018.3599999999997</v>
      </c>
      <c r="C291" s="14">
        <f>IFERROR(B291/B446, "NA")</f>
      </c>
      <c r="D291" s="15"/>
      <c r="E291" s="13">
        <v>3618.6900000000001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1379.71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7869.7300000000005</v>
      </c>
      <c r="R291" s="14">
        <f>IFERROR(Q291/Q446, "NA")</f>
      </c>
      <c r="S291" s="15"/>
      <c r="T291" s="13">
        <v>8596.3299999999999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9161.2199999999993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3247.2299999999996</v>
      </c>
      <c r="C292" s="14">
        <f>IFERROR(B292/B446, "NA")</f>
      </c>
      <c r="D292" s="15"/>
      <c r="E292" s="13">
        <v>4239.1300000000001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4980.0899999999992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15622.23</v>
      </c>
      <c r="R292" s="14">
        <f>IFERROR(Q292/Q446, "NA")</f>
      </c>
      <c r="S292" s="15"/>
      <c r="T292" s="13">
        <v>9259.5300000000007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15630.799999999999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409.27999999999997</v>
      </c>
      <c r="C293" s="14">
        <f>IFERROR(B293/B446, "NA")</f>
      </c>
      <c r="D293" s="15"/>
      <c r="E293" s="13">
        <v>1161.6999999999998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1720.4499999999998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804.07000000000005</v>
      </c>
      <c r="R293" s="14">
        <f>IFERROR(Q293/Q446, "NA")</f>
      </c>
      <c r="S293" s="15"/>
      <c r="T293" s="13">
        <v>2558.5900000000001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3424.1400000000003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1112.78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851.73000000000002</v>
      </c>
      <c r="R294" s="14">
        <f>IFERROR(Q294/Q446, "NA")</f>
      </c>
      <c r="S294" s="15"/>
      <c r="T294" s="13">
        <v>2439.4899999999998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369.93000000000001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690.47000000000003</v>
      </c>
      <c r="C295" s="14">
        <f>IFERROR(B295/B446, "NA")</f>
      </c>
      <c r="D295" s="15"/>
      <c r="E295" s="13">
        <v>1784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2927.2199999999998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3871.3999999999996</v>
      </c>
      <c r="R295" s="14">
        <f>IFERROR(Q295/Q446, "NA")</f>
      </c>
      <c r="S295" s="15"/>
      <c r="T295" s="13">
        <v>5352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5958.8500000000004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2270.5900000000001</v>
      </c>
      <c r="C300" s="14">
        <f>IFERROR(B300/B446, "NA")</f>
      </c>
      <c r="D300" s="15"/>
      <c r="E300" s="13">
        <v>2209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1793.01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6712.4200000000001</v>
      </c>
      <c r="R300" s="14">
        <f>IFERROR(Q300/Q446, "NA")</f>
      </c>
      <c r="S300" s="15"/>
      <c r="T300" s="13">
        <v>6627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5566.7399999999998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460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646.68000000000006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197.00999999999999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190.68000000000001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-87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265.64999999999998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-51.409999999999997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115.89999999999999</v>
      </c>
      <c r="C311" s="14">
        <f>IFERROR(B311/B446, "NA")</f>
      </c>
      <c r="D311" s="15"/>
      <c r="E311" s="13">
        <v>275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211.94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1132.0999999999999</v>
      </c>
      <c r="R311" s="14">
        <f>IFERROR(Q311/Q446, "NA")</f>
      </c>
      <c r="S311" s="15"/>
      <c r="T311" s="13">
        <v>825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309.37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167.47999999999999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2861.3100000000004</v>
      </c>
      <c r="C313" s="14">
        <f>IFERROR(B313/B446, "NA")</f>
      </c>
      <c r="D313" s="15"/>
      <c r="E313" s="13">
        <v>175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1100.6900000000001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5506.9400000000005</v>
      </c>
      <c r="R313" s="14">
        <f>IFERROR(Q313/Q446, "NA")</f>
      </c>
      <c r="S313" s="15"/>
      <c r="T313" s="13">
        <v>525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2079.5300000000002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513.95000000000005</v>
      </c>
      <c r="C314" s="14">
        <f>IFERROR(B314/B446, "NA")</f>
      </c>
      <c r="D314" s="15"/>
      <c r="E314" s="13">
        <v>315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202.75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1084.55</v>
      </c>
      <c r="R314" s="14">
        <f>IFERROR(Q314/Q446, "NA")</f>
      </c>
      <c r="S314" s="15"/>
      <c r="T314" s="13">
        <v>935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774.79999999999995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1690.3699999999999</v>
      </c>
      <c r="C316" s="14">
        <f>IFERROR(B316/B446, "NA")</f>
      </c>
      <c r="D316" s="15"/>
      <c r="E316" s="13">
        <v>2288.4000000000001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1249.6300000000001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5071.1099999999997</v>
      </c>
      <c r="R316" s="14">
        <f>IFERROR(Q316/Q446, "NA")</f>
      </c>
      <c r="S316" s="15"/>
      <c r="T316" s="13">
        <v>4783.2300000000005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3748.8899999999999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1467.8199999999999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1467.8199999999999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1319.75</v>
      </c>
      <c r="C319" s="14">
        <f>IFERROR(B319/B446, "NA")</f>
      </c>
      <c r="D319" s="15"/>
      <c r="E319" s="13">
        <v>1321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1319.75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3959.25</v>
      </c>
      <c r="R319" s="14">
        <f>IFERROR(Q319/Q446, "NA")</f>
      </c>
      <c r="S319" s="15"/>
      <c r="T319" s="13">
        <v>3963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3959.25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1345.8499999999999</v>
      </c>
      <c r="C320" s="14">
        <f>IFERROR(B320/B446, "NA")</f>
      </c>
      <c r="D320" s="15"/>
      <c r="E320" s="13">
        <v>1241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1190.1799999999998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3885.4299999999998</v>
      </c>
      <c r="R320" s="14">
        <f>IFERROR(Q320/Q446, "NA")</f>
      </c>
      <c r="S320" s="15"/>
      <c r="T320" s="13">
        <v>3723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3450.0799999999999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5249.2999999999993</v>
      </c>
      <c r="C321" s="14">
        <f>IFERROR(B321/B446, "NA")</f>
      </c>
      <c r="D321" s="15"/>
      <c r="E321" s="13">
        <v>5783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5503.9399999999996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18062.309999999998</v>
      </c>
      <c r="R321" s="14">
        <f>IFERROR(Q321/Q446, "NA")</f>
      </c>
      <c r="S321" s="15"/>
      <c r="T321" s="13">
        <v>17349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15788.759999999998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6369.3800000000001</v>
      </c>
      <c r="C322" s="14">
        <f>IFERROR(B322/B446, "NA")</f>
      </c>
      <c r="D322" s="15"/>
      <c r="E322" s="13">
        <v>10492.279999999999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17044.59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15802.880000000001</v>
      </c>
      <c r="R322" s="14">
        <f>IFERROR(Q322/Q446, "NA")</f>
      </c>
      <c r="S322" s="15"/>
      <c r="T322" s="13">
        <v>22364.369999999999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40184.239999999998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2041.96</v>
      </c>
      <c r="C323" s="14">
        <f>IFERROR(B323/B446, "NA")</f>
      </c>
      <c r="D323" s="15"/>
      <c r="E323" s="13">
        <v>1413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2216.5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5118.6700000000001</v>
      </c>
      <c r="R323" s="14">
        <f>IFERROR(Q323/Q446, "NA")</f>
      </c>
      <c r="S323" s="15"/>
      <c r="T323" s="13">
        <v>4239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5010.7600000000002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3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3.0099999999999998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60203.629999999997</v>
      </c>
      <c r="C330" s="14">
        <f>IFERROR(B330/B446, "NA")</f>
      </c>
      <c r="D330" s="15"/>
      <c r="E330" s="13">
        <v>60203.629999999997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52829.580000000002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180610.89000000001</v>
      </c>
      <c r="R330" s="14">
        <f>IFERROR(Q330/Q446, "NA")</f>
      </c>
      <c r="S330" s="15"/>
      <c r="T330" s="13">
        <v>180610.89000000001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158488.73999999999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8862.1800000000003</v>
      </c>
      <c r="C331" s="14">
        <f>IFERROR(B331/B446, "NA")</f>
      </c>
      <c r="D331" s="15"/>
      <c r="E331" s="13">
        <v>6433.1300000000001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5267.0200000000004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21728.439999999999</v>
      </c>
      <c r="R331" s="14">
        <f>IFERROR(Q331/Q446, "NA")</f>
      </c>
      <c r="S331" s="15"/>
      <c r="T331" s="13">
        <v>19299.389999999999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17718.239999999998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1544.78</v>
      </c>
      <c r="C333" s="14">
        <f>IFERROR(B333/B446, "NA")</f>
      </c>
      <c r="D333" s="15"/>
      <c r="E333" s="13">
        <v>313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195.16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1935.0999999999999</v>
      </c>
      <c r="R333" s="14">
        <f>IFERROR(Q333/Q446, "NA")</f>
      </c>
      <c r="S333" s="15"/>
      <c r="T333" s="13">
        <v>939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585.48000000000002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4420.8199999999997</v>
      </c>
      <c r="C334" s="14">
        <f>IFERROR(B334/B446, "NA")</f>
      </c>
      <c r="D334" s="15"/>
      <c r="E334" s="13">
        <v>5619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7186.9400000000005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15896.439999999999</v>
      </c>
      <c r="R334" s="14">
        <f>IFERROR(Q334/Q446, "NA")</f>
      </c>
      <c r="S334" s="15"/>
      <c r="T334" s="13">
        <v>16857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18329.43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9271.3799999999992</v>
      </c>
      <c r="C335" s="14">
        <f>IFERROR(B335/B446, "NA")</f>
      </c>
      <c r="D335" s="15"/>
      <c r="E335" s="13">
        <v>9271.3799999999992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8135.7399999999998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363.76999999999998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812.05999999999995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3309.6199999999999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8892.3899999999994</v>
      </c>
      <c r="C339" s="14">
        <f>IFERROR(B339/B446, "NA")</f>
      </c>
      <c r="D339" s="15"/>
      <c r="E339" s="13">
        <v>13668.73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9184.7399999999998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28279.68</v>
      </c>
      <c r="R339" s="14">
        <f>IFERROR(Q339/Q446, "NA")</f>
      </c>
      <c r="S339" s="15"/>
      <c r="T339" s="13">
        <v>30487.730000000003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30124.419999999998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2914.7399999999998</v>
      </c>
      <c r="C340" s="14">
        <f>IFERROR(B340/B446, "NA")</f>
      </c>
      <c r="D340" s="15"/>
      <c r="E340" s="13">
        <v>3181.4399999999996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2504.5799999999999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8873.2200000000012</v>
      </c>
      <c r="R340" s="14">
        <f>IFERROR(Q340/Q446, "NA")</f>
      </c>
      <c r="S340" s="15"/>
      <c r="T340" s="13">
        <v>6977.0600000000004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8574.5900000000001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345.7399999999999</v>
      </c>
      <c r="C341" s="14">
        <f>IFERROR(B341/B446, "NA")</f>
      </c>
      <c r="D341" s="15"/>
      <c r="E341" s="13">
        <v>3537.7600000000002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2589.8299999999999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6603.4200000000001</v>
      </c>
      <c r="R341" s="14">
        <f>IFERROR(Q341/Q446, "NA")</f>
      </c>
      <c r="S341" s="15"/>
      <c r="T341" s="13">
        <v>7778.5300000000007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7988.5200000000004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1951.3600000000001</v>
      </c>
      <c r="C342" s="14">
        <f>IFERROR(B342/B446, "NA")</f>
      </c>
      <c r="D342" s="15"/>
      <c r="E342" s="13">
        <v>2564.1100000000001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1864.1900000000001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5720.54</v>
      </c>
      <c r="R342" s="14">
        <f>IFERROR(Q342/Q446, "NA")</f>
      </c>
      <c r="S342" s="15"/>
      <c r="T342" s="13">
        <v>5562.04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5630.9899999999998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44230.75</v>
      </c>
      <c r="C351" s="14">
        <f>IFERROR(B351/B446, "NA")</f>
      </c>
      <c r="D351" s="15"/>
      <c r="E351" s="13">
        <v>54326.919999999998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52984.550000000003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115033.62</v>
      </c>
      <c r="R351" s="14">
        <f>IFERROR(Q351/Q446, "NA")</f>
      </c>
      <c r="S351" s="15"/>
      <c r="T351" s="13">
        <v>126326.92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178871.97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6774.8000000000002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3543.3499999999999</v>
      </c>
      <c r="C355" s="14">
        <f>IFERROR(B355/B446, "NA")</f>
      </c>
      <c r="D355" s="15"/>
      <c r="E355" s="13">
        <v>4509.1300000000001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4322.9899999999998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9812.2600000000002</v>
      </c>
      <c r="R355" s="14">
        <f>IFERROR(Q355/Q446, "NA")</f>
      </c>
      <c r="S355" s="15"/>
      <c r="T355" s="13">
        <v>10485.129999999999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16730.299999999999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64.870000000000005</v>
      </c>
      <c r="C356" s="14">
        <f>IFERROR(B356/B446, "NA")</f>
      </c>
      <c r="D356" s="15"/>
      <c r="E356" s="13">
        <v>233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254.40000000000001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441.17000000000002</v>
      </c>
      <c r="R356" s="14">
        <f>IFERROR(Q356/Q446, "NA")</f>
      </c>
      <c r="S356" s="15"/>
      <c r="T356" s="13">
        <v>657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795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6791</v>
      </c>
      <c r="C357" s="14">
        <f>IFERROR(B357/B446, "NA")</f>
      </c>
      <c r="D357" s="15"/>
      <c r="E357" s="13">
        <v>6790.8699999999999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8472.5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15791</v>
      </c>
      <c r="R357" s="14">
        <f>IFERROR(Q357/Q446, "NA")</f>
      </c>
      <c r="S357" s="15"/>
      <c r="T357" s="13">
        <v>15790.870000000001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20847.5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2948.8000000000002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3217.4699999999998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9587.2800000000007</v>
      </c>
      <c r="R358" s="14">
        <f>IFERROR(Q358/Q446, "NA")</f>
      </c>
      <c r="S358" s="15"/>
      <c r="T358" s="13">
        <v>11040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10156.17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525.25</v>
      </c>
      <c r="C363" s="14">
        <f>IFERROR(B363/B446, "NA")</f>
      </c>
      <c r="D363" s="15"/>
      <c r="E363" s="13">
        <v>1080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1015.41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1131.02</v>
      </c>
      <c r="R363" s="14">
        <f>IFERROR(Q363/Q446, "NA")</f>
      </c>
      <c r="S363" s="15"/>
      <c r="T363" s="13">
        <v>2808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2752.8400000000001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1100.52</v>
      </c>
      <c r="C364" s="14">
        <f>IFERROR(B364/B446, "NA")</f>
      </c>
      <c r="D364" s="15"/>
      <c r="E364" s="13">
        <v>225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1644.1099999999999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2414.8499999999999</v>
      </c>
      <c r="R364" s="14">
        <f>IFERROR(Q364/Q446, "NA")</f>
      </c>
      <c r="S364" s="15"/>
      <c r="T364" s="13">
        <v>525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2694.8499999999999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2479.1500000000001</v>
      </c>
      <c r="C365" s="14">
        <f>IFERROR(B365/B446, "NA")</f>
      </c>
      <c r="D365" s="15"/>
      <c r="E365" s="13">
        <v>750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689.44000000000005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2678.1799999999998</v>
      </c>
      <c r="R365" s="14">
        <f>IFERROR(Q365/Q446, "NA")</f>
      </c>
      <c r="S365" s="15"/>
      <c r="T365" s="13">
        <v>1900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2585.9699999999998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211.66999999999999</v>
      </c>
      <c r="C366" s="14">
        <f>IFERROR(B366/B446, "NA")</f>
      </c>
      <c r="D366" s="15"/>
      <c r="E366" s="13">
        <v>450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-16.809999999999999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503.67000000000002</v>
      </c>
      <c r="R366" s="14">
        <f>IFERROR(Q366/Q446, "NA")</f>
      </c>
      <c r="S366" s="15"/>
      <c r="T366" s="13">
        <v>2025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879.38999999999999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1716.6099999999999</v>
      </c>
      <c r="C367" s="14">
        <f>IFERROR(B367/B446, "NA")</f>
      </c>
      <c r="D367" s="15"/>
      <c r="E367" s="13">
        <v>450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-1049.3499999999999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2514.4099999999999</v>
      </c>
      <c r="R367" s="14">
        <f>IFERROR(Q367/Q446, "NA")</f>
      </c>
      <c r="S367" s="15"/>
      <c r="T367" s="13">
        <v>1350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2418.8699999999999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5481.7399999999998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4086.48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5481.7399999999998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148</v>
      </c>
      <c r="C371" s="14">
        <f>IFERROR(B371/B446, "NA")</f>
      </c>
      <c r="D371" s="15"/>
      <c r="E371" s="13">
        <v>800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768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344</v>
      </c>
      <c r="R371" s="14">
        <f>IFERROR(Q371/Q446, "NA")</f>
      </c>
      <c r="S371" s="15"/>
      <c r="T371" s="13">
        <v>1000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974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834.79999999999995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209.33000000000001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1281.4100000000001</v>
      </c>
      <c r="R372" s="14">
        <f>IFERROR(Q372/Q446, "NA")</f>
      </c>
      <c r="S372" s="15"/>
      <c r="T372" s="13">
        <v>375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506.61000000000001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781.79999999999995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277.17000000000002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1289.96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554.34000000000003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677.77999999999997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383.25999999999999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2280.0900000000001</v>
      </c>
      <c r="R374" s="14">
        <f>IFERROR(Q374/Q446, "NA")</f>
      </c>
      <c r="S374" s="15"/>
      <c r="T374" s="13">
        <v>1887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1445.23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2114.0999999999999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1940.01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6342.3000000000002</v>
      </c>
      <c r="R375" s="14">
        <f>IFERROR(Q375/Q446, "NA")</f>
      </c>
      <c r="S375" s="15"/>
      <c r="T375" s="13">
        <v>6450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5734.0299999999997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110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205.25999999999999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116.15000000000001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116.15000000000001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5797.4399999999996</v>
      </c>
      <c r="C379" s="14">
        <f>IFERROR(B379/B446, "NA")</f>
      </c>
      <c r="D379" s="15"/>
      <c r="E379" s="13">
        <v>7484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8983.4599999999991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20168.060000000001</v>
      </c>
      <c r="R379" s="14">
        <f>IFERROR(Q379/Q446, "NA")</f>
      </c>
      <c r="S379" s="15"/>
      <c r="T379" s="13">
        <v>24452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25818.48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166.68000000000001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1157.3299999999999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1800.0699999999999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1390.0599999999999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11800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11500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35455.669999999998</v>
      </c>
      <c r="R381" s="14">
        <f>IFERROR(Q381/Q446, "NA")</f>
      </c>
      <c r="S381" s="15"/>
      <c r="T381" s="13">
        <v>35400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34500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3000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4975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3672.5</v>
      </c>
      <c r="R382" s="14">
        <f>IFERROR(Q382/Q446, "NA")</f>
      </c>
      <c r="S382" s="15"/>
      <c r="T382" s="13">
        <v>8500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22216.509999999998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674.15999999999997</v>
      </c>
      <c r="C383" s="14">
        <f>IFERROR(B383/B446, "NA")</f>
      </c>
      <c r="D383" s="15"/>
      <c r="E383" s="13">
        <v>506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505.62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2067.48</v>
      </c>
      <c r="R383" s="14">
        <f>IFERROR(Q383/Q446, "NA")</f>
      </c>
      <c r="S383" s="15"/>
      <c r="T383" s="13">
        <v>1518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1011.24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158.96000000000001</v>
      </c>
      <c r="C386" s="14">
        <f>IFERROR(B386/B446, "NA")</f>
      </c>
      <c r="D386" s="15"/>
      <c r="E386" s="13">
        <v>1000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8948.4599999999991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10781.309999999999</v>
      </c>
      <c r="R386" s="14">
        <f>IFERROR(Q386/Q446, "NA")</f>
      </c>
      <c r="S386" s="15"/>
      <c r="T386" s="13">
        <v>2750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13244.190000000001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51.469999999999999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51.469999999999999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16927.450000000001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36909.400000000001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6382.9899999999998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4190.9200000000001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20515.759999999998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10997.389999999999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9314.7199999999993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12908.549999999999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19307.07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36147.029999999999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3502.1999999999998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6146.2399999999998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12526.51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15277.17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6448.5500000000002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10471.059999999999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6612.0600000000004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207.66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316.89999999999998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12673.75</v>
      </c>
      <c r="C398" s="14">
        <f>IFERROR(B398/B446, "NA")</f>
      </c>
      <c r="D398" s="15"/>
      <c r="E398" s="13">
        <v>9200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4113.4399999999996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34879.5</v>
      </c>
      <c r="R398" s="14">
        <f>IFERROR(Q398/Q446, "NA")</f>
      </c>
      <c r="S398" s="15"/>
      <c r="T398" s="13">
        <v>25600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8675.2800000000007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247.63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198.62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871.73000000000002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498.64999999999998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55</v>
      </c>
      <c r="C400" s="14">
        <f>IFERROR(B400/B446, "NA")</f>
      </c>
      <c r="D400" s="15"/>
      <c r="E400" s="13">
        <v>100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100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870.84000000000003</v>
      </c>
      <c r="R400" s="14">
        <f>IFERROR(Q400/Q446, "NA")</f>
      </c>
      <c r="S400" s="15"/>
      <c r="T400" s="13">
        <v>100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100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16834.559999999998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47260.940000000002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32019.130000000001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28107.75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94906.479999999996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83944.37000000001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268.38999999999999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268.37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805.13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536.74000000000001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-185.32999999999998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348.69000000000005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-478.44000000000005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134.60000000000002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-167.20999999999998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-255.47999999999999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613.91999999999996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-266.44999999999999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-1725.6900000000001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-20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76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-20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-1012.04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-14127.450000000001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-44940.809999999998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-0.98999999999999999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67.079999999999998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47.920000000000002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201.24000000000001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143.75999999999999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t="16.5" customHeight="1">
      <c t="s" r="A427" s="12">
        <v>392</v>
      </c>
      <c r="B427" s="13">
        <v>12875.209999999999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12875.209999999999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-1376.5799999999999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-12153.09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-5544.0799999999999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-12883.889999999999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789342.57000000007</v>
      </c>
      <c r="C446" s="33"/>
      <c r="D446" s="15"/>
      <c r="E446" s="13">
        <v>806068.97999999998</v>
      </c>
      <c r="F446" s="33"/>
      <c r="G446" s="15"/>
      <c r="H446" s="16">
        <f>IFERROR(B446-E446, "NA")</f>
      </c>
      <c r="I446" s="33"/>
      <c r="J446" s="15"/>
      <c r="K446" s="13">
        <v>745397.03000000003</v>
      </c>
      <c r="L446" s="33"/>
      <c r="M446" s="15"/>
      <c r="N446" s="16">
        <f>IFERROR(B446-K446, "NA")</f>
      </c>
      <c r="O446" s="33"/>
      <c r="P446" s="15"/>
      <c r="Q446" s="13">
        <v>1706305.9500000002</v>
      </c>
      <c r="R446" s="33"/>
      <c r="S446" s="15"/>
      <c r="T446" s="13">
        <v>1757590.46</v>
      </c>
      <c r="U446" s="33"/>
      <c r="V446" s="15"/>
      <c r="W446" s="16">
        <f>IFERROR(Q446-T446, "NA")</f>
      </c>
      <c r="X446" s="33"/>
      <c r="Y446" s="15"/>
      <c r="Z446" s="13">
        <v>1659094.0800000001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413</v>
      </c>
      <c t="s" r="B3" s="3">
        <v>413</v>
      </c>
      <c t="s" r="C3" s="3">
        <v>413</v>
      </c>
      <c t="s" r="D3" s="3">
        <v>413</v>
      </c>
      <c t="s" r="E3" s="3">
        <v>413</v>
      </c>
      <c t="s" r="F3" s="3">
        <v>413</v>
      </c>
      <c t="s" r="G3" s="3">
        <v>413</v>
      </c>
      <c t="s" r="H3" s="3">
        <v>413</v>
      </c>
      <c t="s" r="I3" s="3">
        <v>413</v>
      </c>
      <c t="s" r="J3" s="3">
        <v>413</v>
      </c>
      <c t="s" r="K3" s="3">
        <v>413</v>
      </c>
      <c t="s" r="L3" s="3">
        <v>413</v>
      </c>
      <c t="s" r="M3" s="3">
        <v>413</v>
      </c>
      <c t="s" r="N3" s="3">
        <v>413</v>
      </c>
      <c t="s" r="O3" s="3">
        <v>413</v>
      </c>
      <c t="s" r="P3" s="3">
        <v>413</v>
      </c>
      <c t="s" r="Q3" s="3">
        <v>413</v>
      </c>
      <c t="s" r="R3" s="3">
        <v>413</v>
      </c>
      <c t="s" r="S3" s="3">
        <v>413</v>
      </c>
      <c t="s" r="T3" s="3">
        <v>413</v>
      </c>
      <c t="s" r="U3" s="3">
        <v>413</v>
      </c>
      <c t="s" r="V3" s="3">
        <v>413</v>
      </c>
      <c t="s" r="W3" s="3">
        <v>413</v>
      </c>
      <c t="s" r="X3" s="3">
        <v>413</v>
      </c>
      <c t="s" r="Y3" s="3">
        <v>413</v>
      </c>
      <c t="s" r="Z3" s="3">
        <v>413</v>
      </c>
      <c t="s" r="AA3" s="3">
        <v>413</v>
      </c>
      <c t="s" r="AB3" s="3">
        <v>413</v>
      </c>
      <c t="s" r="AC3" s="3">
        <v>413</v>
      </c>
      <c t="s" r="AD3" s="3">
        <v>413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idden="1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0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0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idden="1" ht="16.5" customHeight="1">
      <c t="s" r="A11" s="18">
        <v>13</v>
      </c>
      <c r="B11" s="13">
        <v>0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0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0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0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idden="1" ht="16.5" customHeight="1">
      <c t="s" r="A12" s="18">
        <v>14</v>
      </c>
      <c r="B12" s="13">
        <v>0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0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0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0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idden="1" ht="16.5" customHeight="1">
      <c t="s" r="A13" s="18">
        <v>15</v>
      </c>
      <c r="B13" s="13">
        <v>0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0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0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0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idden="1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idden="1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0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0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0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idden="1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idden="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0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0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idden="1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0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0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0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idden="1" ht="16.5" customHeight="1">
      <c t="s" r="A23" s="18">
        <v>24</v>
      </c>
      <c r="B23" s="13">
        <v>0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0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idden="1" ht="16.5" customHeight="1">
      <c t="s" r="A24" s="18">
        <v>25</v>
      </c>
      <c r="B24" s="13">
        <v>0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0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0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0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idden="1" ht="16.5" customHeight="1">
      <c t="s" r="A25" s="18">
        <v>26</v>
      </c>
      <c r="B25" s="13">
        <v>0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0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idden="1" ht="16.5" customHeight="1">
      <c t="s" r="A26" s="18">
        <v>27</v>
      </c>
      <c r="B26" s="13">
        <v>0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0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idden="1" ht="16.5" customHeight="1">
      <c t="s" r="A28" s="18">
        <v>29</v>
      </c>
      <c r="B28" s="13">
        <v>0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0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0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0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idden="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0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0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idden="1" ht="16.5" customHeight="1">
      <c t="s" r="A33" s="18">
        <v>33</v>
      </c>
      <c r="B33" s="13">
        <v>0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0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0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0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idden="1" ht="16.5" customHeight="1">
      <c t="s" r="A35" s="18">
        <v>35</v>
      </c>
      <c r="B35" s="13">
        <v>0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0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0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0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idden="1" ht="16.5" customHeight="1">
      <c t="s" r="A36" s="18">
        <v>36</v>
      </c>
      <c r="B36" s="13">
        <v>0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0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0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0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idden="1" ht="16.5" customHeight="1">
      <c t="s" r="A37" s="18">
        <v>37</v>
      </c>
      <c r="B37" s="13">
        <v>0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0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idden="1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0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0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idden="1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0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0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idden="1" ht="16.5" customHeight="1">
      <c t="s" r="A43" s="18">
        <v>42</v>
      </c>
      <c r="B43" s="13">
        <v>0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0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0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0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idden="1" ht="16.5" customHeight="1">
      <c t="s" r="A48" s="23">
        <v>46</v>
      </c>
      <c r="B48" s="13">
        <v>0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0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0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0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idden="1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0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0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idden="1" ht="16.5" customHeight="1">
      <c t="s" r="A65" s="18">
        <v>62</v>
      </c>
      <c r="B65" s="13">
        <v>0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0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idden="1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0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0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idden="1" ht="16.5" customHeight="1">
      <c t="s" r="A77" s="18">
        <v>73</v>
      </c>
      <c r="B77" s="13">
        <v>0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0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0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0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idden="1" ht="16.5" customHeight="1">
      <c t="s" r="A80" s="18">
        <v>76</v>
      </c>
      <c r="B80" s="13">
        <v>0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0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0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0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idden="1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0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idden="1" ht="16.5" customHeight="1">
      <c t="s" r="A90" s="12">
        <v>86</v>
      </c>
      <c r="B90" s="13">
        <v>0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0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idden="1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0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0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idden="1" ht="16.5" customHeight="1">
      <c t="s" r="A96" s="18">
        <v>91</v>
      </c>
      <c r="B96" s="13">
        <v>0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0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0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0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idden="1" ht="16.5" customHeight="1">
      <c t="s" r="A98" s="18">
        <v>93</v>
      </c>
      <c r="B98" s="13">
        <v>0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0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0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0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idden="1" ht="16.5" customHeight="1">
      <c t="s" r="A100" s="18">
        <v>95</v>
      </c>
      <c r="B100" s="13">
        <v>0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0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0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0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idden="1" ht="16.5" customHeight="1">
      <c t="s" r="A102" s="18">
        <v>97</v>
      </c>
      <c r="B102" s="13">
        <v>0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0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0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0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idden="1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idden="1" ht="16.5" customHeight="1">
      <c t="s" r="A104" s="18">
        <v>99</v>
      </c>
      <c r="B104" s="13">
        <v>0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0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0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0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idden="1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idden="1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0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0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idden="1" ht="16.5" customHeight="1">
      <c t="s" r="A130" s="18">
        <v>122</v>
      </c>
      <c r="B130" s="13">
        <v>0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0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0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0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idden="1" ht="16.5" customHeight="1">
      <c t="s" r="A131" s="18">
        <v>123</v>
      </c>
      <c r="B131" s="13">
        <v>0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0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0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0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idden="1" ht="16.5" customHeight="1">
      <c t="s" r="A132" s="18">
        <v>124</v>
      </c>
      <c r="B132" s="13">
        <v>0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0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0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0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idden="1" ht="16.5" customHeight="1">
      <c t="s" r="A133" s="18">
        <v>125</v>
      </c>
      <c r="B133" s="13">
        <v>0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0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0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0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idden="1" ht="16.5" customHeight="1">
      <c t="s" r="A134" s="18">
        <v>126</v>
      </c>
      <c r="B134" s="13">
        <v>0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0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0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0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idden="1" ht="16.5" customHeight="1">
      <c t="s" r="A135" s="18">
        <v>127</v>
      </c>
      <c r="B135" s="13">
        <v>0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0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0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0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idden="1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0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idden="1" ht="16.5" customHeight="1">
      <c t="s" r="A137" s="18">
        <v>129</v>
      </c>
      <c r="B137" s="13">
        <v>0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0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0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0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idden="1" ht="16.5" customHeight="1">
      <c t="s" r="A138" s="18">
        <v>130</v>
      </c>
      <c r="B138" s="13">
        <v>0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0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0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0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idden="1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0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0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idden="1" ht="16.5" customHeight="1">
      <c t="s" r="A144" s="18">
        <v>135</v>
      </c>
      <c r="B144" s="13">
        <v>0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0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0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0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idden="1" ht="16.5" customHeight="1">
      <c t="s" r="A145" s="18">
        <v>136</v>
      </c>
      <c r="B145" s="13">
        <v>0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0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0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0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idden="1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0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0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0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idden="1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0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0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0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idden="1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0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0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idden="1" ht="16.5" customHeight="1">
      <c t="s" r="A154" s="18">
        <v>143</v>
      </c>
      <c r="B154" s="13">
        <v>0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0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0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0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idden="1" ht="16.5" customHeight="1">
      <c t="s" r="A155" s="18">
        <v>144</v>
      </c>
      <c r="B155" s="13">
        <v>0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0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0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0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idden="1" ht="16.5" customHeight="1">
      <c t="s" r="A161" s="18">
        <v>149</v>
      </c>
      <c r="B161" s="13">
        <v>0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0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0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0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idden="1" ht="16.5" customHeight="1">
      <c t="s" r="A167" s="12">
        <v>155</v>
      </c>
      <c r="B167" s="13">
        <v>0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0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0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0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idden="1" ht="16.5" customHeight="1">
      <c t="s" r="A168" s="12">
        <v>156</v>
      </c>
      <c r="B168" s="13">
        <v>0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0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0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0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idden="1" ht="16.5" customHeight="1">
      <c t="s" r="A169" s="12">
        <v>157</v>
      </c>
      <c r="B169" s="13">
        <v>0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0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0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0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idden="1" ht="16.5" customHeight="1">
      <c t="s" r="A178" s="18">
        <v>163</v>
      </c>
      <c r="B178" s="13">
        <v>0</v>
      </c>
      <c r="C178" s="14">
        <f>IFERROR(B178/B446, "NA")</f>
      </c>
      <c r="D178" s="15"/>
      <c r="E178" s="13">
        <v>0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0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0</v>
      </c>
      <c r="R178" s="14">
        <f>IFERROR(Q178/Q446, "NA")</f>
      </c>
      <c r="S178" s="15"/>
      <c r="T178" s="13">
        <v>0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0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idden="1" ht="16.5" customHeight="1">
      <c t="s" r="A180" s="18">
        <v>165</v>
      </c>
      <c r="B180" s="13">
        <v>0</v>
      </c>
      <c r="C180" s="14">
        <f>IFERROR(B180/B446, "NA")</f>
      </c>
      <c r="D180" s="15"/>
      <c r="E180" s="13">
        <v>0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0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0</v>
      </c>
      <c r="R180" s="14">
        <f>IFERROR(Q180/Q446, "NA")</f>
      </c>
      <c r="S180" s="15"/>
      <c r="T180" s="13">
        <v>0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0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idden="1" ht="16.5" customHeight="1">
      <c t="s" r="A181" s="18">
        <v>166</v>
      </c>
      <c r="B181" s="13">
        <v>0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0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idden="1" ht="16.5" customHeight="1">
      <c t="s" r="A184" s="12">
        <v>169</v>
      </c>
      <c r="B184" s="13">
        <v>0</v>
      </c>
      <c r="C184" s="14">
        <f>IFERROR(B184/B446, "NA")</f>
      </c>
      <c r="D184" s="15"/>
      <c r="E184" s="13">
        <v>0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0</v>
      </c>
      <c r="R184" s="14">
        <f>IFERROR(Q184/Q446, "NA")</f>
      </c>
      <c r="S184" s="15"/>
      <c r="T184" s="13">
        <v>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idden="1" ht="16.5" customHeight="1">
      <c t="s" r="A186" s="18">
        <v>170</v>
      </c>
      <c r="B186" s="13">
        <v>0</v>
      </c>
      <c r="C186" s="14">
        <f>IFERROR(B186/B446, "NA")</f>
      </c>
      <c r="D186" s="15"/>
      <c r="E186" s="13">
        <v>0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0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0</v>
      </c>
      <c r="R186" s="14">
        <f>IFERROR(Q186/Q446, "NA")</f>
      </c>
      <c r="S186" s="15"/>
      <c r="T186" s="13">
        <v>0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0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idden="1" ht="16.5" customHeight="1">
      <c t="s" r="A194" s="12">
        <v>178</v>
      </c>
      <c r="B194" s="13">
        <v>0</v>
      </c>
      <c r="C194" s="14">
        <f>IFERROR(B194/B446, "NA")</f>
      </c>
      <c r="D194" s="15"/>
      <c r="E194" s="13">
        <v>0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0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0</v>
      </c>
      <c r="R194" s="14">
        <f>IFERROR(Q194/Q446, "NA")</f>
      </c>
      <c r="S194" s="15"/>
      <c r="T194" s="13">
        <v>0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0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idden="1" ht="16.5" customHeight="1">
      <c t="s" r="A202" s="12">
        <v>184</v>
      </c>
      <c r="B202" s="13">
        <v>0</v>
      </c>
      <c r="C202" s="14">
        <f>IFERROR(B202/B446, "NA")</f>
      </c>
      <c r="D202" s="15"/>
      <c r="E202" s="13">
        <v>0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0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0</v>
      </c>
      <c r="R202" s="14">
        <f>IFERROR(Q202/Q446, "NA")</f>
      </c>
      <c r="S202" s="15"/>
      <c r="T202" s="13">
        <v>0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0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idden="1" ht="16.5" customHeight="1">
      <c t="s" r="A203" s="12">
        <v>185</v>
      </c>
      <c r="B203" s="13">
        <v>0</v>
      </c>
      <c r="C203" s="14">
        <f>IFERROR(B203/B446, "NA")</f>
      </c>
      <c r="D203" s="15"/>
      <c r="E203" s="13">
        <v>0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0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0</v>
      </c>
      <c r="R203" s="14">
        <f>IFERROR(Q203/Q446, "NA")</f>
      </c>
      <c r="S203" s="15"/>
      <c r="T203" s="13">
        <v>0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0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idden="1" ht="16.5" customHeight="1">
      <c t="s" r="A204" s="12">
        <v>186</v>
      </c>
      <c r="B204" s="13">
        <v>0</v>
      </c>
      <c r="C204" s="14">
        <f>IFERROR(B204/B446, "NA")</f>
      </c>
      <c r="D204" s="15"/>
      <c r="E204" s="13">
        <v>0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0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0</v>
      </c>
      <c r="R204" s="14">
        <f>IFERROR(Q204/Q446, "NA")</f>
      </c>
      <c r="S204" s="15"/>
      <c r="T204" s="13">
        <v>0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0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idden="1" ht="16.5" customHeight="1">
      <c t="s" r="A205" s="12">
        <v>187</v>
      </c>
      <c r="B205" s="13">
        <v>0</v>
      </c>
      <c r="C205" s="14">
        <f>IFERROR(B205/B446, "NA")</f>
      </c>
      <c r="D205" s="15"/>
      <c r="E205" s="13">
        <v>0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0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0</v>
      </c>
      <c r="R205" s="14">
        <f>IFERROR(Q205/Q446, "NA")</f>
      </c>
      <c r="S205" s="15"/>
      <c r="T205" s="13">
        <v>0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0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idden="1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0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0</v>
      </c>
      <c r="R206" s="14">
        <f>IFERROR(Q206/Q446, "NA")</f>
      </c>
      <c r="S206" s="15"/>
      <c r="T206" s="13">
        <v>0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idden="1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0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idden="1" ht="16.5" customHeight="1">
      <c t="s" r="A208" s="12">
        <v>190</v>
      </c>
      <c r="B208" s="13">
        <v>0</v>
      </c>
      <c r="C208" s="14">
        <f>IFERROR(B208/B446, "NA")</f>
      </c>
      <c r="D208" s="15"/>
      <c r="E208" s="13">
        <v>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0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0</v>
      </c>
      <c r="R208" s="14">
        <f>IFERROR(Q208/Q446, "NA")</f>
      </c>
      <c r="S208" s="15"/>
      <c r="T208" s="13">
        <v>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0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idden="1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0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0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idden="1" ht="16.5" customHeight="1">
      <c t="s" r="A214" s="18">
        <v>194</v>
      </c>
      <c r="B214" s="13">
        <v>0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0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0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0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idden="1" ht="16.5" customHeight="1">
      <c t="s" r="A217" s="18">
        <v>197</v>
      </c>
      <c r="B217" s="13">
        <v>0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0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0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0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idden="1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0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0</v>
      </c>
      <c r="R222" s="14">
        <f>IFERROR(Q222/Q446, "NA")</f>
      </c>
      <c r="S222" s="15"/>
      <c r="T222" s="13">
        <v>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0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idden="1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0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0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idden="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0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0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idden="1" ht="16.5" customHeight="1">
      <c t="s" r="A234" s="12">
        <v>213</v>
      </c>
      <c r="B234" s="13">
        <v>0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0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0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0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idden="1" ht="16.5" customHeight="1">
      <c t="s" r="A235" s="12">
        <v>214</v>
      </c>
      <c r="B235" s="13">
        <v>0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0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idden="1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0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0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idden="1" ht="16.5" customHeight="1">
      <c t="s" r="A242" s="18">
        <v>219</v>
      </c>
      <c r="B242" s="13">
        <v>0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0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0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0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idden="1" ht="16.5" customHeight="1">
      <c t="s" r="A243" s="18">
        <v>220</v>
      </c>
      <c r="B243" s="13">
        <v>0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0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0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0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idden="1" ht="16.5" customHeight="1">
      <c t="s" r="A244" s="18">
        <v>221</v>
      </c>
      <c r="B244" s="13">
        <v>0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0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idden="1" ht="16.5" customHeight="1">
      <c t="s" r="A246" s="18">
        <v>223</v>
      </c>
      <c r="B246" s="13">
        <v>0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0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0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0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idden="1" ht="16.5" customHeight="1">
      <c t="s" r="A248" s="18">
        <v>225</v>
      </c>
      <c r="B248" s="13">
        <v>0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0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0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0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idden="1" ht="16.5" customHeight="1">
      <c t="s" r="A249" s="18">
        <v>226</v>
      </c>
      <c r="B249" s="13">
        <v>0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0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0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0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idden="1" ht="16.5" customHeight="1">
      <c t="s" r="A266" s="12">
        <v>242</v>
      </c>
      <c r="B266" s="13">
        <v>0</v>
      </c>
      <c r="C266" s="14">
        <f>IFERROR(B266/B446, "NA")</f>
      </c>
      <c r="D266" s="15"/>
      <c r="E266" s="13">
        <v>0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0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0</v>
      </c>
      <c r="R266" s="14">
        <f>IFERROR(Q266/Q446, "NA")</f>
      </c>
      <c r="S266" s="15"/>
      <c r="T266" s="13">
        <v>0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0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idden="1" ht="16.5" customHeight="1">
      <c t="s" r="A271" s="12">
        <v>246</v>
      </c>
      <c r="B271" s="13">
        <v>0</v>
      </c>
      <c r="C271" s="14">
        <f>IFERROR(B271/B446, "NA")</f>
      </c>
      <c r="D271" s="15"/>
      <c r="E271" s="13">
        <v>0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0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0</v>
      </c>
      <c r="R271" s="14">
        <f>IFERROR(Q271/Q446, "NA")</f>
      </c>
      <c r="S271" s="15"/>
      <c r="T271" s="13">
        <v>0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0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idden="1" ht="16.5" customHeight="1">
      <c t="s" r="A272" s="12">
        <v>247</v>
      </c>
      <c r="B272" s="13">
        <v>0</v>
      </c>
      <c r="C272" s="14">
        <f>IFERROR(B272/B446, "NA")</f>
      </c>
      <c r="D272" s="15"/>
      <c r="E272" s="13">
        <v>0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0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0</v>
      </c>
      <c r="R272" s="14">
        <f>IFERROR(Q272/Q446, "NA")</f>
      </c>
      <c r="S272" s="15"/>
      <c r="T272" s="13">
        <v>0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0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idden="1" ht="16.5" customHeight="1">
      <c t="s" r="A289" s="12">
        <v>262</v>
      </c>
      <c r="B289" s="13">
        <v>0</v>
      </c>
      <c r="C289" s="14">
        <f>IFERROR(B289/B446, "NA")</f>
      </c>
      <c r="D289" s="15"/>
      <c r="E289" s="13">
        <v>0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0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0</v>
      </c>
      <c r="R289" s="14">
        <f>IFERROR(Q289/Q446, "NA")</f>
      </c>
      <c r="S289" s="15"/>
      <c r="T289" s="13">
        <v>0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0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idden="1" ht="16.5" customHeight="1">
      <c t="s" r="A290" s="12">
        <v>263</v>
      </c>
      <c r="B290" s="13">
        <v>0</v>
      </c>
      <c r="C290" s="14">
        <f>IFERROR(B290/B446, "NA")</f>
      </c>
      <c r="D290" s="15"/>
      <c r="E290" s="13">
        <v>0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0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0</v>
      </c>
      <c r="R290" s="14">
        <f>IFERROR(Q290/Q446, "NA")</f>
      </c>
      <c r="S290" s="15"/>
      <c r="T290" s="13">
        <v>0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0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idden="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0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0</v>
      </c>
      <c r="R291" s="14">
        <f>IFERROR(Q291/Q446, "NA")</f>
      </c>
      <c r="S291" s="15"/>
      <c r="T291" s="13">
        <v>0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0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idden="1" ht="16.5" customHeight="1">
      <c t="s" r="A292" s="12">
        <v>265</v>
      </c>
      <c r="B292" s="13">
        <v>0</v>
      </c>
      <c r="C292" s="14">
        <f>IFERROR(B292/B446, "NA")</f>
      </c>
      <c r="D292" s="15"/>
      <c r="E292" s="13">
        <v>0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0</v>
      </c>
      <c r="R292" s="14">
        <f>IFERROR(Q292/Q446, "NA")</f>
      </c>
      <c r="S292" s="15"/>
      <c r="T292" s="13">
        <v>0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0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idden="1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0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0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idden="1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0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0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idden="1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0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0</v>
      </c>
      <c r="R295" s="14">
        <f>IFERROR(Q295/Q446, "NA")</f>
      </c>
      <c r="S295" s="15"/>
      <c r="T295" s="13">
        <v>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0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idden="1" ht="16.5" customHeight="1">
      <c t="s" r="A300" s="12">
        <v>272</v>
      </c>
      <c r="B300" s="13">
        <v>0</v>
      </c>
      <c r="C300" s="14">
        <f>IFERROR(B300/B446, "NA")</f>
      </c>
      <c r="D300" s="15"/>
      <c r="E300" s="13">
        <v>0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0</v>
      </c>
      <c r="R300" s="14">
        <f>IFERROR(Q300/Q446, "NA")</f>
      </c>
      <c r="S300" s="15"/>
      <c r="T300" s="13">
        <v>0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0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idden="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0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0</v>
      </c>
      <c r="R311" s="14">
        <f>IFERROR(Q311/Q446, "NA")</f>
      </c>
      <c r="S311" s="15"/>
      <c r="T311" s="13">
        <v>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idden="1" ht="16.5" customHeight="1">
      <c t="s" r="A313" s="12">
        <v>285</v>
      </c>
      <c r="B313" s="13">
        <v>0</v>
      </c>
      <c r="C313" s="14">
        <f>IFERROR(B313/B446, "NA")</f>
      </c>
      <c r="D313" s="15"/>
      <c r="E313" s="13">
        <v>0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0</v>
      </c>
      <c r="R313" s="14">
        <f>IFERROR(Q313/Q446, "NA")</f>
      </c>
      <c r="S313" s="15"/>
      <c r="T313" s="13">
        <v>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0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idden="1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0</v>
      </c>
      <c r="R314" s="14">
        <f>IFERROR(Q314/Q446, "NA")</f>
      </c>
      <c r="S314" s="15"/>
      <c r="T314" s="13">
        <v>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0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idden="1" ht="16.5" customHeight="1">
      <c t="s" r="A320" s="12">
        <v>292</v>
      </c>
      <c r="B320" s="13">
        <v>0</v>
      </c>
      <c r="C320" s="14">
        <f>IFERROR(B320/B446, "NA")</f>
      </c>
      <c r="D320" s="15"/>
      <c r="E320" s="13">
        <v>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0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0</v>
      </c>
      <c r="R320" s="14">
        <f>IFERROR(Q320/Q446, "NA")</f>
      </c>
      <c r="S320" s="15"/>
      <c r="T320" s="13">
        <v>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0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idden="1" ht="16.5" customHeight="1">
      <c t="s" r="A321" s="12">
        <v>293</v>
      </c>
      <c r="B321" s="13">
        <v>0</v>
      </c>
      <c r="C321" s="14">
        <f>IFERROR(B321/B446, "NA")</f>
      </c>
      <c r="D321" s="15"/>
      <c r="E321" s="13">
        <v>0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0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0</v>
      </c>
      <c r="R321" s="14">
        <f>IFERROR(Q321/Q446, "NA")</f>
      </c>
      <c r="S321" s="15"/>
      <c r="T321" s="13">
        <v>0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0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idden="1" ht="16.5" customHeight="1">
      <c t="s" r="A322" s="12">
        <v>294</v>
      </c>
      <c r="B322" s="13">
        <v>0</v>
      </c>
      <c r="C322" s="14">
        <f>IFERROR(B322/B446, "NA")</f>
      </c>
      <c r="D322" s="15"/>
      <c r="E322" s="13">
        <v>0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0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0</v>
      </c>
      <c r="R322" s="14">
        <f>IFERROR(Q322/Q446, "NA")</f>
      </c>
      <c r="S322" s="15"/>
      <c r="T322" s="13">
        <v>0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0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idden="1" ht="16.5" customHeight="1">
      <c t="s" r="A323" s="12">
        <v>295</v>
      </c>
      <c r="B323" s="13">
        <v>0</v>
      </c>
      <c r="C323" s="14">
        <f>IFERROR(B323/B446, "NA")</f>
      </c>
      <c r="D323" s="15"/>
      <c r="E323" s="13">
        <v>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0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0</v>
      </c>
      <c r="R323" s="14">
        <f>IFERROR(Q323/Q446, "NA")</f>
      </c>
      <c r="S323" s="15"/>
      <c r="T323" s="13">
        <v>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0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idden="1" ht="16.5" customHeight="1">
      <c t="s" r="A330" s="12">
        <v>301</v>
      </c>
      <c r="B330" s="13">
        <v>0</v>
      </c>
      <c r="C330" s="14">
        <f>IFERROR(B330/B446, "NA")</f>
      </c>
      <c r="D330" s="15"/>
      <c r="E330" s="13">
        <v>0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0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0</v>
      </c>
      <c r="R330" s="14">
        <f>IFERROR(Q330/Q446, "NA")</f>
      </c>
      <c r="S330" s="15"/>
      <c r="T330" s="13">
        <v>0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0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idden="1" ht="16.5" customHeight="1">
      <c t="s" r="A331" s="12">
        <v>302</v>
      </c>
      <c r="B331" s="13">
        <v>0</v>
      </c>
      <c r="C331" s="14">
        <f>IFERROR(B331/B446, "NA")</f>
      </c>
      <c r="D331" s="15"/>
      <c r="E331" s="13">
        <v>0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0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0</v>
      </c>
      <c r="R331" s="14">
        <f>IFERROR(Q331/Q446, "NA")</f>
      </c>
      <c r="S331" s="15"/>
      <c r="T331" s="13">
        <v>0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0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idden="1" ht="16.5" customHeight="1">
      <c t="s" r="A334" s="12">
        <v>305</v>
      </c>
      <c r="B334" s="13">
        <v>0</v>
      </c>
      <c r="C334" s="14">
        <f>IFERROR(B334/B446, "NA")</f>
      </c>
      <c r="D334" s="15"/>
      <c r="E334" s="13">
        <v>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0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0</v>
      </c>
      <c r="R334" s="14">
        <f>IFERROR(Q334/Q446, "NA")</f>
      </c>
      <c r="S334" s="15"/>
      <c r="T334" s="13">
        <v>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0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idden="1" ht="16.5" customHeight="1">
      <c t="s" r="A335" s="12">
        <v>306</v>
      </c>
      <c r="B335" s="13">
        <v>0</v>
      </c>
      <c r="C335" s="14">
        <f>IFERROR(B335/B446, "NA")</f>
      </c>
      <c r="D335" s="15"/>
      <c r="E335" s="13">
        <v>0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0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idden="1" ht="16.5" customHeight="1">
      <c t="s" r="A339" s="18">
        <v>309</v>
      </c>
      <c r="B339" s="13">
        <v>0</v>
      </c>
      <c r="C339" s="14">
        <f>IFERROR(B339/B446, "NA")</f>
      </c>
      <c r="D339" s="15"/>
      <c r="E339" s="13">
        <v>0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0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0</v>
      </c>
      <c r="R339" s="14">
        <f>IFERROR(Q339/Q446, "NA")</f>
      </c>
      <c r="S339" s="15"/>
      <c r="T339" s="13">
        <v>0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0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idden="1" ht="16.5" customHeight="1">
      <c t="s" r="A340" s="18">
        <v>310</v>
      </c>
      <c r="B340" s="13">
        <v>0</v>
      </c>
      <c r="C340" s="14">
        <f>IFERROR(B340/B446, "NA")</f>
      </c>
      <c r="D340" s="15"/>
      <c r="E340" s="13">
        <v>0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0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0</v>
      </c>
      <c r="R340" s="14">
        <f>IFERROR(Q340/Q446, "NA")</f>
      </c>
      <c r="S340" s="15"/>
      <c r="T340" s="13">
        <v>0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0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idden="1" ht="16.5" customHeight="1">
      <c t="s" r="A341" s="18">
        <v>311</v>
      </c>
      <c r="B341" s="13">
        <v>0</v>
      </c>
      <c r="C341" s="14">
        <f>IFERROR(B341/B446, "NA")</f>
      </c>
      <c r="D341" s="15"/>
      <c r="E341" s="13">
        <v>0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0</v>
      </c>
      <c r="R341" s="14">
        <f>IFERROR(Q341/Q446, "NA")</f>
      </c>
      <c r="S341" s="15"/>
      <c r="T341" s="13">
        <v>0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0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44230.75</v>
      </c>
      <c r="C351" s="14">
        <f>IFERROR(B351/B446, "NA")</f>
      </c>
      <c r="D351" s="15"/>
      <c r="E351" s="13">
        <v>54326.919999999998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52984.550000000003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115033.62</v>
      </c>
      <c r="R351" s="14">
        <f>IFERROR(Q351/Q446, "NA")</f>
      </c>
      <c r="S351" s="15"/>
      <c r="T351" s="13">
        <v>126326.92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178871.97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6774.8000000000002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3543.3499999999999</v>
      </c>
      <c r="C355" s="14">
        <f>IFERROR(B355/B446, "NA")</f>
      </c>
      <c r="D355" s="15"/>
      <c r="E355" s="13">
        <v>4509.1300000000001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4322.9899999999998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9812.2600000000002</v>
      </c>
      <c r="R355" s="14">
        <f>IFERROR(Q355/Q446, "NA")</f>
      </c>
      <c r="S355" s="15"/>
      <c r="T355" s="13">
        <v>10485.129999999999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16730.299999999999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64.870000000000005</v>
      </c>
      <c r="C356" s="14">
        <f>IFERROR(B356/B446, "NA")</f>
      </c>
      <c r="D356" s="15"/>
      <c r="E356" s="13">
        <v>233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254.40000000000001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441.17000000000002</v>
      </c>
      <c r="R356" s="14">
        <f>IFERROR(Q356/Q446, "NA")</f>
      </c>
      <c r="S356" s="15"/>
      <c r="T356" s="13">
        <v>657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795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6791</v>
      </c>
      <c r="C357" s="14">
        <f>IFERROR(B357/B446, "NA")</f>
      </c>
      <c r="D357" s="15"/>
      <c r="E357" s="13">
        <v>6790.8699999999999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8472.5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15791</v>
      </c>
      <c r="R357" s="14">
        <f>IFERROR(Q357/Q446, "NA")</f>
      </c>
      <c r="S357" s="15"/>
      <c r="T357" s="13">
        <v>15790.870000000001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20847.5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2948.8000000000002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3217.4699999999998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9587.2800000000007</v>
      </c>
      <c r="R358" s="14">
        <f>IFERROR(Q358/Q446, "NA")</f>
      </c>
      <c r="S358" s="15"/>
      <c r="T358" s="13">
        <v>11040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10156.17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525.25</v>
      </c>
      <c r="C363" s="14">
        <f>IFERROR(B363/B446, "NA")</f>
      </c>
      <c r="D363" s="15"/>
      <c r="E363" s="13">
        <v>1080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1015.41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1131.02</v>
      </c>
      <c r="R363" s="14">
        <f>IFERROR(Q363/Q446, "NA")</f>
      </c>
      <c r="S363" s="15"/>
      <c r="T363" s="13">
        <v>2808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2752.8400000000001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1100.52</v>
      </c>
      <c r="C364" s="14">
        <f>IFERROR(B364/B446, "NA")</f>
      </c>
      <c r="D364" s="15"/>
      <c r="E364" s="13">
        <v>225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1644.1099999999999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2414.8499999999999</v>
      </c>
      <c r="R364" s="14">
        <f>IFERROR(Q364/Q446, "NA")</f>
      </c>
      <c r="S364" s="15"/>
      <c r="T364" s="13">
        <v>525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2694.8499999999999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2479.1500000000001</v>
      </c>
      <c r="C365" s="14">
        <f>IFERROR(B365/B446, "NA")</f>
      </c>
      <c r="D365" s="15"/>
      <c r="E365" s="13">
        <v>750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689.44000000000005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2678.1799999999998</v>
      </c>
      <c r="R365" s="14">
        <f>IFERROR(Q365/Q446, "NA")</f>
      </c>
      <c r="S365" s="15"/>
      <c r="T365" s="13">
        <v>1900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2585.9699999999998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211.66999999999999</v>
      </c>
      <c r="C366" s="14">
        <f>IFERROR(B366/B446, "NA")</f>
      </c>
      <c r="D366" s="15"/>
      <c r="E366" s="13">
        <v>450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-16.809999999999999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503.67000000000002</v>
      </c>
      <c r="R366" s="14">
        <f>IFERROR(Q366/Q446, "NA")</f>
      </c>
      <c r="S366" s="15"/>
      <c r="T366" s="13">
        <v>2025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879.38999999999999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1716.6099999999999</v>
      </c>
      <c r="C367" s="14">
        <f>IFERROR(B367/B446, "NA")</f>
      </c>
      <c r="D367" s="15"/>
      <c r="E367" s="13">
        <v>450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-1049.3499999999999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2514.4099999999999</v>
      </c>
      <c r="R367" s="14">
        <f>IFERROR(Q367/Q446, "NA")</f>
      </c>
      <c r="S367" s="15"/>
      <c r="T367" s="13">
        <v>1350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2418.8699999999999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5481.7399999999998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4086.48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5481.7399999999998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148</v>
      </c>
      <c r="C371" s="14">
        <f>IFERROR(B371/B446, "NA")</f>
      </c>
      <c r="D371" s="15"/>
      <c r="E371" s="13">
        <v>800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768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344</v>
      </c>
      <c r="R371" s="14">
        <f>IFERROR(Q371/Q446, "NA")</f>
      </c>
      <c r="S371" s="15"/>
      <c r="T371" s="13">
        <v>1000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974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834.79999999999995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209.33000000000001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1281.4100000000001</v>
      </c>
      <c r="R372" s="14">
        <f>IFERROR(Q372/Q446, "NA")</f>
      </c>
      <c r="S372" s="15"/>
      <c r="T372" s="13">
        <v>375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506.61000000000001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781.79999999999995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277.17000000000002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1289.96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554.34000000000003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677.77999999999997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383.25999999999999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2280.0900000000001</v>
      </c>
      <c r="R374" s="14">
        <f>IFERROR(Q374/Q446, "NA")</f>
      </c>
      <c r="S374" s="15"/>
      <c r="T374" s="13">
        <v>1887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1445.23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2114.0999999999999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1940.01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6342.3000000000002</v>
      </c>
      <c r="R375" s="14">
        <f>IFERROR(Q375/Q446, "NA")</f>
      </c>
      <c r="S375" s="15"/>
      <c r="T375" s="13">
        <v>6450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5734.0299999999997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110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205.25999999999999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116.15000000000001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116.15000000000001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5797.4399999999996</v>
      </c>
      <c r="C379" s="14">
        <f>IFERROR(B379/B446, "NA")</f>
      </c>
      <c r="D379" s="15"/>
      <c r="E379" s="13">
        <v>7484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8983.4599999999991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20168.060000000001</v>
      </c>
      <c r="R379" s="14">
        <f>IFERROR(Q379/Q446, "NA")</f>
      </c>
      <c r="S379" s="15"/>
      <c r="T379" s="13">
        <v>24452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25818.48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166.68000000000001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1157.3299999999999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1800.0699999999999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1390.0599999999999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11800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11500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35455.669999999998</v>
      </c>
      <c r="R381" s="14">
        <f>IFERROR(Q381/Q446, "NA")</f>
      </c>
      <c r="S381" s="15"/>
      <c r="T381" s="13">
        <v>35400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34500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3000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4975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3672.5</v>
      </c>
      <c r="R382" s="14">
        <f>IFERROR(Q382/Q446, "NA")</f>
      </c>
      <c r="S382" s="15"/>
      <c r="T382" s="13">
        <v>8500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22216.509999999998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674.15999999999997</v>
      </c>
      <c r="C383" s="14">
        <f>IFERROR(B383/B446, "NA")</f>
      </c>
      <c r="D383" s="15"/>
      <c r="E383" s="13">
        <v>506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505.62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2067.48</v>
      </c>
      <c r="R383" s="14">
        <f>IFERROR(Q383/Q446, "NA")</f>
      </c>
      <c r="S383" s="15"/>
      <c r="T383" s="13">
        <v>1518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1011.24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158.96000000000001</v>
      </c>
      <c r="C386" s="14">
        <f>IFERROR(B386/B446, "NA")</f>
      </c>
      <c r="D386" s="15"/>
      <c r="E386" s="13">
        <v>1000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8948.4599999999991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10781.309999999999</v>
      </c>
      <c r="R386" s="14">
        <f>IFERROR(Q386/Q446, "NA")</f>
      </c>
      <c r="S386" s="15"/>
      <c r="T386" s="13">
        <v>2750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13244.190000000001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51.469999999999999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51.469999999999999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16927.450000000001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36909.400000000001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6382.9899999999998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4190.9200000000001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20515.759999999998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10997.389999999999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9314.7199999999993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12908.549999999999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19307.07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36147.029999999999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3502.1999999999998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6146.2399999999998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12526.51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15277.17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6448.5500000000002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10471.059999999999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6612.0600000000004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207.66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316.89999999999998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12673.75</v>
      </c>
      <c r="C398" s="14">
        <f>IFERROR(B398/B446, "NA")</f>
      </c>
      <c r="D398" s="15"/>
      <c r="E398" s="13">
        <v>9200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4113.4399999999996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34879.5</v>
      </c>
      <c r="R398" s="14">
        <f>IFERROR(Q398/Q446, "NA")</f>
      </c>
      <c r="S398" s="15"/>
      <c r="T398" s="13">
        <v>25600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8675.2800000000007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247.63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198.62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871.73000000000002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498.64999999999998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55</v>
      </c>
      <c r="C400" s="14">
        <f>IFERROR(B400/B446, "NA")</f>
      </c>
      <c r="D400" s="15"/>
      <c r="E400" s="13">
        <v>100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100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870.84000000000003</v>
      </c>
      <c r="R400" s="14">
        <f>IFERROR(Q400/Q446, "NA")</f>
      </c>
      <c r="S400" s="15"/>
      <c r="T400" s="13">
        <v>100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100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-13500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-40500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59.700000000000003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59.700000000000003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179.09999999999999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304.29000000000002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268.38999999999999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268.37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805.13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536.74000000000001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idden="1" ht="16.5" customHeight="1">
      <c t="s" r="A418" s="12">
        <v>383</v>
      </c>
      <c r="B418" s="13">
        <v>0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0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0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0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-1725.6900000000001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-1012.04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-14127.450000000001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-44940.809999999998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-0.98999999999999999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-1274.3499999999999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-12030.99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-5212.8599999999997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-12483.799999999999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0</v>
      </c>
      <c r="C446" s="33"/>
      <c r="D446" s="15"/>
      <c r="E446" s="13">
        <v>0</v>
      </c>
      <c r="F446" s="33"/>
      <c r="G446" s="15"/>
      <c r="H446" s="16">
        <f>IFERROR(B446-E446, "NA")</f>
      </c>
      <c r="I446" s="33"/>
      <c r="J446" s="15"/>
      <c r="K446" s="13">
        <v>0</v>
      </c>
      <c r="L446" s="33"/>
      <c r="M446" s="15"/>
      <c r="N446" s="16">
        <f>IFERROR(B446-K446, "NA")</f>
      </c>
      <c r="O446" s="33"/>
      <c r="P446" s="15"/>
      <c r="Q446" s="13">
        <v>0</v>
      </c>
      <c r="R446" s="33"/>
      <c r="S446" s="15"/>
      <c r="T446" s="13">
        <v>0</v>
      </c>
      <c r="U446" s="33"/>
      <c r="V446" s="15"/>
      <c r="W446" s="16">
        <f>IFERROR(Q446-T446, "NA")</f>
      </c>
      <c r="X446" s="33"/>
      <c r="Y446" s="15"/>
      <c r="Z446" s="13">
        <v>0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414</v>
      </c>
      <c t="s" r="B3" s="3">
        <v>414</v>
      </c>
      <c t="s" r="C3" s="3">
        <v>414</v>
      </c>
      <c t="s" r="D3" s="3">
        <v>414</v>
      </c>
      <c t="s" r="E3" s="3">
        <v>414</v>
      </c>
      <c t="s" r="F3" s="3">
        <v>414</v>
      </c>
      <c t="s" r="G3" s="3">
        <v>414</v>
      </c>
      <c t="s" r="H3" s="3">
        <v>414</v>
      </c>
      <c t="s" r="I3" s="3">
        <v>414</v>
      </c>
      <c t="s" r="J3" s="3">
        <v>414</v>
      </c>
      <c t="s" r="K3" s="3">
        <v>414</v>
      </c>
      <c t="s" r="L3" s="3">
        <v>414</v>
      </c>
      <c t="s" r="M3" s="3">
        <v>414</v>
      </c>
      <c t="s" r="N3" s="3">
        <v>414</v>
      </c>
      <c t="s" r="O3" s="3">
        <v>414</v>
      </c>
      <c t="s" r="P3" s="3">
        <v>414</v>
      </c>
      <c t="s" r="Q3" s="3">
        <v>414</v>
      </c>
      <c t="s" r="R3" s="3">
        <v>414</v>
      </c>
      <c t="s" r="S3" s="3">
        <v>414</v>
      </c>
      <c t="s" r="T3" s="3">
        <v>414</v>
      </c>
      <c t="s" r="U3" s="3">
        <v>414</v>
      </c>
      <c t="s" r="V3" s="3">
        <v>414</v>
      </c>
      <c t="s" r="W3" s="3">
        <v>414</v>
      </c>
      <c t="s" r="X3" s="3">
        <v>414</v>
      </c>
      <c t="s" r="Y3" s="3">
        <v>414</v>
      </c>
      <c t="s" r="Z3" s="3">
        <v>414</v>
      </c>
      <c t="s" r="AA3" s="3">
        <v>414</v>
      </c>
      <c t="s" r="AB3" s="3">
        <v>414</v>
      </c>
      <c t="s" r="AC3" s="3">
        <v>414</v>
      </c>
      <c t="s" r="AD3" s="3">
        <v>414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52074.260000000002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119271.61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43856.629999999997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52245.660000000003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94418.740000000005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105907.34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4185.1999999999998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5385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8985.1000000000004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10272.200000000001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235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231.5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479.5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449.5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86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445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121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820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136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84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226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153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1.05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1.3500000000000001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2.9199999999999999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1.3500000000000001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11345.15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25985.099999999999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8680.5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1956.45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19927.5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6834.7399999999998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13653.66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816.85000000000002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820.74000000000001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2131.77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2026.04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307.01999999999998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669.17999999999995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2792.1300000000001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4920.8000000000002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862.55999999999995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862.55999999999995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2396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2378.0300000000002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21555.790000000001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49371.690000000002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6653.0500000000002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6768.1899999999996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17461.970000000001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17600.900000000001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753.10000000000002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744.13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1226.45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1724.8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15722.73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15477.200000000001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33525.080000000002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35284.050000000003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603.38999999999999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1301.1400000000001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632.85000000000002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116.34999999999999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2032.0999999999999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22690.310000000001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51970.199999999997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9192.2199999999993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2117.8600000000001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13388.77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18483.619999999999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453.01999999999998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581.63999999999999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1100.2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3454.79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2353.9699999999998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6023.8599999999997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4430.96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26254.23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1925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4368.5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7804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5644.6700000000001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565.97000000000003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5331.9300000000003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334.29000000000002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1767.3800000000001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3735.79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1767.3800000000001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11572.059999999999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26504.810000000001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9996.9899999999998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21262.290000000001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1487.52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1887.74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1833.8699999999999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2237.0700000000002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9120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15940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5319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14100.5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907.61000000000001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2078.8000000000002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632.20000000000005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155.25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1014.4299999999999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607.64999999999998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75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50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200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249.90000000000001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505.31999999999999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456.25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2480.9499999999998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25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35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35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25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50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25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28.870000000000001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-38.75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49.719999999999999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-140.97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-86.5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-290.05000000000001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-6693.6400000000003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-15331.209999999999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-1384.74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-1525.3399999999999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-3351.02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-4013.1399999999999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-1238.51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-2309.2199999999998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-3822.5300000000002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-5377.8800000000001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-168.75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-12.85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-349.38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-752.16999999999996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-18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-64.439999999999998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-1248.8499999999999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-878.10000000000002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-3009.25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-2619.1799999999998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-48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-300.37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-542.19000000000005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-963.96000000000004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-1370.25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-204.43000000000001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-244.43000000000001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-235.87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24051.73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55613.029999999999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5555.9499999999998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6018.3299999999999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12103.76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13876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3270.8000000000002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3368.5900000000001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7278.7700000000004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7636.2299999999996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4804.8599999999997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3977.5799999999999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9861.0799999999999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9674.7700000000004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2515.3800000000001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2337.1999999999998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5501.8500000000004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4997.6999999999998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1238.6700000000001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1160.24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2751.77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2203.96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914.35000000000002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998.58000000000004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2121.75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1997.96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1349.8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2789.0999999999999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634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588.25999999999999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1284.3599999999999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1410.6600000000001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7800.9200000000001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5937.04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18330.029999999999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12925.83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1361.4200000000001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3118.2199999999998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1419.95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1850.47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3093.21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3109.48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75.629999999999995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166.44999999999999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164.88999999999999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267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11.66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78.299999999999997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19.989999999999998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152.34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8.5600000000000005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48.390000000000001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28.25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85.969999999999999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4538.0600000000004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10394.040000000001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3425.0599999999999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3623.04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7718.5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8059.1400000000003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2291.9499999999998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725.01999999999998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5182.8699999999999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2359.6900000000001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74.200000000000003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600.47000000000003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376.00999999999999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1320.05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992.26999999999998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2.3300000000000001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2.3300000000000001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88.400000000000006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93.590000000000003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191.22999999999999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236.18000000000001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174.13999999999999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35.600000000000001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210.13999999999999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98.200000000000003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-1099.23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-2299.8600000000001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-2854.3299999999999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-6639.8100000000004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5919.0699999999997</v>
      </c>
      <c r="C178" s="14">
        <f>IFERROR(B178/B446, "NA")</f>
      </c>
      <c r="D178" s="15"/>
      <c r="E178" s="13">
        <v>5769.25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5769.25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16072.91</v>
      </c>
      <c r="R178" s="14">
        <f>IFERROR(Q178/Q446, "NA")</f>
      </c>
      <c r="S178" s="15"/>
      <c r="T178" s="13">
        <v>15000.049999999999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15000.049999999999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22380.07</v>
      </c>
      <c r="C180" s="14">
        <f>IFERROR(B180/B446, "NA")</f>
      </c>
      <c r="D180" s="15"/>
      <c r="E180" s="13">
        <v>21555.790000000001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19997.130000000001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52226.690000000002</v>
      </c>
      <c r="R180" s="14">
        <f>IFERROR(Q180/Q446, "NA")</f>
      </c>
      <c r="S180" s="15"/>
      <c r="T180" s="13">
        <v>50840.269999999997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48662.849999999999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317.73000000000002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120.83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553.15999999999997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199.28999999999999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-125</v>
      </c>
      <c r="C184" s="14">
        <f>IFERROR(B184/B446, "NA")</f>
      </c>
      <c r="D184" s="15"/>
      <c r="E184" s="13">
        <v>275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300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205</v>
      </c>
      <c r="R184" s="14">
        <f>IFERROR(Q184/Q446, "NA")</f>
      </c>
      <c r="S184" s="15"/>
      <c r="T184" s="13">
        <v>605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900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3264.3200000000002</v>
      </c>
      <c r="C186" s="14">
        <f>IFERROR(B186/B446, "NA")</f>
      </c>
      <c r="D186" s="15"/>
      <c r="E186" s="13">
        <v>3585.77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3292.7199999999998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8144.4200000000001</v>
      </c>
      <c r="R186" s="14">
        <f>IFERROR(Q186/Q446, "NA")</f>
      </c>
      <c r="S186" s="15"/>
      <c r="T186" s="13">
        <v>9835.5200000000004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9318.6100000000006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250.72</v>
      </c>
      <c r="C194" s="14">
        <f>IFERROR(B194/B446, "NA")</f>
      </c>
      <c r="D194" s="15"/>
      <c r="E194" s="13">
        <v>220.80000000000001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212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942.89999999999998</v>
      </c>
      <c r="R194" s="14">
        <f>IFERROR(Q194/Q446, "NA")</f>
      </c>
      <c r="S194" s="15"/>
      <c r="T194" s="13">
        <v>531.55999999999995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751.53999999999996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-7.1500000000000004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-227.19999999999999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-0.01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-572.75999999999999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631.59000000000003</v>
      </c>
      <c r="C202" s="14">
        <f>IFERROR(B202/B446, "NA")</f>
      </c>
      <c r="D202" s="15"/>
      <c r="E202" s="13">
        <v>907.61000000000001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723.63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1396.6600000000001</v>
      </c>
      <c r="R202" s="14">
        <f>IFERROR(Q202/Q446, "NA")</f>
      </c>
      <c r="S202" s="15"/>
      <c r="T202" s="13">
        <v>2078.8000000000002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1803.3599999999999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701.83000000000004</v>
      </c>
      <c r="C203" s="14">
        <f>IFERROR(B203/B446, "NA")</f>
      </c>
      <c r="D203" s="15"/>
      <c r="E203" s="13">
        <v>1021.0599999999999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769.87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1543.6199999999999</v>
      </c>
      <c r="R203" s="14">
        <f>IFERROR(Q203/Q446, "NA")</f>
      </c>
      <c r="S203" s="15"/>
      <c r="T203" s="13">
        <v>2338.6599999999999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1521.73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579.75999999999999</v>
      </c>
      <c r="C204" s="14">
        <f>IFERROR(B204/B446, "NA")</f>
      </c>
      <c r="D204" s="15"/>
      <c r="E204" s="13">
        <v>226.90000000000001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30.579999999999998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637.80999999999995</v>
      </c>
      <c r="R204" s="14">
        <f>IFERROR(Q204/Q446, "NA")</f>
      </c>
      <c r="S204" s="15"/>
      <c r="T204" s="13">
        <v>519.70000000000005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300.70999999999998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392.52999999999997</v>
      </c>
      <c r="C205" s="14">
        <f>IFERROR(B205/B446, "NA")</f>
      </c>
      <c r="D205" s="15"/>
      <c r="E205" s="13">
        <v>340.35000000000002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492.32999999999998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1052.03</v>
      </c>
      <c r="R205" s="14">
        <f>IFERROR(Q205/Q446, "NA")</f>
      </c>
      <c r="S205" s="15"/>
      <c r="T205" s="13">
        <v>779.54999999999995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1080.3599999999999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613.92999999999995</v>
      </c>
      <c r="C206" s="14">
        <f>IFERROR(B206/B446, "NA")</f>
      </c>
      <c r="D206" s="15"/>
      <c r="E206" s="13">
        <v>113.45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622.30999999999995</v>
      </c>
      <c r="R206" s="14">
        <f>IFERROR(Q206/Q446, "NA")</f>
      </c>
      <c r="S206" s="15"/>
      <c r="T206" s="13">
        <v>259.85000000000002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10.800000000000001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156.74000000000001</v>
      </c>
      <c r="R207" s="14">
        <f>IFERROR(Q207/Q446, "NA")</f>
      </c>
      <c r="S207" s="15"/>
      <c r="T207" s="13">
        <v>300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99.590000000000003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76.599999999999994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231.08000000000001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170.28999999999999</v>
      </c>
      <c r="R208" s="14">
        <f>IFERROR(Q208/Q446, "NA")</f>
      </c>
      <c r="S208" s="15"/>
      <c r="T208" s="13">
        <v>300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828.99000000000001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3290.0900000000001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7535.6800000000003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591.38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1886.96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2276.48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4733.5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110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1.71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110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1.71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3782.02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3323.48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6772.4300000000003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7437.7700000000004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487.20999999999998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262.67000000000002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721.21000000000004</v>
      </c>
      <c r="R222" s="14">
        <f>IFERROR(Q222/Q446, "NA")</f>
      </c>
      <c r="S222" s="15"/>
      <c r="T222" s="13">
        <v>300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510.57999999999998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907.61000000000001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2078.8000000000002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83.950000000000003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83.950000000000003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149.56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126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426.05000000000001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1003.39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707.71000000000004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1674.3299999999999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2895.6100000000001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38.740000000000002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55.130000000000003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6126.3800000000001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14031.950000000001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74.75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101.95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189.78999999999999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561.48000000000002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819.48000000000002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685.98000000000002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2066.7199999999998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1799.0599999999999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412.31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1012.0599999999999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752.78999999999996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4315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1950.3900000000001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4204.4499999999998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172.58000000000001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207.97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275.08999999999997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454.80000000000001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259.16000000000003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259.16000000000003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615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610.83000000000004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2805.4499999999998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2116.0900000000001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5810.6700000000001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4869.8500000000004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33.469999999999999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271.29000000000002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29.09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441.85000000000002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933.95000000000005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441.85000000000002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148.75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228.80000000000001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225.63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225.63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1063.8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2820.0999999999999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3307.04</v>
      </c>
      <c r="C266" s="14">
        <f>IFERROR(B266/B446, "NA")</f>
      </c>
      <c r="D266" s="15"/>
      <c r="E266" s="13">
        <v>3063.1900000000001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3270.2399999999998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6660.5299999999997</v>
      </c>
      <c r="R266" s="14">
        <f>IFERROR(Q266/Q446, "NA")</f>
      </c>
      <c r="S266" s="15"/>
      <c r="T266" s="13">
        <v>7015.9700000000003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6688.2200000000003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44.619999999999997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267</v>
      </c>
      <c r="C271" s="14">
        <f>IFERROR(B271/B446, "NA")</f>
      </c>
      <c r="D271" s="15"/>
      <c r="E271" s="13">
        <v>236.72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218.47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801</v>
      </c>
      <c r="R271" s="14">
        <f>IFERROR(Q271/Q446, "NA")</f>
      </c>
      <c r="S271" s="15"/>
      <c r="T271" s="13">
        <v>710.15999999999997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655.40999999999997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1142.46</v>
      </c>
      <c r="C272" s="14">
        <f>IFERROR(B272/B446, "NA")</f>
      </c>
      <c r="D272" s="15"/>
      <c r="E272" s="13">
        <v>1078.3299999999999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1196.0699999999999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3427.3800000000001</v>
      </c>
      <c r="R272" s="14">
        <f>IFERROR(Q272/Q446, "NA")</f>
      </c>
      <c r="S272" s="15"/>
      <c r="T272" s="13">
        <v>3234.9899999999998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3632.4699999999998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1067.5899999999999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3202.77</v>
      </c>
      <c r="R288" s="14">
        <f>IFERROR(Q288/Q446, "NA")</f>
      </c>
      <c r="S288" s="15"/>
      <c r="T288" s="13">
        <v>2913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2911.5900000000001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260.13</v>
      </c>
      <c r="C289" s="14">
        <f>IFERROR(B289/B446, "NA")</f>
      </c>
      <c r="D289" s="15"/>
      <c r="E289" s="13">
        <v>263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371.94999999999999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780.38999999999999</v>
      </c>
      <c r="R289" s="14">
        <f>IFERROR(Q289/Q446, "NA")</f>
      </c>
      <c r="S289" s="15"/>
      <c r="T289" s="13">
        <v>789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1115.8499999999999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237.03</v>
      </c>
      <c r="C290" s="14">
        <f>IFERROR(B290/B446, "NA")</f>
      </c>
      <c r="D290" s="15"/>
      <c r="E290" s="13">
        <v>224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381.86000000000001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711.09000000000003</v>
      </c>
      <c r="R290" s="14">
        <f>IFERROR(Q290/Q446, "NA")</f>
      </c>
      <c r="S290" s="15"/>
      <c r="T290" s="13">
        <v>672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801.26999999999998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1377.3399999999999</v>
      </c>
      <c r="C291" s="14">
        <f>IFERROR(B291/B446, "NA")</f>
      </c>
      <c r="D291" s="15"/>
      <c r="E291" s="13">
        <v>340.35000000000002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250.96000000000001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1705.6500000000001</v>
      </c>
      <c r="R291" s="14">
        <f>IFERROR(Q291/Q446, "NA")</f>
      </c>
      <c r="S291" s="15"/>
      <c r="T291" s="13">
        <v>925.95000000000005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763.09000000000003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991.79999999999995</v>
      </c>
      <c r="C292" s="14">
        <f>IFERROR(B292/B446, "NA")</f>
      </c>
      <c r="D292" s="15"/>
      <c r="E292" s="13">
        <v>453.81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679.70000000000005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4356.5299999999997</v>
      </c>
      <c r="R292" s="14">
        <f>IFERROR(Q292/Q446, "NA")</f>
      </c>
      <c r="S292" s="15"/>
      <c r="T292" s="13">
        <v>1039.4100000000001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1800.9200000000001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340.35000000000002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779.54999999999995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1703.6900000000001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170.18000000000001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389.76999999999998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299.99000000000001</v>
      </c>
      <c r="C295" s="14">
        <f>IFERROR(B295/B446, "NA")</f>
      </c>
      <c r="D295" s="15"/>
      <c r="E295" s="13">
        <v>350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622.30999999999995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899.98000000000002</v>
      </c>
      <c r="R295" s="14">
        <f>IFERROR(Q295/Q446, "NA")</f>
      </c>
      <c r="S295" s="15"/>
      <c r="T295" s="13">
        <v>1050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1063.96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496.08999999999997</v>
      </c>
      <c r="C300" s="14">
        <f>IFERROR(B300/B446, "NA")</f>
      </c>
      <c r="D300" s="15"/>
      <c r="E300" s="13">
        <v>489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516.35000000000002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1488.27</v>
      </c>
      <c r="R300" s="14">
        <f>IFERROR(Q300/Q446, "NA")</f>
      </c>
      <c r="S300" s="15"/>
      <c r="T300" s="13">
        <v>1467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1549.05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54.060000000000002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-87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68.060000000000002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-57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3.1200000000000001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87.969999999999999</v>
      </c>
      <c r="R311" s="14">
        <f>IFERROR(Q311/Q446, "NA")</f>
      </c>
      <c r="S311" s="15"/>
      <c r="T311" s="13">
        <v>165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68.980000000000004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26.73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681.82000000000005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102.48999999999999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1721.1500000000001</v>
      </c>
      <c r="R313" s="14">
        <f>IFERROR(Q313/Q446, "NA")</f>
      </c>
      <c r="S313" s="15"/>
      <c r="T313" s="13">
        <v>105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153.49000000000001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35</v>
      </c>
      <c r="C314" s="14">
        <f>IFERROR(B314/B446, "NA")</f>
      </c>
      <c r="D314" s="15"/>
      <c r="E314" s="13">
        <v>25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43.600000000000001</v>
      </c>
      <c r="R314" s="14">
        <f>IFERROR(Q314/Q446, "NA")</f>
      </c>
      <c r="S314" s="15"/>
      <c r="T314" s="13">
        <v>75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20.050000000000001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291.81999999999999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291.81999999999999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414.56999999999999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414.56999999999999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1243.71</v>
      </c>
      <c r="R319" s="14">
        <f>IFERROR(Q319/Q446, "NA")</f>
      </c>
      <c r="S319" s="15"/>
      <c r="T319" s="13">
        <v>1245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1243.71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149.62</v>
      </c>
      <c r="C320" s="14">
        <f>IFERROR(B320/B446, "NA")</f>
      </c>
      <c r="D320" s="15"/>
      <c r="E320" s="13">
        <v>150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149.58000000000001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448.88999999999999</v>
      </c>
      <c r="R320" s="14">
        <f>IFERROR(Q320/Q446, "NA")</f>
      </c>
      <c r="S320" s="15"/>
      <c r="T320" s="13">
        <v>450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448.69999999999999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1019.8099999999999</v>
      </c>
      <c r="C321" s="14">
        <f>IFERROR(B321/B446, "NA")</f>
      </c>
      <c r="D321" s="15"/>
      <c r="E321" s="13">
        <v>1242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1018.5700000000001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4679.8699999999999</v>
      </c>
      <c r="R321" s="14">
        <f>IFERROR(Q321/Q446, "NA")</f>
      </c>
      <c r="S321" s="15"/>
      <c r="T321" s="13">
        <v>3726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3017.5799999999999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1099.23</v>
      </c>
      <c r="C322" s="14">
        <f>IFERROR(B322/B446, "NA")</f>
      </c>
      <c r="D322" s="15"/>
      <c r="E322" s="13">
        <v>1701.77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2299.8600000000001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2854.3299999999999</v>
      </c>
      <c r="R322" s="14">
        <f>IFERROR(Q322/Q446, "NA")</f>
      </c>
      <c r="S322" s="15"/>
      <c r="T322" s="13">
        <v>3832.1900000000001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6639.8100000000004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210.25999999999999</v>
      </c>
      <c r="C323" s="14">
        <f>IFERROR(B323/B446, "NA")</f>
      </c>
      <c r="D323" s="15"/>
      <c r="E323" s="13">
        <v>250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552.38999999999999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534.84000000000003</v>
      </c>
      <c r="R323" s="14">
        <f>IFERROR(Q323/Q446, "NA")</f>
      </c>
      <c r="S323" s="15"/>
      <c r="T323" s="13">
        <v>750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1266.9300000000001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4735.6999999999998</v>
      </c>
      <c r="C330" s="14">
        <f>IFERROR(B330/B446, "NA")</f>
      </c>
      <c r="D330" s="15"/>
      <c r="E330" s="13">
        <v>4735.6999999999998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4597.7600000000002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14207.1</v>
      </c>
      <c r="R330" s="14">
        <f>IFERROR(Q330/Q446, "NA")</f>
      </c>
      <c r="S330" s="15"/>
      <c r="T330" s="13">
        <v>14207.1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13793.280000000001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4594.1899999999996</v>
      </c>
      <c r="C331" s="14">
        <f>IFERROR(B331/B446, "NA")</f>
      </c>
      <c r="D331" s="15"/>
      <c r="E331" s="13">
        <v>1736.5999999999999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2937.1300000000001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8067.3900000000003</v>
      </c>
      <c r="R331" s="14">
        <f>IFERROR(Q331/Q446, "NA")</f>
      </c>
      <c r="S331" s="15"/>
      <c r="T331" s="13">
        <v>5209.8000000000002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6309.1700000000001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1497.77</v>
      </c>
      <c r="C334" s="14">
        <f>IFERROR(B334/B446, "NA")</f>
      </c>
      <c r="D334" s="15"/>
      <c r="E334" s="13">
        <v>1914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2192.9899999999998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5261.7299999999996</v>
      </c>
      <c r="R334" s="14">
        <f>IFERROR(Q334/Q446, "NA")</f>
      </c>
      <c r="S334" s="15"/>
      <c r="T334" s="13">
        <v>5742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6020.9300000000003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729.29999999999995</v>
      </c>
      <c r="C335" s="14">
        <f>IFERROR(B335/B446, "NA")</f>
      </c>
      <c r="D335" s="15"/>
      <c r="E335" s="13">
        <v>729.29999999999995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708.05999999999995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2005.1500000000001</v>
      </c>
      <c r="C339" s="14">
        <f>IFERROR(B339/B446, "NA")</f>
      </c>
      <c r="D339" s="15"/>
      <c r="E339" s="13">
        <v>3290.0900000000001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2178.54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7035.0600000000004</v>
      </c>
      <c r="R339" s="14">
        <f>IFERROR(Q339/Q446, "NA")</f>
      </c>
      <c r="S339" s="15"/>
      <c r="T339" s="13">
        <v>7535.6800000000003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7173.54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552.23000000000002</v>
      </c>
      <c r="C340" s="14">
        <f>IFERROR(B340/B446, "NA")</f>
      </c>
      <c r="D340" s="15"/>
      <c r="E340" s="13">
        <v>453.81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278.17000000000002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1339.4400000000001</v>
      </c>
      <c r="R340" s="14">
        <f>IFERROR(Q340/Q446, "NA")</f>
      </c>
      <c r="S340" s="15"/>
      <c r="T340" s="13">
        <v>1039.4100000000001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902.27999999999997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612.39999999999998</v>
      </c>
      <c r="C341" s="14">
        <f>IFERROR(B341/B446, "NA")</f>
      </c>
      <c r="D341" s="15"/>
      <c r="E341" s="13">
        <v>453.81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516.27999999999997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1612.6099999999999</v>
      </c>
      <c r="R341" s="14">
        <f>IFERROR(Q341/Q446, "NA")</f>
      </c>
      <c r="S341" s="15"/>
      <c r="T341" s="13">
        <v>1039.4100000000001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1359.4000000000001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4159.1199999999999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11969.129999999999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5396.21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3879.3499999999999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14867.48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11545.23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4.2300000000000004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14.039999999999999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10.470000000000001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61.640000000000001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67.079999999999998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47.920000000000002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201.24000000000001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143.75999999999999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t="16.5" customHeight="1">
      <c t="s" r="A427" s="12">
        <v>392</v>
      </c>
      <c r="B427" s="13">
        <v>12875.209999999999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12875.209999999999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-102.23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-122.09999999999999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-331.22000000000003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-400.08999999999997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120901.31</v>
      </c>
      <c r="C446" s="33"/>
      <c r="D446" s="15"/>
      <c r="E446" s="13">
        <v>113451.53999999999</v>
      </c>
      <c r="F446" s="33"/>
      <c r="G446" s="15"/>
      <c r="H446" s="16">
        <f>IFERROR(B446-E446, "NA")</f>
      </c>
      <c r="I446" s="33"/>
      <c r="J446" s="15"/>
      <c r="K446" s="13">
        <v>104179.56</v>
      </c>
      <c r="L446" s="33"/>
      <c r="M446" s="15"/>
      <c r="N446" s="16">
        <f>IFERROR(B446-K446, "NA")</f>
      </c>
      <c r="O446" s="33"/>
      <c r="P446" s="15"/>
      <c r="Q446" s="13">
        <v>262435.96000000002</v>
      </c>
      <c r="R446" s="33"/>
      <c r="S446" s="15"/>
      <c r="T446" s="13">
        <v>259851</v>
      </c>
      <c r="U446" s="33"/>
      <c r="V446" s="15"/>
      <c r="W446" s="16">
        <f>IFERROR(Q446-T446, "NA")</f>
      </c>
      <c r="X446" s="33"/>
      <c r="Y446" s="15"/>
      <c r="Z446" s="13">
        <v>245232.67000000001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415</v>
      </c>
      <c t="s" r="B3" s="3">
        <v>415</v>
      </c>
      <c t="s" r="C3" s="3">
        <v>415</v>
      </c>
      <c t="s" r="D3" s="3">
        <v>415</v>
      </c>
      <c t="s" r="E3" s="3">
        <v>415</v>
      </c>
      <c t="s" r="F3" s="3">
        <v>415</v>
      </c>
      <c t="s" r="G3" s="3">
        <v>415</v>
      </c>
      <c t="s" r="H3" s="3">
        <v>415</v>
      </c>
      <c t="s" r="I3" s="3">
        <v>415</v>
      </c>
      <c t="s" r="J3" s="3">
        <v>415</v>
      </c>
      <c t="s" r="K3" s="3">
        <v>415</v>
      </c>
      <c t="s" r="L3" s="3">
        <v>415</v>
      </c>
      <c t="s" r="M3" s="3">
        <v>415</v>
      </c>
      <c t="s" r="N3" s="3">
        <v>415</v>
      </c>
      <c t="s" r="O3" s="3">
        <v>415</v>
      </c>
      <c t="s" r="P3" s="3">
        <v>415</v>
      </c>
      <c t="s" r="Q3" s="3">
        <v>415</v>
      </c>
      <c t="s" r="R3" s="3">
        <v>415</v>
      </c>
      <c t="s" r="S3" s="3">
        <v>415</v>
      </c>
      <c t="s" r="T3" s="3">
        <v>415</v>
      </c>
      <c t="s" r="U3" s="3">
        <v>415</v>
      </c>
      <c t="s" r="V3" s="3">
        <v>415</v>
      </c>
      <c t="s" r="W3" s="3">
        <v>415</v>
      </c>
      <c t="s" r="X3" s="3">
        <v>415</v>
      </c>
      <c t="s" r="Y3" s="3">
        <v>415</v>
      </c>
      <c t="s" r="Z3" s="3">
        <v>415</v>
      </c>
      <c t="s" r="AA3" s="3">
        <v>415</v>
      </c>
      <c t="s" r="AB3" s="3">
        <v>415</v>
      </c>
      <c t="s" r="AC3" s="3">
        <v>415</v>
      </c>
      <c t="s" r="AD3" s="3">
        <v>415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67904.610000000001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151586.03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62076.349999999999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64144.629999999997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131616.48000000001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126794.23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6295.75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5475.3900000000003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13066.85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10421.790000000001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166.5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640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365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926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35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720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80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1145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21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103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110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260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0.10000000000000001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0.46000000000000002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0.59999999999999998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20128.869999999999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44934.440000000002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8678.7000000000007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4179.4499999999998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20278.150000000001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8113.8800000000001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16801.959999999999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2032.6199999999999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2111.3899999999999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4311.8400000000001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4861.0900000000001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508.19999999999999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829.42999999999995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4779.5600000000004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4938.1599999999999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8773.5900000000001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9994.7399999999998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910.48000000000002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790.67999999999995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2569.71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2330.1100000000001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53838.650000000001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120186.06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27248.889999999999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25590.360000000001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64869.949999999997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62080.040000000001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1825.9300000000001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3159.0100000000002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4261.9700000000003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6481.8299999999999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42073.349999999999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35585.269999999997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84505.970000000001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75457.479999999996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2638.9699999999998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4504.1499999999996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3083.9000000000001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904.59000000000003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6291.8000000000002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82698.110000000001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184610.12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11599.719999999999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18498.57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25127.779999999999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32988.330000000002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64512.860000000001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51175.160000000003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135119.70999999999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119489.74000000001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2413.1500000000001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3787.6399999999999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6911.7399999999998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10567.08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5600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12600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47.5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47.5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21098.93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47099.940000000002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2609.0100000000002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8333.4300000000003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17687.639999999999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40048.559999999998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16868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760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760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1353.8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6790.46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15158.6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995.92999999999995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1787.53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2247.3099999999999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3202.8000000000002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6366.8699999999999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3869.1399999999999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13285.799999999999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10601.799999999999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-51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-51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0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59.590000000000003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-572.49000000000001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-9943.1700000000001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-22196.52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-1844.75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-3497.1500000000001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-4092.8800000000001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-6956.1000000000004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-1317.53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-2429.5300000000002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-4524.8299999999999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-5256.0900000000001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-1026.78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-759.32000000000005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-2155.9200000000001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-1164.98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-35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-78.069999999999993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-2982.2399999999998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-1791.1800000000001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-6106.5100000000002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-5046.1800000000003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-86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-1291.4000000000001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-1003.73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-1666.8299999999999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-1916.9100000000001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-233.74000000000001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-1598.9000000000001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-300.58999999999997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-1687.0599999999999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49473.360000000001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112005.10000000001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12706.790000000001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12005.440000000001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26747.639999999999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27829.990000000002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6463.2700000000004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6464.8000000000002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14937.33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14467.549999999999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9634.2099999999991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7519.7399999999998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19366.919999999998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18194.369999999999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5417.75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4989.8199999999997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11853.629999999999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10794.23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2553.9099999999999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2370.6599999999999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5654.3299999999999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4381.29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2613.0999999999999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1962.95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5612.8599999999997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5084.6800000000003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1696.46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3399.1500000000001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995.29999999999995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1340.03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2466.46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2627.75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15079.719999999999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11547.639999999999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35403.410000000003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25746.130000000001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2182.6500000000001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4872.4099999999999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2930.0999999999999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379.95999999999998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5893.6400000000003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3913.4299999999998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42.770000000000003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1422.4200000000001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103.59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439.51999999999998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1.6000000000000001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219.25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7.9900000000000002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700.60000000000002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32.619999999999997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338.12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33.130000000000003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382.92000000000002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9943.1700000000001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22196.52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6243.9099999999999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6173.1300000000001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14042.26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13342.040000000001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4258.25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4011.1500000000001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8837.9200000000001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8428.4300000000003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90.5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118.69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312.92000000000002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239.12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738.47000000000003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410.61000000000001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241.09999999999999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183.38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601.16999999999996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394.85000000000002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234.88999999999999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68.599999999999994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338.44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164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-1961.02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-4576.1499999999996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-4277.5600000000004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-8798.1299999999992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12596.15</v>
      </c>
      <c r="C178" s="14">
        <f>IFERROR(B178/B446, "NA")</f>
      </c>
      <c r="D178" s="15"/>
      <c r="E178" s="13">
        <v>12596.15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12596.15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32749.990000000002</v>
      </c>
      <c r="R178" s="14">
        <f>IFERROR(Q178/Q446, "NA")</f>
      </c>
      <c r="S178" s="15"/>
      <c r="T178" s="13">
        <v>32749.990000000002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32749.990000000002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37432.639999999999</v>
      </c>
      <c r="C180" s="14">
        <f>IFERROR(B180/B446, "NA")</f>
      </c>
      <c r="D180" s="15"/>
      <c r="E180" s="13">
        <v>37347.540000000001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35326.449999999997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85797.789999999994</v>
      </c>
      <c r="R180" s="14">
        <f>IFERROR(Q180/Q446, "NA")</f>
      </c>
      <c r="S180" s="15"/>
      <c r="T180" s="13">
        <v>84910.210000000006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81748.539999999994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1339.6600000000001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1051.8499999999999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1427.76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1267.47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-1637</v>
      </c>
      <c r="C184" s="14">
        <f>IFERROR(B184/B446, "NA")</f>
      </c>
      <c r="D184" s="15"/>
      <c r="E184" s="13">
        <v>1012.5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1150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89</v>
      </c>
      <c r="R184" s="14">
        <f>IFERROR(Q184/Q446, "NA")</f>
      </c>
      <c r="S184" s="15"/>
      <c r="T184" s="13">
        <v>2737.5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3450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5819.2299999999996</v>
      </c>
      <c r="C186" s="14">
        <f>IFERROR(B186/B446, "NA")</f>
      </c>
      <c r="D186" s="15"/>
      <c r="E186" s="13">
        <v>5861.8500000000004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5392.6899999999996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14084.99</v>
      </c>
      <c r="R186" s="14">
        <f>IFERROR(Q186/Q446, "NA")</f>
      </c>
      <c r="S186" s="15"/>
      <c r="T186" s="13">
        <v>13158.58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12395.809999999999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250.72</v>
      </c>
      <c r="C194" s="14">
        <f>IFERROR(B194/B446, "NA")</f>
      </c>
      <c r="D194" s="15"/>
      <c r="E194" s="13">
        <v>407.64999999999998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250.16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846.44000000000005</v>
      </c>
      <c r="R194" s="14">
        <f>IFERROR(Q194/Q446, "NA")</f>
      </c>
      <c r="S194" s="15"/>
      <c r="T194" s="13">
        <v>963.17999999999995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861.77999999999997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178.12</v>
      </c>
      <c r="C195" s="14">
        <f>IFERROR(B195/B446, "NA")</f>
      </c>
      <c r="D195" s="15"/>
      <c r="E195" s="13">
        <v>727.54999999999995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381.85000000000002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656.86000000000001</v>
      </c>
      <c r="R195" s="14">
        <f>IFERROR(Q195/Q446, "NA")</f>
      </c>
      <c r="S195" s="15"/>
      <c r="T195" s="13">
        <v>1624.1300000000001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1145.55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2457.1100000000001</v>
      </c>
      <c r="C202" s="14">
        <f>IFERROR(B202/B446, "NA")</f>
      </c>
      <c r="D202" s="15"/>
      <c r="E202" s="13">
        <v>2182.6500000000001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1520.9100000000001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6191.8400000000001</v>
      </c>
      <c r="R202" s="14">
        <f>IFERROR(Q202/Q446, "NA")</f>
      </c>
      <c r="S202" s="15"/>
      <c r="T202" s="13">
        <v>4872.4099999999999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3743.6599999999999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1374.26</v>
      </c>
      <c r="C203" s="14">
        <f>IFERROR(B203/B446, "NA")</f>
      </c>
      <c r="D203" s="15"/>
      <c r="E203" s="13">
        <v>1455.0999999999999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1675.78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3311.5100000000002</v>
      </c>
      <c r="R203" s="14">
        <f>IFERROR(Q203/Q446, "NA")</f>
      </c>
      <c r="S203" s="15"/>
      <c r="T203" s="13">
        <v>3248.2800000000002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3531.8200000000002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1010.65</v>
      </c>
      <c r="C204" s="14">
        <f>IFERROR(B204/B446, "NA")</f>
      </c>
      <c r="D204" s="15"/>
      <c r="E204" s="13">
        <v>485.02999999999997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60.729999999999997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1075.6300000000001</v>
      </c>
      <c r="R204" s="14">
        <f>IFERROR(Q204/Q446, "NA")</f>
      </c>
      <c r="S204" s="15"/>
      <c r="T204" s="13">
        <v>1082.76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371.93000000000001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730.24000000000001</v>
      </c>
      <c r="C205" s="14">
        <f>IFERROR(B205/B446, "NA")</f>
      </c>
      <c r="D205" s="15"/>
      <c r="E205" s="13">
        <v>727.54999999999995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886.98000000000002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1961.25</v>
      </c>
      <c r="R205" s="14">
        <f>IFERROR(Q205/Q446, "NA")</f>
      </c>
      <c r="S205" s="15"/>
      <c r="T205" s="13">
        <v>1624.1300000000001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2282.5900000000001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33.649999999999999</v>
      </c>
      <c r="C206" s="14">
        <f>IFERROR(B206/B446, "NA")</f>
      </c>
      <c r="D206" s="15"/>
      <c r="E206" s="13">
        <v>242.52000000000001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119.48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278.76999999999998</v>
      </c>
      <c r="R206" s="14">
        <f>IFERROR(Q206/Q446, "NA")</f>
      </c>
      <c r="S206" s="15"/>
      <c r="T206" s="13">
        <v>541.38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255.24000000000001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103.77</v>
      </c>
      <c r="R207" s="14">
        <f>IFERROR(Q207/Q446, "NA")</f>
      </c>
      <c r="S207" s="15"/>
      <c r="T207" s="13">
        <v>300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362.45999999999998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173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429.25</v>
      </c>
      <c r="R208" s="14">
        <f>IFERROR(Q208/Q446, "NA")</f>
      </c>
      <c r="S208" s="15"/>
      <c r="T208" s="13">
        <v>300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402.30000000000001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9215.6299999999992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20572.400000000001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4051.4400000000001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7511.9200000000001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9485.5400000000009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17236.990000000002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1878.97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3906.6599999999999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122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3.9700000000000002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266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3.9700000000000002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9913.3799999999992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8786.6800000000003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17136.040000000001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17294.860000000001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1304.3399999999999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317.87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1642.78</v>
      </c>
      <c r="R222" s="14">
        <f>IFERROR(Q222/Q446, "NA")</f>
      </c>
      <c r="S222" s="15"/>
      <c r="T222" s="13">
        <v>300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754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5335.3599999999997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11910.33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547.87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1184.8099999999999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14.34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285.66000000000003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6225.4700000000003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4772.8999999999996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12761.57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10639.82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78.969999999999999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129.63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20613.900000000001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46017.18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3894.3800000000001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3199.1999999999998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9384.9599999999991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7848.0500000000002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10819.82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8457.1399999999994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22775.900000000001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20176.970000000001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541.80999999999995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1726.7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389.55000000000001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926.5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842.82000000000005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1887.26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211.28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183.47999999999999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596.30999999999995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540.71000000000004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7399.1300000000001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5613.4799999999996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14554.32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12132.42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3537.1700000000001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8009.3599999999997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3375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7116.4200000000001</v>
      </c>
      <c r="C266" s="14">
        <f>IFERROR(B266/B446, "NA")</f>
      </c>
      <c r="D266" s="15"/>
      <c r="E266" s="13">
        <v>5820.3999999999996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5428.3400000000001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14948.950000000001</v>
      </c>
      <c r="R266" s="14">
        <f>IFERROR(Q266/Q446, "NA")</f>
      </c>
      <c r="S266" s="15"/>
      <c r="T266" s="13">
        <v>12993.09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11572.389999999999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241.5</v>
      </c>
      <c r="C271" s="14">
        <f>IFERROR(B271/B446, "NA")</f>
      </c>
      <c r="D271" s="15"/>
      <c r="E271" s="13">
        <v>236.63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229.69999999999999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724.5</v>
      </c>
      <c r="R271" s="14">
        <f>IFERROR(Q271/Q446, "NA")</f>
      </c>
      <c r="S271" s="15"/>
      <c r="T271" s="13">
        <v>709.88999999999999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689.10000000000002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1068.3</v>
      </c>
      <c r="C272" s="14">
        <f>IFERROR(B272/B446, "NA")</f>
      </c>
      <c r="D272" s="15"/>
      <c r="E272" s="13">
        <v>1068.3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852.79999999999995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3204.9000000000001</v>
      </c>
      <c r="R272" s="14">
        <f>IFERROR(Q272/Q446, "NA")</f>
      </c>
      <c r="S272" s="15"/>
      <c r="T272" s="13">
        <v>3204.9000000000001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2558.4000000000001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597.80999999999995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145.75</v>
      </c>
      <c r="C289" s="14">
        <f>IFERROR(B289/B446, "NA")</f>
      </c>
      <c r="D289" s="15"/>
      <c r="E289" s="13">
        <v>146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144.65000000000001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437.25</v>
      </c>
      <c r="R289" s="14">
        <f>IFERROR(Q289/Q446, "NA")</f>
      </c>
      <c r="S289" s="15"/>
      <c r="T289" s="13">
        <v>438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433.94999999999999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262.13999999999999</v>
      </c>
      <c r="C290" s="14">
        <f>IFERROR(B290/B446, "NA")</f>
      </c>
      <c r="D290" s="15"/>
      <c r="E290" s="13">
        <v>247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220.99000000000001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771.58000000000004</v>
      </c>
      <c r="R290" s="14">
        <f>IFERROR(Q290/Q446, "NA")</f>
      </c>
      <c r="S290" s="15"/>
      <c r="T290" s="13">
        <v>741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660.04999999999995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64.629999999999995</v>
      </c>
      <c r="C291" s="14">
        <f>IFERROR(B291/B446, "NA")</f>
      </c>
      <c r="D291" s="15"/>
      <c r="E291" s="13">
        <v>1212.5799999999999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338.75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1453.04</v>
      </c>
      <c r="R291" s="14">
        <f>IFERROR(Q291/Q446, "NA")</f>
      </c>
      <c r="S291" s="15"/>
      <c r="T291" s="13">
        <v>3005.7600000000002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5173.1800000000003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0</v>
      </c>
      <c r="C292" s="14">
        <f>IFERROR(B292/B446, "NA")</f>
      </c>
      <c r="D292" s="15"/>
      <c r="E292" s="13">
        <v>1212.5799999999999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1368.0999999999999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3829.4699999999998</v>
      </c>
      <c r="R292" s="14">
        <f>IFERROR(Q292/Q446, "NA")</f>
      </c>
      <c r="S292" s="15"/>
      <c r="T292" s="13">
        <v>2706.8899999999999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6213.1999999999998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409.27999999999997</v>
      </c>
      <c r="C293" s="14">
        <f>IFERROR(B293/B446, "NA")</f>
      </c>
      <c r="D293" s="15"/>
      <c r="E293" s="13">
        <v>242.52000000000001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681.63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804.07000000000005</v>
      </c>
      <c r="R293" s="14">
        <f>IFERROR(Q293/Q446, "NA")</f>
      </c>
      <c r="S293" s="15"/>
      <c r="T293" s="13">
        <v>541.38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681.63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363.76999999999998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812.05999999999995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299.99000000000001</v>
      </c>
      <c r="C295" s="14">
        <f>IFERROR(B295/B446, "NA")</f>
      </c>
      <c r="D295" s="15"/>
      <c r="E295" s="13">
        <v>311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538.98000000000002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899.98000000000002</v>
      </c>
      <c r="R295" s="14">
        <f>IFERROR(Q295/Q446, "NA")</f>
      </c>
      <c r="S295" s="15"/>
      <c r="T295" s="13">
        <v>933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1188.99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525.57000000000005</v>
      </c>
      <c r="C300" s="14">
        <f>IFERROR(B300/B446, "NA")</f>
      </c>
      <c r="D300" s="15"/>
      <c r="E300" s="13">
        <v>517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613.39999999999998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1576.71</v>
      </c>
      <c r="R300" s="14">
        <f>IFERROR(Q300/Q446, "NA")</f>
      </c>
      <c r="S300" s="15"/>
      <c r="T300" s="13">
        <v>1551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2027.9100000000001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460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460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73.739999999999995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158.90000000000001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619.74000000000001</v>
      </c>
      <c r="R311" s="14">
        <f>IFERROR(Q311/Q446, "NA")</f>
      </c>
      <c r="S311" s="15"/>
      <c r="T311" s="13">
        <v>165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158.90000000000001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26.73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1251.8299999999999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271.11000000000001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2060.3699999999999</v>
      </c>
      <c r="R313" s="14">
        <f>IFERROR(Q313/Q446, "NA")</f>
      </c>
      <c r="S313" s="15"/>
      <c r="T313" s="13">
        <v>105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678.70000000000005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478.94999999999999</v>
      </c>
      <c r="C314" s="14">
        <f>IFERROR(B314/B446, "NA")</f>
      </c>
      <c r="D314" s="15"/>
      <c r="E314" s="13">
        <v>250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200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1018.95</v>
      </c>
      <c r="R314" s="14">
        <f>IFERROR(Q314/Q446, "NA")</f>
      </c>
      <c r="S314" s="15"/>
      <c r="T314" s="13">
        <v>750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696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294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294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323.94</v>
      </c>
      <c r="C320" s="14">
        <f>IFERROR(B320/B446, "NA")</f>
      </c>
      <c r="D320" s="15"/>
      <c r="E320" s="13">
        <v>314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315.81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971.82000000000005</v>
      </c>
      <c r="R320" s="14">
        <f>IFERROR(Q320/Q446, "NA")</f>
      </c>
      <c r="S320" s="15"/>
      <c r="T320" s="13">
        <v>942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947.42999999999995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1030.51</v>
      </c>
      <c r="C321" s="14">
        <f>IFERROR(B321/B446, "NA")</f>
      </c>
      <c r="D321" s="15"/>
      <c r="E321" s="13">
        <v>1101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993.75999999999999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3242.0500000000002</v>
      </c>
      <c r="R321" s="14">
        <f>IFERROR(Q321/Q446, "NA")</f>
      </c>
      <c r="S321" s="15"/>
      <c r="T321" s="13">
        <v>3303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2943.1500000000001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1961.02</v>
      </c>
      <c r="C322" s="14">
        <f>IFERROR(B322/B446, "NA")</f>
      </c>
      <c r="D322" s="15"/>
      <c r="E322" s="13">
        <v>2425.1599999999999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4576.1499999999996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4277.5600000000004</v>
      </c>
      <c r="R322" s="14">
        <f>IFERROR(Q322/Q446, "NA")</f>
      </c>
      <c r="S322" s="15"/>
      <c r="T322" s="13">
        <v>5271.6099999999997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8798.1299999999992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467.37</v>
      </c>
      <c r="C323" s="14">
        <f>IFERROR(B323/B446, "NA")</f>
      </c>
      <c r="D323" s="15"/>
      <c r="E323" s="13">
        <v>191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224.59999999999999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879.32000000000005</v>
      </c>
      <c r="R323" s="14">
        <f>IFERROR(Q323/Q446, "NA")</f>
      </c>
      <c r="S323" s="15"/>
      <c r="T323" s="13">
        <v>573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559.02999999999997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3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3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10440.49</v>
      </c>
      <c r="C330" s="14">
        <f>IFERROR(B330/B446, "NA")</f>
      </c>
      <c r="D330" s="15"/>
      <c r="E330" s="13">
        <v>10440.49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10136.4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31321.470000000001</v>
      </c>
      <c r="R330" s="14">
        <f>IFERROR(Q330/Q446, "NA")</f>
      </c>
      <c r="S330" s="15"/>
      <c r="T330" s="13">
        <v>31321.470000000001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30409.200000000001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419.22000000000003</v>
      </c>
      <c r="C331" s="14">
        <f>IFERROR(B331/B446, "NA")</f>
      </c>
      <c r="D331" s="15"/>
      <c r="E331" s="13">
        <v>728.64999999999998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728.64999999999998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1876.52</v>
      </c>
      <c r="R331" s="14">
        <f>IFERROR(Q331/Q446, "NA")</f>
      </c>
      <c r="S331" s="15"/>
      <c r="T331" s="13">
        <v>2185.9499999999998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2185.9499999999998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1364.78</v>
      </c>
      <c r="C333" s="14">
        <f>IFERROR(B333/B446, "NA")</f>
      </c>
      <c r="D333" s="15"/>
      <c r="E333" s="13">
        <v>133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15.16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1395.0999999999999</v>
      </c>
      <c r="R333" s="14">
        <f>IFERROR(Q333/Q446, "NA")</f>
      </c>
      <c r="S333" s="15"/>
      <c r="T333" s="13">
        <v>399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45.479999999999997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964.13999999999999</v>
      </c>
      <c r="C334" s="14">
        <f>IFERROR(B334/B446, "NA")</f>
      </c>
      <c r="D334" s="15"/>
      <c r="E334" s="13">
        <v>964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964.13999999999999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2892.4200000000001</v>
      </c>
      <c r="R334" s="14">
        <f>IFERROR(Q334/Q446, "NA")</f>
      </c>
      <c r="S334" s="15"/>
      <c r="T334" s="13">
        <v>2892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2892.4200000000001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1607.8399999999999</v>
      </c>
      <c r="C335" s="14">
        <f>IFERROR(B335/B446, "NA")</f>
      </c>
      <c r="D335" s="15"/>
      <c r="E335" s="13">
        <v>1607.8399999999999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1561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363.76999999999998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812.05999999999995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3309.6199999999999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3471.7199999999998</v>
      </c>
      <c r="C339" s="14">
        <f>IFERROR(B339/B446, "NA")</f>
      </c>
      <c r="D339" s="15"/>
      <c r="E339" s="13">
        <v>4850.3299999999999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3984.79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11531.33</v>
      </c>
      <c r="R339" s="14">
        <f>IFERROR(Q339/Q446, "NA")</f>
      </c>
      <c r="S339" s="15"/>
      <c r="T339" s="13">
        <v>10827.57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13691.889999999999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414.63999999999999</v>
      </c>
      <c r="C340" s="14">
        <f>IFERROR(B340/B446, "NA")</f>
      </c>
      <c r="D340" s="15"/>
      <c r="E340" s="13">
        <v>485.02999999999997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306.98000000000002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1138.1099999999999</v>
      </c>
      <c r="R340" s="14">
        <f>IFERROR(Q340/Q446, "NA")</f>
      </c>
      <c r="S340" s="15"/>
      <c r="T340" s="13">
        <v>1082.76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949.76999999999998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-258.19999999999999</v>
      </c>
      <c r="C341" s="14">
        <f>IFERROR(B341/B446, "NA")</f>
      </c>
      <c r="D341" s="15"/>
      <c r="E341" s="13">
        <v>970.07000000000005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537.77999999999997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1235.3199999999999</v>
      </c>
      <c r="R341" s="14">
        <f>IFERROR(Q341/Q446, "NA")</f>
      </c>
      <c r="S341" s="15"/>
      <c r="T341" s="13">
        <v>2165.52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1597.97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395.63</v>
      </c>
      <c r="C342" s="14">
        <f>IFERROR(B342/B446, "NA")</f>
      </c>
      <c r="D342" s="15"/>
      <c r="E342" s="13">
        <v>485.02999999999997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380.17000000000002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1155.97</v>
      </c>
      <c r="R342" s="14">
        <f>IFERROR(Q342/Q446, "NA")</f>
      </c>
      <c r="S342" s="15"/>
      <c r="T342" s="13">
        <v>1082.76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1140.51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3576.9699999999998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9857.5400000000009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4098.8599999999997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3345.1700000000001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12415.309999999999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9479.1000000000004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-25.289999999999999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-54.490000000000002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-75.349999999999994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-139.33000000000001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-20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76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-20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262548.90999999997</v>
      </c>
      <c r="C446" s="33"/>
      <c r="D446" s="15"/>
      <c r="E446" s="13">
        <v>242516.45999999999</v>
      </c>
      <c r="F446" s="33"/>
      <c r="G446" s="15"/>
      <c r="H446" s="16">
        <f>IFERROR(B446-E446, "NA")</f>
      </c>
      <c r="I446" s="33"/>
      <c r="J446" s="15"/>
      <c r="K446" s="13">
        <v>223106.22</v>
      </c>
      <c r="L446" s="33"/>
      <c r="M446" s="15"/>
      <c r="N446" s="16">
        <f>IFERROR(B446-K446, "NA")</f>
      </c>
      <c r="O446" s="33"/>
      <c r="P446" s="15"/>
      <c r="Q446" s="13">
        <v>567904.41000000003</v>
      </c>
      <c r="R446" s="33"/>
      <c r="S446" s="15"/>
      <c r="T446" s="13">
        <v>541378.67000000004</v>
      </c>
      <c r="U446" s="33"/>
      <c r="V446" s="15"/>
      <c r="W446" s="16">
        <f>IFERROR(Q446-T446, "NA")</f>
      </c>
      <c r="X446" s="33"/>
      <c r="Y446" s="15"/>
      <c r="Z446" s="13">
        <v>509931.82000000001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416</v>
      </c>
      <c t="s" r="B3" s="3">
        <v>416</v>
      </c>
      <c t="s" r="C3" s="3">
        <v>416</v>
      </c>
      <c t="s" r="D3" s="3">
        <v>416</v>
      </c>
      <c t="s" r="E3" s="3">
        <v>416</v>
      </c>
      <c t="s" r="F3" s="3">
        <v>416</v>
      </c>
      <c t="s" r="G3" s="3">
        <v>416</v>
      </c>
      <c t="s" r="H3" s="3">
        <v>416</v>
      </c>
      <c t="s" r="I3" s="3">
        <v>416</v>
      </c>
      <c t="s" r="J3" s="3">
        <v>416</v>
      </c>
      <c t="s" r="K3" s="3">
        <v>416</v>
      </c>
      <c t="s" r="L3" s="3">
        <v>416</v>
      </c>
      <c t="s" r="M3" s="3">
        <v>416</v>
      </c>
      <c t="s" r="N3" s="3">
        <v>416</v>
      </c>
      <c t="s" r="O3" s="3">
        <v>416</v>
      </c>
      <c t="s" r="P3" s="3">
        <v>416</v>
      </c>
      <c t="s" r="Q3" s="3">
        <v>416</v>
      </c>
      <c t="s" r="R3" s="3">
        <v>416</v>
      </c>
      <c t="s" r="S3" s="3">
        <v>416</v>
      </c>
      <c t="s" r="T3" s="3">
        <v>416</v>
      </c>
      <c t="s" r="U3" s="3">
        <v>416</v>
      </c>
      <c t="s" r="V3" s="3">
        <v>416</v>
      </c>
      <c t="s" r="W3" s="3">
        <v>416</v>
      </c>
      <c t="s" r="X3" s="3">
        <v>416</v>
      </c>
      <c t="s" r="Y3" s="3">
        <v>416</v>
      </c>
      <c t="s" r="Z3" s="3">
        <v>416</v>
      </c>
      <c t="s" r="AA3" s="3">
        <v>416</v>
      </c>
      <c t="s" r="AB3" s="3">
        <v>416</v>
      </c>
      <c t="s" r="AC3" s="3">
        <v>416</v>
      </c>
      <c t="s" r="AD3" s="3">
        <v>416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54835.830000000002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119832.41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52406.400000000001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53448.300000000003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107352.33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113220.69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4896.6000000000004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5594.5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9631.6000000000004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10544.25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153.5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242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258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308.5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50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550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120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885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60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20.5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164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51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1.1000000000000001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11842.48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25879.299999999999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7394.5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2374.6799999999998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16681.900000000001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6836.0900000000001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12279.049999999999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1180.71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1621.03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3009.4000000000001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3411.04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83.219999999999999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233.61000000000001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3681.4200000000001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5817.9899999999998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862.55999999999995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951.09000000000003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2324.1199999999999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2538.4400000000001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31150.869999999999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68073.820000000007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14003.33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13320.58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36920.110000000001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33144.220000000001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1191.8800000000001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1382.8399999999999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2646.54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4258.5299999999997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19084.720000000001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23694.029999999999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40018.169999999998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54193.029999999999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1177.28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2128.1300000000001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1205.45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137.65000000000001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2289.5799999999999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25358.349999999999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55415.459999999999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3925.98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6161.3699999999999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10042.450000000001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12144.889999999999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17315.470000000001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6595.2200000000003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40123.209999999999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17236.400000000001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7900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7900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251.56999999999999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467.61000000000001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646.71000000000004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658.88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661.07000000000005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10426.530000000001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22785.040000000001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3596.5100000000002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2241.3600000000001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7731.0299999999997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5701.0699999999997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3282.0500000000002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3269.8000000000002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1125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1930.8399999999999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4219.4499999999998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392.60000000000002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634.65999999999997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982.13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1096.6700000000001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1756.4400000000001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535.94000000000005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4067.6900000000001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2222.3499999999999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133.44999999999999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367.97000000000003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-72.290000000000006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-26.699999999999999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-79.349999999999994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20.059999999999999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-217.09999999999999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-6822.3000000000002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-14908.73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-2079.9400000000001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-2117.9000000000001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-4914.3800000000001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-5454.9499999999998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-988.71000000000004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-1864.3399999999999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-3192.7399999999998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-4050.9699999999998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-21.050000000000001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-157.56999999999999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-149.99000000000001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-876.57000000000005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-20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-57.25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-779.70000000000005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-939.85000000000002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-2386.1300000000001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-2247.4499999999998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-30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-30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-89.5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-607.52999999999997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-261.62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-1389.76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-50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27160.470000000001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59762.779999999999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6341.71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6100.3699999999999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13046.42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14342.469999999999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3731.5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3851.3499999999999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7657.2799999999997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8182.5100000000002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5193.6700000000001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3846.3000000000002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9600.7600000000002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9329.2999999999993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2917.0999999999999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2688.1999999999998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6207.7700000000004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6284.8400000000001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1302.0599999999999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936.11000000000001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2941.5500000000002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2227.3200000000002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789.86000000000001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1017.48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2013.6700000000001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2440.5300000000002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1260.1700000000001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2277.3800000000001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610.95000000000005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309.02999999999997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1487.0699999999999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984.88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9065.7800000000007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6538.8199999999997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19803.650000000001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14382.4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19.800000000000001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41.859999999999999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1544.6700000000001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3375.5599999999999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1538.79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2055.3299999999999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3576.25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3890.7800000000002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48.469999999999999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125.8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84.849999999999994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242.38999999999999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108.09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-1211.1500000000001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240.37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-871.57000000000005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6.9900000000000002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11.58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13.960000000000001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22.210000000000001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5277.6300000000001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11533.17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3816.4400000000001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4446.7299999999996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8420.2000000000007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9520.1000000000004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1245.9100000000001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865.97000000000003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2882.6500000000001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1910.8199999999999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57.619999999999997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57.619999999999997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257.47000000000003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306.29000000000002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691.17999999999995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841.00999999999999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7.2800000000000002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7.2800000000000002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449.63999999999999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379.75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956.13999999999999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901.5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189.19999999999999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35.799999999999997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237.50999999999999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101.2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-985.71000000000004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-2437.1599999999999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-2703.73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-6002.0299999999997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7050</v>
      </c>
      <c r="C178" s="14">
        <f>IFERROR(B178/B446, "NA")</f>
      </c>
      <c r="D178" s="15"/>
      <c r="E178" s="13">
        <v>7050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7050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18330</v>
      </c>
      <c r="R178" s="14">
        <f>IFERROR(Q178/Q446, "NA")</f>
      </c>
      <c r="S178" s="15"/>
      <c r="T178" s="13">
        <v>18330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18330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23393.759999999998</v>
      </c>
      <c r="C180" s="14">
        <f>IFERROR(B180/B446, "NA")</f>
      </c>
      <c r="D180" s="15"/>
      <c r="E180" s="13">
        <v>23942.400000000001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22479.889999999999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50540.690000000002</v>
      </c>
      <c r="R180" s="14">
        <f>IFERROR(Q180/Q446, "NA")</f>
      </c>
      <c r="S180" s="15"/>
      <c r="T180" s="13">
        <v>55918.239999999998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53166.919999999998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284.77999999999997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284.77999999999997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-577</v>
      </c>
      <c r="C184" s="14">
        <f>IFERROR(B184/B446, "NA")</f>
      </c>
      <c r="D184" s="15"/>
      <c r="E184" s="13">
        <v>422.5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9</v>
      </c>
      <c r="R184" s="14">
        <f>IFERROR(Q184/Q446, "NA")</f>
      </c>
      <c r="S184" s="15"/>
      <c r="T184" s="13">
        <v>1007.5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1500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2910.4099999999999</v>
      </c>
      <c r="C186" s="14">
        <f>IFERROR(B186/B446, "NA")</f>
      </c>
      <c r="D186" s="15"/>
      <c r="E186" s="13">
        <v>3000.4699999999998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2804.1799999999998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6455.8000000000002</v>
      </c>
      <c r="R186" s="14">
        <f>IFERROR(Q186/Q446, "NA")</f>
      </c>
      <c r="S186" s="15"/>
      <c r="T186" s="13">
        <v>7057.5200000000004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6692.1899999999996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199.91999999999999</v>
      </c>
      <c r="C194" s="14">
        <f>IFERROR(B194/B446, "NA")</f>
      </c>
      <c r="D194" s="15"/>
      <c r="E194" s="13">
        <v>251.31999999999999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248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820.91999999999996</v>
      </c>
      <c r="R194" s="14">
        <f>IFERROR(Q194/Q446, "NA")</f>
      </c>
      <c r="S194" s="15"/>
      <c r="T194" s="13">
        <v>602.04999999999995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854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1431.04</v>
      </c>
      <c r="C202" s="14">
        <f>IFERROR(B202/B446, "NA")</f>
      </c>
      <c r="D202" s="15"/>
      <c r="E202" s="13">
        <v>1158.5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1189.26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3063.4899999999998</v>
      </c>
      <c r="R202" s="14">
        <f>IFERROR(Q202/Q446, "NA")</f>
      </c>
      <c r="S202" s="15"/>
      <c r="T202" s="13">
        <v>2531.6700000000001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2988.0700000000002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808.79999999999995</v>
      </c>
      <c r="C203" s="14">
        <f>IFERROR(B203/B446, "NA")</f>
      </c>
      <c r="D203" s="15"/>
      <c r="E203" s="13">
        <v>772.34000000000003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1128.23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1712.1600000000001</v>
      </c>
      <c r="R203" s="14">
        <f>IFERROR(Q203/Q446, "NA")</f>
      </c>
      <c r="S203" s="15"/>
      <c r="T203" s="13">
        <v>1687.78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2042.0999999999999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353.12</v>
      </c>
      <c r="C204" s="14">
        <f>IFERROR(B204/B446, "NA")</f>
      </c>
      <c r="D204" s="15"/>
      <c r="E204" s="13">
        <v>257.44999999999999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21.07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398.55000000000001</v>
      </c>
      <c r="R204" s="14">
        <f>IFERROR(Q204/Q446, "NA")</f>
      </c>
      <c r="S204" s="15"/>
      <c r="T204" s="13">
        <v>562.60000000000002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261.50999999999999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460.77999999999997</v>
      </c>
      <c r="C205" s="14">
        <f>IFERROR(B205/B446, "NA")</f>
      </c>
      <c r="D205" s="15"/>
      <c r="E205" s="13">
        <v>386.17000000000002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436.19999999999999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1272.3599999999999</v>
      </c>
      <c r="R205" s="14">
        <f>IFERROR(Q205/Q446, "NA")</f>
      </c>
      <c r="S205" s="15"/>
      <c r="T205" s="13">
        <v>843.89999999999998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1041.9400000000001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8.3800000000000008</v>
      </c>
      <c r="C206" s="14">
        <f>IFERROR(B206/B446, "NA")</f>
      </c>
      <c r="D206" s="15"/>
      <c r="E206" s="13">
        <v>128.72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90.799999999999997</v>
      </c>
      <c r="R206" s="14">
        <f>IFERROR(Q206/Q446, "NA")</f>
      </c>
      <c r="S206" s="15"/>
      <c r="T206" s="13">
        <v>281.30000000000001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10.800000000000001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145.06999999999999</v>
      </c>
      <c r="R207" s="14">
        <f>IFERROR(Q207/Q446, "NA")</f>
      </c>
      <c r="S207" s="15"/>
      <c r="T207" s="13">
        <v>300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137.53999999999999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95.980000000000004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170.80000000000001</v>
      </c>
      <c r="R208" s="14">
        <f>IFERROR(Q208/Q446, "NA")</f>
      </c>
      <c r="S208" s="15"/>
      <c r="T208" s="13">
        <v>300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487.92000000000002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5277.6300000000001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11533.17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1740.46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4354.9099999999999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5095.9899999999998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10359.389999999999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878.25999999999999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2042.1900000000001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60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5.7300000000000004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110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5.7300000000000004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5059.9899999999998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4990.0900000000001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8815.5799999999999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11265.219999999999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277.19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480.73000000000002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365.98000000000002</v>
      </c>
      <c r="R222" s="14">
        <f>IFERROR(Q222/Q446, "NA")</f>
      </c>
      <c r="S222" s="15"/>
      <c r="T222" s="13">
        <v>300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611.90999999999997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1930.8399999999999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4219.4499999999998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313.58999999999997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217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717.13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2069.9299999999998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1209.3299999999999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4976.4700000000003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2995.5900000000001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59.600000000000001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84.930000000000007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8366.9699999999993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18284.290000000001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2108.2399999999998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1627.98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5564.5299999999997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4074.7199999999998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2898.1399999999999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1100.01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6736.3500000000004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3843.7199999999998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1054.1700000000001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559.58000000000004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2233.1700000000001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1296.8299999999999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243.41999999999999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397.63999999999999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518.98000000000002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1219.0599999999999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316.75999999999999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322.13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753.51999999999998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796.48000000000002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3400.21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3215.8299999999999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6879.3000000000002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6615.7600000000002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31.640000000000001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71.269999999999996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81.030000000000001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137.46000000000001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1084.6199999999999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1084.6199999999999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3700.9000000000001</v>
      </c>
      <c r="C266" s="14">
        <f>IFERROR(B266/B446, "NA")</f>
      </c>
      <c r="D266" s="15"/>
      <c r="E266" s="13">
        <v>3089.3400000000001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2772.9000000000001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7429.5900000000001</v>
      </c>
      <c r="R266" s="14">
        <f>IFERROR(Q266/Q446, "NA")</f>
      </c>
      <c r="S266" s="15"/>
      <c r="T266" s="13">
        <v>6751.1199999999999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5977.3400000000001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-48.5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-17.960000000000001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307.92000000000002</v>
      </c>
      <c r="C271" s="14">
        <f>IFERROR(B271/B446, "NA")</f>
      </c>
      <c r="D271" s="15"/>
      <c r="E271" s="13">
        <v>354.13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429.37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923.75999999999999</v>
      </c>
      <c r="R271" s="14">
        <f>IFERROR(Q271/Q446, "NA")</f>
      </c>
      <c r="S271" s="15"/>
      <c r="T271" s="13">
        <v>1062.3900000000001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1113.8699999999999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793.90999999999997</v>
      </c>
      <c r="C272" s="14">
        <f>IFERROR(B272/B446, "NA")</f>
      </c>
      <c r="D272" s="15"/>
      <c r="E272" s="13">
        <v>905.40999999999997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952.74000000000001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2385.73</v>
      </c>
      <c r="R272" s="14">
        <f>IFERROR(Q272/Q446, "NA")</f>
      </c>
      <c r="S272" s="15"/>
      <c r="T272" s="13">
        <v>2716.23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2858.2199999999998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412.5</v>
      </c>
      <c r="R289" s="14">
        <f>IFERROR(Q289/Q446, "NA")</f>
      </c>
      <c r="S289" s="15"/>
      <c r="T289" s="13">
        <v>414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412.5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247.84</v>
      </c>
      <c r="C290" s="14">
        <f>IFERROR(B290/B446, "NA")</f>
      </c>
      <c r="D290" s="15"/>
      <c r="E290" s="13">
        <v>234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220.88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743.51999999999998</v>
      </c>
      <c r="R290" s="14">
        <f>IFERROR(Q290/Q446, "NA")</f>
      </c>
      <c r="S290" s="15"/>
      <c r="T290" s="13">
        <v>702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659.73000000000002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576.38999999999999</v>
      </c>
      <c r="C291" s="14">
        <f>IFERROR(B291/B446, "NA")</f>
      </c>
      <c r="D291" s="15"/>
      <c r="E291" s="13">
        <v>772.34000000000003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790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2545.0900000000001</v>
      </c>
      <c r="R291" s="14">
        <f>IFERROR(Q291/Q446, "NA")</f>
      </c>
      <c r="S291" s="15"/>
      <c r="T291" s="13">
        <v>1840.3599999999999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2415.3200000000002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1954.3099999999999</v>
      </c>
      <c r="C292" s="14">
        <f>IFERROR(B292/B446, "NA")</f>
      </c>
      <c r="D292" s="15"/>
      <c r="E292" s="13">
        <v>1287.23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1910.72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5437.9799999999996</v>
      </c>
      <c r="R292" s="14">
        <f>IFERROR(Q292/Q446, "NA")</f>
      </c>
      <c r="S292" s="15"/>
      <c r="T292" s="13">
        <v>2812.9699999999998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6479.2200000000003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257.44999999999999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1038.8199999999999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562.60000000000002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1038.8199999999999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257.44999999999999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562.60000000000002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80.489999999999995</v>
      </c>
      <c r="C295" s="14">
        <f>IFERROR(B295/B446, "NA")</f>
      </c>
      <c r="D295" s="15"/>
      <c r="E295" s="13">
        <v>365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722.97000000000003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841.46000000000004</v>
      </c>
      <c r="R295" s="14">
        <f>IFERROR(Q295/Q446, "NA")</f>
      </c>
      <c r="S295" s="15"/>
      <c r="T295" s="13">
        <v>1095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1372.96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159</v>
      </c>
      <c r="C300" s="14">
        <f>IFERROR(B300/B446, "NA")</f>
      </c>
      <c r="D300" s="15"/>
      <c r="E300" s="13">
        <v>159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477</v>
      </c>
      <c r="R300" s="14">
        <f>IFERROR(Q300/Q446, "NA")</f>
      </c>
      <c r="S300" s="15"/>
      <c r="T300" s="13">
        <v>477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0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72.819999999999993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72.819999999999993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5.5899999999999999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36.329999999999998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278.95999999999998</v>
      </c>
      <c r="R311" s="14">
        <f>IFERROR(Q311/Q446, "NA")</f>
      </c>
      <c r="S311" s="15"/>
      <c r="T311" s="13">
        <v>165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60.619999999999997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85.879999999999995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155.03999999999999</v>
      </c>
      <c r="R313" s="14">
        <f>IFERROR(Q313/Q446, "NA")</f>
      </c>
      <c r="S313" s="15"/>
      <c r="T313" s="13">
        <v>105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0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0</v>
      </c>
      <c r="R314" s="14">
        <f>IFERROR(Q314/Q446, "NA")</f>
      </c>
      <c r="S314" s="15"/>
      <c r="T314" s="13">
        <v>45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24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408.06999999999999</v>
      </c>
      <c r="C316" s="14">
        <f>IFERROR(B316/B446, "NA")</f>
      </c>
      <c r="D316" s="15"/>
      <c r="E316" s="13">
        <v>514.88999999999999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455.51999999999998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1224.21</v>
      </c>
      <c r="R316" s="14">
        <f>IFERROR(Q316/Q446, "NA")</f>
      </c>
      <c r="S316" s="15"/>
      <c r="T316" s="13">
        <v>1125.1900000000001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1366.5599999999999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294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294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414.57999999999998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414.57999999999998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1243.74</v>
      </c>
      <c r="R319" s="14">
        <f>IFERROR(Q319/Q446, "NA")</f>
      </c>
      <c r="S319" s="15"/>
      <c r="T319" s="13">
        <v>1245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1243.74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318.50999999999999</v>
      </c>
      <c r="C320" s="14">
        <f>IFERROR(B320/B446, "NA")</f>
      </c>
      <c r="D320" s="15"/>
      <c r="E320" s="13">
        <v>309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268.00999999999999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955.58000000000004</v>
      </c>
      <c r="R320" s="14">
        <f>IFERROR(Q320/Q446, "NA")</f>
      </c>
      <c r="S320" s="15"/>
      <c r="T320" s="13">
        <v>927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785.14999999999998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1052.75</v>
      </c>
      <c r="C321" s="14">
        <f>IFERROR(B321/B446, "NA")</f>
      </c>
      <c r="D321" s="15"/>
      <c r="E321" s="13">
        <v>1133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1379.47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3339.5799999999999</v>
      </c>
      <c r="R321" s="14">
        <f>IFERROR(Q321/Q446, "NA")</f>
      </c>
      <c r="S321" s="15"/>
      <c r="T321" s="13">
        <v>3399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3491.6100000000001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985.71000000000004</v>
      </c>
      <c r="C322" s="14">
        <f>IFERROR(B322/B446, "NA")</f>
      </c>
      <c r="D322" s="15"/>
      <c r="E322" s="13">
        <v>1544.6700000000001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2437.1599999999999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2703.73</v>
      </c>
      <c r="R322" s="14">
        <f>IFERROR(Q322/Q446, "NA")</f>
      </c>
      <c r="S322" s="15"/>
      <c r="T322" s="13">
        <v>3307.3699999999999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6002.0299999999997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316.11000000000001</v>
      </c>
      <c r="C323" s="14">
        <f>IFERROR(B323/B446, "NA")</f>
      </c>
      <c r="D323" s="15"/>
      <c r="E323" s="13">
        <v>354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331.32999999999998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1259.8499999999999</v>
      </c>
      <c r="R323" s="14">
        <f>IFERROR(Q323/Q446, "NA")</f>
      </c>
      <c r="S323" s="15"/>
      <c r="T323" s="13">
        <v>1062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1167.97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11441.92</v>
      </c>
      <c r="C330" s="14">
        <f>IFERROR(B330/B446, "NA")</f>
      </c>
      <c r="D330" s="15"/>
      <c r="E330" s="13">
        <v>11441.92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5393.1300000000001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34325.760000000002</v>
      </c>
      <c r="R330" s="14">
        <f>IFERROR(Q330/Q446, "NA")</f>
      </c>
      <c r="S330" s="15"/>
      <c r="T330" s="13">
        <v>34325.760000000002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16179.389999999999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1064.26</v>
      </c>
      <c r="C331" s="14">
        <f>IFERROR(B331/B446, "NA")</f>
      </c>
      <c r="D331" s="15"/>
      <c r="E331" s="13">
        <v>1183.3699999999999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-1183.27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3431</v>
      </c>
      <c r="R331" s="14">
        <f>IFERROR(Q331/Q446, "NA")</f>
      </c>
      <c r="S331" s="15"/>
      <c r="T331" s="13">
        <v>3550.1100000000001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869.59000000000003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-151.02000000000001</v>
      </c>
      <c r="C334" s="14">
        <f>IFERROR(B334/B446, "NA")</f>
      </c>
      <c r="D334" s="15"/>
      <c r="E334" s="13">
        <v>860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2149.1900000000001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1412.5</v>
      </c>
      <c r="R334" s="14">
        <f>IFERROR(Q334/Q446, "NA")</f>
      </c>
      <c r="S334" s="15"/>
      <c r="T334" s="13">
        <v>2580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3869.5100000000002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1762.0599999999999</v>
      </c>
      <c r="C335" s="14">
        <f>IFERROR(B335/B446, "NA")</f>
      </c>
      <c r="D335" s="15"/>
      <c r="E335" s="13">
        <v>1762.0599999999999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830.53999999999996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1073.4300000000001</v>
      </c>
      <c r="C339" s="14">
        <f>IFERROR(B339/B446, "NA")</f>
      </c>
      <c r="D339" s="15"/>
      <c r="E339" s="13">
        <v>1544.6700000000001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820.75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3098.2600000000002</v>
      </c>
      <c r="R339" s="14">
        <f>IFERROR(Q339/Q446, "NA")</f>
      </c>
      <c r="S339" s="15"/>
      <c r="T339" s="13">
        <v>3375.5599999999999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2651.8699999999999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476.93000000000001</v>
      </c>
      <c r="C340" s="14">
        <f>IFERROR(B340/B446, "NA")</f>
      </c>
      <c r="D340" s="15"/>
      <c r="E340" s="13">
        <v>643.61000000000001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396.06999999999999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1890.24</v>
      </c>
      <c r="R340" s="14">
        <f>IFERROR(Q340/Q446, "NA")</f>
      </c>
      <c r="S340" s="15"/>
      <c r="T340" s="13">
        <v>1406.48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2041.05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296.67000000000002</v>
      </c>
      <c r="C341" s="14">
        <f>IFERROR(B341/B446, "NA")</f>
      </c>
      <c r="D341" s="15"/>
      <c r="E341" s="13">
        <v>514.88999999999999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293.81999999999999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1411.4300000000001</v>
      </c>
      <c r="R341" s="14">
        <f>IFERROR(Q341/Q446, "NA")</f>
      </c>
      <c r="S341" s="15"/>
      <c r="T341" s="13">
        <v>1125.1900000000001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1068.8199999999999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3136.0700000000002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9537.8600000000006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3309.8200000000002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2891.9200000000001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9976.3199999999997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9118.3400000000001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-29.109999999999999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-26.84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-83.230000000000004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-82.819999999999993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-27.41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65.829999999999998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93.859999999999999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31.73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140232.94</v>
      </c>
      <c r="C446" s="33"/>
      <c r="D446" s="15"/>
      <c r="E446" s="13">
        <v>128722.60000000001</v>
      </c>
      <c r="F446" s="33"/>
      <c r="G446" s="15"/>
      <c r="H446" s="16">
        <f>IFERROR(B446-E446, "NA")</f>
      </c>
      <c r="I446" s="33"/>
      <c r="J446" s="15"/>
      <c r="K446" s="13">
        <v>120301.5</v>
      </c>
      <c r="L446" s="33"/>
      <c r="M446" s="15"/>
      <c r="N446" s="16">
        <f>IFERROR(B446-K446, "NA")</f>
      </c>
      <c r="O446" s="33"/>
      <c r="P446" s="15"/>
      <c r="Q446" s="13">
        <v>291046.53000000003</v>
      </c>
      <c r="R446" s="33"/>
      <c r="S446" s="15"/>
      <c r="T446" s="13">
        <v>281296.75</v>
      </c>
      <c r="U446" s="33"/>
      <c r="V446" s="15"/>
      <c r="W446" s="16">
        <f>IFERROR(Q446-T446, "NA")</f>
      </c>
      <c r="X446" s="33"/>
      <c r="Y446" s="15"/>
      <c r="Z446" s="13">
        <v>266488.48999999999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417</v>
      </c>
      <c t="s" r="B3" s="3">
        <v>417</v>
      </c>
      <c t="s" r="C3" s="3">
        <v>417</v>
      </c>
      <c t="s" r="D3" s="3">
        <v>417</v>
      </c>
      <c t="s" r="E3" s="3">
        <v>417</v>
      </c>
      <c t="s" r="F3" s="3">
        <v>417</v>
      </c>
      <c t="s" r="G3" s="3">
        <v>417</v>
      </c>
      <c t="s" r="H3" s="3">
        <v>417</v>
      </c>
      <c t="s" r="I3" s="3">
        <v>417</v>
      </c>
      <c t="s" r="J3" s="3">
        <v>417</v>
      </c>
      <c t="s" r="K3" s="3">
        <v>417</v>
      </c>
      <c t="s" r="L3" s="3">
        <v>417</v>
      </c>
      <c t="s" r="M3" s="3">
        <v>417</v>
      </c>
      <c t="s" r="N3" s="3">
        <v>417</v>
      </c>
      <c t="s" r="O3" s="3">
        <v>417</v>
      </c>
      <c t="s" r="P3" s="3">
        <v>417</v>
      </c>
      <c t="s" r="Q3" s="3">
        <v>417</v>
      </c>
      <c t="s" r="R3" s="3">
        <v>417</v>
      </c>
      <c t="s" r="S3" s="3">
        <v>417</v>
      </c>
      <c t="s" r="T3" s="3">
        <v>417</v>
      </c>
      <c t="s" r="U3" s="3">
        <v>417</v>
      </c>
      <c t="s" r="V3" s="3">
        <v>417</v>
      </c>
      <c t="s" r="W3" s="3">
        <v>417</v>
      </c>
      <c t="s" r="X3" s="3">
        <v>417</v>
      </c>
      <c t="s" r="Y3" s="3">
        <v>417</v>
      </c>
      <c t="s" r="Z3" s="3">
        <v>417</v>
      </c>
      <c t="s" r="AA3" s="3">
        <v>417</v>
      </c>
      <c t="s" r="AB3" s="3">
        <v>417</v>
      </c>
      <c t="s" r="AC3" s="3">
        <v>417</v>
      </c>
      <c t="s" r="AD3" s="3">
        <v>417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89791.179999999993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176231.67999999999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59372.809999999998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78559.600000000006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129093.36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151227.20000000001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6556.3999999999996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8552.75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13309.85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16857.900000000001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212.5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191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307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413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475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995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26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26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58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68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idden="1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14965.200000000001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29371.950000000001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8425.1000000000004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2793.4400000000001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20567.25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7119.9799999999996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13889.32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882.88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1812.0999999999999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1994.6099999999999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3765.0500000000002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39.719999999999999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198.03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2593.1700000000001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3384.9899999999998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778.70000000000005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928.45000000000005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2270.21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2611.6399999999999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28141.080000000002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55232.029999999999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10716.6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11629.67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29630.150000000001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28075.619999999999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528.05999999999995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1712.4100000000001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1858.4100000000001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3372.0900000000001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10179.309999999999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12757.84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18071.02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26669.34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2093.1500000000001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3180.5500000000002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1303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2718.1500000000001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30906.380000000001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60659.449999999997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3035.6900000000001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3296.6700000000001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6857.1599999999999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8304.7700000000004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19435.810000000001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26983.990000000002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43753.709999999999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49429.949999999997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t="16.5" customHeight="1">
      <c t="s" r="A52" s="23">
        <v>50</v>
      </c>
      <c r="B52" s="13">
        <v>7800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7800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6669.2700000000004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13089.67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3496.96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966.90999999999997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7125.8599999999997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966.90999999999997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t="16.5" customHeight="1">
      <c t="s" r="A71" s="18">
        <v>68</v>
      </c>
      <c r="B71" s="13">
        <v>5101.7600000000002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7267.8900000000003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2277.3099999999999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4469.6400000000003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289.25999999999999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407.32999999999998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523.57000000000005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908.52999999999997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1895.4100000000001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1640.2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4146.8900000000003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3925.6399999999999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-15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-17.75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-15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-41.049999999999997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27.02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-306.22000000000003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-10085.24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-19794.139999999999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-1205.54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-1832.05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-2722.5100000000002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-4121.9200000000001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-1415.4000000000001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-2545.0999999999999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-4120.3400000000001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-6018.2399999999998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-26.609999999999999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-41.859999999999999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-26.609999999999999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-585.61000000000001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-15.5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-89.090000000000003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-813.27999999999997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-2384.4400000000001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-2204.4200000000001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-5301.1599999999999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-18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-33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-1123.51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-1586.6600000000001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-1771.0799999999999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-2879.9699999999998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-103.48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-203.47999999999999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-844.74000000000001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34810.349999999999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69153.899999999994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6970.5500000000002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8414.6900000000005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14673.18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17388.599999999999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3972.1900000000001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4900.1400000000003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8373.0599999999995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10420.620000000001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5375.7700000000004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5909.3500000000004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9841.2299999999996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11475.780000000001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3315.4400000000001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3668.4200000000001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6821.6599999999999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7631.3000000000002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1384.6300000000001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1141.54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3272.1700000000001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2405.3800000000001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870.33000000000004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1091.6099999999999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1960.7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2241.9699999999998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1245.03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2342.98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705.19000000000005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779.67999999999995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1533.4400000000001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1789.52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8573.8099999999995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9361.8500000000004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19529.84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17798.34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1789.3199999999999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3511.8699999999999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1414.1199999999999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1921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3253.04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3805.71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82.650000000000006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59.799999999999997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104.41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142.71000000000001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14.949999999999999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259.77999999999997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29.899999999999999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327.18000000000001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50.770000000000003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7.3499999999999996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72.819999999999993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21.370000000000001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6831.9399999999996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13408.940000000001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3963.2399999999998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5014.4899999999998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8931.7399999999998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10349.35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1511.6600000000001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1769.6900000000001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3504.1399999999999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3387.3200000000002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20.600000000000001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20.600000000000001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370.43000000000001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491.99000000000001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877.32000000000005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1212.8800000000001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136.88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185.15000000000001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374.81999999999999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385.16000000000003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195.13999999999999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59.399999999999999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246.44999999999999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140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-1171.96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-3622.04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-2762.1199999999999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-8039.1499999999996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7307.6999999999998</v>
      </c>
      <c r="C178" s="14">
        <f>IFERROR(B178/B446, "NA")</f>
      </c>
      <c r="D178" s="15"/>
      <c r="E178" s="13">
        <v>7307.6999999999998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7307.6999999999998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19000.02</v>
      </c>
      <c r="R178" s="14">
        <f>IFERROR(Q178/Q446, "NA")</f>
      </c>
      <c r="S178" s="15"/>
      <c r="T178" s="13">
        <v>19000.02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19000.02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22297.459999999999</v>
      </c>
      <c r="C180" s="14">
        <f>IFERROR(B180/B446, "NA")</f>
      </c>
      <c r="D180" s="15"/>
      <c r="E180" s="13">
        <v>27165.080000000002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25596.880000000001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52233.830000000002</v>
      </c>
      <c r="R180" s="14">
        <f>IFERROR(Q180/Q446, "NA")</f>
      </c>
      <c r="S180" s="15"/>
      <c r="T180" s="13">
        <v>58484.110000000001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56836.129999999997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591.34000000000003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114.52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675.66999999999996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114.52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-975</v>
      </c>
      <c r="C184" s="14">
        <f>IFERROR(B184/B446, "NA")</f>
      </c>
      <c r="D184" s="15"/>
      <c r="E184" s="13">
        <v>525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-275</v>
      </c>
      <c r="R184" s="14">
        <f>IFERROR(Q184/Q446, "NA")</f>
      </c>
      <c r="S184" s="15"/>
      <c r="T184" s="13">
        <v>1225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1500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2717.6700000000001</v>
      </c>
      <c r="C186" s="14">
        <f>IFERROR(B186/B446, "NA")</f>
      </c>
      <c r="D186" s="15"/>
      <c r="E186" s="13">
        <v>4128.3199999999997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3838.8699999999999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6511.5200000000004</v>
      </c>
      <c r="R186" s="14">
        <f>IFERROR(Q186/Q446, "NA")</f>
      </c>
      <c r="S186" s="15"/>
      <c r="T186" s="13">
        <v>9415.6299999999992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8896.3799999999992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183.25999999999999</v>
      </c>
      <c r="C194" s="14">
        <f>IFERROR(B194/B446, "NA")</f>
      </c>
      <c r="D194" s="15"/>
      <c r="E194" s="13">
        <v>279.98000000000002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200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717.25999999999999</v>
      </c>
      <c r="R194" s="14">
        <f>IFERROR(Q194/Q446, "NA")</f>
      </c>
      <c r="S194" s="15"/>
      <c r="T194" s="13">
        <v>629.66999999999996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704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1443.22</v>
      </c>
      <c r="C195" s="14">
        <f>IFERROR(B195/B446, "NA")</f>
      </c>
      <c r="D195" s="15"/>
      <c r="E195" s="13">
        <v>488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80.170000000000002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4724.5600000000004</v>
      </c>
      <c r="R195" s="14">
        <f>IFERROR(Q195/Q446, "NA")</f>
      </c>
      <c r="S195" s="15"/>
      <c r="T195" s="13">
        <v>941.96000000000004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959.60000000000002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1632.04</v>
      </c>
      <c r="C202" s="14">
        <f>IFERROR(B202/B446, "NA")</f>
      </c>
      <c r="D202" s="15"/>
      <c r="E202" s="13">
        <v>1463.99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2302.9899999999998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4186.7299999999996</v>
      </c>
      <c r="R202" s="14">
        <f>IFERROR(Q202/Q446, "NA")</f>
      </c>
      <c r="S202" s="15"/>
      <c r="T202" s="13">
        <v>2873.3499999999999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5359.0699999999997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732.49000000000001</v>
      </c>
      <c r="C203" s="14">
        <f>IFERROR(B203/B446, "NA")</f>
      </c>
      <c r="D203" s="15"/>
      <c r="E203" s="13">
        <v>975.99000000000001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885.76999999999998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1734.25</v>
      </c>
      <c r="R203" s="14">
        <f>IFERROR(Q203/Q446, "NA")</f>
      </c>
      <c r="S203" s="15"/>
      <c r="T203" s="13">
        <v>1915.5599999999999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1827.7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430.67000000000002</v>
      </c>
      <c r="C204" s="14">
        <f>IFERROR(B204/B446, "NA")</f>
      </c>
      <c r="D204" s="15"/>
      <c r="E204" s="13">
        <v>325.32999999999998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57.5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477.25999999999999</v>
      </c>
      <c r="R204" s="14">
        <f>IFERROR(Q204/Q446, "NA")</f>
      </c>
      <c r="S204" s="15"/>
      <c r="T204" s="13">
        <v>638.51999999999998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322.75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297.05000000000001</v>
      </c>
      <c r="C205" s="14">
        <f>IFERROR(B205/B446, "NA")</f>
      </c>
      <c r="D205" s="15"/>
      <c r="E205" s="13">
        <v>488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262.44999999999999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777.94000000000005</v>
      </c>
      <c r="R205" s="14">
        <f>IFERROR(Q205/Q446, "NA")</f>
      </c>
      <c r="S205" s="15"/>
      <c r="T205" s="13">
        <v>957.77999999999997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682.37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130.31999999999999</v>
      </c>
      <c r="C206" s="14">
        <f>IFERROR(B206/B446, "NA")</f>
      </c>
      <c r="D206" s="15"/>
      <c r="E206" s="13">
        <v>162.66999999999999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248.09999999999999</v>
      </c>
      <c r="R206" s="14">
        <f>IFERROR(Q206/Q446, "NA")</f>
      </c>
      <c r="S206" s="15"/>
      <c r="T206" s="13">
        <v>319.25999999999999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33.049999999999997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400.98000000000002</v>
      </c>
      <c r="R207" s="14">
        <f>IFERROR(Q207/Q446, "NA")</f>
      </c>
      <c r="S207" s="15"/>
      <c r="T207" s="13">
        <v>300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12.75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159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99.049999999999997</v>
      </c>
      <c r="R208" s="14">
        <f>IFERROR(Q208/Q446, "NA")</f>
      </c>
      <c r="S208" s="15"/>
      <c r="T208" s="13">
        <v>300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350.41000000000003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4717.29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9258.5499999999993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1039.5599999999999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3828.52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3819.5599999999999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8730.4400000000005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377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814.71000000000004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40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2.4100000000000001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90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2.4100000000000001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2872.9299999999998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3006.9899999999998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3502.1999999999998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5966.2799999999997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548.51999999999998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503.17000000000002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885.98000000000002</v>
      </c>
      <c r="R222" s="14">
        <f>IFERROR(Q222/Q446, "NA")</f>
      </c>
      <c r="S222" s="15"/>
      <c r="T222" s="13">
        <v>300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912.60000000000002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2114.6500000000001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4150.3900000000003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171.88999999999999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472.25999999999999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1734.78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2397.29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4161.5699999999997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4751.5699999999997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37.25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53.640000000000001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8621.25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16920.790000000001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1676.3699999999999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1456.98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4452.6199999999999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3519.6900000000001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3628.2399999999998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4470.9799999999996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7623.8900000000003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8109.3900000000003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673.13999999999999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1675.4100000000001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108.02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489.43000000000001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355.63999999999999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978.5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291.69999999999999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336.44999999999999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737.40999999999997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839.44000000000005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1857.76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1537.74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3287.8299999999999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3315.6500000000001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433.70999999999998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3838.3200000000002</v>
      </c>
      <c r="C266" s="14">
        <f>IFERROR(B266/B446, "NA")</f>
      </c>
      <c r="D266" s="15"/>
      <c r="E266" s="13">
        <v>4717.29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4224.1599999999999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8086.2200000000003</v>
      </c>
      <c r="R266" s="14">
        <f>IFERROR(Q266/Q446, "NA")</f>
      </c>
      <c r="S266" s="15"/>
      <c r="T266" s="13">
        <v>9258.5499999999993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8343.6000000000004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37.539999999999999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32.799999999999997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37.539999999999999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197.88</v>
      </c>
      <c r="C271" s="14">
        <f>IFERROR(B271/B446, "NA")</f>
      </c>
      <c r="D271" s="15"/>
      <c r="E271" s="13">
        <v>200.19999999999999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201.72999999999999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593.63999999999999</v>
      </c>
      <c r="R271" s="14">
        <f>IFERROR(Q271/Q446, "NA")</f>
      </c>
      <c r="S271" s="15"/>
      <c r="T271" s="13">
        <v>600.60000000000002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605.19000000000005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894.42999999999995</v>
      </c>
      <c r="C272" s="14">
        <f>IFERROR(B272/B446, "NA")</f>
      </c>
      <c r="D272" s="15"/>
      <c r="E272" s="13">
        <v>894.42999999999995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778.58000000000004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2683.29</v>
      </c>
      <c r="R272" s="14">
        <f>IFERROR(Q272/Q446, "NA")</f>
      </c>
      <c r="S272" s="15"/>
      <c r="T272" s="13">
        <v>2683.29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2335.7399999999998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412.5</v>
      </c>
      <c r="R289" s="14">
        <f>IFERROR(Q289/Q446, "NA")</f>
      </c>
      <c r="S289" s="15"/>
      <c r="T289" s="13">
        <v>414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412.5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156.81</v>
      </c>
      <c r="C290" s="14">
        <f>IFERROR(B290/B446, "NA")</f>
      </c>
      <c r="D290" s="15"/>
      <c r="E290" s="13">
        <v>211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143.63999999999999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470.43000000000001</v>
      </c>
      <c r="R290" s="14">
        <f>IFERROR(Q290/Q446, "NA")</f>
      </c>
      <c r="S290" s="15"/>
      <c r="T290" s="13">
        <v>633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428.17000000000002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975.99000000000001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869.20000000000005</v>
      </c>
      <c r="R291" s="14">
        <f>IFERROR(Q291/Q446, "NA")</f>
      </c>
      <c r="S291" s="15"/>
      <c r="T291" s="13">
        <v>1915.5599999999999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809.63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0</v>
      </c>
      <c r="C292" s="14">
        <f>IFERROR(B292/B446, "NA")</f>
      </c>
      <c r="D292" s="15"/>
      <c r="E292" s="13">
        <v>650.65999999999997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1137.46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425.80000000000001</v>
      </c>
      <c r="R292" s="14">
        <f>IFERROR(Q292/Q446, "NA")</f>
      </c>
      <c r="S292" s="15"/>
      <c r="T292" s="13">
        <v>1277.04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1137.46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162.66999999999999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319.25999999999999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162.66999999999999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851.73000000000002</v>
      </c>
      <c r="R294" s="14">
        <f>IFERROR(Q294/Q446, "NA")</f>
      </c>
      <c r="S294" s="15"/>
      <c r="T294" s="13">
        <v>319.25999999999999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369.93000000000001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10</v>
      </c>
      <c r="C295" s="14">
        <f>IFERROR(B295/B446, "NA")</f>
      </c>
      <c r="D295" s="15"/>
      <c r="E295" s="13">
        <v>346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518.98000000000002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629.99000000000001</v>
      </c>
      <c r="R295" s="14">
        <f>IFERROR(Q295/Q446, "NA")</f>
      </c>
      <c r="S295" s="15"/>
      <c r="T295" s="13">
        <v>1038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1158.97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613.39999999999998</v>
      </c>
      <c r="C300" s="14">
        <f>IFERROR(B300/B446, "NA")</f>
      </c>
      <c r="D300" s="15"/>
      <c r="E300" s="13">
        <v>575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194.06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1740.8499999999999</v>
      </c>
      <c r="R300" s="14">
        <f>IFERROR(Q300/Q446, "NA")</f>
      </c>
      <c r="S300" s="15"/>
      <c r="T300" s="13">
        <v>1725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582.17999999999995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197.00999999999999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49.920000000000002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39.600000000000001</v>
      </c>
      <c r="R311" s="14">
        <f>IFERROR(Q311/Q446, "NA")</f>
      </c>
      <c r="S311" s="15"/>
      <c r="T311" s="13">
        <v>165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81.489999999999995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26.699999999999999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286.23000000000002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87.849999999999994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654.69000000000005</v>
      </c>
      <c r="R313" s="14">
        <f>IFERROR(Q313/Q446, "NA")</f>
      </c>
      <c r="S313" s="15"/>
      <c r="T313" s="13">
        <v>105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116.88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2.75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12</v>
      </c>
      <c r="R314" s="14">
        <f>IFERROR(Q314/Q446, "NA")</f>
      </c>
      <c r="S314" s="15"/>
      <c r="T314" s="13">
        <v>30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20.75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748.97000000000003</v>
      </c>
      <c r="C316" s="14">
        <f>IFERROR(B316/B446, "NA")</f>
      </c>
      <c r="D316" s="15"/>
      <c r="E316" s="13">
        <v>1138.6600000000001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794.11000000000001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2246.9099999999999</v>
      </c>
      <c r="R316" s="14">
        <f>IFERROR(Q316/Q446, "NA")</f>
      </c>
      <c r="S316" s="15"/>
      <c r="T316" s="13">
        <v>2234.8200000000002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2382.3299999999999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294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294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490.60000000000002</v>
      </c>
      <c r="C319" s="14">
        <f>IFERROR(B319/B446, "NA")</f>
      </c>
      <c r="D319" s="15"/>
      <c r="E319" s="13">
        <v>491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490.60000000000002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1471.8</v>
      </c>
      <c r="R319" s="14">
        <f>IFERROR(Q319/Q446, "NA")</f>
      </c>
      <c r="S319" s="15"/>
      <c r="T319" s="13">
        <v>1473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1471.8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160.38</v>
      </c>
      <c r="C320" s="14">
        <f>IFERROR(B320/B446, "NA")</f>
      </c>
      <c r="D320" s="15"/>
      <c r="E320" s="13">
        <v>160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160.16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481.13999999999999</v>
      </c>
      <c r="R320" s="14">
        <f>IFERROR(Q320/Q446, "NA")</f>
      </c>
      <c r="S320" s="15"/>
      <c r="T320" s="13">
        <v>480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480.48000000000002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1043.54</v>
      </c>
      <c r="C321" s="14">
        <f>IFERROR(B321/B446, "NA")</f>
      </c>
      <c r="D321" s="15"/>
      <c r="E321" s="13">
        <v>1121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1031.0699999999999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3306.5500000000002</v>
      </c>
      <c r="R321" s="14">
        <f>IFERROR(Q321/Q446, "NA")</f>
      </c>
      <c r="S321" s="15"/>
      <c r="T321" s="13">
        <v>3363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3093.21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1171.96</v>
      </c>
      <c r="C322" s="14">
        <f>IFERROR(B322/B446, "NA")</f>
      </c>
      <c r="D322" s="15"/>
      <c r="E322" s="13">
        <v>2439.98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3622.04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2762.1199999999999</v>
      </c>
      <c r="R322" s="14">
        <f>IFERROR(Q322/Q446, "NA")</f>
      </c>
      <c r="S322" s="15"/>
      <c r="T322" s="13">
        <v>4713.25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8039.1499999999996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280.20999999999998</v>
      </c>
      <c r="C323" s="14">
        <f>IFERROR(B323/B446, "NA")</f>
      </c>
      <c r="D323" s="15"/>
      <c r="E323" s="13">
        <v>366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338.98000000000002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840.63</v>
      </c>
      <c r="R323" s="14">
        <f>IFERROR(Q323/Q446, "NA")</f>
      </c>
      <c r="S323" s="15"/>
      <c r="T323" s="13">
        <v>1098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709.23000000000002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0.01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13526.48</v>
      </c>
      <c r="C330" s="14">
        <f>IFERROR(B330/B446, "NA")</f>
      </c>
      <c r="D330" s="15"/>
      <c r="E330" s="13">
        <v>13526.48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13132.5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40579.440000000002</v>
      </c>
      <c r="R330" s="14">
        <f>IFERROR(Q330/Q446, "NA")</f>
      </c>
      <c r="S330" s="15"/>
      <c r="T330" s="13">
        <v>40579.440000000002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39397.5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2126</v>
      </c>
      <c r="C331" s="14">
        <f>IFERROR(B331/B446, "NA")</f>
      </c>
      <c r="D331" s="15"/>
      <c r="E331" s="13">
        <v>2126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2126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6378</v>
      </c>
      <c r="R331" s="14">
        <f>IFERROR(Q331/Q446, "NA")</f>
      </c>
      <c r="S331" s="15"/>
      <c r="T331" s="13">
        <v>6378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6378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180</v>
      </c>
      <c r="C333" s="14">
        <f>IFERROR(B333/B446, "NA")</f>
      </c>
      <c r="D333" s="15"/>
      <c r="E333" s="13">
        <v>180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180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540</v>
      </c>
      <c r="R333" s="14">
        <f>IFERROR(Q333/Q446, "NA")</f>
      </c>
      <c r="S333" s="15"/>
      <c r="T333" s="13">
        <v>540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540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1254</v>
      </c>
      <c r="C334" s="14">
        <f>IFERROR(B334/B446, "NA")</f>
      </c>
      <c r="D334" s="15"/>
      <c r="E334" s="13">
        <v>1025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1024.6900000000001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3762</v>
      </c>
      <c r="R334" s="14">
        <f>IFERROR(Q334/Q446, "NA")</f>
      </c>
      <c r="S334" s="15"/>
      <c r="T334" s="13">
        <v>3075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3074.0700000000002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2083.0799999999999</v>
      </c>
      <c r="C335" s="14">
        <f>IFERROR(B335/B446, "NA")</f>
      </c>
      <c r="D335" s="15"/>
      <c r="E335" s="13">
        <v>2083.0799999999999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2022.4000000000001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340</v>
      </c>
      <c r="C339" s="14">
        <f>IFERROR(B339/B446, "NA")</f>
      </c>
      <c r="D339" s="15"/>
      <c r="E339" s="13">
        <v>650.65999999999997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346.73000000000002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901.79999999999995</v>
      </c>
      <c r="R339" s="14">
        <f>IFERROR(Q339/Q446, "NA")</f>
      </c>
      <c r="S339" s="15"/>
      <c r="T339" s="13">
        <v>1277.04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1225.8399999999999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425.72000000000003</v>
      </c>
      <c r="C340" s="14">
        <f>IFERROR(B340/B446, "NA")</f>
      </c>
      <c r="D340" s="15"/>
      <c r="E340" s="13">
        <v>488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304.43000000000001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1222.97</v>
      </c>
      <c r="R340" s="14">
        <f>IFERROR(Q340/Q446, "NA")</f>
      </c>
      <c r="S340" s="15"/>
      <c r="T340" s="13">
        <v>957.77999999999997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941.65999999999997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-1044.1600000000001</v>
      </c>
      <c r="C341" s="14">
        <f>IFERROR(B341/B446, "NA")</f>
      </c>
      <c r="D341" s="15"/>
      <c r="E341" s="13">
        <v>488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410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-139.16</v>
      </c>
      <c r="R341" s="14">
        <f>IFERROR(Q341/Q446, "NA")</f>
      </c>
      <c r="S341" s="15"/>
      <c r="T341" s="13">
        <v>957.77999999999997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1329.1800000000001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489.54000000000002</v>
      </c>
      <c r="C342" s="14">
        <f>IFERROR(B342/B446, "NA")</f>
      </c>
      <c r="D342" s="15"/>
      <c r="E342" s="13">
        <v>650.65999999999997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471.16000000000003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1434.4000000000001</v>
      </c>
      <c r="R342" s="14">
        <f>IFERROR(Q342/Q446, "NA")</f>
      </c>
      <c r="S342" s="15"/>
      <c r="T342" s="13">
        <v>1277.04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1413.0599999999999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8497.7199999999993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25190.970000000001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8506.3400000000001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8150.7200000000003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25522.32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24154.720000000001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-111.09999999999999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-23.129999999999999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-252.75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-78.439999999999998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-94.489999999999995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-225.66999999999999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637.64999999999998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-199.16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137444.87</v>
      </c>
      <c r="C446" s="33"/>
      <c r="D446" s="15"/>
      <c r="E446" s="13">
        <v>162665.17999999999</v>
      </c>
      <c r="F446" s="33"/>
      <c r="G446" s="15"/>
      <c r="H446" s="16">
        <f>IFERROR(B446-E446, "NA")</f>
      </c>
      <c r="I446" s="33"/>
      <c r="J446" s="15"/>
      <c r="K446" s="13">
        <v>151260.16</v>
      </c>
      <c r="L446" s="33"/>
      <c r="M446" s="15"/>
      <c r="N446" s="16">
        <f>IFERROR(B446-K446, "NA")</f>
      </c>
      <c r="O446" s="33"/>
      <c r="P446" s="15"/>
      <c r="Q446" s="13">
        <v>286022.27000000002</v>
      </c>
      <c r="R446" s="33"/>
      <c r="S446" s="15"/>
      <c r="T446" s="13">
        <v>319260.28000000003</v>
      </c>
      <c r="U446" s="33"/>
      <c r="V446" s="15"/>
      <c r="W446" s="16">
        <f>IFERROR(Q446-T446, "NA")</f>
      </c>
      <c r="X446" s="33"/>
      <c r="Y446" s="15"/>
      <c r="Z446" s="13">
        <v>301083.34999999998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418</v>
      </c>
      <c t="s" r="B3" s="3">
        <v>418</v>
      </c>
      <c t="s" r="C3" s="3">
        <v>418</v>
      </c>
      <c t="s" r="D3" s="3">
        <v>418</v>
      </c>
      <c t="s" r="E3" s="3">
        <v>418</v>
      </c>
      <c t="s" r="F3" s="3">
        <v>418</v>
      </c>
      <c t="s" r="G3" s="3">
        <v>418</v>
      </c>
      <c t="s" r="H3" s="3">
        <v>418</v>
      </c>
      <c t="s" r="I3" s="3">
        <v>418</v>
      </c>
      <c t="s" r="J3" s="3">
        <v>418</v>
      </c>
      <c t="s" r="K3" s="3">
        <v>418</v>
      </c>
      <c t="s" r="L3" s="3">
        <v>418</v>
      </c>
      <c t="s" r="M3" s="3">
        <v>418</v>
      </c>
      <c t="s" r="N3" s="3">
        <v>418</v>
      </c>
      <c t="s" r="O3" s="3">
        <v>418</v>
      </c>
      <c t="s" r="P3" s="3">
        <v>418</v>
      </c>
      <c t="s" r="Q3" s="3">
        <v>418</v>
      </c>
      <c t="s" r="R3" s="3">
        <v>418</v>
      </c>
      <c t="s" r="S3" s="3">
        <v>418</v>
      </c>
      <c t="s" r="T3" s="3">
        <v>418</v>
      </c>
      <c t="s" r="U3" s="3">
        <v>418</v>
      </c>
      <c t="s" r="V3" s="3">
        <v>418</v>
      </c>
      <c t="s" r="W3" s="3">
        <v>418</v>
      </c>
      <c t="s" r="X3" s="3">
        <v>418</v>
      </c>
      <c t="s" r="Y3" s="3">
        <v>418</v>
      </c>
      <c t="s" r="Z3" s="3">
        <v>418</v>
      </c>
      <c t="s" r="AA3" s="3">
        <v>418</v>
      </c>
      <c t="s" r="AB3" s="3">
        <v>418</v>
      </c>
      <c t="s" r="AC3" s="3">
        <v>418</v>
      </c>
      <c t="s" r="AD3" s="3">
        <v>418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75864.910000000003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170074.19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54817.589999999997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60012.550000000003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133588.45000000001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144288.01999999999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5919.3500000000004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8853.6499999999996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14066.35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17754.75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235.5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274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452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505.5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30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405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55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1040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8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59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81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137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0.02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0.16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16982.310000000001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38071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11663.299999999999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5232.5900000000001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27822.150000000001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8735.0799999999999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17735.84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438.29000000000002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1839.22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1921.6300000000001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4458.29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215.38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417.63999999999999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2855.8899999999999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3939.2199999999998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922.46000000000004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928.45000000000005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2539.7600000000002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2575.6999999999998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28885.799999999999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64756.279999999999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12324.379999999999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10289.41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32175.560000000001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25957.09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1037.72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1777.9000000000001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2292.6500000000001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3756.4200000000001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15301.91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13910.02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27480.950000000001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36370.279999999999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1029.8299999999999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2147.52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1161.4000000000001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521.39999999999998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2861.8499999999999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29361.939999999999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65823.699999999997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5787.0699999999997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9518.9300000000003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10532.52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13685.459999999999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8117.6000000000004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16073.459999999999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24216.779999999999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45473.129999999997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12697.059999999999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28464.310000000001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7309.6199999999999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14311.32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3067.23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14811.27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10108.139999999999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22267.990000000002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2003.48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4102.79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-17.850000000000001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t="16.5" customHeight="1">
      <c t="s" r="A72" s="18">
        <v>69</v>
      </c>
      <c r="B72" s="13">
        <v>1353.8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1353.8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2380.6999999999998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5337.0600000000004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369.05000000000001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723.11000000000001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770.67999999999995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1041.1800000000001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956.75999999999999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913.25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2489.7199999999998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3574.98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-5.2999999999999998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-12.25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-5.2999999999999998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97.310000000000002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-370.37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-7459.5200000000004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-16722.779999999999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-1419.6300000000001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-1641.8499999999999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-4400.1800000000003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-4790.6000000000004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-1600.1500000000001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-3215.52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-5759.8100000000004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-7204.75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-97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-418.75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-253.24000000000001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-2116.7199999999998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t="16.5" customHeight="1">
      <c t="s" r="A101" s="18">
        <v>96</v>
      </c>
      <c r="B101" s="13">
        <v>-10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-105.51000000000001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-389.81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-389.35000000000002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-816.58000000000004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-922.63999999999999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-13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-87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-1128.6700000000001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-863.46000000000004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-1719.3900000000001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-2031.9300000000001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-60.520000000000003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-130.09999999999999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-94.510000000000005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-140.09999999999999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34123.339999999997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77954.520000000004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6835.8599999999997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8542.1000000000004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16079.82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20340.639999999999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3522.3899999999999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4926.8800000000001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8722.6700000000001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11196.719999999999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5324.4799999999996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5257.6999999999998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10858.209999999999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12394.950000000001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3085.3499999999999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3751.1599999999999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7429.7600000000002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8610.7999999999993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1538.53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1348.9400000000001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3829.7600000000002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3278.9899999999998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914.76999999999998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1039.54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2151.5799999999999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2593.21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1434.9400000000001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3096.3499999999999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619.89999999999998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617.12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1495.2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1617.1900000000001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8928.7999999999993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9656.8400000000001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22388.959999999999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20082.52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1745.8499999999999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3913.8400000000001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1550.21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2109.48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3686.4400000000001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4484.5699999999997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62.07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83.890000000000001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125.83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144.69999999999999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111.05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0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256.32999999999998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3.3399999999999999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19.670000000000002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26.780000000000001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40.149999999999999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6507.2399999999998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14587.950000000001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4032.7600000000002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4877.54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10010.790000000001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11313.309999999999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1150.3099999999999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1750.28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2693.21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3428.71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276.62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410.88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616.10000000000002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1129.0899999999999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3.5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t="16.5" customHeight="1">
      <c t="s" r="A163" s="18">
        <v>151</v>
      </c>
      <c r="B163" s="13">
        <v>1.3999999999999999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1.3999999999999999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133.80000000000001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145.62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386.10000000000002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359.74000000000001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187.59999999999999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41.799999999999997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239.22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129.40000000000001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-1151.46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-4109.3800000000001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-3205.1399999999999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-10705.120000000001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6490.3999999999996</v>
      </c>
      <c r="C178" s="14">
        <f>IFERROR(B178/B446, "NA")</f>
      </c>
      <c r="D178" s="15"/>
      <c r="E178" s="13">
        <v>6490.3999999999996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6490.3999999999996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16875.040000000001</v>
      </c>
      <c r="R178" s="14">
        <f>IFERROR(Q178/Q446, "NA")</f>
      </c>
      <c r="S178" s="15"/>
      <c r="T178" s="13">
        <v>16875.040000000001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16875.040000000001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24865.27</v>
      </c>
      <c r="C180" s="14">
        <f>IFERROR(B180/B446, "NA")</f>
      </c>
      <c r="D180" s="15"/>
      <c r="E180" s="13">
        <v>29187.360000000001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28014.119999999999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63600.489999999998</v>
      </c>
      <c r="R180" s="14">
        <f>IFERROR(Q180/Q446, "NA")</f>
      </c>
      <c r="S180" s="15"/>
      <c r="T180" s="13">
        <v>69191.020000000004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68545.699999999997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20.719999999999999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103.5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168.5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184.03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-1012</v>
      </c>
      <c r="C184" s="14">
        <f>IFERROR(B184/B446, "NA")</f>
      </c>
      <c r="D184" s="15"/>
      <c r="E184" s="13">
        <v>487.5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-362</v>
      </c>
      <c r="R184" s="14">
        <f>IFERROR(Q184/Q446, "NA")</f>
      </c>
      <c r="S184" s="15"/>
      <c r="T184" s="13">
        <v>1137.5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1500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2965.5500000000002</v>
      </c>
      <c r="C186" s="14">
        <f>IFERROR(B186/B446, "NA")</f>
      </c>
      <c r="D186" s="15"/>
      <c r="E186" s="13">
        <v>3568.4899999999998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3295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7712.3000000000002</v>
      </c>
      <c r="R186" s="14">
        <f>IFERROR(Q186/Q446, "NA")</f>
      </c>
      <c r="S186" s="15"/>
      <c r="T186" s="13">
        <v>8811.6800000000003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8344.6499999999996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247.22999999999999</v>
      </c>
      <c r="C194" s="14">
        <f>IFERROR(B194/B446, "NA")</f>
      </c>
      <c r="D194" s="15"/>
      <c r="E194" s="13">
        <v>289.31999999999999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262.88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888.42999999999995</v>
      </c>
      <c r="R194" s="14">
        <f>IFERROR(Q194/Q446, "NA")</f>
      </c>
      <c r="S194" s="15"/>
      <c r="T194" s="13">
        <v>697.63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896.36000000000001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1428.4200000000001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747.60000000000002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3176.4499999999998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2507.7600000000002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1345.9000000000001</v>
      </c>
      <c r="C202" s="14">
        <f>IFERROR(B202/B446, "NA")</f>
      </c>
      <c r="D202" s="15"/>
      <c r="E202" s="13">
        <v>1745.8499999999999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1283.3800000000001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3155.8499999999999</v>
      </c>
      <c r="R202" s="14">
        <f>IFERROR(Q202/Q446, "NA")</f>
      </c>
      <c r="S202" s="15"/>
      <c r="T202" s="13">
        <v>3913.8400000000001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2942.3699999999999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2671.1799999999998</v>
      </c>
      <c r="C203" s="14">
        <f>IFERROR(B203/B446, "NA")</f>
      </c>
      <c r="D203" s="15"/>
      <c r="E203" s="13">
        <v>1110.99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1158.0599999999999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3823.8000000000002</v>
      </c>
      <c r="R203" s="14">
        <f>IFERROR(Q203/Q446, "NA")</f>
      </c>
      <c r="S203" s="15"/>
      <c r="T203" s="13">
        <v>2490.6300000000001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2323.02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102.89</v>
      </c>
      <c r="C204" s="14">
        <f>IFERROR(B204/B446, "NA")</f>
      </c>
      <c r="D204" s="15"/>
      <c r="E204" s="13">
        <v>317.43000000000001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49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143.18000000000001</v>
      </c>
      <c r="R204" s="14">
        <f>IFERROR(Q204/Q446, "NA")</f>
      </c>
      <c r="S204" s="15"/>
      <c r="T204" s="13">
        <v>711.61000000000001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270.85000000000002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455.30000000000001</v>
      </c>
      <c r="C205" s="14">
        <f>IFERROR(B205/B446, "NA")</f>
      </c>
      <c r="D205" s="15"/>
      <c r="E205" s="13">
        <v>476.13999999999999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455.30000000000001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1276.1800000000001</v>
      </c>
      <c r="R205" s="14">
        <f>IFERROR(Q205/Q446, "NA")</f>
      </c>
      <c r="S205" s="15"/>
      <c r="T205" s="13">
        <v>1067.4100000000001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1183.78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25.210000000000001</v>
      </c>
      <c r="C206" s="14">
        <f>IFERROR(B206/B446, "NA")</f>
      </c>
      <c r="D206" s="15"/>
      <c r="E206" s="13">
        <v>158.71000000000001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33.590000000000003</v>
      </c>
      <c r="R206" s="14">
        <f>IFERROR(Q206/Q446, "NA")</f>
      </c>
      <c r="S206" s="15"/>
      <c r="T206" s="13">
        <v>355.80000000000001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135.75999999999999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300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42.520000000000003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152.33000000000001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284.10000000000002</v>
      </c>
      <c r="R208" s="14">
        <f>IFERROR(Q208/Q446, "NA")</f>
      </c>
      <c r="S208" s="15"/>
      <c r="T208" s="13">
        <v>300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561.98000000000002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4602.6800000000003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10318.309999999999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1140.8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3362.4200000000001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4326.9300000000003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8149.1899999999996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155.28999999999999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461.93000000000001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60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70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2.1000000000000001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3745.6799999999998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2954.0500000000002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4750.0200000000004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7649.0299999999997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132.28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157.18000000000001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169.88999999999999</v>
      </c>
      <c r="R222" s="14">
        <f>IFERROR(Q222/Q446, "NA")</f>
      </c>
      <c r="S222" s="15"/>
      <c r="T222" s="13">
        <v>300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449.56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2063.27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4625.4499999999998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210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231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546.04999999999995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1288.54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1845.72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3336.5599999999999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4747.8599999999997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46.189999999999998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80.459999999999994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9681.5100000000002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21704.029999999999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1875.0899999999999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1347.71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4734.9700000000003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3427.5300000000002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1805.3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2933.98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5191.96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8937.4300000000003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1510.05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2849.8499999999999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216.22999999999999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501.39999999999998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446.23000000000002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1090.8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334.66000000000003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336.44999999999999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817.96000000000004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828.70000000000005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2775.25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1829.5599999999999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4983.9499999999998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4787.3599999999997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613.23000000000002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732.85000000000002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2017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2223.0500000000002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t="16.5" customHeight="1">
      <c t="s" r="A258" s="18">
        <v>235</v>
      </c>
      <c r="B258" s="13">
        <v>245.71000000000001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522.03999999999996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3556.5500000000002</v>
      </c>
      <c r="C266" s="14">
        <f>IFERROR(B266/B446, "NA")</f>
      </c>
      <c r="D266" s="15"/>
      <c r="E266" s="13">
        <v>4285.2600000000002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3675.0900000000001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8120.3299999999999</v>
      </c>
      <c r="R266" s="14">
        <f>IFERROR(Q266/Q446, "NA")</f>
      </c>
      <c r="S266" s="15"/>
      <c r="T266" s="13">
        <v>9606.7099999999991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8650.1399999999994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31.539999999999999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31.539999999999999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166.75999999999999</v>
      </c>
      <c r="C271" s="14">
        <f>IFERROR(B271/B446, "NA")</f>
      </c>
      <c r="D271" s="15"/>
      <c r="E271" s="13">
        <v>111.38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89.790000000000006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423.14999999999998</v>
      </c>
      <c r="R271" s="14">
        <f>IFERROR(Q271/Q446, "NA")</f>
      </c>
      <c r="S271" s="15"/>
      <c r="T271" s="13">
        <v>334.13999999999999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528.17999999999995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1074.5599999999999</v>
      </c>
      <c r="C272" s="14">
        <f>IFERROR(B272/B446, "NA")</f>
      </c>
      <c r="D272" s="15"/>
      <c r="E272" s="13">
        <v>1183.75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1039.0799999999999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3365.1999999999998</v>
      </c>
      <c r="R272" s="14">
        <f>IFERROR(Q272/Q446, "NA")</f>
      </c>
      <c r="S272" s="15"/>
      <c r="T272" s="13">
        <v>3551.25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2884.6999999999998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158.34</v>
      </c>
      <c r="C289" s="14">
        <f>IFERROR(B289/B446, "NA")</f>
      </c>
      <c r="D289" s="15"/>
      <c r="E289" s="13">
        <v>158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158.33000000000001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475.04000000000002</v>
      </c>
      <c r="R289" s="14">
        <f>IFERROR(Q289/Q446, "NA")</f>
      </c>
      <c r="S289" s="15"/>
      <c r="T289" s="13">
        <v>474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475.00999999999999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247.30000000000001</v>
      </c>
      <c r="C290" s="14">
        <f>IFERROR(B290/B446, "NA")</f>
      </c>
      <c r="D290" s="15"/>
      <c r="E290" s="13">
        <v>233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208.47999999999999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741.89999999999998</v>
      </c>
      <c r="R290" s="14">
        <f>IFERROR(Q290/Q446, "NA")</f>
      </c>
      <c r="S290" s="15"/>
      <c r="T290" s="13">
        <v>699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622.69000000000005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317.43000000000001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1296.75</v>
      </c>
      <c r="R291" s="14">
        <f>IFERROR(Q291/Q446, "NA")</f>
      </c>
      <c r="S291" s="15"/>
      <c r="T291" s="13">
        <v>908.70000000000005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0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301.12</v>
      </c>
      <c r="C292" s="14">
        <f>IFERROR(B292/B446, "NA")</f>
      </c>
      <c r="D292" s="15"/>
      <c r="E292" s="13">
        <v>634.85000000000002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-115.89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1572.45</v>
      </c>
      <c r="R292" s="14">
        <f>IFERROR(Q292/Q446, "NA")</f>
      </c>
      <c r="S292" s="15"/>
      <c r="T292" s="13">
        <v>1423.22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0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158.71000000000001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355.80000000000001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158.71000000000001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355.80000000000001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412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523.98000000000002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599.99000000000001</v>
      </c>
      <c r="R295" s="14">
        <f>IFERROR(Q295/Q446, "NA")</f>
      </c>
      <c r="S295" s="15"/>
      <c r="T295" s="13">
        <v>1236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1173.97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476.52999999999997</v>
      </c>
      <c r="C300" s="14">
        <f>IFERROR(B300/B446, "NA")</f>
      </c>
      <c r="D300" s="15"/>
      <c r="E300" s="13">
        <v>469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469.19999999999999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1429.5899999999999</v>
      </c>
      <c r="R300" s="14">
        <f>IFERROR(Q300/Q446, "NA")</f>
      </c>
      <c r="S300" s="15"/>
      <c r="T300" s="13">
        <v>1407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1407.5999999999999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186.68000000000001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63.799999999999997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124.77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5.8300000000000001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105.83</v>
      </c>
      <c r="R311" s="14">
        <f>IFERROR(Q311/Q446, "NA")</f>
      </c>
      <c r="S311" s="15"/>
      <c r="T311" s="13">
        <v>165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26.699999999999999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555.54999999999995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639.24000000000001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915.69000000000005</v>
      </c>
      <c r="R313" s="14">
        <f>IFERROR(Q313/Q446, "NA")</f>
      </c>
      <c r="S313" s="15"/>
      <c r="T313" s="13">
        <v>105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1130.46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10</v>
      </c>
      <c r="R314" s="14">
        <f>IFERROR(Q314/Q446, "NA")</f>
      </c>
      <c r="S314" s="15"/>
      <c r="T314" s="13">
        <v>35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14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533.33000000000004</v>
      </c>
      <c r="C316" s="14">
        <f>IFERROR(B316/B446, "NA")</f>
      </c>
      <c r="D316" s="15"/>
      <c r="E316" s="13">
        <v>634.85000000000002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1599.99</v>
      </c>
      <c r="R316" s="14">
        <f>IFERROR(Q316/Q446, "NA")</f>
      </c>
      <c r="S316" s="15"/>
      <c r="T316" s="13">
        <v>1423.22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t="16.5" customHeight="1">
      <c t="s" r="A317" s="12">
        <v>289</v>
      </c>
      <c r="B317" s="13">
        <v>294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294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393.39999999999998</v>
      </c>
      <c r="C320" s="14">
        <f>IFERROR(B320/B446, "NA")</f>
      </c>
      <c r="D320" s="15"/>
      <c r="E320" s="13">
        <v>308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296.62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1028</v>
      </c>
      <c r="R320" s="14">
        <f>IFERROR(Q320/Q446, "NA")</f>
      </c>
      <c r="S320" s="15"/>
      <c r="T320" s="13">
        <v>924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788.32000000000005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1102.6900000000001</v>
      </c>
      <c r="C321" s="14">
        <f>IFERROR(B321/B446, "NA")</f>
      </c>
      <c r="D321" s="15"/>
      <c r="E321" s="13">
        <v>1186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1081.0699999999999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3494.2600000000002</v>
      </c>
      <c r="R321" s="14">
        <f>IFERROR(Q321/Q446, "NA")</f>
      </c>
      <c r="S321" s="15"/>
      <c r="T321" s="13">
        <v>3558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3243.21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1151.46</v>
      </c>
      <c r="C322" s="14">
        <f>IFERROR(B322/B446, "NA")</f>
      </c>
      <c r="D322" s="15"/>
      <c r="E322" s="13">
        <v>2380.6999999999998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4109.3800000000001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3205.1399999999999</v>
      </c>
      <c r="R322" s="14">
        <f>IFERROR(Q322/Q446, "NA")</f>
      </c>
      <c r="S322" s="15"/>
      <c r="T322" s="13">
        <v>5239.9499999999998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10705.120000000001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768.00999999999999</v>
      </c>
      <c r="C323" s="14">
        <f>IFERROR(B323/B446, "NA")</f>
      </c>
      <c r="D323" s="15"/>
      <c r="E323" s="13">
        <v>252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769.20000000000005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1604.03</v>
      </c>
      <c r="R323" s="14">
        <f>IFERROR(Q323/Q446, "NA")</f>
      </c>
      <c r="S323" s="15"/>
      <c r="T323" s="13">
        <v>756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1307.5999999999999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20059.040000000001</v>
      </c>
      <c r="C330" s="14">
        <f>IFERROR(B330/B446, "NA")</f>
      </c>
      <c r="D330" s="15"/>
      <c r="E330" s="13">
        <v>20059.040000000001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19569.790000000001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60177.120000000003</v>
      </c>
      <c r="R330" s="14">
        <f>IFERROR(Q330/Q446, "NA")</f>
      </c>
      <c r="S330" s="15"/>
      <c r="T330" s="13">
        <v>60177.120000000003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58709.370000000003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658.50999999999999</v>
      </c>
      <c r="C331" s="14">
        <f>IFERROR(B331/B446, "NA")</f>
      </c>
      <c r="D331" s="15"/>
      <c r="E331" s="13">
        <v>658.50999999999999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658.50999999999999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1975.53</v>
      </c>
      <c r="R331" s="14">
        <f>IFERROR(Q331/Q446, "NA")</f>
      </c>
      <c r="S331" s="15"/>
      <c r="T331" s="13">
        <v>1975.53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1975.53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855.92999999999995</v>
      </c>
      <c r="C334" s="14">
        <f>IFERROR(B334/B446, "NA")</f>
      </c>
      <c r="D334" s="15"/>
      <c r="E334" s="13">
        <v>856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855.92999999999995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2567.79</v>
      </c>
      <c r="R334" s="14">
        <f>IFERROR(Q334/Q446, "NA")</f>
      </c>
      <c r="S334" s="15"/>
      <c r="T334" s="13">
        <v>2568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2472.5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3089.0999999999999</v>
      </c>
      <c r="C335" s="14">
        <f>IFERROR(B335/B446, "NA")</f>
      </c>
      <c r="D335" s="15"/>
      <c r="E335" s="13">
        <v>3089.0999999999999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3013.7399999999998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2002.0899999999999</v>
      </c>
      <c r="C339" s="14">
        <f>IFERROR(B339/B446, "NA")</f>
      </c>
      <c r="D339" s="15"/>
      <c r="E339" s="13">
        <v>3332.98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1853.9300000000001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5713.2299999999996</v>
      </c>
      <c r="R339" s="14">
        <f>IFERROR(Q339/Q446, "NA")</f>
      </c>
      <c r="S339" s="15"/>
      <c r="T339" s="13">
        <v>7471.8800000000001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5381.2799999999997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1045.22</v>
      </c>
      <c r="C340" s="14">
        <f>IFERROR(B340/B446, "NA")</f>
      </c>
      <c r="D340" s="15"/>
      <c r="E340" s="13">
        <v>1110.99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1218.9300000000001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3282.46</v>
      </c>
      <c r="R340" s="14">
        <f>IFERROR(Q340/Q446, "NA")</f>
      </c>
      <c r="S340" s="15"/>
      <c r="T340" s="13">
        <v>2490.6300000000001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3739.8299999999999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739.02999999999997</v>
      </c>
      <c r="C341" s="14">
        <f>IFERROR(B341/B446, "NA")</f>
      </c>
      <c r="D341" s="15"/>
      <c r="E341" s="13">
        <v>1110.99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831.95000000000005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2483.2199999999998</v>
      </c>
      <c r="R341" s="14">
        <f>IFERROR(Q341/Q446, "NA")</f>
      </c>
      <c r="S341" s="15"/>
      <c r="T341" s="13">
        <v>2490.6300000000001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2633.1500000000001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1066.1900000000001</v>
      </c>
      <c r="C342" s="14">
        <f>IFERROR(B342/B446, "NA")</f>
      </c>
      <c r="D342" s="15"/>
      <c r="E342" s="13">
        <v>1428.4200000000001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1012.86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3130.1700000000001</v>
      </c>
      <c r="R342" s="14">
        <f>IFERROR(Q342/Q446, "NA")</f>
      </c>
      <c r="S342" s="15"/>
      <c r="T342" s="13">
        <v>3202.2399999999998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3077.4200000000001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10964.68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31205.439999999999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10648.200000000001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9780.8899999999994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31945.950000000001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29342.689999999999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-45.119999999999997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398.66000000000003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-142.46000000000001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295.86000000000001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-24.25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-55.189999999999998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-52.710000000000001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-21.329999999999998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128214.53999999999</v>
      </c>
      <c r="C446" s="33"/>
      <c r="D446" s="15"/>
      <c r="E446" s="13">
        <v>158713.20000000001</v>
      </c>
      <c r="F446" s="33"/>
      <c r="G446" s="15"/>
      <c r="H446" s="16">
        <f>IFERROR(B446-E446, "NA")</f>
      </c>
      <c r="I446" s="33"/>
      <c r="J446" s="15"/>
      <c r="K446" s="13">
        <v>146549.59</v>
      </c>
      <c r="L446" s="33"/>
      <c r="M446" s="15"/>
      <c r="N446" s="16">
        <f>IFERROR(B446-K446, "NA")</f>
      </c>
      <c r="O446" s="33"/>
      <c r="P446" s="15"/>
      <c r="Q446" s="13">
        <v>298896.78000000003</v>
      </c>
      <c r="R446" s="33"/>
      <c r="S446" s="15"/>
      <c r="T446" s="13">
        <v>355803.76000000001</v>
      </c>
      <c r="U446" s="33"/>
      <c r="V446" s="15"/>
      <c r="W446" s="16">
        <f>IFERROR(Q446-T446, "NA")</f>
      </c>
      <c r="X446" s="33"/>
      <c r="Y446" s="15"/>
      <c r="Z446" s="13">
        <v>336357.75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2026-07-23T15:29:59Z</dcterms:created>
  <dcterms:modified xsi:type="dcterms:W3CDTF">2026-07-23T15:29:59Z</dcterms:modified>
</cp:coreProperties>
</file>