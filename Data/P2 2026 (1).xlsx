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CCBC0443-CCB5-4B5C-9BBC-69C8BF1592BC}" xr6:coauthVersionLast="47" xr6:coauthVersionMax="47" xr10:uidLastSave="{00000000-0000-0000-0000-000000000000}"/>
  <bookViews>
    <workbookView xWindow="-28920" yWindow="7080" windowWidth="29040" windowHeight="15720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N444" i="7"/>
  <c r="O320" i="7" s="1"/>
  <c r="H444" i="7"/>
  <c r="AA442" i="7"/>
  <c r="Z442" i="7"/>
  <c r="T442" i="7"/>
  <c r="U442" i="7" s="1"/>
  <c r="Q442" i="7"/>
  <c r="R442" i="7" s="1"/>
  <c r="K442" i="7"/>
  <c r="L442" i="7" s="1"/>
  <c r="H442" i="7"/>
  <c r="I442" i="7" s="1"/>
  <c r="E442" i="7"/>
  <c r="F442" i="7" s="1"/>
  <c r="C442" i="7"/>
  <c r="B442" i="7"/>
  <c r="N442" i="7" s="1"/>
  <c r="O442" i="7" s="1"/>
  <c r="AA441" i="7"/>
  <c r="Z441" i="7"/>
  <c r="W441" i="7"/>
  <c r="X441" i="7" s="1"/>
  <c r="U441" i="7"/>
  <c r="T441" i="7"/>
  <c r="Q441" i="7"/>
  <c r="R441" i="7" s="1"/>
  <c r="N441" i="7"/>
  <c r="O441" i="7" s="1"/>
  <c r="K441" i="7"/>
  <c r="L441" i="7" s="1"/>
  <c r="E441" i="7"/>
  <c r="F441" i="7" s="1"/>
  <c r="B441" i="7"/>
  <c r="H441" i="7" s="1"/>
  <c r="I441" i="7" s="1"/>
  <c r="AC440" i="7"/>
  <c r="AD440" i="7" s="1"/>
  <c r="AA440" i="7"/>
  <c r="W440" i="7"/>
  <c r="X440" i="7" s="1"/>
  <c r="U440" i="7"/>
  <c r="R440" i="7"/>
  <c r="O440" i="7"/>
  <c r="N440" i="7"/>
  <c r="L440" i="7"/>
  <c r="I440" i="7"/>
  <c r="H440" i="7"/>
  <c r="F440" i="7"/>
  <c r="C440" i="7"/>
  <c r="AC439" i="7"/>
  <c r="AD439" i="7" s="1"/>
  <c r="AA439" i="7"/>
  <c r="W439" i="7"/>
  <c r="X439" i="7" s="1"/>
  <c r="U439" i="7"/>
  <c r="R439" i="7"/>
  <c r="N439" i="7"/>
  <c r="O439" i="7" s="1"/>
  <c r="L439" i="7"/>
  <c r="H439" i="7"/>
  <c r="I439" i="7" s="1"/>
  <c r="F439" i="7"/>
  <c r="C439" i="7"/>
  <c r="AD438" i="7"/>
  <c r="AC438" i="7"/>
  <c r="AA438" i="7"/>
  <c r="X438" i="7"/>
  <c r="W438" i="7"/>
  <c r="U438" i="7"/>
  <c r="R438" i="7"/>
  <c r="N438" i="7"/>
  <c r="O438" i="7" s="1"/>
  <c r="L438" i="7"/>
  <c r="I438" i="7"/>
  <c r="H438" i="7"/>
  <c r="F438" i="7"/>
  <c r="C438" i="7"/>
  <c r="AD437" i="7"/>
  <c r="AC437" i="7"/>
  <c r="AA437" i="7"/>
  <c r="W437" i="7"/>
  <c r="X437" i="7" s="1"/>
  <c r="U437" i="7"/>
  <c r="R437" i="7"/>
  <c r="N437" i="7"/>
  <c r="O437" i="7" s="1"/>
  <c r="L437" i="7"/>
  <c r="I437" i="7"/>
  <c r="H437" i="7"/>
  <c r="F437" i="7"/>
  <c r="C437" i="7"/>
  <c r="AC436" i="7"/>
  <c r="AD436" i="7" s="1"/>
  <c r="AA436" i="7"/>
  <c r="W436" i="7"/>
  <c r="X436" i="7" s="1"/>
  <c r="U436" i="7"/>
  <c r="R436" i="7"/>
  <c r="O436" i="7"/>
  <c r="N436" i="7"/>
  <c r="L436" i="7"/>
  <c r="I436" i="7"/>
  <c r="H436" i="7"/>
  <c r="F436" i="7"/>
  <c r="C436" i="7"/>
  <c r="AC435" i="7"/>
  <c r="AD435" i="7" s="1"/>
  <c r="AA435" i="7"/>
  <c r="W435" i="7"/>
  <c r="X435" i="7" s="1"/>
  <c r="U435" i="7"/>
  <c r="R435" i="7"/>
  <c r="N435" i="7"/>
  <c r="O435" i="7" s="1"/>
  <c r="L435" i="7"/>
  <c r="H435" i="7"/>
  <c r="I435" i="7" s="1"/>
  <c r="F435" i="7"/>
  <c r="C435" i="7"/>
  <c r="AD434" i="7"/>
  <c r="AC434" i="7"/>
  <c r="AA434" i="7"/>
  <c r="X434" i="7"/>
  <c r="W434" i="7"/>
  <c r="U434" i="7"/>
  <c r="R434" i="7"/>
  <c r="N434" i="7"/>
  <c r="O434" i="7" s="1"/>
  <c r="L434" i="7"/>
  <c r="I434" i="7"/>
  <c r="H434" i="7"/>
  <c r="F434" i="7"/>
  <c r="C434" i="7"/>
  <c r="AD433" i="7"/>
  <c r="AC433" i="7"/>
  <c r="AA433" i="7"/>
  <c r="W433" i="7"/>
  <c r="X433" i="7" s="1"/>
  <c r="U433" i="7"/>
  <c r="R433" i="7"/>
  <c r="N433" i="7"/>
  <c r="O433" i="7" s="1"/>
  <c r="L433" i="7"/>
  <c r="I433" i="7"/>
  <c r="H433" i="7"/>
  <c r="F433" i="7"/>
  <c r="C433" i="7"/>
  <c r="AC432" i="7"/>
  <c r="AD432" i="7" s="1"/>
  <c r="AA432" i="7"/>
  <c r="W432" i="7"/>
  <c r="X432" i="7" s="1"/>
  <c r="U432" i="7"/>
  <c r="R432" i="7"/>
  <c r="O432" i="7"/>
  <c r="N432" i="7"/>
  <c r="L432" i="7"/>
  <c r="I432" i="7"/>
  <c r="H432" i="7"/>
  <c r="F432" i="7"/>
  <c r="C432" i="7"/>
  <c r="AC429" i="7"/>
  <c r="AD429" i="7" s="1"/>
  <c r="Z429" i="7"/>
  <c r="AA429" i="7" s="1"/>
  <c r="X429" i="7"/>
  <c r="U429" i="7"/>
  <c r="T429" i="7"/>
  <c r="R429" i="7"/>
  <c r="Q429" i="7"/>
  <c r="W429" i="7" s="1"/>
  <c r="L429" i="7"/>
  <c r="K429" i="7"/>
  <c r="E429" i="7"/>
  <c r="F429" i="7" s="1"/>
  <c r="B429" i="7"/>
  <c r="C429" i="7" s="1"/>
  <c r="AA428" i="7"/>
  <c r="Z428" i="7"/>
  <c r="W428" i="7"/>
  <c r="X428" i="7" s="1"/>
  <c r="T428" i="7"/>
  <c r="U428" i="7" s="1"/>
  <c r="R428" i="7"/>
  <c r="Q428" i="7"/>
  <c r="AC428" i="7" s="1"/>
  <c r="AD428" i="7" s="1"/>
  <c r="K428" i="7"/>
  <c r="L428" i="7" s="1"/>
  <c r="H428" i="7"/>
  <c r="I428" i="7" s="1"/>
  <c r="F428" i="7"/>
  <c r="E428" i="7"/>
  <c r="C428" i="7"/>
  <c r="B428" i="7"/>
  <c r="AD427" i="7"/>
  <c r="AC427" i="7"/>
  <c r="AA427" i="7"/>
  <c r="W427" i="7"/>
  <c r="X427" i="7" s="1"/>
  <c r="U427" i="7"/>
  <c r="R427" i="7"/>
  <c r="N427" i="7"/>
  <c r="O427" i="7" s="1"/>
  <c r="L427" i="7"/>
  <c r="H427" i="7"/>
  <c r="I427" i="7" s="1"/>
  <c r="F427" i="7"/>
  <c r="C427" i="7"/>
  <c r="AD426" i="7"/>
  <c r="AC426" i="7"/>
  <c r="AA426" i="7"/>
  <c r="X426" i="7"/>
  <c r="W426" i="7"/>
  <c r="U426" i="7"/>
  <c r="R426" i="7"/>
  <c r="N426" i="7"/>
  <c r="O426" i="7" s="1"/>
  <c r="L426" i="7"/>
  <c r="H426" i="7"/>
  <c r="I426" i="7" s="1"/>
  <c r="F426" i="7"/>
  <c r="C426" i="7"/>
  <c r="AD425" i="7"/>
  <c r="AC425" i="7"/>
  <c r="AA425" i="7"/>
  <c r="W425" i="7"/>
  <c r="X425" i="7" s="1"/>
  <c r="U425" i="7"/>
  <c r="R425" i="7"/>
  <c r="N425" i="7"/>
  <c r="O425" i="7" s="1"/>
  <c r="L425" i="7"/>
  <c r="I425" i="7"/>
  <c r="H425" i="7"/>
  <c r="F425" i="7"/>
  <c r="C425" i="7"/>
  <c r="AC424" i="7"/>
  <c r="AD424" i="7" s="1"/>
  <c r="AA424" i="7"/>
  <c r="W424" i="7"/>
  <c r="X424" i="7" s="1"/>
  <c r="U424" i="7"/>
  <c r="R424" i="7"/>
  <c r="O424" i="7"/>
  <c r="N424" i="7"/>
  <c r="L424" i="7"/>
  <c r="I424" i="7"/>
  <c r="H424" i="7"/>
  <c r="F424" i="7"/>
  <c r="C424" i="7"/>
  <c r="AD423" i="7"/>
  <c r="AC423" i="7"/>
  <c r="AA423" i="7"/>
  <c r="W423" i="7"/>
  <c r="X423" i="7" s="1"/>
  <c r="U423" i="7"/>
  <c r="R423" i="7"/>
  <c r="N423" i="7"/>
  <c r="O423" i="7" s="1"/>
  <c r="L423" i="7"/>
  <c r="H423" i="7"/>
  <c r="I423" i="7" s="1"/>
  <c r="F423" i="7"/>
  <c r="C423" i="7"/>
  <c r="AD422" i="7"/>
  <c r="AC422" i="7"/>
  <c r="AA422" i="7"/>
  <c r="X422" i="7"/>
  <c r="W422" i="7"/>
  <c r="U422" i="7"/>
  <c r="R422" i="7"/>
  <c r="N422" i="7"/>
  <c r="O422" i="7" s="1"/>
  <c r="L422" i="7"/>
  <c r="H422" i="7"/>
  <c r="I422" i="7" s="1"/>
  <c r="F422" i="7"/>
  <c r="C422" i="7"/>
  <c r="AD421" i="7"/>
  <c r="AC421" i="7"/>
  <c r="AA421" i="7"/>
  <c r="W421" i="7"/>
  <c r="X421" i="7" s="1"/>
  <c r="U421" i="7"/>
  <c r="R421" i="7"/>
  <c r="N421" i="7"/>
  <c r="O421" i="7" s="1"/>
  <c r="L421" i="7"/>
  <c r="I421" i="7"/>
  <c r="H421" i="7"/>
  <c r="F421" i="7"/>
  <c r="C421" i="7"/>
  <c r="AC420" i="7"/>
  <c r="AD420" i="7" s="1"/>
  <c r="AA420" i="7"/>
  <c r="W420" i="7"/>
  <c r="X420" i="7" s="1"/>
  <c r="U420" i="7"/>
  <c r="R420" i="7"/>
  <c r="O420" i="7"/>
  <c r="N420" i="7"/>
  <c r="L420" i="7"/>
  <c r="I420" i="7"/>
  <c r="H420" i="7"/>
  <c r="F420" i="7"/>
  <c r="C420" i="7"/>
  <c r="AD419" i="7"/>
  <c r="AC419" i="7"/>
  <c r="AA419" i="7"/>
  <c r="W419" i="7"/>
  <c r="X419" i="7" s="1"/>
  <c r="U419" i="7"/>
  <c r="R419" i="7"/>
  <c r="N419" i="7"/>
  <c r="O419" i="7" s="1"/>
  <c r="L419" i="7"/>
  <c r="H419" i="7"/>
  <c r="I419" i="7" s="1"/>
  <c r="F419" i="7"/>
  <c r="C419" i="7"/>
  <c r="AD418" i="7"/>
  <c r="AC418" i="7"/>
  <c r="AA418" i="7"/>
  <c r="X418" i="7"/>
  <c r="W418" i="7"/>
  <c r="U418" i="7"/>
  <c r="R418" i="7"/>
  <c r="N418" i="7"/>
  <c r="O418" i="7" s="1"/>
  <c r="L418" i="7"/>
  <c r="H418" i="7"/>
  <c r="I418" i="7" s="1"/>
  <c r="F418" i="7"/>
  <c r="C418" i="7"/>
  <c r="AD417" i="7"/>
  <c r="AC417" i="7"/>
  <c r="AA417" i="7"/>
  <c r="W417" i="7"/>
  <c r="X417" i="7" s="1"/>
  <c r="U417" i="7"/>
  <c r="R417" i="7"/>
  <c r="N417" i="7"/>
  <c r="O417" i="7" s="1"/>
  <c r="L417" i="7"/>
  <c r="I417" i="7"/>
  <c r="H417" i="7"/>
  <c r="F417" i="7"/>
  <c r="C417" i="7"/>
  <c r="AC416" i="7"/>
  <c r="AD416" i="7" s="1"/>
  <c r="AA416" i="7"/>
  <c r="W416" i="7"/>
  <c r="X416" i="7" s="1"/>
  <c r="U416" i="7"/>
  <c r="R416" i="7"/>
  <c r="O416" i="7"/>
  <c r="N416" i="7"/>
  <c r="L416" i="7"/>
  <c r="I416" i="7"/>
  <c r="H416" i="7"/>
  <c r="F416" i="7"/>
  <c r="C416" i="7"/>
  <c r="AD415" i="7"/>
  <c r="AC415" i="7"/>
  <c r="AA415" i="7"/>
  <c r="W415" i="7"/>
  <c r="X415" i="7" s="1"/>
  <c r="U415" i="7"/>
  <c r="R415" i="7"/>
  <c r="N415" i="7"/>
  <c r="O415" i="7" s="1"/>
  <c r="L415" i="7"/>
  <c r="H415" i="7"/>
  <c r="I415" i="7" s="1"/>
  <c r="F415" i="7"/>
  <c r="C415" i="7"/>
  <c r="AD414" i="7"/>
  <c r="AC414" i="7"/>
  <c r="AA414" i="7"/>
  <c r="X414" i="7"/>
  <c r="W414" i="7"/>
  <c r="U414" i="7"/>
  <c r="R414" i="7"/>
  <c r="N414" i="7"/>
  <c r="O414" i="7" s="1"/>
  <c r="L414" i="7"/>
  <c r="H414" i="7"/>
  <c r="I414" i="7" s="1"/>
  <c r="F414" i="7"/>
  <c r="C414" i="7"/>
  <c r="AD413" i="7"/>
  <c r="AC413" i="7"/>
  <c r="AA413" i="7"/>
  <c r="W413" i="7"/>
  <c r="X413" i="7" s="1"/>
  <c r="U413" i="7"/>
  <c r="R413" i="7"/>
  <c r="N413" i="7"/>
  <c r="O413" i="7" s="1"/>
  <c r="L413" i="7"/>
  <c r="I413" i="7"/>
  <c r="H413" i="7"/>
  <c r="F413" i="7"/>
  <c r="C413" i="7"/>
  <c r="AC412" i="7"/>
  <c r="AD412" i="7" s="1"/>
  <c r="AA412" i="7"/>
  <c r="W412" i="7"/>
  <c r="X412" i="7" s="1"/>
  <c r="U412" i="7"/>
  <c r="R412" i="7"/>
  <c r="O412" i="7"/>
  <c r="N412" i="7"/>
  <c r="L412" i="7"/>
  <c r="I412" i="7"/>
  <c r="H412" i="7"/>
  <c r="F412" i="7"/>
  <c r="C412" i="7"/>
  <c r="AD411" i="7"/>
  <c r="AC411" i="7"/>
  <c r="AA411" i="7"/>
  <c r="W411" i="7"/>
  <c r="X411" i="7" s="1"/>
  <c r="U411" i="7"/>
  <c r="R411" i="7"/>
  <c r="N411" i="7"/>
  <c r="O411" i="7" s="1"/>
  <c r="L411" i="7"/>
  <c r="H411" i="7"/>
  <c r="I411" i="7" s="1"/>
  <c r="F411" i="7"/>
  <c r="C411" i="7"/>
  <c r="AD410" i="7"/>
  <c r="AC410" i="7"/>
  <c r="AA410" i="7"/>
  <c r="X410" i="7"/>
  <c r="W410" i="7"/>
  <c r="U410" i="7"/>
  <c r="R410" i="7"/>
  <c r="N410" i="7"/>
  <c r="O410" i="7" s="1"/>
  <c r="L410" i="7"/>
  <c r="H410" i="7"/>
  <c r="I410" i="7" s="1"/>
  <c r="F410" i="7"/>
  <c r="C410" i="7"/>
  <c r="AD409" i="7"/>
  <c r="AC409" i="7"/>
  <c r="AA409" i="7"/>
  <c r="W409" i="7"/>
  <c r="X409" i="7" s="1"/>
  <c r="U409" i="7"/>
  <c r="R409" i="7"/>
  <c r="N409" i="7"/>
  <c r="O409" i="7" s="1"/>
  <c r="L409" i="7"/>
  <c r="I409" i="7"/>
  <c r="H409" i="7"/>
  <c r="F409" i="7"/>
  <c r="C409" i="7"/>
  <c r="AC408" i="7"/>
  <c r="AD408" i="7" s="1"/>
  <c r="AA408" i="7"/>
  <c r="W408" i="7"/>
  <c r="X408" i="7" s="1"/>
  <c r="U408" i="7"/>
  <c r="R408" i="7"/>
  <c r="O408" i="7"/>
  <c r="N408" i="7"/>
  <c r="L408" i="7"/>
  <c r="I408" i="7"/>
  <c r="H408" i="7"/>
  <c r="F408" i="7"/>
  <c r="C408" i="7"/>
  <c r="AD407" i="7"/>
  <c r="AC407" i="7"/>
  <c r="AA407" i="7"/>
  <c r="W407" i="7"/>
  <c r="X407" i="7" s="1"/>
  <c r="U407" i="7"/>
  <c r="R407" i="7"/>
  <c r="N407" i="7"/>
  <c r="O407" i="7" s="1"/>
  <c r="L407" i="7"/>
  <c r="H407" i="7"/>
  <c r="I407" i="7" s="1"/>
  <c r="F407" i="7"/>
  <c r="C407" i="7"/>
  <c r="AA403" i="7"/>
  <c r="Z403" i="7"/>
  <c r="U403" i="7"/>
  <c r="T403" i="7"/>
  <c r="Q403" i="7"/>
  <c r="R403" i="7" s="1"/>
  <c r="L403" i="7"/>
  <c r="K403" i="7"/>
  <c r="H403" i="7"/>
  <c r="I403" i="7" s="1"/>
  <c r="E403" i="7"/>
  <c r="F403" i="7" s="1"/>
  <c r="C403" i="7"/>
  <c r="B403" i="7"/>
  <c r="N403" i="7" s="1"/>
  <c r="O403" i="7" s="1"/>
  <c r="AD402" i="7"/>
  <c r="AC402" i="7"/>
  <c r="AA402" i="7"/>
  <c r="X402" i="7"/>
  <c r="W402" i="7"/>
  <c r="U402" i="7"/>
  <c r="R402" i="7"/>
  <c r="N402" i="7"/>
  <c r="O402" i="7" s="1"/>
  <c r="L402" i="7"/>
  <c r="H402" i="7"/>
  <c r="I402" i="7" s="1"/>
  <c r="F402" i="7"/>
  <c r="C402" i="7"/>
  <c r="AD401" i="7"/>
  <c r="AC401" i="7"/>
  <c r="AA401" i="7"/>
  <c r="W401" i="7"/>
  <c r="X401" i="7" s="1"/>
  <c r="U401" i="7"/>
  <c r="R401" i="7"/>
  <c r="N401" i="7"/>
  <c r="O401" i="7" s="1"/>
  <c r="L401" i="7"/>
  <c r="I401" i="7"/>
  <c r="H401" i="7"/>
  <c r="F401" i="7"/>
  <c r="C401" i="7"/>
  <c r="AC400" i="7"/>
  <c r="AD400" i="7" s="1"/>
  <c r="AA400" i="7"/>
  <c r="W400" i="7"/>
  <c r="X400" i="7" s="1"/>
  <c r="U400" i="7"/>
  <c r="R400" i="7"/>
  <c r="O400" i="7"/>
  <c r="N400" i="7"/>
  <c r="L400" i="7"/>
  <c r="I400" i="7"/>
  <c r="H400" i="7"/>
  <c r="F400" i="7"/>
  <c r="C400" i="7"/>
  <c r="AD399" i="7"/>
  <c r="AC399" i="7"/>
  <c r="AA399" i="7"/>
  <c r="W399" i="7"/>
  <c r="X399" i="7" s="1"/>
  <c r="U399" i="7"/>
  <c r="R399" i="7"/>
  <c r="N399" i="7"/>
  <c r="O399" i="7" s="1"/>
  <c r="L399" i="7"/>
  <c r="H399" i="7"/>
  <c r="I399" i="7" s="1"/>
  <c r="F399" i="7"/>
  <c r="C399" i="7"/>
  <c r="AD398" i="7"/>
  <c r="AC398" i="7"/>
  <c r="AA398" i="7"/>
  <c r="X398" i="7"/>
  <c r="W398" i="7"/>
  <c r="U398" i="7"/>
  <c r="R398" i="7"/>
  <c r="N398" i="7"/>
  <c r="O398" i="7" s="1"/>
  <c r="L398" i="7"/>
  <c r="H398" i="7"/>
  <c r="I398" i="7" s="1"/>
  <c r="F398" i="7"/>
  <c r="C398" i="7"/>
  <c r="AD397" i="7"/>
  <c r="AC397" i="7"/>
  <c r="AA397" i="7"/>
  <c r="W397" i="7"/>
  <c r="X397" i="7" s="1"/>
  <c r="U397" i="7"/>
  <c r="R397" i="7"/>
  <c r="N397" i="7"/>
  <c r="O397" i="7" s="1"/>
  <c r="L397" i="7"/>
  <c r="I397" i="7"/>
  <c r="H397" i="7"/>
  <c r="F397" i="7"/>
  <c r="C397" i="7"/>
  <c r="AA396" i="7"/>
  <c r="Z396" i="7"/>
  <c r="U396" i="7"/>
  <c r="T396" i="7"/>
  <c r="Q396" i="7"/>
  <c r="R396" i="7" s="1"/>
  <c r="L396" i="7"/>
  <c r="K396" i="7"/>
  <c r="H396" i="7"/>
  <c r="I396" i="7" s="1"/>
  <c r="E396" i="7"/>
  <c r="F396" i="7" s="1"/>
  <c r="C396" i="7"/>
  <c r="B396" i="7"/>
  <c r="N396" i="7" s="1"/>
  <c r="O396" i="7" s="1"/>
  <c r="AD395" i="7"/>
  <c r="AC395" i="7"/>
  <c r="AA395" i="7"/>
  <c r="X395" i="7"/>
  <c r="W395" i="7"/>
  <c r="U395" i="7"/>
  <c r="R395" i="7"/>
  <c r="N395" i="7"/>
  <c r="O395" i="7" s="1"/>
  <c r="L395" i="7"/>
  <c r="H395" i="7"/>
  <c r="I395" i="7" s="1"/>
  <c r="F395" i="7"/>
  <c r="C395" i="7"/>
  <c r="AD394" i="7"/>
  <c r="AC394" i="7"/>
  <c r="AA394" i="7"/>
  <c r="W394" i="7"/>
  <c r="X394" i="7" s="1"/>
  <c r="U394" i="7"/>
  <c r="R394" i="7"/>
  <c r="N394" i="7"/>
  <c r="O394" i="7" s="1"/>
  <c r="L394" i="7"/>
  <c r="I394" i="7"/>
  <c r="H394" i="7"/>
  <c r="F394" i="7"/>
  <c r="C394" i="7"/>
  <c r="AA393" i="7"/>
  <c r="Z393" i="7"/>
  <c r="T393" i="7"/>
  <c r="U393" i="7" s="1"/>
  <c r="Q393" i="7"/>
  <c r="R393" i="7" s="1"/>
  <c r="L393" i="7"/>
  <c r="K393" i="7"/>
  <c r="H393" i="7"/>
  <c r="I393" i="7" s="1"/>
  <c r="E393" i="7"/>
  <c r="F393" i="7" s="1"/>
  <c r="C393" i="7"/>
  <c r="B393" i="7"/>
  <c r="N393" i="7" s="1"/>
  <c r="O393" i="7" s="1"/>
  <c r="AD392" i="7"/>
  <c r="AC392" i="7"/>
  <c r="AA392" i="7"/>
  <c r="X392" i="7"/>
  <c r="W392" i="7"/>
  <c r="U392" i="7"/>
  <c r="R392" i="7"/>
  <c r="N392" i="7"/>
  <c r="O392" i="7" s="1"/>
  <c r="L392" i="7"/>
  <c r="I392" i="7"/>
  <c r="H392" i="7"/>
  <c r="F392" i="7"/>
  <c r="C392" i="7"/>
  <c r="AD391" i="7"/>
  <c r="AC391" i="7"/>
  <c r="AA391" i="7"/>
  <c r="W391" i="7"/>
  <c r="X391" i="7" s="1"/>
  <c r="U391" i="7"/>
  <c r="R391" i="7"/>
  <c r="N391" i="7"/>
  <c r="O391" i="7" s="1"/>
  <c r="L391" i="7"/>
  <c r="I391" i="7"/>
  <c r="H391" i="7"/>
  <c r="F391" i="7"/>
  <c r="C391" i="7"/>
  <c r="AC390" i="7"/>
  <c r="AD390" i="7" s="1"/>
  <c r="AA390" i="7"/>
  <c r="W390" i="7"/>
  <c r="X390" i="7" s="1"/>
  <c r="U390" i="7"/>
  <c r="R390" i="7"/>
  <c r="O390" i="7"/>
  <c r="N390" i="7"/>
  <c r="L390" i="7"/>
  <c r="I390" i="7"/>
  <c r="H390" i="7"/>
  <c r="F390" i="7"/>
  <c r="C390" i="7"/>
  <c r="AC389" i="7"/>
  <c r="AD389" i="7" s="1"/>
  <c r="AA389" i="7"/>
  <c r="W389" i="7"/>
  <c r="X389" i="7" s="1"/>
  <c r="U389" i="7"/>
  <c r="R389" i="7"/>
  <c r="N389" i="7"/>
  <c r="O389" i="7" s="1"/>
  <c r="L389" i="7"/>
  <c r="H389" i="7"/>
  <c r="I389" i="7" s="1"/>
  <c r="F389" i="7"/>
  <c r="C389" i="7"/>
  <c r="AD388" i="7"/>
  <c r="AC388" i="7"/>
  <c r="AA388" i="7"/>
  <c r="X388" i="7"/>
  <c r="W388" i="7"/>
  <c r="U388" i="7"/>
  <c r="R388" i="7"/>
  <c r="N388" i="7"/>
  <c r="O388" i="7" s="1"/>
  <c r="L388" i="7"/>
  <c r="I388" i="7"/>
  <c r="H388" i="7"/>
  <c r="F388" i="7"/>
  <c r="C388" i="7"/>
  <c r="AD386" i="7"/>
  <c r="AC386" i="7"/>
  <c r="AA386" i="7"/>
  <c r="W386" i="7"/>
  <c r="X386" i="7" s="1"/>
  <c r="U386" i="7"/>
  <c r="R386" i="7"/>
  <c r="N386" i="7"/>
  <c r="O386" i="7" s="1"/>
  <c r="L386" i="7"/>
  <c r="I386" i="7"/>
  <c r="H386" i="7"/>
  <c r="F386" i="7"/>
  <c r="C386" i="7"/>
  <c r="AC385" i="7"/>
  <c r="AD385" i="7" s="1"/>
  <c r="AA385" i="7"/>
  <c r="W385" i="7"/>
  <c r="X385" i="7" s="1"/>
  <c r="U385" i="7"/>
  <c r="R385" i="7"/>
  <c r="O385" i="7"/>
  <c r="N385" i="7"/>
  <c r="L385" i="7"/>
  <c r="I385" i="7"/>
  <c r="H385" i="7"/>
  <c r="F385" i="7"/>
  <c r="C385" i="7"/>
  <c r="AC383" i="7"/>
  <c r="AD383" i="7" s="1"/>
  <c r="AA383" i="7"/>
  <c r="W383" i="7"/>
  <c r="X383" i="7" s="1"/>
  <c r="U383" i="7"/>
  <c r="R383" i="7"/>
  <c r="N383" i="7"/>
  <c r="O383" i="7" s="1"/>
  <c r="L383" i="7"/>
  <c r="H383" i="7"/>
  <c r="I383" i="7" s="1"/>
  <c r="F383" i="7"/>
  <c r="C383" i="7"/>
  <c r="AD382" i="7"/>
  <c r="AC382" i="7"/>
  <c r="AA382" i="7"/>
  <c r="X382" i="7"/>
  <c r="W382" i="7"/>
  <c r="U382" i="7"/>
  <c r="R382" i="7"/>
  <c r="N382" i="7"/>
  <c r="O382" i="7" s="1"/>
  <c r="L382" i="7"/>
  <c r="I382" i="7"/>
  <c r="H382" i="7"/>
  <c r="F382" i="7"/>
  <c r="C382" i="7"/>
  <c r="AD381" i="7"/>
  <c r="AC381" i="7"/>
  <c r="AA381" i="7"/>
  <c r="W381" i="7"/>
  <c r="X381" i="7" s="1"/>
  <c r="U381" i="7"/>
  <c r="R381" i="7"/>
  <c r="N381" i="7"/>
  <c r="O381" i="7" s="1"/>
  <c r="L381" i="7"/>
  <c r="I381" i="7"/>
  <c r="H381" i="7"/>
  <c r="F381" i="7"/>
  <c r="C381" i="7"/>
  <c r="AC380" i="7"/>
  <c r="AD380" i="7" s="1"/>
  <c r="AA380" i="7"/>
  <c r="W380" i="7"/>
  <c r="X380" i="7" s="1"/>
  <c r="U380" i="7"/>
  <c r="R380" i="7"/>
  <c r="O380" i="7"/>
  <c r="N380" i="7"/>
  <c r="L380" i="7"/>
  <c r="I380" i="7"/>
  <c r="H380" i="7"/>
  <c r="F380" i="7"/>
  <c r="C380" i="7"/>
  <c r="AC379" i="7"/>
  <c r="AD379" i="7" s="1"/>
  <c r="AA379" i="7"/>
  <c r="W379" i="7"/>
  <c r="X379" i="7" s="1"/>
  <c r="U379" i="7"/>
  <c r="R379" i="7"/>
  <c r="N379" i="7"/>
  <c r="O379" i="7" s="1"/>
  <c r="L379" i="7"/>
  <c r="H379" i="7"/>
  <c r="I379" i="7" s="1"/>
  <c r="F379" i="7"/>
  <c r="C379" i="7"/>
  <c r="AD378" i="7"/>
  <c r="AC378" i="7"/>
  <c r="AA378" i="7"/>
  <c r="X378" i="7"/>
  <c r="W378" i="7"/>
  <c r="U378" i="7"/>
  <c r="R378" i="7"/>
  <c r="N378" i="7"/>
  <c r="O378" i="7" s="1"/>
  <c r="L378" i="7"/>
  <c r="I378" i="7"/>
  <c r="H378" i="7"/>
  <c r="F378" i="7"/>
  <c r="C378" i="7"/>
  <c r="AD377" i="7"/>
  <c r="AC377" i="7"/>
  <c r="AA377" i="7"/>
  <c r="W377" i="7"/>
  <c r="X377" i="7" s="1"/>
  <c r="U377" i="7"/>
  <c r="R377" i="7"/>
  <c r="N377" i="7"/>
  <c r="O377" i="7" s="1"/>
  <c r="L377" i="7"/>
  <c r="I377" i="7"/>
  <c r="H377" i="7"/>
  <c r="F377" i="7"/>
  <c r="C377" i="7"/>
  <c r="AC376" i="7"/>
  <c r="AD376" i="7" s="1"/>
  <c r="AA376" i="7"/>
  <c r="W376" i="7"/>
  <c r="X376" i="7" s="1"/>
  <c r="U376" i="7"/>
  <c r="R376" i="7"/>
  <c r="O376" i="7"/>
  <c r="N376" i="7"/>
  <c r="L376" i="7"/>
  <c r="I376" i="7"/>
  <c r="H376" i="7"/>
  <c r="F376" i="7"/>
  <c r="C376" i="7"/>
  <c r="AC375" i="7"/>
  <c r="AD375" i="7" s="1"/>
  <c r="AA375" i="7"/>
  <c r="W375" i="7"/>
  <c r="X375" i="7" s="1"/>
  <c r="U375" i="7"/>
  <c r="R375" i="7"/>
  <c r="N375" i="7"/>
  <c r="O375" i="7" s="1"/>
  <c r="L375" i="7"/>
  <c r="H375" i="7"/>
  <c r="I375" i="7" s="1"/>
  <c r="F375" i="7"/>
  <c r="C375" i="7"/>
  <c r="AD374" i="7"/>
  <c r="AC374" i="7"/>
  <c r="AA374" i="7"/>
  <c r="X374" i="7"/>
  <c r="W374" i="7"/>
  <c r="U374" i="7"/>
  <c r="R374" i="7"/>
  <c r="N374" i="7"/>
  <c r="O374" i="7" s="1"/>
  <c r="L374" i="7"/>
  <c r="I374" i="7"/>
  <c r="H374" i="7"/>
  <c r="F374" i="7"/>
  <c r="C374" i="7"/>
  <c r="AD373" i="7"/>
  <c r="AC373" i="7"/>
  <c r="AA373" i="7"/>
  <c r="W373" i="7"/>
  <c r="X373" i="7" s="1"/>
  <c r="U373" i="7"/>
  <c r="R373" i="7"/>
  <c r="N373" i="7"/>
  <c r="O373" i="7" s="1"/>
  <c r="L373" i="7"/>
  <c r="I373" i="7"/>
  <c r="H373" i="7"/>
  <c r="F373" i="7"/>
  <c r="C373" i="7"/>
  <c r="AC372" i="7"/>
  <c r="AD372" i="7" s="1"/>
  <c r="AA372" i="7"/>
  <c r="W372" i="7"/>
  <c r="X372" i="7" s="1"/>
  <c r="U372" i="7"/>
  <c r="R372" i="7"/>
  <c r="O372" i="7"/>
  <c r="N372" i="7"/>
  <c r="L372" i="7"/>
  <c r="I372" i="7"/>
  <c r="H372" i="7"/>
  <c r="F372" i="7"/>
  <c r="C372" i="7"/>
  <c r="AC371" i="7"/>
  <c r="AD371" i="7" s="1"/>
  <c r="AA371" i="7"/>
  <c r="W371" i="7"/>
  <c r="X371" i="7" s="1"/>
  <c r="U371" i="7"/>
  <c r="R371" i="7"/>
  <c r="N371" i="7"/>
  <c r="O371" i="7" s="1"/>
  <c r="L371" i="7"/>
  <c r="H371" i="7"/>
  <c r="I371" i="7" s="1"/>
  <c r="F371" i="7"/>
  <c r="C371" i="7"/>
  <c r="AD370" i="7"/>
  <c r="AC370" i="7"/>
  <c r="AA370" i="7"/>
  <c r="X370" i="7"/>
  <c r="W370" i="7"/>
  <c r="U370" i="7"/>
  <c r="R370" i="7"/>
  <c r="N370" i="7"/>
  <c r="O370" i="7" s="1"/>
  <c r="L370" i="7"/>
  <c r="I370" i="7"/>
  <c r="H370" i="7"/>
  <c r="F370" i="7"/>
  <c r="C370" i="7"/>
  <c r="AD369" i="7"/>
  <c r="AC369" i="7"/>
  <c r="AA369" i="7"/>
  <c r="W369" i="7"/>
  <c r="X369" i="7" s="1"/>
  <c r="U369" i="7"/>
  <c r="R369" i="7"/>
  <c r="N369" i="7"/>
  <c r="O369" i="7" s="1"/>
  <c r="L369" i="7"/>
  <c r="I369" i="7"/>
  <c r="H369" i="7"/>
  <c r="F369" i="7"/>
  <c r="C369" i="7"/>
  <c r="AA368" i="7"/>
  <c r="Z368" i="7"/>
  <c r="U368" i="7"/>
  <c r="T368" i="7"/>
  <c r="Q368" i="7"/>
  <c r="R368" i="7" s="1"/>
  <c r="O368" i="7"/>
  <c r="L368" i="7"/>
  <c r="K368" i="7"/>
  <c r="I368" i="7"/>
  <c r="H368" i="7"/>
  <c r="E368" i="7"/>
  <c r="F368" i="7" s="1"/>
  <c r="C368" i="7"/>
  <c r="B368" i="7"/>
  <c r="N368" i="7" s="1"/>
  <c r="AD367" i="7"/>
  <c r="AC367" i="7"/>
  <c r="AA367" i="7"/>
  <c r="X367" i="7"/>
  <c r="W367" i="7"/>
  <c r="U367" i="7"/>
  <c r="R367" i="7"/>
  <c r="N367" i="7"/>
  <c r="O367" i="7" s="1"/>
  <c r="L367" i="7"/>
  <c r="H367" i="7"/>
  <c r="I367" i="7" s="1"/>
  <c r="F367" i="7"/>
  <c r="C367" i="7"/>
  <c r="AD366" i="7"/>
  <c r="AC366" i="7"/>
  <c r="AA366" i="7"/>
  <c r="W366" i="7"/>
  <c r="X366" i="7" s="1"/>
  <c r="U366" i="7"/>
  <c r="R366" i="7"/>
  <c r="N366" i="7"/>
  <c r="O366" i="7" s="1"/>
  <c r="L366" i="7"/>
  <c r="I366" i="7"/>
  <c r="H366" i="7"/>
  <c r="F366" i="7"/>
  <c r="C366" i="7"/>
  <c r="AC365" i="7"/>
  <c r="AD365" i="7" s="1"/>
  <c r="AA365" i="7"/>
  <c r="W365" i="7"/>
  <c r="X365" i="7" s="1"/>
  <c r="U365" i="7"/>
  <c r="R365" i="7"/>
  <c r="O365" i="7"/>
  <c r="N365" i="7"/>
  <c r="L365" i="7"/>
  <c r="I365" i="7"/>
  <c r="H365" i="7"/>
  <c r="F365" i="7"/>
  <c r="C365" i="7"/>
  <c r="AD364" i="7"/>
  <c r="AC364" i="7"/>
  <c r="AA364" i="7"/>
  <c r="W364" i="7"/>
  <c r="X364" i="7" s="1"/>
  <c r="U364" i="7"/>
  <c r="R364" i="7"/>
  <c r="N364" i="7"/>
  <c r="O364" i="7" s="1"/>
  <c r="L364" i="7"/>
  <c r="H364" i="7"/>
  <c r="I364" i="7" s="1"/>
  <c r="F364" i="7"/>
  <c r="C364" i="7"/>
  <c r="AD363" i="7"/>
  <c r="AC363" i="7"/>
  <c r="AA363" i="7"/>
  <c r="X363" i="7"/>
  <c r="W363" i="7"/>
  <c r="U363" i="7"/>
  <c r="R363" i="7"/>
  <c r="N363" i="7"/>
  <c r="O363" i="7" s="1"/>
  <c r="L363" i="7"/>
  <c r="H363" i="7"/>
  <c r="I363" i="7" s="1"/>
  <c r="F363" i="7"/>
  <c r="C363" i="7"/>
  <c r="AD362" i="7"/>
  <c r="AC362" i="7"/>
  <c r="AA362" i="7"/>
  <c r="W362" i="7"/>
  <c r="X362" i="7" s="1"/>
  <c r="U362" i="7"/>
  <c r="R362" i="7"/>
  <c r="N362" i="7"/>
  <c r="O362" i="7" s="1"/>
  <c r="L362" i="7"/>
  <c r="I362" i="7"/>
  <c r="H362" i="7"/>
  <c r="F362" i="7"/>
  <c r="C362" i="7"/>
  <c r="AC361" i="7"/>
  <c r="AD361" i="7" s="1"/>
  <c r="AA361" i="7"/>
  <c r="W361" i="7"/>
  <c r="X361" i="7" s="1"/>
  <c r="U361" i="7"/>
  <c r="R361" i="7"/>
  <c r="O361" i="7"/>
  <c r="N361" i="7"/>
  <c r="L361" i="7"/>
  <c r="I361" i="7"/>
  <c r="H361" i="7"/>
  <c r="F361" i="7"/>
  <c r="C361" i="7"/>
  <c r="AD360" i="7"/>
  <c r="AC360" i="7"/>
  <c r="AA360" i="7"/>
  <c r="W360" i="7"/>
  <c r="X360" i="7" s="1"/>
  <c r="U360" i="7"/>
  <c r="R360" i="7"/>
  <c r="N360" i="7"/>
  <c r="O360" i="7" s="1"/>
  <c r="L360" i="7"/>
  <c r="H360" i="7"/>
  <c r="I360" i="7" s="1"/>
  <c r="F360" i="7"/>
  <c r="C360" i="7"/>
  <c r="AA358" i="7"/>
  <c r="Z358" i="7"/>
  <c r="W358" i="7"/>
  <c r="X358" i="7" s="1"/>
  <c r="U358" i="7"/>
  <c r="T358" i="7"/>
  <c r="R358" i="7"/>
  <c r="Q358" i="7"/>
  <c r="AC358" i="7" s="1"/>
  <c r="AD358" i="7" s="1"/>
  <c r="N358" i="7"/>
  <c r="O358" i="7" s="1"/>
  <c r="K358" i="7"/>
  <c r="L358" i="7" s="1"/>
  <c r="F358" i="7"/>
  <c r="E358" i="7"/>
  <c r="B358" i="7"/>
  <c r="H358" i="7" s="1"/>
  <c r="I358" i="7" s="1"/>
  <c r="AC357" i="7"/>
  <c r="AD357" i="7" s="1"/>
  <c r="AA357" i="7"/>
  <c r="W357" i="7"/>
  <c r="X357" i="7" s="1"/>
  <c r="U357" i="7"/>
  <c r="R357" i="7"/>
  <c r="O357" i="7"/>
  <c r="N357" i="7"/>
  <c r="L357" i="7"/>
  <c r="I357" i="7"/>
  <c r="H357" i="7"/>
  <c r="F357" i="7"/>
  <c r="C357" i="7"/>
  <c r="AD356" i="7"/>
  <c r="AC356" i="7"/>
  <c r="AA356" i="7"/>
  <c r="W356" i="7"/>
  <c r="X356" i="7" s="1"/>
  <c r="U356" i="7"/>
  <c r="R356" i="7"/>
  <c r="N356" i="7"/>
  <c r="O356" i="7" s="1"/>
  <c r="L356" i="7"/>
  <c r="H356" i="7"/>
  <c r="I356" i="7" s="1"/>
  <c r="F356" i="7"/>
  <c r="C356" i="7"/>
  <c r="AD355" i="7"/>
  <c r="AC355" i="7"/>
  <c r="AA355" i="7"/>
  <c r="X355" i="7"/>
  <c r="W355" i="7"/>
  <c r="U355" i="7"/>
  <c r="R355" i="7"/>
  <c r="N355" i="7"/>
  <c r="O355" i="7" s="1"/>
  <c r="L355" i="7"/>
  <c r="H355" i="7"/>
  <c r="I355" i="7" s="1"/>
  <c r="F355" i="7"/>
  <c r="C355" i="7"/>
  <c r="AD354" i="7"/>
  <c r="AC354" i="7"/>
  <c r="AA354" i="7"/>
  <c r="W354" i="7"/>
  <c r="X354" i="7" s="1"/>
  <c r="U354" i="7"/>
  <c r="R354" i="7"/>
  <c r="N354" i="7"/>
  <c r="O354" i="7" s="1"/>
  <c r="L354" i="7"/>
  <c r="I354" i="7"/>
  <c r="H354" i="7"/>
  <c r="F354" i="7"/>
  <c r="C354" i="7"/>
  <c r="AC353" i="7"/>
  <c r="AD353" i="7" s="1"/>
  <c r="AA353" i="7"/>
  <c r="W353" i="7"/>
  <c r="X353" i="7" s="1"/>
  <c r="U353" i="7"/>
  <c r="R353" i="7"/>
  <c r="O353" i="7"/>
  <c r="N353" i="7"/>
  <c r="L353" i="7"/>
  <c r="I353" i="7"/>
  <c r="H353" i="7"/>
  <c r="F353" i="7"/>
  <c r="C353" i="7"/>
  <c r="AD352" i="7"/>
  <c r="AC352" i="7"/>
  <c r="AA352" i="7"/>
  <c r="W352" i="7"/>
  <c r="X352" i="7" s="1"/>
  <c r="U352" i="7"/>
  <c r="R352" i="7"/>
  <c r="N352" i="7"/>
  <c r="O352" i="7" s="1"/>
  <c r="L352" i="7"/>
  <c r="H352" i="7"/>
  <c r="I352" i="7" s="1"/>
  <c r="F352" i="7"/>
  <c r="C352" i="7"/>
  <c r="AD351" i="7"/>
  <c r="AC351" i="7"/>
  <c r="AA351" i="7"/>
  <c r="X351" i="7"/>
  <c r="W351" i="7"/>
  <c r="U351" i="7"/>
  <c r="R351" i="7"/>
  <c r="N351" i="7"/>
  <c r="O351" i="7" s="1"/>
  <c r="L351" i="7"/>
  <c r="H351" i="7"/>
  <c r="I351" i="7" s="1"/>
  <c r="F351" i="7"/>
  <c r="C351" i="7"/>
  <c r="AD350" i="7"/>
  <c r="AC350" i="7"/>
  <c r="AA350" i="7"/>
  <c r="W350" i="7"/>
  <c r="X350" i="7" s="1"/>
  <c r="U350" i="7"/>
  <c r="R350" i="7"/>
  <c r="N350" i="7"/>
  <c r="O350" i="7" s="1"/>
  <c r="L350" i="7"/>
  <c r="I350" i="7"/>
  <c r="H350" i="7"/>
  <c r="F350" i="7"/>
  <c r="C350" i="7"/>
  <c r="AC349" i="7"/>
  <c r="AD349" i="7" s="1"/>
  <c r="AA349" i="7"/>
  <c r="W349" i="7"/>
  <c r="X349" i="7" s="1"/>
  <c r="U349" i="7"/>
  <c r="R349" i="7"/>
  <c r="O349" i="7"/>
  <c r="N349" i="7"/>
  <c r="L349" i="7"/>
  <c r="I349" i="7"/>
  <c r="H349" i="7"/>
  <c r="F349" i="7"/>
  <c r="C349" i="7"/>
  <c r="AD347" i="7"/>
  <c r="AC347" i="7"/>
  <c r="AA347" i="7"/>
  <c r="W347" i="7"/>
  <c r="X347" i="7" s="1"/>
  <c r="U347" i="7"/>
  <c r="R347" i="7"/>
  <c r="N347" i="7"/>
  <c r="O347" i="7" s="1"/>
  <c r="L347" i="7"/>
  <c r="H347" i="7"/>
  <c r="I347" i="7" s="1"/>
  <c r="F347" i="7"/>
  <c r="C347" i="7"/>
  <c r="AA344" i="7"/>
  <c r="Z344" i="7"/>
  <c r="U344" i="7"/>
  <c r="T344" i="7"/>
  <c r="Q344" i="7"/>
  <c r="R344" i="7" s="1"/>
  <c r="O344" i="7"/>
  <c r="L344" i="7"/>
  <c r="K344" i="7"/>
  <c r="I344" i="7"/>
  <c r="H344" i="7"/>
  <c r="E344" i="7"/>
  <c r="F344" i="7" s="1"/>
  <c r="C344" i="7"/>
  <c r="B344" i="7"/>
  <c r="N344" i="7" s="1"/>
  <c r="AA343" i="7"/>
  <c r="Z343" i="7"/>
  <c r="W343" i="7"/>
  <c r="X343" i="7" s="1"/>
  <c r="U343" i="7"/>
  <c r="T343" i="7"/>
  <c r="R343" i="7"/>
  <c r="Q343" i="7"/>
  <c r="AC343" i="7" s="1"/>
  <c r="AD343" i="7" s="1"/>
  <c r="N343" i="7"/>
  <c r="O343" i="7" s="1"/>
  <c r="K343" i="7"/>
  <c r="L343" i="7" s="1"/>
  <c r="I343" i="7"/>
  <c r="F343" i="7"/>
  <c r="E343" i="7"/>
  <c r="C343" i="7"/>
  <c r="B343" i="7"/>
  <c r="H343" i="7" s="1"/>
  <c r="AA342" i="7"/>
  <c r="Z342" i="7"/>
  <c r="T342" i="7"/>
  <c r="U342" i="7" s="1"/>
  <c r="Q342" i="7"/>
  <c r="R342" i="7" s="1"/>
  <c r="L342" i="7"/>
  <c r="K342" i="7"/>
  <c r="H342" i="7"/>
  <c r="I342" i="7" s="1"/>
  <c r="E342" i="7"/>
  <c r="F342" i="7" s="1"/>
  <c r="C342" i="7"/>
  <c r="B342" i="7"/>
  <c r="N342" i="7" s="1"/>
  <c r="O342" i="7" s="1"/>
  <c r="AD341" i="7"/>
  <c r="AC341" i="7"/>
  <c r="AA341" i="7"/>
  <c r="X341" i="7"/>
  <c r="W341" i="7"/>
  <c r="U341" i="7"/>
  <c r="R341" i="7"/>
  <c r="N341" i="7"/>
  <c r="O341" i="7" s="1"/>
  <c r="L341" i="7"/>
  <c r="I341" i="7"/>
  <c r="H341" i="7"/>
  <c r="F341" i="7"/>
  <c r="C341" i="7"/>
  <c r="AD340" i="7"/>
  <c r="AC340" i="7"/>
  <c r="AA340" i="7"/>
  <c r="W340" i="7"/>
  <c r="X340" i="7" s="1"/>
  <c r="U340" i="7"/>
  <c r="R340" i="7"/>
  <c r="N340" i="7"/>
  <c r="O340" i="7" s="1"/>
  <c r="L340" i="7"/>
  <c r="I340" i="7"/>
  <c r="H340" i="7"/>
  <c r="F340" i="7"/>
  <c r="C340" i="7"/>
  <c r="AC339" i="7"/>
  <c r="AD339" i="7" s="1"/>
  <c r="AA339" i="7"/>
  <c r="W339" i="7"/>
  <c r="X339" i="7" s="1"/>
  <c r="U339" i="7"/>
  <c r="R339" i="7"/>
  <c r="O339" i="7"/>
  <c r="N339" i="7"/>
  <c r="L339" i="7"/>
  <c r="I339" i="7"/>
  <c r="H339" i="7"/>
  <c r="F339" i="7"/>
  <c r="C339" i="7"/>
  <c r="AC338" i="7"/>
  <c r="AD338" i="7" s="1"/>
  <c r="AA338" i="7"/>
  <c r="W338" i="7"/>
  <c r="X338" i="7" s="1"/>
  <c r="U338" i="7"/>
  <c r="R338" i="7"/>
  <c r="N338" i="7"/>
  <c r="O338" i="7" s="1"/>
  <c r="L338" i="7"/>
  <c r="H338" i="7"/>
  <c r="I338" i="7" s="1"/>
  <c r="F338" i="7"/>
  <c r="C338" i="7"/>
  <c r="AD337" i="7"/>
  <c r="AC337" i="7"/>
  <c r="AA337" i="7"/>
  <c r="X337" i="7"/>
  <c r="W337" i="7"/>
  <c r="U337" i="7"/>
  <c r="R337" i="7"/>
  <c r="N337" i="7"/>
  <c r="O337" i="7" s="1"/>
  <c r="L337" i="7"/>
  <c r="I337" i="7"/>
  <c r="H337" i="7"/>
  <c r="F337" i="7"/>
  <c r="C337" i="7"/>
  <c r="AD335" i="7"/>
  <c r="AC335" i="7"/>
  <c r="AA335" i="7"/>
  <c r="W335" i="7"/>
  <c r="X335" i="7" s="1"/>
  <c r="U335" i="7"/>
  <c r="R335" i="7"/>
  <c r="N335" i="7"/>
  <c r="O335" i="7" s="1"/>
  <c r="L335" i="7"/>
  <c r="I335" i="7"/>
  <c r="H335" i="7"/>
  <c r="F335" i="7"/>
  <c r="C335" i="7"/>
  <c r="AC334" i="7"/>
  <c r="AD334" i="7" s="1"/>
  <c r="AA334" i="7"/>
  <c r="W334" i="7"/>
  <c r="X334" i="7" s="1"/>
  <c r="U334" i="7"/>
  <c r="R334" i="7"/>
  <c r="O334" i="7"/>
  <c r="N334" i="7"/>
  <c r="L334" i="7"/>
  <c r="I334" i="7"/>
  <c r="H334" i="7"/>
  <c r="F334" i="7"/>
  <c r="C334" i="7"/>
  <c r="AC333" i="7"/>
  <c r="AD333" i="7" s="1"/>
  <c r="AA333" i="7"/>
  <c r="W333" i="7"/>
  <c r="X333" i="7" s="1"/>
  <c r="U333" i="7"/>
  <c r="R333" i="7"/>
  <c r="N333" i="7"/>
  <c r="O333" i="7" s="1"/>
  <c r="L333" i="7"/>
  <c r="H333" i="7"/>
  <c r="I333" i="7" s="1"/>
  <c r="F333" i="7"/>
  <c r="C333" i="7"/>
  <c r="AD332" i="7"/>
  <c r="AC332" i="7"/>
  <c r="AA332" i="7"/>
  <c r="X332" i="7"/>
  <c r="W332" i="7"/>
  <c r="U332" i="7"/>
  <c r="R332" i="7"/>
  <c r="N332" i="7"/>
  <c r="O332" i="7" s="1"/>
  <c r="L332" i="7"/>
  <c r="I332" i="7"/>
  <c r="H332" i="7"/>
  <c r="F332" i="7"/>
  <c r="C332" i="7"/>
  <c r="AD331" i="7"/>
  <c r="AC331" i="7"/>
  <c r="AA331" i="7"/>
  <c r="W331" i="7"/>
  <c r="X331" i="7" s="1"/>
  <c r="U331" i="7"/>
  <c r="R331" i="7"/>
  <c r="N331" i="7"/>
  <c r="O331" i="7" s="1"/>
  <c r="L331" i="7"/>
  <c r="I331" i="7"/>
  <c r="H331" i="7"/>
  <c r="F331" i="7"/>
  <c r="C331" i="7"/>
  <c r="AC330" i="7"/>
  <c r="AD330" i="7" s="1"/>
  <c r="AA330" i="7"/>
  <c r="W330" i="7"/>
  <c r="X330" i="7" s="1"/>
  <c r="U330" i="7"/>
  <c r="R330" i="7"/>
  <c r="O330" i="7"/>
  <c r="N330" i="7"/>
  <c r="L330" i="7"/>
  <c r="I330" i="7"/>
  <c r="H330" i="7"/>
  <c r="F330" i="7"/>
  <c r="C330" i="7"/>
  <c r="AC329" i="7"/>
  <c r="AD329" i="7" s="1"/>
  <c r="AA329" i="7"/>
  <c r="W329" i="7"/>
  <c r="X329" i="7" s="1"/>
  <c r="U329" i="7"/>
  <c r="R329" i="7"/>
  <c r="N329" i="7"/>
  <c r="O329" i="7" s="1"/>
  <c r="L329" i="7"/>
  <c r="I329" i="7"/>
  <c r="H329" i="7"/>
  <c r="F329" i="7"/>
  <c r="C329" i="7"/>
  <c r="AD328" i="7"/>
  <c r="AC328" i="7"/>
  <c r="AA328" i="7"/>
  <c r="X328" i="7"/>
  <c r="W328" i="7"/>
  <c r="U328" i="7"/>
  <c r="R328" i="7"/>
  <c r="N328" i="7"/>
  <c r="O328" i="7" s="1"/>
  <c r="L328" i="7"/>
  <c r="H328" i="7"/>
  <c r="I328" i="7" s="1"/>
  <c r="F328" i="7"/>
  <c r="C328" i="7"/>
  <c r="AA325" i="7"/>
  <c r="Z325" i="7"/>
  <c r="X325" i="7"/>
  <c r="W325" i="7"/>
  <c r="U325" i="7"/>
  <c r="T325" i="7"/>
  <c r="R325" i="7"/>
  <c r="Q325" i="7"/>
  <c r="AC325" i="7" s="1"/>
  <c r="AD325" i="7" s="1"/>
  <c r="L325" i="7"/>
  <c r="K325" i="7"/>
  <c r="I325" i="7"/>
  <c r="H325" i="7"/>
  <c r="F325" i="7"/>
  <c r="E325" i="7"/>
  <c r="C325" i="7"/>
  <c r="B325" i="7"/>
  <c r="N325" i="7" s="1"/>
  <c r="O325" i="7" s="1"/>
  <c r="AA324" i="7"/>
  <c r="Z324" i="7"/>
  <c r="U324" i="7"/>
  <c r="T324" i="7"/>
  <c r="Q324" i="7"/>
  <c r="L324" i="7"/>
  <c r="K324" i="7"/>
  <c r="E324" i="7"/>
  <c r="F324" i="7" s="1"/>
  <c r="C324" i="7"/>
  <c r="B324" i="7"/>
  <c r="N324" i="7" s="1"/>
  <c r="O324" i="7" s="1"/>
  <c r="AD323" i="7"/>
  <c r="AC323" i="7"/>
  <c r="AA323" i="7"/>
  <c r="W323" i="7"/>
  <c r="X323" i="7" s="1"/>
  <c r="U323" i="7"/>
  <c r="R323" i="7"/>
  <c r="N323" i="7"/>
  <c r="O323" i="7" s="1"/>
  <c r="L323" i="7"/>
  <c r="I323" i="7"/>
  <c r="H323" i="7"/>
  <c r="F323" i="7"/>
  <c r="C323" i="7"/>
  <c r="AD322" i="7"/>
  <c r="AC322" i="7"/>
  <c r="AA322" i="7"/>
  <c r="X322" i="7"/>
  <c r="W322" i="7"/>
  <c r="U322" i="7"/>
  <c r="R322" i="7"/>
  <c r="N322" i="7"/>
  <c r="O322" i="7" s="1"/>
  <c r="L322" i="7"/>
  <c r="I322" i="7"/>
  <c r="H322" i="7"/>
  <c r="F322" i="7"/>
  <c r="C322" i="7"/>
  <c r="AD321" i="7"/>
  <c r="AC321" i="7"/>
  <c r="AA321" i="7"/>
  <c r="W321" i="7"/>
  <c r="X321" i="7" s="1"/>
  <c r="U321" i="7"/>
  <c r="R321" i="7"/>
  <c r="N321" i="7"/>
  <c r="O321" i="7" s="1"/>
  <c r="L321" i="7"/>
  <c r="I321" i="7"/>
  <c r="H321" i="7"/>
  <c r="F321" i="7"/>
  <c r="C321" i="7"/>
  <c r="AD320" i="7"/>
  <c r="AC320" i="7"/>
  <c r="AA320" i="7"/>
  <c r="W320" i="7"/>
  <c r="X320" i="7" s="1"/>
  <c r="U320" i="7"/>
  <c r="R320" i="7"/>
  <c r="N320" i="7"/>
  <c r="L320" i="7"/>
  <c r="I320" i="7"/>
  <c r="H320" i="7"/>
  <c r="F320" i="7"/>
  <c r="C320" i="7"/>
  <c r="AD319" i="7"/>
  <c r="AC319" i="7"/>
  <c r="AA319" i="7"/>
  <c r="W319" i="7"/>
  <c r="X319" i="7" s="1"/>
  <c r="U319" i="7"/>
  <c r="R319" i="7"/>
  <c r="N319" i="7"/>
  <c r="O319" i="7" s="1"/>
  <c r="L319" i="7"/>
  <c r="I319" i="7"/>
  <c r="H319" i="7"/>
  <c r="F319" i="7"/>
  <c r="C319" i="7"/>
  <c r="AD318" i="7"/>
  <c r="AC318" i="7"/>
  <c r="AA318" i="7"/>
  <c r="X318" i="7"/>
  <c r="W318" i="7"/>
  <c r="U318" i="7"/>
  <c r="R318" i="7"/>
  <c r="N318" i="7"/>
  <c r="O318" i="7" s="1"/>
  <c r="L318" i="7"/>
  <c r="I318" i="7"/>
  <c r="H318" i="7"/>
  <c r="F318" i="7"/>
  <c r="C318" i="7"/>
  <c r="AD317" i="7"/>
  <c r="AC317" i="7"/>
  <c r="AA317" i="7"/>
  <c r="W317" i="7"/>
  <c r="X317" i="7" s="1"/>
  <c r="U317" i="7"/>
  <c r="R317" i="7"/>
  <c r="N317" i="7"/>
  <c r="O317" i="7" s="1"/>
  <c r="L317" i="7"/>
  <c r="I317" i="7"/>
  <c r="H317" i="7"/>
  <c r="F317" i="7"/>
  <c r="C317" i="7"/>
  <c r="AD316" i="7"/>
  <c r="AC316" i="7"/>
  <c r="AA316" i="7"/>
  <c r="W316" i="7"/>
  <c r="X316" i="7" s="1"/>
  <c r="U316" i="7"/>
  <c r="R316" i="7"/>
  <c r="N316" i="7"/>
  <c r="L316" i="7"/>
  <c r="I316" i="7"/>
  <c r="H316" i="7"/>
  <c r="F316" i="7"/>
  <c r="C316" i="7"/>
  <c r="AD315" i="7"/>
  <c r="AC315" i="7"/>
  <c r="AA315" i="7"/>
  <c r="W315" i="7"/>
  <c r="X315" i="7" s="1"/>
  <c r="U315" i="7"/>
  <c r="R315" i="7"/>
  <c r="N315" i="7"/>
  <c r="O315" i="7" s="1"/>
  <c r="L315" i="7"/>
  <c r="I315" i="7"/>
  <c r="H315" i="7"/>
  <c r="F315" i="7"/>
  <c r="C315" i="7"/>
  <c r="AD314" i="7"/>
  <c r="AC314" i="7"/>
  <c r="AA314" i="7"/>
  <c r="X314" i="7"/>
  <c r="W314" i="7"/>
  <c r="U314" i="7"/>
  <c r="R314" i="7"/>
  <c r="N314" i="7"/>
  <c r="O314" i="7" s="1"/>
  <c r="L314" i="7"/>
  <c r="I314" i="7"/>
  <c r="H314" i="7"/>
  <c r="F314" i="7"/>
  <c r="C314" i="7"/>
  <c r="AD313" i="7"/>
  <c r="AC313" i="7"/>
  <c r="AA313" i="7"/>
  <c r="W313" i="7"/>
  <c r="X313" i="7" s="1"/>
  <c r="U313" i="7"/>
  <c r="R313" i="7"/>
  <c r="N313" i="7"/>
  <c r="O313" i="7" s="1"/>
  <c r="L313" i="7"/>
  <c r="I313" i="7"/>
  <c r="H313" i="7"/>
  <c r="F313" i="7"/>
  <c r="C313" i="7"/>
  <c r="AD312" i="7"/>
  <c r="AC312" i="7"/>
  <c r="AA312" i="7"/>
  <c r="X312" i="7"/>
  <c r="W312" i="7"/>
  <c r="U312" i="7"/>
  <c r="R312" i="7"/>
  <c r="N312" i="7"/>
  <c r="L312" i="7"/>
  <c r="I312" i="7"/>
  <c r="H312" i="7"/>
  <c r="F312" i="7"/>
  <c r="C312" i="7"/>
  <c r="AD311" i="7"/>
  <c r="AC311" i="7"/>
  <c r="AA311" i="7"/>
  <c r="W311" i="7"/>
  <c r="X311" i="7" s="1"/>
  <c r="U311" i="7"/>
  <c r="R311" i="7"/>
  <c r="N311" i="7"/>
  <c r="O311" i="7" s="1"/>
  <c r="L311" i="7"/>
  <c r="I311" i="7"/>
  <c r="H311" i="7"/>
  <c r="F311" i="7"/>
  <c r="C311" i="7"/>
  <c r="AD310" i="7"/>
  <c r="AC310" i="7"/>
  <c r="AA310" i="7"/>
  <c r="W310" i="7"/>
  <c r="X310" i="7" s="1"/>
  <c r="U310" i="7"/>
  <c r="R310" i="7"/>
  <c r="N310" i="7"/>
  <c r="O310" i="7" s="1"/>
  <c r="L310" i="7"/>
  <c r="I310" i="7"/>
  <c r="H310" i="7"/>
  <c r="F310" i="7"/>
  <c r="C310" i="7"/>
  <c r="AD309" i="7"/>
  <c r="AC309" i="7"/>
  <c r="AA309" i="7"/>
  <c r="W309" i="7"/>
  <c r="X309" i="7" s="1"/>
  <c r="U309" i="7"/>
  <c r="R309" i="7"/>
  <c r="N309" i="7"/>
  <c r="O309" i="7" s="1"/>
  <c r="L309" i="7"/>
  <c r="I309" i="7"/>
  <c r="H309" i="7"/>
  <c r="F309" i="7"/>
  <c r="C309" i="7"/>
  <c r="AD308" i="7"/>
  <c r="AC308" i="7"/>
  <c r="AA308" i="7"/>
  <c r="W308" i="7"/>
  <c r="X308" i="7" s="1"/>
  <c r="U308" i="7"/>
  <c r="R308" i="7"/>
  <c r="N308" i="7"/>
  <c r="O308" i="7" s="1"/>
  <c r="L308" i="7"/>
  <c r="I308" i="7"/>
  <c r="H308" i="7"/>
  <c r="F308" i="7"/>
  <c r="C308" i="7"/>
  <c r="AD307" i="7"/>
  <c r="AC307" i="7"/>
  <c r="AA307" i="7"/>
  <c r="W307" i="7"/>
  <c r="X307" i="7" s="1"/>
  <c r="U307" i="7"/>
  <c r="R307" i="7"/>
  <c r="N307" i="7"/>
  <c r="O307" i="7" s="1"/>
  <c r="L307" i="7"/>
  <c r="I307" i="7"/>
  <c r="H307" i="7"/>
  <c r="F307" i="7"/>
  <c r="C307" i="7"/>
  <c r="AD306" i="7"/>
  <c r="AC306" i="7"/>
  <c r="AA306" i="7"/>
  <c r="W306" i="7"/>
  <c r="X306" i="7" s="1"/>
  <c r="U306" i="7"/>
  <c r="R306" i="7"/>
  <c r="O306" i="7"/>
  <c r="N306" i="7"/>
  <c r="L306" i="7"/>
  <c r="I306" i="7"/>
  <c r="H306" i="7"/>
  <c r="F306" i="7"/>
  <c r="C306" i="7"/>
  <c r="AC305" i="7"/>
  <c r="AD305" i="7" s="1"/>
  <c r="AA305" i="7"/>
  <c r="W305" i="7"/>
  <c r="X305" i="7" s="1"/>
  <c r="U305" i="7"/>
  <c r="R305" i="7"/>
  <c r="O305" i="7"/>
  <c r="N305" i="7"/>
  <c r="L305" i="7"/>
  <c r="I305" i="7"/>
  <c r="H305" i="7"/>
  <c r="F305" i="7"/>
  <c r="C305" i="7"/>
  <c r="AC304" i="7"/>
  <c r="AD304" i="7" s="1"/>
  <c r="AA304" i="7"/>
  <c r="W304" i="7"/>
  <c r="X304" i="7" s="1"/>
  <c r="U304" i="7"/>
  <c r="R304" i="7"/>
  <c r="N304" i="7"/>
  <c r="L304" i="7"/>
  <c r="H304" i="7"/>
  <c r="I304" i="7" s="1"/>
  <c r="F304" i="7"/>
  <c r="C304" i="7"/>
  <c r="AD303" i="7"/>
  <c r="AC303" i="7"/>
  <c r="AA303" i="7"/>
  <c r="X303" i="7"/>
  <c r="W303" i="7"/>
  <c r="U303" i="7"/>
  <c r="R303" i="7"/>
  <c r="N303" i="7"/>
  <c r="O303" i="7" s="1"/>
  <c r="L303" i="7"/>
  <c r="H303" i="7"/>
  <c r="I303" i="7" s="1"/>
  <c r="F303" i="7"/>
  <c r="C303" i="7"/>
  <c r="AD302" i="7"/>
  <c r="AC302" i="7"/>
  <c r="AA302" i="7"/>
  <c r="W302" i="7"/>
  <c r="X302" i="7" s="1"/>
  <c r="U302" i="7"/>
  <c r="R302" i="7"/>
  <c r="O302" i="7"/>
  <c r="N302" i="7"/>
  <c r="L302" i="7"/>
  <c r="I302" i="7"/>
  <c r="H302" i="7"/>
  <c r="F302" i="7"/>
  <c r="C302" i="7"/>
  <c r="AC301" i="7"/>
  <c r="AD301" i="7" s="1"/>
  <c r="AA301" i="7"/>
  <c r="W301" i="7"/>
  <c r="X301" i="7" s="1"/>
  <c r="U301" i="7"/>
  <c r="R301" i="7"/>
  <c r="N301" i="7"/>
  <c r="O301" i="7" s="1"/>
  <c r="L301" i="7"/>
  <c r="I301" i="7"/>
  <c r="H301" i="7"/>
  <c r="F301" i="7"/>
  <c r="C301" i="7"/>
  <c r="AC300" i="7"/>
  <c r="AD300" i="7" s="1"/>
  <c r="AA300" i="7"/>
  <c r="X300" i="7"/>
  <c r="W300" i="7"/>
  <c r="U300" i="7"/>
  <c r="R300" i="7"/>
  <c r="N300" i="7"/>
  <c r="L300" i="7"/>
  <c r="H300" i="7"/>
  <c r="I300" i="7" s="1"/>
  <c r="F300" i="7"/>
  <c r="C300" i="7"/>
  <c r="AD299" i="7"/>
  <c r="AC299" i="7"/>
  <c r="AA299" i="7"/>
  <c r="X299" i="7"/>
  <c r="W299" i="7"/>
  <c r="U299" i="7"/>
  <c r="R299" i="7"/>
  <c r="N299" i="7"/>
  <c r="O299" i="7" s="1"/>
  <c r="L299" i="7"/>
  <c r="H299" i="7"/>
  <c r="I299" i="7" s="1"/>
  <c r="F299" i="7"/>
  <c r="C299" i="7"/>
  <c r="AD298" i="7"/>
  <c r="AC298" i="7"/>
  <c r="AA298" i="7"/>
  <c r="X298" i="7"/>
  <c r="W298" i="7"/>
  <c r="U298" i="7"/>
  <c r="R298" i="7"/>
  <c r="O298" i="7"/>
  <c r="N298" i="7"/>
  <c r="L298" i="7"/>
  <c r="I298" i="7"/>
  <c r="H298" i="7"/>
  <c r="F298" i="7"/>
  <c r="C298" i="7"/>
  <c r="AC297" i="7"/>
  <c r="AD297" i="7" s="1"/>
  <c r="AA297" i="7"/>
  <c r="W297" i="7"/>
  <c r="X297" i="7" s="1"/>
  <c r="U297" i="7"/>
  <c r="R297" i="7"/>
  <c r="N297" i="7"/>
  <c r="O297" i="7" s="1"/>
  <c r="L297" i="7"/>
  <c r="I297" i="7"/>
  <c r="H297" i="7"/>
  <c r="F297" i="7"/>
  <c r="C297" i="7"/>
  <c r="AA295" i="7"/>
  <c r="Z295" i="7"/>
  <c r="U295" i="7"/>
  <c r="T295" i="7"/>
  <c r="Q295" i="7"/>
  <c r="O295" i="7"/>
  <c r="L295" i="7"/>
  <c r="K295" i="7"/>
  <c r="E295" i="7"/>
  <c r="F295" i="7" s="1"/>
  <c r="B295" i="7"/>
  <c r="N295" i="7" s="1"/>
  <c r="AD294" i="7"/>
  <c r="AC294" i="7"/>
  <c r="AA294" i="7"/>
  <c r="X294" i="7"/>
  <c r="W294" i="7"/>
  <c r="U294" i="7"/>
  <c r="R294" i="7"/>
  <c r="N294" i="7"/>
  <c r="O294" i="7" s="1"/>
  <c r="L294" i="7"/>
  <c r="I294" i="7"/>
  <c r="H294" i="7"/>
  <c r="F294" i="7"/>
  <c r="C294" i="7"/>
  <c r="AC293" i="7"/>
  <c r="AD293" i="7" s="1"/>
  <c r="AA293" i="7"/>
  <c r="W293" i="7"/>
  <c r="X293" i="7" s="1"/>
  <c r="U293" i="7"/>
  <c r="R293" i="7"/>
  <c r="N293" i="7"/>
  <c r="O293" i="7" s="1"/>
  <c r="L293" i="7"/>
  <c r="I293" i="7"/>
  <c r="H293" i="7"/>
  <c r="F293" i="7"/>
  <c r="C293" i="7"/>
  <c r="AC292" i="7"/>
  <c r="AD292" i="7" s="1"/>
  <c r="AA292" i="7"/>
  <c r="X292" i="7"/>
  <c r="W292" i="7"/>
  <c r="U292" i="7"/>
  <c r="R292" i="7"/>
  <c r="N292" i="7"/>
  <c r="O292" i="7" s="1"/>
  <c r="L292" i="7"/>
  <c r="I292" i="7"/>
  <c r="H292" i="7"/>
  <c r="F292" i="7"/>
  <c r="C292" i="7"/>
  <c r="AD291" i="7"/>
  <c r="AC291" i="7"/>
  <c r="AA291" i="7"/>
  <c r="W291" i="7"/>
  <c r="X291" i="7" s="1"/>
  <c r="U291" i="7"/>
  <c r="R291" i="7"/>
  <c r="N291" i="7"/>
  <c r="O291" i="7" s="1"/>
  <c r="L291" i="7"/>
  <c r="H291" i="7"/>
  <c r="I291" i="7" s="1"/>
  <c r="F291" i="7"/>
  <c r="C291" i="7"/>
  <c r="AD290" i="7"/>
  <c r="AC290" i="7"/>
  <c r="AA290" i="7"/>
  <c r="W290" i="7"/>
  <c r="X290" i="7" s="1"/>
  <c r="U290" i="7"/>
  <c r="R290" i="7"/>
  <c r="N290" i="7"/>
  <c r="O290" i="7" s="1"/>
  <c r="L290" i="7"/>
  <c r="I290" i="7"/>
  <c r="H290" i="7"/>
  <c r="F290" i="7"/>
  <c r="C290" i="7"/>
  <c r="AD289" i="7"/>
  <c r="AC289" i="7"/>
  <c r="AA289" i="7"/>
  <c r="X289" i="7"/>
  <c r="W289" i="7"/>
  <c r="U289" i="7"/>
  <c r="R289" i="7"/>
  <c r="N289" i="7"/>
  <c r="O289" i="7" s="1"/>
  <c r="L289" i="7"/>
  <c r="H289" i="7"/>
  <c r="I289" i="7" s="1"/>
  <c r="F289" i="7"/>
  <c r="C289" i="7"/>
  <c r="AC288" i="7"/>
  <c r="AD288" i="7" s="1"/>
  <c r="AA288" i="7"/>
  <c r="X288" i="7"/>
  <c r="W288" i="7"/>
  <c r="U288" i="7"/>
  <c r="R288" i="7"/>
  <c r="N288" i="7"/>
  <c r="L288" i="7"/>
  <c r="H288" i="7"/>
  <c r="I288" i="7" s="1"/>
  <c r="F288" i="7"/>
  <c r="C288" i="7"/>
  <c r="AD287" i="7"/>
  <c r="AC287" i="7"/>
  <c r="AA287" i="7"/>
  <c r="X287" i="7"/>
  <c r="W287" i="7"/>
  <c r="U287" i="7"/>
  <c r="R287" i="7"/>
  <c r="N287" i="7"/>
  <c r="O287" i="7" s="1"/>
  <c r="L287" i="7"/>
  <c r="H287" i="7"/>
  <c r="I287" i="7" s="1"/>
  <c r="F287" i="7"/>
  <c r="C287" i="7"/>
  <c r="AC286" i="7"/>
  <c r="AD286" i="7" s="1"/>
  <c r="AA286" i="7"/>
  <c r="W286" i="7"/>
  <c r="X286" i="7" s="1"/>
  <c r="U286" i="7"/>
  <c r="R286" i="7"/>
  <c r="O286" i="7"/>
  <c r="N286" i="7"/>
  <c r="L286" i="7"/>
  <c r="I286" i="7"/>
  <c r="H286" i="7"/>
  <c r="F286" i="7"/>
  <c r="C286" i="7"/>
  <c r="AC284" i="7"/>
  <c r="AD284" i="7" s="1"/>
  <c r="Z284" i="7"/>
  <c r="AA284" i="7" s="1"/>
  <c r="X284" i="7"/>
  <c r="T284" i="7"/>
  <c r="U284" i="7" s="1"/>
  <c r="R284" i="7"/>
  <c r="Q284" i="7"/>
  <c r="W284" i="7" s="1"/>
  <c r="N284" i="7"/>
  <c r="O284" i="7" s="1"/>
  <c r="L284" i="7"/>
  <c r="K284" i="7"/>
  <c r="E284" i="7"/>
  <c r="F284" i="7" s="1"/>
  <c r="C284" i="7"/>
  <c r="B284" i="7"/>
  <c r="AD283" i="7"/>
  <c r="AC283" i="7"/>
  <c r="AA283" i="7"/>
  <c r="X283" i="7"/>
  <c r="W283" i="7"/>
  <c r="U283" i="7"/>
  <c r="R283" i="7"/>
  <c r="N283" i="7"/>
  <c r="O283" i="7" s="1"/>
  <c r="L283" i="7"/>
  <c r="H283" i="7"/>
  <c r="I283" i="7" s="1"/>
  <c r="F283" i="7"/>
  <c r="C283" i="7"/>
  <c r="AC282" i="7"/>
  <c r="AD282" i="7" s="1"/>
  <c r="AA282" i="7"/>
  <c r="X282" i="7"/>
  <c r="W282" i="7"/>
  <c r="U282" i="7"/>
  <c r="R282" i="7"/>
  <c r="N282" i="7"/>
  <c r="O282" i="7" s="1"/>
  <c r="L282" i="7"/>
  <c r="I282" i="7"/>
  <c r="H282" i="7"/>
  <c r="F282" i="7"/>
  <c r="C282" i="7"/>
  <c r="AD281" i="7"/>
  <c r="AC281" i="7"/>
  <c r="AA281" i="7"/>
  <c r="X281" i="7"/>
  <c r="W281" i="7"/>
  <c r="U281" i="7"/>
  <c r="R281" i="7"/>
  <c r="N281" i="7"/>
  <c r="O281" i="7" s="1"/>
  <c r="L281" i="7"/>
  <c r="I281" i="7"/>
  <c r="H281" i="7"/>
  <c r="F281" i="7"/>
  <c r="C281" i="7"/>
  <c r="AC280" i="7"/>
  <c r="AD280" i="7" s="1"/>
  <c r="AA280" i="7"/>
  <c r="X280" i="7"/>
  <c r="W280" i="7"/>
  <c r="U280" i="7"/>
  <c r="R280" i="7"/>
  <c r="N280" i="7"/>
  <c r="L280" i="7"/>
  <c r="H280" i="7"/>
  <c r="I280" i="7" s="1"/>
  <c r="F280" i="7"/>
  <c r="C280" i="7"/>
  <c r="AD279" i="7"/>
  <c r="AC279" i="7"/>
  <c r="AA279" i="7"/>
  <c r="X279" i="7"/>
  <c r="W279" i="7"/>
  <c r="U279" i="7"/>
  <c r="R279" i="7"/>
  <c r="N279" i="7"/>
  <c r="O279" i="7" s="1"/>
  <c r="L279" i="7"/>
  <c r="H279" i="7"/>
  <c r="I279" i="7" s="1"/>
  <c r="F279" i="7"/>
  <c r="C279" i="7"/>
  <c r="AC278" i="7"/>
  <c r="AD278" i="7" s="1"/>
  <c r="AA278" i="7"/>
  <c r="X278" i="7"/>
  <c r="W278" i="7"/>
  <c r="U278" i="7"/>
  <c r="R278" i="7"/>
  <c r="N278" i="7"/>
  <c r="O278" i="7" s="1"/>
  <c r="L278" i="7"/>
  <c r="I278" i="7"/>
  <c r="H278" i="7"/>
  <c r="F278" i="7"/>
  <c r="C278" i="7"/>
  <c r="AD277" i="7"/>
  <c r="AC277" i="7"/>
  <c r="AA277" i="7"/>
  <c r="X277" i="7"/>
  <c r="W277" i="7"/>
  <c r="U277" i="7"/>
  <c r="R277" i="7"/>
  <c r="N277" i="7"/>
  <c r="O277" i="7" s="1"/>
  <c r="L277" i="7"/>
  <c r="H277" i="7"/>
  <c r="I277" i="7" s="1"/>
  <c r="F277" i="7"/>
  <c r="C277" i="7"/>
  <c r="AC276" i="7"/>
  <c r="AD276" i="7" s="1"/>
  <c r="AA276" i="7"/>
  <c r="X276" i="7"/>
  <c r="W276" i="7"/>
  <c r="U276" i="7"/>
  <c r="R276" i="7"/>
  <c r="N276" i="7"/>
  <c r="L276" i="7"/>
  <c r="I276" i="7"/>
  <c r="H276" i="7"/>
  <c r="F276" i="7"/>
  <c r="C276" i="7"/>
  <c r="AD275" i="7"/>
  <c r="AC275" i="7"/>
  <c r="AA275" i="7"/>
  <c r="W275" i="7"/>
  <c r="X275" i="7" s="1"/>
  <c r="U275" i="7"/>
  <c r="R275" i="7"/>
  <c r="N275" i="7"/>
  <c r="O275" i="7" s="1"/>
  <c r="L275" i="7"/>
  <c r="H275" i="7"/>
  <c r="I275" i="7" s="1"/>
  <c r="F275" i="7"/>
  <c r="C275" i="7"/>
  <c r="AC273" i="7"/>
  <c r="AD273" i="7" s="1"/>
  <c r="AA273" i="7"/>
  <c r="Z273" i="7"/>
  <c r="T273" i="7"/>
  <c r="U273" i="7" s="1"/>
  <c r="R273" i="7"/>
  <c r="Q273" i="7"/>
  <c r="O273" i="7"/>
  <c r="K273" i="7"/>
  <c r="L273" i="7" s="1"/>
  <c r="E273" i="7"/>
  <c r="C273" i="7"/>
  <c r="B273" i="7"/>
  <c r="N273" i="7" s="1"/>
  <c r="AC272" i="7"/>
  <c r="AD272" i="7" s="1"/>
  <c r="AA272" i="7"/>
  <c r="W272" i="7"/>
  <c r="X272" i="7" s="1"/>
  <c r="U272" i="7"/>
  <c r="R272" i="7"/>
  <c r="N272" i="7"/>
  <c r="L272" i="7"/>
  <c r="I272" i="7"/>
  <c r="H272" i="7"/>
  <c r="F272" i="7"/>
  <c r="C272" i="7"/>
  <c r="AC271" i="7"/>
  <c r="AD271" i="7" s="1"/>
  <c r="AA271" i="7"/>
  <c r="W271" i="7"/>
  <c r="X271" i="7" s="1"/>
  <c r="U271" i="7"/>
  <c r="R271" i="7"/>
  <c r="O271" i="7"/>
  <c r="N271" i="7"/>
  <c r="L271" i="7"/>
  <c r="H271" i="7"/>
  <c r="I271" i="7" s="1"/>
  <c r="F271" i="7"/>
  <c r="C271" i="7"/>
  <c r="AC270" i="7"/>
  <c r="AD270" i="7" s="1"/>
  <c r="AA270" i="7"/>
  <c r="X270" i="7"/>
  <c r="W270" i="7"/>
  <c r="U270" i="7"/>
  <c r="R270" i="7"/>
  <c r="O270" i="7"/>
  <c r="N270" i="7"/>
  <c r="L270" i="7"/>
  <c r="I270" i="7"/>
  <c r="H270" i="7"/>
  <c r="F270" i="7"/>
  <c r="C270" i="7"/>
  <c r="AC269" i="7"/>
  <c r="AD269" i="7" s="1"/>
  <c r="AA269" i="7"/>
  <c r="W269" i="7"/>
  <c r="X269" i="7" s="1"/>
  <c r="U269" i="7"/>
  <c r="R269" i="7"/>
  <c r="O269" i="7"/>
  <c r="N269" i="7"/>
  <c r="L269" i="7"/>
  <c r="H269" i="7"/>
  <c r="I269" i="7" s="1"/>
  <c r="F269" i="7"/>
  <c r="C269" i="7"/>
  <c r="Z267" i="7"/>
  <c r="AA267" i="7" s="1"/>
  <c r="U267" i="7"/>
  <c r="T267" i="7"/>
  <c r="R267" i="7"/>
  <c r="Q267" i="7"/>
  <c r="W267" i="7" s="1"/>
  <c r="X267" i="7" s="1"/>
  <c r="N267" i="7"/>
  <c r="O267" i="7" s="1"/>
  <c r="K267" i="7"/>
  <c r="L267" i="7" s="1"/>
  <c r="F267" i="7"/>
  <c r="E267" i="7"/>
  <c r="B267" i="7"/>
  <c r="AC266" i="7"/>
  <c r="AD266" i="7" s="1"/>
  <c r="AA266" i="7"/>
  <c r="W266" i="7"/>
  <c r="X266" i="7" s="1"/>
  <c r="U266" i="7"/>
  <c r="R266" i="7"/>
  <c r="O266" i="7"/>
  <c r="N266" i="7"/>
  <c r="L266" i="7"/>
  <c r="I266" i="7"/>
  <c r="H266" i="7"/>
  <c r="F266" i="7"/>
  <c r="C266" i="7"/>
  <c r="AC265" i="7"/>
  <c r="AD265" i="7" s="1"/>
  <c r="AA265" i="7"/>
  <c r="W265" i="7"/>
  <c r="X265" i="7" s="1"/>
  <c r="U265" i="7"/>
  <c r="R265" i="7"/>
  <c r="O265" i="7"/>
  <c r="N265" i="7"/>
  <c r="L265" i="7"/>
  <c r="H265" i="7"/>
  <c r="I265" i="7" s="1"/>
  <c r="F265" i="7"/>
  <c r="C265" i="7"/>
  <c r="Z263" i="7"/>
  <c r="AA263" i="7" s="1"/>
  <c r="U263" i="7"/>
  <c r="T263" i="7"/>
  <c r="Q263" i="7"/>
  <c r="W263" i="7" s="1"/>
  <c r="X263" i="7" s="1"/>
  <c r="N263" i="7"/>
  <c r="O263" i="7" s="1"/>
  <c r="K263" i="7"/>
  <c r="L263" i="7" s="1"/>
  <c r="E263" i="7"/>
  <c r="F263" i="7" s="1"/>
  <c r="B263" i="7"/>
  <c r="AA262" i="7"/>
  <c r="Z262" i="7"/>
  <c r="T262" i="7"/>
  <c r="U262" i="7" s="1"/>
  <c r="Q262" i="7"/>
  <c r="R262" i="7" s="1"/>
  <c r="O262" i="7"/>
  <c r="K262" i="7"/>
  <c r="L262" i="7" s="1"/>
  <c r="H262" i="7"/>
  <c r="I262" i="7" s="1"/>
  <c r="E262" i="7"/>
  <c r="F262" i="7" s="1"/>
  <c r="C262" i="7"/>
  <c r="B262" i="7"/>
  <c r="N262" i="7" s="1"/>
  <c r="AC261" i="7"/>
  <c r="AD261" i="7" s="1"/>
  <c r="AA261" i="7"/>
  <c r="X261" i="7"/>
  <c r="W261" i="7"/>
  <c r="U261" i="7"/>
  <c r="R261" i="7"/>
  <c r="N261" i="7"/>
  <c r="O261" i="7" s="1"/>
  <c r="L261" i="7"/>
  <c r="H261" i="7"/>
  <c r="I261" i="7" s="1"/>
  <c r="F261" i="7"/>
  <c r="C261" i="7"/>
  <c r="AD260" i="7"/>
  <c r="AC260" i="7"/>
  <c r="AA260" i="7"/>
  <c r="X260" i="7"/>
  <c r="W260" i="7"/>
  <c r="U260" i="7"/>
  <c r="R260" i="7"/>
  <c r="N260" i="7"/>
  <c r="O260" i="7" s="1"/>
  <c r="L260" i="7"/>
  <c r="H260" i="7"/>
  <c r="I260" i="7" s="1"/>
  <c r="F260" i="7"/>
  <c r="C260" i="7"/>
  <c r="AC259" i="7"/>
  <c r="AD259" i="7" s="1"/>
  <c r="AA259" i="7"/>
  <c r="W259" i="7"/>
  <c r="X259" i="7" s="1"/>
  <c r="U259" i="7"/>
  <c r="R259" i="7"/>
  <c r="O259" i="7"/>
  <c r="N259" i="7"/>
  <c r="L259" i="7"/>
  <c r="I259" i="7"/>
  <c r="H259" i="7"/>
  <c r="F259" i="7"/>
  <c r="C259" i="7"/>
  <c r="AC258" i="7"/>
  <c r="AD258" i="7" s="1"/>
  <c r="AA258" i="7"/>
  <c r="W258" i="7"/>
  <c r="X258" i="7" s="1"/>
  <c r="U258" i="7"/>
  <c r="R258" i="7"/>
  <c r="O258" i="7"/>
  <c r="N258" i="7"/>
  <c r="L258" i="7"/>
  <c r="H258" i="7"/>
  <c r="I258" i="7" s="1"/>
  <c r="F258" i="7"/>
  <c r="C258" i="7"/>
  <c r="AC257" i="7"/>
  <c r="AD257" i="7" s="1"/>
  <c r="AA257" i="7"/>
  <c r="X257" i="7"/>
  <c r="W257" i="7"/>
  <c r="U257" i="7"/>
  <c r="R257" i="7"/>
  <c r="N257" i="7"/>
  <c r="O257" i="7" s="1"/>
  <c r="L257" i="7"/>
  <c r="H257" i="7"/>
  <c r="I257" i="7" s="1"/>
  <c r="F257" i="7"/>
  <c r="C257" i="7"/>
  <c r="AD256" i="7"/>
  <c r="AC256" i="7"/>
  <c r="AA256" i="7"/>
  <c r="X256" i="7"/>
  <c r="W256" i="7"/>
  <c r="U256" i="7"/>
  <c r="R256" i="7"/>
  <c r="N256" i="7"/>
  <c r="O256" i="7" s="1"/>
  <c r="L256" i="7"/>
  <c r="H256" i="7"/>
  <c r="I256" i="7" s="1"/>
  <c r="F256" i="7"/>
  <c r="C256" i="7"/>
  <c r="AC255" i="7"/>
  <c r="AD255" i="7" s="1"/>
  <c r="AA255" i="7"/>
  <c r="W255" i="7"/>
  <c r="X255" i="7" s="1"/>
  <c r="U255" i="7"/>
  <c r="R255" i="7"/>
  <c r="O255" i="7"/>
  <c r="N255" i="7"/>
  <c r="L255" i="7"/>
  <c r="I255" i="7"/>
  <c r="H255" i="7"/>
  <c r="F255" i="7"/>
  <c r="C255" i="7"/>
  <c r="AC254" i="7"/>
  <c r="AD254" i="7" s="1"/>
  <c r="AA254" i="7"/>
  <c r="W254" i="7"/>
  <c r="X254" i="7" s="1"/>
  <c r="U254" i="7"/>
  <c r="R254" i="7"/>
  <c r="O254" i="7"/>
  <c r="N254" i="7"/>
  <c r="L254" i="7"/>
  <c r="H254" i="7"/>
  <c r="I254" i="7" s="1"/>
  <c r="F254" i="7"/>
  <c r="C254" i="7"/>
  <c r="AC253" i="7"/>
  <c r="AD253" i="7" s="1"/>
  <c r="AA253" i="7"/>
  <c r="X253" i="7"/>
  <c r="W253" i="7"/>
  <c r="U253" i="7"/>
  <c r="R253" i="7"/>
  <c r="N253" i="7"/>
  <c r="O253" i="7" s="1"/>
  <c r="L253" i="7"/>
  <c r="H253" i="7"/>
  <c r="I253" i="7" s="1"/>
  <c r="F253" i="7"/>
  <c r="C253" i="7"/>
  <c r="AD252" i="7"/>
  <c r="AC252" i="7"/>
  <c r="AA252" i="7"/>
  <c r="X252" i="7"/>
  <c r="W252" i="7"/>
  <c r="U252" i="7"/>
  <c r="R252" i="7"/>
  <c r="N252" i="7"/>
  <c r="O252" i="7" s="1"/>
  <c r="L252" i="7"/>
  <c r="H252" i="7"/>
  <c r="I252" i="7" s="1"/>
  <c r="F252" i="7"/>
  <c r="C252" i="7"/>
  <c r="AC251" i="7"/>
  <c r="AD251" i="7" s="1"/>
  <c r="AA251" i="7"/>
  <c r="W251" i="7"/>
  <c r="X251" i="7" s="1"/>
  <c r="U251" i="7"/>
  <c r="R251" i="7"/>
  <c r="O251" i="7"/>
  <c r="N251" i="7"/>
  <c r="L251" i="7"/>
  <c r="I251" i="7"/>
  <c r="H251" i="7"/>
  <c r="F251" i="7"/>
  <c r="C251" i="7"/>
  <c r="AC250" i="7"/>
  <c r="AD250" i="7" s="1"/>
  <c r="AA250" i="7"/>
  <c r="W250" i="7"/>
  <c r="X250" i="7" s="1"/>
  <c r="U250" i="7"/>
  <c r="R250" i="7"/>
  <c r="O250" i="7"/>
  <c r="N250" i="7"/>
  <c r="L250" i="7"/>
  <c r="H250" i="7"/>
  <c r="I250" i="7" s="1"/>
  <c r="F250" i="7"/>
  <c r="C250" i="7"/>
  <c r="AC249" i="7"/>
  <c r="AD249" i="7" s="1"/>
  <c r="AA249" i="7"/>
  <c r="X249" i="7"/>
  <c r="W249" i="7"/>
  <c r="U249" i="7"/>
  <c r="R249" i="7"/>
  <c r="N249" i="7"/>
  <c r="O249" i="7" s="1"/>
  <c r="L249" i="7"/>
  <c r="H249" i="7"/>
  <c r="I249" i="7" s="1"/>
  <c r="F249" i="7"/>
  <c r="C249" i="7"/>
  <c r="AD248" i="7"/>
  <c r="AC248" i="7"/>
  <c r="AA248" i="7"/>
  <c r="X248" i="7"/>
  <c r="W248" i="7"/>
  <c r="U248" i="7"/>
  <c r="R248" i="7"/>
  <c r="N248" i="7"/>
  <c r="O248" i="7" s="1"/>
  <c r="L248" i="7"/>
  <c r="H248" i="7"/>
  <c r="I248" i="7" s="1"/>
  <c r="F248" i="7"/>
  <c r="C248" i="7"/>
  <c r="AC247" i="7"/>
  <c r="AD247" i="7" s="1"/>
  <c r="AA247" i="7"/>
  <c r="W247" i="7"/>
  <c r="X247" i="7" s="1"/>
  <c r="U247" i="7"/>
  <c r="R247" i="7"/>
  <c r="O247" i="7"/>
  <c r="N247" i="7"/>
  <c r="L247" i="7"/>
  <c r="I247" i="7"/>
  <c r="H247" i="7"/>
  <c r="F247" i="7"/>
  <c r="C247" i="7"/>
  <c r="AC246" i="7"/>
  <c r="AD246" i="7" s="1"/>
  <c r="AA246" i="7"/>
  <c r="W246" i="7"/>
  <c r="X246" i="7" s="1"/>
  <c r="U246" i="7"/>
  <c r="R246" i="7"/>
  <c r="O246" i="7"/>
  <c r="N246" i="7"/>
  <c r="L246" i="7"/>
  <c r="H246" i="7"/>
  <c r="I246" i="7" s="1"/>
  <c r="F246" i="7"/>
  <c r="C246" i="7"/>
  <c r="AC245" i="7"/>
  <c r="AD245" i="7" s="1"/>
  <c r="AA245" i="7"/>
  <c r="X245" i="7"/>
  <c r="W245" i="7"/>
  <c r="U245" i="7"/>
  <c r="R245" i="7"/>
  <c r="N245" i="7"/>
  <c r="O245" i="7" s="1"/>
  <c r="L245" i="7"/>
  <c r="H245" i="7"/>
  <c r="I245" i="7" s="1"/>
  <c r="F245" i="7"/>
  <c r="C245" i="7"/>
  <c r="AD244" i="7"/>
  <c r="AC244" i="7"/>
  <c r="AA244" i="7"/>
  <c r="X244" i="7"/>
  <c r="W244" i="7"/>
  <c r="U244" i="7"/>
  <c r="R244" i="7"/>
  <c r="N244" i="7"/>
  <c r="O244" i="7" s="1"/>
  <c r="L244" i="7"/>
  <c r="H244" i="7"/>
  <c r="I244" i="7" s="1"/>
  <c r="F244" i="7"/>
  <c r="C244" i="7"/>
  <c r="AC243" i="7"/>
  <c r="AD243" i="7" s="1"/>
  <c r="AA243" i="7"/>
  <c r="W243" i="7"/>
  <c r="X243" i="7" s="1"/>
  <c r="U243" i="7"/>
  <c r="R243" i="7"/>
  <c r="O243" i="7"/>
  <c r="N243" i="7"/>
  <c r="L243" i="7"/>
  <c r="I243" i="7"/>
  <c r="H243" i="7"/>
  <c r="F243" i="7"/>
  <c r="C243" i="7"/>
  <c r="AC242" i="7"/>
  <c r="AD242" i="7" s="1"/>
  <c r="AA242" i="7"/>
  <c r="W242" i="7"/>
  <c r="X242" i="7" s="1"/>
  <c r="U242" i="7"/>
  <c r="R242" i="7"/>
  <c r="O242" i="7"/>
  <c r="N242" i="7"/>
  <c r="L242" i="7"/>
  <c r="H242" i="7"/>
  <c r="I242" i="7" s="1"/>
  <c r="F242" i="7"/>
  <c r="C242" i="7"/>
  <c r="AC241" i="7"/>
  <c r="AD241" i="7" s="1"/>
  <c r="AA241" i="7"/>
  <c r="X241" i="7"/>
  <c r="W241" i="7"/>
  <c r="U241" i="7"/>
  <c r="R241" i="7"/>
  <c r="N241" i="7"/>
  <c r="O241" i="7" s="1"/>
  <c r="L241" i="7"/>
  <c r="H241" i="7"/>
  <c r="I241" i="7" s="1"/>
  <c r="F241" i="7"/>
  <c r="C241" i="7"/>
  <c r="AD240" i="7"/>
  <c r="AC240" i="7"/>
  <c r="AA240" i="7"/>
  <c r="X240" i="7"/>
  <c r="W240" i="7"/>
  <c r="U240" i="7"/>
  <c r="R240" i="7"/>
  <c r="N240" i="7"/>
  <c r="O240" i="7" s="1"/>
  <c r="L240" i="7"/>
  <c r="H240" i="7"/>
  <c r="I240" i="7" s="1"/>
  <c r="F240" i="7"/>
  <c r="C240" i="7"/>
  <c r="AC238" i="7"/>
  <c r="AD238" i="7" s="1"/>
  <c r="AA238" i="7"/>
  <c r="W238" i="7"/>
  <c r="X238" i="7" s="1"/>
  <c r="U238" i="7"/>
  <c r="R238" i="7"/>
  <c r="O238" i="7"/>
  <c r="N238" i="7"/>
  <c r="L238" i="7"/>
  <c r="I238" i="7"/>
  <c r="H238" i="7"/>
  <c r="F238" i="7"/>
  <c r="C238" i="7"/>
  <c r="AC236" i="7"/>
  <c r="AD236" i="7" s="1"/>
  <c r="Z236" i="7"/>
  <c r="AA236" i="7" s="1"/>
  <c r="T236" i="7"/>
  <c r="U236" i="7" s="1"/>
  <c r="Q236" i="7"/>
  <c r="L236" i="7"/>
  <c r="K236" i="7"/>
  <c r="E236" i="7"/>
  <c r="F236" i="7" s="1"/>
  <c r="B236" i="7"/>
  <c r="C236" i="7" s="1"/>
  <c r="AD235" i="7"/>
  <c r="AC235" i="7"/>
  <c r="AA235" i="7"/>
  <c r="X235" i="7"/>
  <c r="W235" i="7"/>
  <c r="U235" i="7"/>
  <c r="R235" i="7"/>
  <c r="N235" i="7"/>
  <c r="O235" i="7" s="1"/>
  <c r="L235" i="7"/>
  <c r="H235" i="7"/>
  <c r="I235" i="7" s="1"/>
  <c r="F235" i="7"/>
  <c r="C235" i="7"/>
  <c r="AC234" i="7"/>
  <c r="AD234" i="7" s="1"/>
  <c r="AA234" i="7"/>
  <c r="W234" i="7"/>
  <c r="X234" i="7" s="1"/>
  <c r="U234" i="7"/>
  <c r="R234" i="7"/>
  <c r="O234" i="7"/>
  <c r="N234" i="7"/>
  <c r="L234" i="7"/>
  <c r="I234" i="7"/>
  <c r="H234" i="7"/>
  <c r="F234" i="7"/>
  <c r="C234" i="7"/>
  <c r="AC233" i="7"/>
  <c r="AD233" i="7" s="1"/>
  <c r="AA233" i="7"/>
  <c r="W233" i="7"/>
  <c r="X233" i="7" s="1"/>
  <c r="U233" i="7"/>
  <c r="R233" i="7"/>
  <c r="O233" i="7"/>
  <c r="N233" i="7"/>
  <c r="L233" i="7"/>
  <c r="H233" i="7"/>
  <c r="I233" i="7" s="1"/>
  <c r="F233" i="7"/>
  <c r="C233" i="7"/>
  <c r="AC232" i="7"/>
  <c r="AD232" i="7" s="1"/>
  <c r="AA232" i="7"/>
  <c r="X232" i="7"/>
  <c r="W232" i="7"/>
  <c r="U232" i="7"/>
  <c r="R232" i="7"/>
  <c r="N232" i="7"/>
  <c r="O232" i="7" s="1"/>
  <c r="L232" i="7"/>
  <c r="H232" i="7"/>
  <c r="I232" i="7" s="1"/>
  <c r="F232" i="7"/>
  <c r="C232" i="7"/>
  <c r="AD231" i="7"/>
  <c r="AC231" i="7"/>
  <c r="AA231" i="7"/>
  <c r="X231" i="7"/>
  <c r="W231" i="7"/>
  <c r="U231" i="7"/>
  <c r="R231" i="7"/>
  <c r="N231" i="7"/>
  <c r="O231" i="7" s="1"/>
  <c r="L231" i="7"/>
  <c r="H231" i="7"/>
  <c r="I231" i="7" s="1"/>
  <c r="F231" i="7"/>
  <c r="C231" i="7"/>
  <c r="AC230" i="7"/>
  <c r="AD230" i="7" s="1"/>
  <c r="AA230" i="7"/>
  <c r="W230" i="7"/>
  <c r="X230" i="7" s="1"/>
  <c r="U230" i="7"/>
  <c r="R230" i="7"/>
  <c r="O230" i="7"/>
  <c r="N230" i="7"/>
  <c r="L230" i="7"/>
  <c r="I230" i="7"/>
  <c r="H230" i="7"/>
  <c r="F230" i="7"/>
  <c r="C230" i="7"/>
  <c r="AC229" i="7"/>
  <c r="AD229" i="7" s="1"/>
  <c r="AA229" i="7"/>
  <c r="W229" i="7"/>
  <c r="X229" i="7" s="1"/>
  <c r="U229" i="7"/>
  <c r="R229" i="7"/>
  <c r="O229" i="7"/>
  <c r="N229" i="7"/>
  <c r="L229" i="7"/>
  <c r="H229" i="7"/>
  <c r="I229" i="7" s="1"/>
  <c r="F229" i="7"/>
  <c r="C229" i="7"/>
  <c r="AC227" i="7"/>
  <c r="AD227" i="7" s="1"/>
  <c r="Z227" i="7"/>
  <c r="AA227" i="7" s="1"/>
  <c r="U227" i="7"/>
  <c r="T227" i="7"/>
  <c r="Q227" i="7"/>
  <c r="W227" i="7" s="1"/>
  <c r="X227" i="7" s="1"/>
  <c r="K227" i="7"/>
  <c r="L227" i="7" s="1"/>
  <c r="F227" i="7"/>
  <c r="E227" i="7"/>
  <c r="B227" i="7"/>
  <c r="AC226" i="7"/>
  <c r="AD226" i="7" s="1"/>
  <c r="AA226" i="7"/>
  <c r="W226" i="7"/>
  <c r="X226" i="7" s="1"/>
  <c r="U226" i="7"/>
  <c r="R226" i="7"/>
  <c r="O226" i="7"/>
  <c r="N226" i="7"/>
  <c r="L226" i="7"/>
  <c r="I226" i="7"/>
  <c r="H226" i="7"/>
  <c r="F226" i="7"/>
  <c r="C226" i="7"/>
  <c r="AC225" i="7"/>
  <c r="AD225" i="7" s="1"/>
  <c r="AA225" i="7"/>
  <c r="W225" i="7"/>
  <c r="X225" i="7" s="1"/>
  <c r="U225" i="7"/>
  <c r="R225" i="7"/>
  <c r="O225" i="7"/>
  <c r="N225" i="7"/>
  <c r="L225" i="7"/>
  <c r="H225" i="7"/>
  <c r="I225" i="7" s="1"/>
  <c r="F225" i="7"/>
  <c r="C225" i="7"/>
  <c r="AD224" i="7"/>
  <c r="AC224" i="7"/>
  <c r="AA224" i="7"/>
  <c r="X224" i="7"/>
  <c r="W224" i="7"/>
  <c r="U224" i="7"/>
  <c r="R224" i="7"/>
  <c r="N224" i="7"/>
  <c r="O224" i="7" s="1"/>
  <c r="L224" i="7"/>
  <c r="H224" i="7"/>
  <c r="I224" i="7" s="1"/>
  <c r="F224" i="7"/>
  <c r="C224" i="7"/>
  <c r="AD223" i="7"/>
  <c r="AC223" i="7"/>
  <c r="AA223" i="7"/>
  <c r="X223" i="7"/>
  <c r="W223" i="7"/>
  <c r="U223" i="7"/>
  <c r="R223" i="7"/>
  <c r="N223" i="7"/>
  <c r="O223" i="7" s="1"/>
  <c r="L223" i="7"/>
  <c r="H223" i="7"/>
  <c r="I223" i="7" s="1"/>
  <c r="F223" i="7"/>
  <c r="C223" i="7"/>
  <c r="AC222" i="7"/>
  <c r="AD222" i="7" s="1"/>
  <c r="AA222" i="7"/>
  <c r="W222" i="7"/>
  <c r="X222" i="7" s="1"/>
  <c r="U222" i="7"/>
  <c r="R222" i="7"/>
  <c r="O222" i="7"/>
  <c r="N222" i="7"/>
  <c r="L222" i="7"/>
  <c r="I222" i="7"/>
  <c r="H222" i="7"/>
  <c r="F222" i="7"/>
  <c r="C222" i="7"/>
  <c r="AC221" i="7"/>
  <c r="AD221" i="7" s="1"/>
  <c r="AA221" i="7"/>
  <c r="W221" i="7"/>
  <c r="X221" i="7" s="1"/>
  <c r="U221" i="7"/>
  <c r="R221" i="7"/>
  <c r="O221" i="7"/>
  <c r="N221" i="7"/>
  <c r="L221" i="7"/>
  <c r="H221" i="7"/>
  <c r="I221" i="7" s="1"/>
  <c r="F221" i="7"/>
  <c r="C221" i="7"/>
  <c r="AD220" i="7"/>
  <c r="AC220" i="7"/>
  <c r="AA220" i="7"/>
  <c r="X220" i="7"/>
  <c r="W220" i="7"/>
  <c r="U220" i="7"/>
  <c r="R220" i="7"/>
  <c r="N220" i="7"/>
  <c r="O220" i="7" s="1"/>
  <c r="L220" i="7"/>
  <c r="H220" i="7"/>
  <c r="I220" i="7" s="1"/>
  <c r="F220" i="7"/>
  <c r="C220" i="7"/>
  <c r="AD219" i="7"/>
  <c r="AC219" i="7"/>
  <c r="AA219" i="7"/>
  <c r="X219" i="7"/>
  <c r="W219" i="7"/>
  <c r="U219" i="7"/>
  <c r="R219" i="7"/>
  <c r="N219" i="7"/>
  <c r="O219" i="7" s="1"/>
  <c r="L219" i="7"/>
  <c r="H219" i="7"/>
  <c r="I219" i="7" s="1"/>
  <c r="F219" i="7"/>
  <c r="C219" i="7"/>
  <c r="AA218" i="7"/>
  <c r="Z218" i="7"/>
  <c r="T218" i="7"/>
  <c r="U218" i="7" s="1"/>
  <c r="Q218" i="7"/>
  <c r="R218" i="7" s="1"/>
  <c r="L218" i="7"/>
  <c r="K218" i="7"/>
  <c r="H218" i="7"/>
  <c r="I218" i="7" s="1"/>
  <c r="E218" i="7"/>
  <c r="F218" i="7" s="1"/>
  <c r="C218" i="7"/>
  <c r="B218" i="7"/>
  <c r="N218" i="7" s="1"/>
  <c r="O218" i="7" s="1"/>
  <c r="AD217" i="7"/>
  <c r="AC217" i="7"/>
  <c r="AA217" i="7"/>
  <c r="X217" i="7"/>
  <c r="W217" i="7"/>
  <c r="U217" i="7"/>
  <c r="R217" i="7"/>
  <c r="N217" i="7"/>
  <c r="O217" i="7" s="1"/>
  <c r="L217" i="7"/>
  <c r="H217" i="7"/>
  <c r="I217" i="7" s="1"/>
  <c r="F217" i="7"/>
  <c r="C217" i="7"/>
  <c r="AD216" i="7"/>
  <c r="AC216" i="7"/>
  <c r="AA216" i="7"/>
  <c r="X216" i="7"/>
  <c r="W216" i="7"/>
  <c r="U216" i="7"/>
  <c r="R216" i="7"/>
  <c r="N216" i="7"/>
  <c r="O216" i="7" s="1"/>
  <c r="L216" i="7"/>
  <c r="I216" i="7"/>
  <c r="H216" i="7"/>
  <c r="F216" i="7"/>
  <c r="C216" i="7"/>
  <c r="AC215" i="7"/>
  <c r="AD215" i="7" s="1"/>
  <c r="AA215" i="7"/>
  <c r="W215" i="7"/>
  <c r="X215" i="7" s="1"/>
  <c r="U215" i="7"/>
  <c r="R215" i="7"/>
  <c r="O215" i="7"/>
  <c r="N215" i="7"/>
  <c r="L215" i="7"/>
  <c r="H215" i="7"/>
  <c r="I215" i="7" s="1"/>
  <c r="F215" i="7"/>
  <c r="C215" i="7"/>
  <c r="AC214" i="7"/>
  <c r="AD214" i="7" s="1"/>
  <c r="AA214" i="7"/>
  <c r="W214" i="7"/>
  <c r="X214" i="7" s="1"/>
  <c r="U214" i="7"/>
  <c r="R214" i="7"/>
  <c r="N214" i="7"/>
  <c r="O214" i="7" s="1"/>
  <c r="L214" i="7"/>
  <c r="H214" i="7"/>
  <c r="I214" i="7" s="1"/>
  <c r="F214" i="7"/>
  <c r="C214" i="7"/>
  <c r="AC213" i="7"/>
  <c r="AD213" i="7" s="1"/>
  <c r="AA213" i="7"/>
  <c r="X213" i="7"/>
  <c r="W213" i="7"/>
  <c r="U213" i="7"/>
  <c r="R213" i="7"/>
  <c r="O213" i="7"/>
  <c r="N213" i="7"/>
  <c r="L213" i="7"/>
  <c r="H213" i="7"/>
  <c r="I213" i="7" s="1"/>
  <c r="F213" i="7"/>
  <c r="C213" i="7"/>
  <c r="AC211" i="7"/>
  <c r="AD211" i="7" s="1"/>
  <c r="AA211" i="7"/>
  <c r="X211" i="7"/>
  <c r="W211" i="7"/>
  <c r="U211" i="7"/>
  <c r="R211" i="7"/>
  <c r="N211" i="7"/>
  <c r="O211" i="7" s="1"/>
  <c r="L211" i="7"/>
  <c r="H211" i="7"/>
  <c r="I211" i="7" s="1"/>
  <c r="F211" i="7"/>
  <c r="C211" i="7"/>
  <c r="Z209" i="7"/>
  <c r="X209" i="7"/>
  <c r="W209" i="7"/>
  <c r="U209" i="7"/>
  <c r="T209" i="7"/>
  <c r="Q209" i="7"/>
  <c r="R209" i="7" s="1"/>
  <c r="L209" i="7"/>
  <c r="K209" i="7"/>
  <c r="H209" i="7"/>
  <c r="I209" i="7" s="1"/>
  <c r="E209" i="7"/>
  <c r="F209" i="7" s="1"/>
  <c r="B209" i="7"/>
  <c r="AC208" i="7"/>
  <c r="AD208" i="7" s="1"/>
  <c r="AA208" i="7"/>
  <c r="X208" i="7"/>
  <c r="W208" i="7"/>
  <c r="U208" i="7"/>
  <c r="R208" i="7"/>
  <c r="O208" i="7"/>
  <c r="N208" i="7"/>
  <c r="L208" i="7"/>
  <c r="I208" i="7"/>
  <c r="H208" i="7"/>
  <c r="F208" i="7"/>
  <c r="C208" i="7"/>
  <c r="AC207" i="7"/>
  <c r="AD207" i="7" s="1"/>
  <c r="AA207" i="7"/>
  <c r="W207" i="7"/>
  <c r="X207" i="7" s="1"/>
  <c r="U207" i="7"/>
  <c r="R207" i="7"/>
  <c r="N207" i="7"/>
  <c r="O207" i="7" s="1"/>
  <c r="L207" i="7"/>
  <c r="H207" i="7"/>
  <c r="I207" i="7" s="1"/>
  <c r="F207" i="7"/>
  <c r="C207" i="7"/>
  <c r="AC206" i="7"/>
  <c r="AD206" i="7" s="1"/>
  <c r="AA206" i="7"/>
  <c r="W206" i="7"/>
  <c r="X206" i="7" s="1"/>
  <c r="U206" i="7"/>
  <c r="R206" i="7"/>
  <c r="O206" i="7"/>
  <c r="N206" i="7"/>
  <c r="L206" i="7"/>
  <c r="H206" i="7"/>
  <c r="I206" i="7" s="1"/>
  <c r="F206" i="7"/>
  <c r="C206" i="7"/>
  <c r="AD205" i="7"/>
  <c r="AC205" i="7"/>
  <c r="AA205" i="7"/>
  <c r="X205" i="7"/>
  <c r="W205" i="7"/>
  <c r="U205" i="7"/>
  <c r="R205" i="7"/>
  <c r="N205" i="7"/>
  <c r="O205" i="7" s="1"/>
  <c r="L205" i="7"/>
  <c r="H205" i="7"/>
  <c r="I205" i="7" s="1"/>
  <c r="F205" i="7"/>
  <c r="C205" i="7"/>
  <c r="AC204" i="7"/>
  <c r="AD204" i="7" s="1"/>
  <c r="AA204" i="7"/>
  <c r="X204" i="7"/>
  <c r="W204" i="7"/>
  <c r="U204" i="7"/>
  <c r="R204" i="7"/>
  <c r="N204" i="7"/>
  <c r="O204" i="7" s="1"/>
  <c r="L204" i="7"/>
  <c r="H204" i="7"/>
  <c r="I204" i="7" s="1"/>
  <c r="F204" i="7"/>
  <c r="C204" i="7"/>
  <c r="AD203" i="7"/>
  <c r="AC203" i="7"/>
  <c r="AA203" i="7"/>
  <c r="X203" i="7"/>
  <c r="W203" i="7"/>
  <c r="U203" i="7"/>
  <c r="R203" i="7"/>
  <c r="N203" i="7"/>
  <c r="O203" i="7" s="1"/>
  <c r="L203" i="7"/>
  <c r="H203" i="7"/>
  <c r="I203" i="7" s="1"/>
  <c r="F203" i="7"/>
  <c r="C203" i="7"/>
  <c r="AC202" i="7"/>
  <c r="AD202" i="7" s="1"/>
  <c r="AA202" i="7"/>
  <c r="X202" i="7"/>
  <c r="W202" i="7"/>
  <c r="U202" i="7"/>
  <c r="R202" i="7"/>
  <c r="O202" i="7"/>
  <c r="N202" i="7"/>
  <c r="L202" i="7"/>
  <c r="H202" i="7"/>
  <c r="I202" i="7" s="1"/>
  <c r="F202" i="7"/>
  <c r="C202" i="7"/>
  <c r="AD201" i="7"/>
  <c r="AC201" i="7"/>
  <c r="AA201" i="7"/>
  <c r="X201" i="7"/>
  <c r="W201" i="7"/>
  <c r="U201" i="7"/>
  <c r="R201" i="7"/>
  <c r="N201" i="7"/>
  <c r="O201" i="7" s="1"/>
  <c r="L201" i="7"/>
  <c r="H201" i="7"/>
  <c r="I201" i="7" s="1"/>
  <c r="F201" i="7"/>
  <c r="C201" i="7"/>
  <c r="AA197" i="7"/>
  <c r="Z197" i="7"/>
  <c r="AC197" i="7" s="1"/>
  <c r="AD197" i="7" s="1"/>
  <c r="T197" i="7"/>
  <c r="U197" i="7" s="1"/>
  <c r="Q197" i="7"/>
  <c r="R197" i="7" s="1"/>
  <c r="N197" i="7"/>
  <c r="O197" i="7" s="1"/>
  <c r="K197" i="7"/>
  <c r="L197" i="7" s="1"/>
  <c r="E197" i="7"/>
  <c r="B197" i="7"/>
  <c r="C197" i="7" s="1"/>
  <c r="AA196" i="7"/>
  <c r="Z196" i="7"/>
  <c r="U196" i="7"/>
  <c r="T196" i="7"/>
  <c r="Q196" i="7"/>
  <c r="N196" i="7"/>
  <c r="O196" i="7" s="1"/>
  <c r="K196" i="7"/>
  <c r="L196" i="7" s="1"/>
  <c r="H196" i="7"/>
  <c r="I196" i="7" s="1"/>
  <c r="E196" i="7"/>
  <c r="F196" i="7" s="1"/>
  <c r="C196" i="7"/>
  <c r="B196" i="7"/>
  <c r="AC195" i="7"/>
  <c r="AD195" i="7" s="1"/>
  <c r="AA195" i="7"/>
  <c r="W195" i="7"/>
  <c r="X195" i="7" s="1"/>
  <c r="U195" i="7"/>
  <c r="R195" i="7"/>
  <c r="O195" i="7"/>
  <c r="N195" i="7"/>
  <c r="L195" i="7"/>
  <c r="I195" i="7"/>
  <c r="H195" i="7"/>
  <c r="F195" i="7"/>
  <c r="C195" i="7"/>
  <c r="AC194" i="7"/>
  <c r="AD194" i="7" s="1"/>
  <c r="AA194" i="7"/>
  <c r="W194" i="7"/>
  <c r="X194" i="7" s="1"/>
  <c r="U194" i="7"/>
  <c r="R194" i="7"/>
  <c r="N194" i="7"/>
  <c r="O194" i="7" s="1"/>
  <c r="L194" i="7"/>
  <c r="H194" i="7"/>
  <c r="I194" i="7" s="1"/>
  <c r="F194" i="7"/>
  <c r="C194" i="7"/>
  <c r="AC193" i="7"/>
  <c r="AD193" i="7" s="1"/>
  <c r="Z193" i="7"/>
  <c r="AA193" i="7" s="1"/>
  <c r="T193" i="7"/>
  <c r="U193" i="7" s="1"/>
  <c r="R193" i="7"/>
  <c r="Q193" i="7"/>
  <c r="K193" i="7"/>
  <c r="L193" i="7" s="1"/>
  <c r="E193" i="7"/>
  <c r="F193" i="7" s="1"/>
  <c r="B193" i="7"/>
  <c r="AC192" i="7"/>
  <c r="AD192" i="7" s="1"/>
  <c r="AA192" i="7"/>
  <c r="X192" i="7"/>
  <c r="W192" i="7"/>
  <c r="U192" i="7"/>
  <c r="R192" i="7"/>
  <c r="O192" i="7"/>
  <c r="N192" i="7"/>
  <c r="L192" i="7"/>
  <c r="H192" i="7"/>
  <c r="I192" i="7" s="1"/>
  <c r="F192" i="7"/>
  <c r="C192" i="7"/>
  <c r="AD191" i="7"/>
  <c r="AC191" i="7"/>
  <c r="AA191" i="7"/>
  <c r="W191" i="7"/>
  <c r="X191" i="7" s="1"/>
  <c r="U191" i="7"/>
  <c r="R191" i="7"/>
  <c r="O191" i="7"/>
  <c r="N191" i="7"/>
  <c r="L191" i="7"/>
  <c r="H191" i="7"/>
  <c r="I191" i="7" s="1"/>
  <c r="F191" i="7"/>
  <c r="C191" i="7"/>
  <c r="AD190" i="7"/>
  <c r="AC190" i="7"/>
  <c r="AA190" i="7"/>
  <c r="X190" i="7"/>
  <c r="W190" i="7"/>
  <c r="U190" i="7"/>
  <c r="R190" i="7"/>
  <c r="N190" i="7"/>
  <c r="O190" i="7" s="1"/>
  <c r="L190" i="7"/>
  <c r="H190" i="7"/>
  <c r="I190" i="7" s="1"/>
  <c r="F190" i="7"/>
  <c r="C190" i="7"/>
  <c r="AC189" i="7"/>
  <c r="AD189" i="7" s="1"/>
  <c r="AA189" i="7"/>
  <c r="W189" i="7"/>
  <c r="X189" i="7" s="1"/>
  <c r="U189" i="7"/>
  <c r="R189" i="7"/>
  <c r="O189" i="7"/>
  <c r="N189" i="7"/>
  <c r="L189" i="7"/>
  <c r="I189" i="7"/>
  <c r="H189" i="7"/>
  <c r="F189" i="7"/>
  <c r="C189" i="7"/>
  <c r="AC188" i="7"/>
  <c r="AD188" i="7" s="1"/>
  <c r="AA188" i="7"/>
  <c r="W188" i="7"/>
  <c r="X188" i="7" s="1"/>
  <c r="U188" i="7"/>
  <c r="R188" i="7"/>
  <c r="O188" i="7"/>
  <c r="N188" i="7"/>
  <c r="L188" i="7"/>
  <c r="I188" i="7"/>
  <c r="H188" i="7"/>
  <c r="F188" i="7"/>
  <c r="C188" i="7"/>
  <c r="AC187" i="7"/>
  <c r="AD187" i="7" s="1"/>
  <c r="AA187" i="7"/>
  <c r="W187" i="7"/>
  <c r="X187" i="7" s="1"/>
  <c r="U187" i="7"/>
  <c r="R187" i="7"/>
  <c r="O187" i="7"/>
  <c r="N187" i="7"/>
  <c r="L187" i="7"/>
  <c r="H187" i="7"/>
  <c r="I187" i="7" s="1"/>
  <c r="F187" i="7"/>
  <c r="C187" i="7"/>
  <c r="AC186" i="7"/>
  <c r="AD186" i="7" s="1"/>
  <c r="AA186" i="7"/>
  <c r="X186" i="7"/>
  <c r="W186" i="7"/>
  <c r="U186" i="7"/>
  <c r="R186" i="7"/>
  <c r="O186" i="7"/>
  <c r="N186" i="7"/>
  <c r="L186" i="7"/>
  <c r="I186" i="7"/>
  <c r="H186" i="7"/>
  <c r="F186" i="7"/>
  <c r="C186" i="7"/>
  <c r="AC184" i="7"/>
  <c r="AD184" i="7" s="1"/>
  <c r="AA184" i="7"/>
  <c r="W184" i="7"/>
  <c r="X184" i="7" s="1"/>
  <c r="U184" i="7"/>
  <c r="R184" i="7"/>
  <c r="O184" i="7"/>
  <c r="N184" i="7"/>
  <c r="L184" i="7"/>
  <c r="H184" i="7"/>
  <c r="I184" i="7" s="1"/>
  <c r="F184" i="7"/>
  <c r="C184" i="7"/>
  <c r="AC183" i="7"/>
  <c r="AD183" i="7" s="1"/>
  <c r="AA183" i="7"/>
  <c r="W183" i="7"/>
  <c r="X183" i="7" s="1"/>
  <c r="U183" i="7"/>
  <c r="R183" i="7"/>
  <c r="O183" i="7"/>
  <c r="N183" i="7"/>
  <c r="L183" i="7"/>
  <c r="I183" i="7"/>
  <c r="H183" i="7"/>
  <c r="F183" i="7"/>
  <c r="C183" i="7"/>
  <c r="AC182" i="7"/>
  <c r="AD182" i="7" s="1"/>
  <c r="Z182" i="7"/>
  <c r="AA182" i="7" s="1"/>
  <c r="W182" i="7"/>
  <c r="X182" i="7" s="1"/>
  <c r="T182" i="7"/>
  <c r="U182" i="7" s="1"/>
  <c r="Q182" i="7"/>
  <c r="R182" i="7" s="1"/>
  <c r="N182" i="7"/>
  <c r="O182" i="7" s="1"/>
  <c r="K182" i="7"/>
  <c r="L182" i="7" s="1"/>
  <c r="I182" i="7"/>
  <c r="H182" i="7"/>
  <c r="F182" i="7"/>
  <c r="E182" i="7"/>
  <c r="B182" i="7"/>
  <c r="C182" i="7" s="1"/>
  <c r="AD181" i="7"/>
  <c r="AC181" i="7"/>
  <c r="AA181" i="7"/>
  <c r="X181" i="7"/>
  <c r="W181" i="7"/>
  <c r="U181" i="7"/>
  <c r="R181" i="7"/>
  <c r="N181" i="7"/>
  <c r="O181" i="7" s="1"/>
  <c r="L181" i="7"/>
  <c r="I181" i="7"/>
  <c r="H181" i="7"/>
  <c r="F181" i="7"/>
  <c r="C181" i="7"/>
  <c r="AC180" i="7"/>
  <c r="AD180" i="7" s="1"/>
  <c r="AA180" i="7"/>
  <c r="X180" i="7"/>
  <c r="W180" i="7"/>
  <c r="U180" i="7"/>
  <c r="R180" i="7"/>
  <c r="N180" i="7"/>
  <c r="O180" i="7" s="1"/>
  <c r="L180" i="7"/>
  <c r="H180" i="7"/>
  <c r="I180" i="7" s="1"/>
  <c r="F180" i="7"/>
  <c r="C180" i="7"/>
  <c r="AD179" i="7"/>
  <c r="AC179" i="7"/>
  <c r="AA179" i="7"/>
  <c r="W179" i="7"/>
  <c r="X179" i="7" s="1"/>
  <c r="U179" i="7"/>
  <c r="R179" i="7"/>
  <c r="O179" i="7"/>
  <c r="N179" i="7"/>
  <c r="L179" i="7"/>
  <c r="I179" i="7"/>
  <c r="H179" i="7"/>
  <c r="F179" i="7"/>
  <c r="C179" i="7"/>
  <c r="AC178" i="7"/>
  <c r="AD178" i="7" s="1"/>
  <c r="AA178" i="7"/>
  <c r="W178" i="7"/>
  <c r="X178" i="7" s="1"/>
  <c r="U178" i="7"/>
  <c r="R178" i="7"/>
  <c r="O178" i="7"/>
  <c r="N178" i="7"/>
  <c r="L178" i="7"/>
  <c r="I178" i="7"/>
  <c r="H178" i="7"/>
  <c r="F178" i="7"/>
  <c r="C178" i="7"/>
  <c r="AC177" i="7"/>
  <c r="AD177" i="7" s="1"/>
  <c r="AA177" i="7"/>
  <c r="X177" i="7"/>
  <c r="W177" i="7"/>
  <c r="U177" i="7"/>
  <c r="R177" i="7"/>
  <c r="N177" i="7"/>
  <c r="O177" i="7" s="1"/>
  <c r="L177" i="7"/>
  <c r="H177" i="7"/>
  <c r="I177" i="7" s="1"/>
  <c r="F177" i="7"/>
  <c r="C177" i="7"/>
  <c r="AD175" i="7"/>
  <c r="AC175" i="7"/>
  <c r="AA175" i="7"/>
  <c r="X175" i="7"/>
  <c r="W175" i="7"/>
  <c r="U175" i="7"/>
  <c r="R175" i="7"/>
  <c r="N175" i="7"/>
  <c r="O175" i="7" s="1"/>
  <c r="L175" i="7"/>
  <c r="H175" i="7"/>
  <c r="I175" i="7" s="1"/>
  <c r="F175" i="7"/>
  <c r="C175" i="7"/>
  <c r="T172" i="7"/>
  <c r="K172" i="7"/>
  <c r="L172" i="7" s="1"/>
  <c r="Z171" i="7"/>
  <c r="U171" i="7"/>
  <c r="T171" i="7"/>
  <c r="Q171" i="7"/>
  <c r="N171" i="7"/>
  <c r="O171" i="7" s="1"/>
  <c r="L171" i="7"/>
  <c r="K171" i="7"/>
  <c r="E171" i="7"/>
  <c r="F171" i="7" s="1"/>
  <c r="B171" i="7"/>
  <c r="AD170" i="7"/>
  <c r="AA170" i="7"/>
  <c r="Z170" i="7"/>
  <c r="W170" i="7"/>
  <c r="X170" i="7" s="1"/>
  <c r="T170" i="7"/>
  <c r="U170" i="7" s="1"/>
  <c r="R170" i="7"/>
  <c r="Q170" i="7"/>
  <c r="AC170" i="7" s="1"/>
  <c r="K170" i="7"/>
  <c r="L170" i="7" s="1"/>
  <c r="H170" i="7"/>
  <c r="I170" i="7" s="1"/>
  <c r="F170" i="7"/>
  <c r="E170" i="7"/>
  <c r="C170" i="7"/>
  <c r="B170" i="7"/>
  <c r="N170" i="7" s="1"/>
  <c r="O170" i="7" s="1"/>
  <c r="AC169" i="7"/>
  <c r="AD169" i="7" s="1"/>
  <c r="AA169" i="7"/>
  <c r="X169" i="7"/>
  <c r="W169" i="7"/>
  <c r="U169" i="7"/>
  <c r="R169" i="7"/>
  <c r="N169" i="7"/>
  <c r="O169" i="7" s="1"/>
  <c r="L169" i="7"/>
  <c r="H169" i="7"/>
  <c r="I169" i="7" s="1"/>
  <c r="F169" i="7"/>
  <c r="C169" i="7"/>
  <c r="AD168" i="7"/>
  <c r="AC168" i="7"/>
  <c r="AA168" i="7"/>
  <c r="X168" i="7"/>
  <c r="W168" i="7"/>
  <c r="U168" i="7"/>
  <c r="R168" i="7"/>
  <c r="N168" i="7"/>
  <c r="O168" i="7" s="1"/>
  <c r="L168" i="7"/>
  <c r="H168" i="7"/>
  <c r="I168" i="7" s="1"/>
  <c r="F168" i="7"/>
  <c r="C168" i="7"/>
  <c r="AD167" i="7"/>
  <c r="AC167" i="7"/>
  <c r="AA167" i="7"/>
  <c r="W167" i="7"/>
  <c r="X167" i="7" s="1"/>
  <c r="U167" i="7"/>
  <c r="R167" i="7"/>
  <c r="O167" i="7"/>
  <c r="N167" i="7"/>
  <c r="L167" i="7"/>
  <c r="I167" i="7"/>
  <c r="H167" i="7"/>
  <c r="F167" i="7"/>
  <c r="C167" i="7"/>
  <c r="AC166" i="7"/>
  <c r="AD166" i="7" s="1"/>
  <c r="AA166" i="7"/>
  <c r="Z166" i="7"/>
  <c r="T166" i="7"/>
  <c r="U166" i="7" s="1"/>
  <c r="Q166" i="7"/>
  <c r="O166" i="7"/>
  <c r="L166" i="7"/>
  <c r="K166" i="7"/>
  <c r="H166" i="7"/>
  <c r="I166" i="7" s="1"/>
  <c r="E166" i="7"/>
  <c r="F166" i="7" s="1"/>
  <c r="C166" i="7"/>
  <c r="B166" i="7"/>
  <c r="N166" i="7" s="1"/>
  <c r="AD165" i="7"/>
  <c r="AC165" i="7"/>
  <c r="AA165" i="7"/>
  <c r="X165" i="7"/>
  <c r="W165" i="7"/>
  <c r="U165" i="7"/>
  <c r="R165" i="7"/>
  <c r="N165" i="7"/>
  <c r="O165" i="7" s="1"/>
  <c r="L165" i="7"/>
  <c r="H165" i="7"/>
  <c r="I165" i="7" s="1"/>
  <c r="F165" i="7"/>
  <c r="C165" i="7"/>
  <c r="AD164" i="7"/>
  <c r="AC164" i="7"/>
  <c r="AA164" i="7"/>
  <c r="W164" i="7"/>
  <c r="X164" i="7" s="1"/>
  <c r="U164" i="7"/>
  <c r="R164" i="7"/>
  <c r="N164" i="7"/>
  <c r="O164" i="7" s="1"/>
  <c r="L164" i="7"/>
  <c r="I164" i="7"/>
  <c r="H164" i="7"/>
  <c r="F164" i="7"/>
  <c r="C164" i="7"/>
  <c r="AC163" i="7"/>
  <c r="AD163" i="7" s="1"/>
  <c r="AA163" i="7"/>
  <c r="W163" i="7"/>
  <c r="X163" i="7" s="1"/>
  <c r="U163" i="7"/>
  <c r="R163" i="7"/>
  <c r="O163" i="7"/>
  <c r="N163" i="7"/>
  <c r="L163" i="7"/>
  <c r="I163" i="7"/>
  <c r="H163" i="7"/>
  <c r="F163" i="7"/>
  <c r="C163" i="7"/>
  <c r="AC162" i="7"/>
  <c r="AD162" i="7" s="1"/>
  <c r="AA162" i="7"/>
  <c r="X162" i="7"/>
  <c r="W162" i="7"/>
  <c r="U162" i="7"/>
  <c r="R162" i="7"/>
  <c r="N162" i="7"/>
  <c r="O162" i="7" s="1"/>
  <c r="L162" i="7"/>
  <c r="H162" i="7"/>
  <c r="I162" i="7" s="1"/>
  <c r="F162" i="7"/>
  <c r="C162" i="7"/>
  <c r="AD161" i="7"/>
  <c r="AC161" i="7"/>
  <c r="AA161" i="7"/>
  <c r="X161" i="7"/>
  <c r="W161" i="7"/>
  <c r="U161" i="7"/>
  <c r="R161" i="7"/>
  <c r="N161" i="7"/>
  <c r="O161" i="7" s="1"/>
  <c r="L161" i="7"/>
  <c r="H161" i="7"/>
  <c r="I161" i="7" s="1"/>
  <c r="F161" i="7"/>
  <c r="C161" i="7"/>
  <c r="AD160" i="7"/>
  <c r="AC160" i="7"/>
  <c r="AA160" i="7"/>
  <c r="W160" i="7"/>
  <c r="X160" i="7" s="1"/>
  <c r="U160" i="7"/>
  <c r="R160" i="7"/>
  <c r="N160" i="7"/>
  <c r="O160" i="7" s="1"/>
  <c r="L160" i="7"/>
  <c r="I160" i="7"/>
  <c r="H160" i="7"/>
  <c r="F160" i="7"/>
  <c r="C160" i="7"/>
  <c r="AA158" i="7"/>
  <c r="Z158" i="7"/>
  <c r="T158" i="7"/>
  <c r="U158" i="7" s="1"/>
  <c r="Q158" i="7"/>
  <c r="L158" i="7"/>
  <c r="K158" i="7"/>
  <c r="E158" i="7"/>
  <c r="F158" i="7" s="1"/>
  <c r="C158" i="7"/>
  <c r="B158" i="7"/>
  <c r="N158" i="7" s="1"/>
  <c r="O158" i="7" s="1"/>
  <c r="AD157" i="7"/>
  <c r="AC157" i="7"/>
  <c r="AA157" i="7"/>
  <c r="X157" i="7"/>
  <c r="W157" i="7"/>
  <c r="U157" i="7"/>
  <c r="R157" i="7"/>
  <c r="N157" i="7"/>
  <c r="O157" i="7" s="1"/>
  <c r="L157" i="7"/>
  <c r="H157" i="7"/>
  <c r="I157" i="7" s="1"/>
  <c r="F157" i="7"/>
  <c r="C157" i="7"/>
  <c r="AD156" i="7"/>
  <c r="AC156" i="7"/>
  <c r="AA156" i="7"/>
  <c r="W156" i="7"/>
  <c r="X156" i="7" s="1"/>
  <c r="U156" i="7"/>
  <c r="R156" i="7"/>
  <c r="N156" i="7"/>
  <c r="O156" i="7" s="1"/>
  <c r="L156" i="7"/>
  <c r="I156" i="7"/>
  <c r="H156" i="7"/>
  <c r="F156" i="7"/>
  <c r="C156" i="7"/>
  <c r="AC155" i="7"/>
  <c r="AD155" i="7" s="1"/>
  <c r="AA155" i="7"/>
  <c r="W155" i="7"/>
  <c r="X155" i="7" s="1"/>
  <c r="U155" i="7"/>
  <c r="R155" i="7"/>
  <c r="O155" i="7"/>
  <c r="N155" i="7"/>
  <c r="L155" i="7"/>
  <c r="I155" i="7"/>
  <c r="H155" i="7"/>
  <c r="F155" i="7"/>
  <c r="C155" i="7"/>
  <c r="AC154" i="7"/>
  <c r="AD154" i="7" s="1"/>
  <c r="AA154" i="7"/>
  <c r="W154" i="7"/>
  <c r="X154" i="7" s="1"/>
  <c r="U154" i="7"/>
  <c r="R154" i="7"/>
  <c r="N154" i="7"/>
  <c r="O154" i="7" s="1"/>
  <c r="L154" i="7"/>
  <c r="H154" i="7"/>
  <c r="I154" i="7" s="1"/>
  <c r="F154" i="7"/>
  <c r="C154" i="7"/>
  <c r="AD153" i="7"/>
  <c r="AC153" i="7"/>
  <c r="AA153" i="7"/>
  <c r="X153" i="7"/>
  <c r="W153" i="7"/>
  <c r="U153" i="7"/>
  <c r="R153" i="7"/>
  <c r="N153" i="7"/>
  <c r="O153" i="7" s="1"/>
  <c r="L153" i="7"/>
  <c r="H153" i="7"/>
  <c r="I153" i="7" s="1"/>
  <c r="F153" i="7"/>
  <c r="C153" i="7"/>
  <c r="AD151" i="7"/>
  <c r="AC151" i="7"/>
  <c r="AA151" i="7"/>
  <c r="W151" i="7"/>
  <c r="X151" i="7" s="1"/>
  <c r="U151" i="7"/>
  <c r="R151" i="7"/>
  <c r="N151" i="7"/>
  <c r="O151" i="7" s="1"/>
  <c r="L151" i="7"/>
  <c r="I151" i="7"/>
  <c r="H151" i="7"/>
  <c r="F151" i="7"/>
  <c r="C151" i="7"/>
  <c r="AA149" i="7"/>
  <c r="Z149" i="7"/>
  <c r="T149" i="7"/>
  <c r="U149" i="7" s="1"/>
  <c r="Q149" i="7"/>
  <c r="L149" i="7"/>
  <c r="K149" i="7"/>
  <c r="E149" i="7"/>
  <c r="F149" i="7" s="1"/>
  <c r="C149" i="7"/>
  <c r="B149" i="7"/>
  <c r="N149" i="7" s="1"/>
  <c r="O149" i="7" s="1"/>
  <c r="Z148" i="7"/>
  <c r="AA148" i="7" s="1"/>
  <c r="W148" i="7"/>
  <c r="X148" i="7" s="1"/>
  <c r="U148" i="7"/>
  <c r="T148" i="7"/>
  <c r="R148" i="7"/>
  <c r="Q148" i="7"/>
  <c r="N148" i="7"/>
  <c r="O148" i="7" s="1"/>
  <c r="K148" i="7"/>
  <c r="L148" i="7" s="1"/>
  <c r="F148" i="7"/>
  <c r="E148" i="7"/>
  <c r="B148" i="7"/>
  <c r="AC147" i="7"/>
  <c r="AD147" i="7" s="1"/>
  <c r="AA147" i="7"/>
  <c r="W147" i="7"/>
  <c r="X147" i="7" s="1"/>
  <c r="U147" i="7"/>
  <c r="R147" i="7"/>
  <c r="O147" i="7"/>
  <c r="N147" i="7"/>
  <c r="L147" i="7"/>
  <c r="I147" i="7"/>
  <c r="H147" i="7"/>
  <c r="F147" i="7"/>
  <c r="C147" i="7"/>
  <c r="AC146" i="7"/>
  <c r="AD146" i="7" s="1"/>
  <c r="AA146" i="7"/>
  <c r="X146" i="7"/>
  <c r="W146" i="7"/>
  <c r="U146" i="7"/>
  <c r="R146" i="7"/>
  <c r="N146" i="7"/>
  <c r="O146" i="7" s="1"/>
  <c r="L146" i="7"/>
  <c r="H146" i="7"/>
  <c r="I146" i="7" s="1"/>
  <c r="F146" i="7"/>
  <c r="C146" i="7"/>
  <c r="AD145" i="7"/>
  <c r="AC145" i="7"/>
  <c r="AA145" i="7"/>
  <c r="X145" i="7"/>
  <c r="W145" i="7"/>
  <c r="U145" i="7"/>
  <c r="R145" i="7"/>
  <c r="N145" i="7"/>
  <c r="O145" i="7" s="1"/>
  <c r="L145" i="7"/>
  <c r="H145" i="7"/>
  <c r="I145" i="7" s="1"/>
  <c r="F145" i="7"/>
  <c r="C145" i="7"/>
  <c r="AD144" i="7"/>
  <c r="AC144" i="7"/>
  <c r="AA144" i="7"/>
  <c r="W144" i="7"/>
  <c r="X144" i="7" s="1"/>
  <c r="U144" i="7"/>
  <c r="R144" i="7"/>
  <c r="N144" i="7"/>
  <c r="O144" i="7" s="1"/>
  <c r="L144" i="7"/>
  <c r="I144" i="7"/>
  <c r="H144" i="7"/>
  <c r="F144" i="7"/>
  <c r="C144" i="7"/>
  <c r="AC143" i="7"/>
  <c r="AD143" i="7" s="1"/>
  <c r="AA143" i="7"/>
  <c r="W143" i="7"/>
  <c r="X143" i="7" s="1"/>
  <c r="U143" i="7"/>
  <c r="R143" i="7"/>
  <c r="O143" i="7"/>
  <c r="N143" i="7"/>
  <c r="L143" i="7"/>
  <c r="I143" i="7"/>
  <c r="H143" i="7"/>
  <c r="F143" i="7"/>
  <c r="C143" i="7"/>
  <c r="Z141" i="7"/>
  <c r="U141" i="7"/>
  <c r="T141" i="7"/>
  <c r="Q141" i="7"/>
  <c r="N141" i="7"/>
  <c r="O141" i="7" s="1"/>
  <c r="L141" i="7"/>
  <c r="K141" i="7"/>
  <c r="E141" i="7"/>
  <c r="F141" i="7" s="1"/>
  <c r="B141" i="7"/>
  <c r="AD140" i="7"/>
  <c r="AC140" i="7"/>
  <c r="AA140" i="7"/>
  <c r="W140" i="7"/>
  <c r="X140" i="7" s="1"/>
  <c r="U140" i="7"/>
  <c r="R140" i="7"/>
  <c r="O140" i="7"/>
  <c r="N140" i="7"/>
  <c r="L140" i="7"/>
  <c r="I140" i="7"/>
  <c r="H140" i="7"/>
  <c r="F140" i="7"/>
  <c r="C140" i="7"/>
  <c r="AC139" i="7"/>
  <c r="AD139" i="7" s="1"/>
  <c r="AA139" i="7"/>
  <c r="W139" i="7"/>
  <c r="X139" i="7" s="1"/>
  <c r="U139" i="7"/>
  <c r="R139" i="7"/>
  <c r="O139" i="7"/>
  <c r="N139" i="7"/>
  <c r="L139" i="7"/>
  <c r="I139" i="7"/>
  <c r="H139" i="7"/>
  <c r="F139" i="7"/>
  <c r="C139" i="7"/>
  <c r="AC138" i="7"/>
  <c r="AD138" i="7" s="1"/>
  <c r="AA138" i="7"/>
  <c r="X138" i="7"/>
  <c r="W138" i="7"/>
  <c r="U138" i="7"/>
  <c r="R138" i="7"/>
  <c r="N138" i="7"/>
  <c r="O138" i="7" s="1"/>
  <c r="L138" i="7"/>
  <c r="H138" i="7"/>
  <c r="I138" i="7" s="1"/>
  <c r="F138" i="7"/>
  <c r="C138" i="7"/>
  <c r="AD137" i="7"/>
  <c r="AC137" i="7"/>
  <c r="AA137" i="7"/>
  <c r="X137" i="7"/>
  <c r="W137" i="7"/>
  <c r="U137" i="7"/>
  <c r="R137" i="7"/>
  <c r="N137" i="7"/>
  <c r="O137" i="7" s="1"/>
  <c r="L137" i="7"/>
  <c r="H137" i="7"/>
  <c r="I137" i="7" s="1"/>
  <c r="F137" i="7"/>
  <c r="C137" i="7"/>
  <c r="AD136" i="7"/>
  <c r="AC136" i="7"/>
  <c r="AA136" i="7"/>
  <c r="W136" i="7"/>
  <c r="X136" i="7" s="1"/>
  <c r="U136" i="7"/>
  <c r="R136" i="7"/>
  <c r="N136" i="7"/>
  <c r="O136" i="7" s="1"/>
  <c r="L136" i="7"/>
  <c r="I136" i="7"/>
  <c r="H136" i="7"/>
  <c r="F136" i="7"/>
  <c r="C136" i="7"/>
  <c r="AC135" i="7"/>
  <c r="AD135" i="7" s="1"/>
  <c r="AA135" i="7"/>
  <c r="W135" i="7"/>
  <c r="X135" i="7" s="1"/>
  <c r="U135" i="7"/>
  <c r="R135" i="7"/>
  <c r="O135" i="7"/>
  <c r="N135" i="7"/>
  <c r="L135" i="7"/>
  <c r="I135" i="7"/>
  <c r="H135" i="7"/>
  <c r="F135" i="7"/>
  <c r="C135" i="7"/>
  <c r="AC134" i="7"/>
  <c r="AD134" i="7" s="1"/>
  <c r="AA134" i="7"/>
  <c r="X134" i="7"/>
  <c r="W134" i="7"/>
  <c r="U134" i="7"/>
  <c r="R134" i="7"/>
  <c r="N134" i="7"/>
  <c r="O134" i="7" s="1"/>
  <c r="L134" i="7"/>
  <c r="H134" i="7"/>
  <c r="I134" i="7" s="1"/>
  <c r="F134" i="7"/>
  <c r="C134" i="7"/>
  <c r="AD133" i="7"/>
  <c r="AC133" i="7"/>
  <c r="AA133" i="7"/>
  <c r="X133" i="7"/>
  <c r="W133" i="7"/>
  <c r="U133" i="7"/>
  <c r="R133" i="7"/>
  <c r="N133" i="7"/>
  <c r="O133" i="7" s="1"/>
  <c r="L133" i="7"/>
  <c r="H133" i="7"/>
  <c r="I133" i="7" s="1"/>
  <c r="F133" i="7"/>
  <c r="C133" i="7"/>
  <c r="AD132" i="7"/>
  <c r="AC132" i="7"/>
  <c r="AA132" i="7"/>
  <c r="W132" i="7"/>
  <c r="X132" i="7" s="1"/>
  <c r="U132" i="7"/>
  <c r="R132" i="7"/>
  <c r="N132" i="7"/>
  <c r="O132" i="7" s="1"/>
  <c r="L132" i="7"/>
  <c r="I132" i="7"/>
  <c r="H132" i="7"/>
  <c r="F132" i="7"/>
  <c r="C132" i="7"/>
  <c r="AC131" i="7"/>
  <c r="AD131" i="7" s="1"/>
  <c r="AA131" i="7"/>
  <c r="W131" i="7"/>
  <c r="X131" i="7" s="1"/>
  <c r="U131" i="7"/>
  <c r="R131" i="7"/>
  <c r="O131" i="7"/>
  <c r="N131" i="7"/>
  <c r="L131" i="7"/>
  <c r="I131" i="7"/>
  <c r="H131" i="7"/>
  <c r="F131" i="7"/>
  <c r="C131" i="7"/>
  <c r="AC130" i="7"/>
  <c r="AD130" i="7" s="1"/>
  <c r="AA130" i="7"/>
  <c r="X130" i="7"/>
  <c r="W130" i="7"/>
  <c r="U130" i="7"/>
  <c r="R130" i="7"/>
  <c r="N130" i="7"/>
  <c r="O130" i="7" s="1"/>
  <c r="L130" i="7"/>
  <c r="H130" i="7"/>
  <c r="I130" i="7" s="1"/>
  <c r="F130" i="7"/>
  <c r="C130" i="7"/>
  <c r="AD129" i="7"/>
  <c r="AC129" i="7"/>
  <c r="AA129" i="7"/>
  <c r="X129" i="7"/>
  <c r="W129" i="7"/>
  <c r="U129" i="7"/>
  <c r="R129" i="7"/>
  <c r="O129" i="7"/>
  <c r="N129" i="7"/>
  <c r="L129" i="7"/>
  <c r="H129" i="7"/>
  <c r="I129" i="7" s="1"/>
  <c r="F129" i="7"/>
  <c r="C129" i="7"/>
  <c r="AC127" i="7"/>
  <c r="AD127" i="7" s="1"/>
  <c r="AA127" i="7"/>
  <c r="W127" i="7"/>
  <c r="X127" i="7" s="1"/>
  <c r="U127" i="7"/>
  <c r="R127" i="7"/>
  <c r="N127" i="7"/>
  <c r="O127" i="7" s="1"/>
  <c r="L127" i="7"/>
  <c r="I127" i="7"/>
  <c r="H127" i="7"/>
  <c r="F127" i="7"/>
  <c r="C127" i="7"/>
  <c r="Z124" i="7"/>
  <c r="T124" i="7"/>
  <c r="U124" i="7" s="1"/>
  <c r="Q124" i="7"/>
  <c r="N124" i="7"/>
  <c r="O124" i="7" s="1"/>
  <c r="L124" i="7"/>
  <c r="K124" i="7"/>
  <c r="E124" i="7"/>
  <c r="B124" i="7"/>
  <c r="B172" i="7" s="1"/>
  <c r="AD123" i="7"/>
  <c r="AC123" i="7"/>
  <c r="AA123" i="7"/>
  <c r="X123" i="7"/>
  <c r="W123" i="7"/>
  <c r="U123" i="7"/>
  <c r="R123" i="7"/>
  <c r="O123" i="7"/>
  <c r="N123" i="7"/>
  <c r="L123" i="7"/>
  <c r="H123" i="7"/>
  <c r="I123" i="7" s="1"/>
  <c r="F123" i="7"/>
  <c r="C123" i="7"/>
  <c r="AA122" i="7"/>
  <c r="Z122" i="7"/>
  <c r="W122" i="7"/>
  <c r="X122" i="7" s="1"/>
  <c r="T122" i="7"/>
  <c r="U122" i="7" s="1"/>
  <c r="Q122" i="7"/>
  <c r="R122" i="7" s="1"/>
  <c r="K122" i="7"/>
  <c r="L122" i="7" s="1"/>
  <c r="E122" i="7"/>
  <c r="C122" i="7"/>
  <c r="B122" i="7"/>
  <c r="AC121" i="7"/>
  <c r="AD121" i="7" s="1"/>
  <c r="AA121" i="7"/>
  <c r="X121" i="7"/>
  <c r="W121" i="7"/>
  <c r="U121" i="7"/>
  <c r="R121" i="7"/>
  <c r="N121" i="7"/>
  <c r="O121" i="7" s="1"/>
  <c r="L121" i="7"/>
  <c r="H121" i="7"/>
  <c r="I121" i="7" s="1"/>
  <c r="F121" i="7"/>
  <c r="C121" i="7"/>
  <c r="AD120" i="7"/>
  <c r="AC120" i="7"/>
  <c r="AA120" i="7"/>
  <c r="X120" i="7"/>
  <c r="W120" i="7"/>
  <c r="U120" i="7"/>
  <c r="R120" i="7"/>
  <c r="O120" i="7"/>
  <c r="N120" i="7"/>
  <c r="L120" i="7"/>
  <c r="H120" i="7"/>
  <c r="I120" i="7" s="1"/>
  <c r="F120" i="7"/>
  <c r="C120" i="7"/>
  <c r="AD119" i="7"/>
  <c r="AC119" i="7"/>
  <c r="AA119" i="7"/>
  <c r="W119" i="7"/>
  <c r="X119" i="7" s="1"/>
  <c r="U119" i="7"/>
  <c r="R119" i="7"/>
  <c r="O119" i="7"/>
  <c r="N119" i="7"/>
  <c r="L119" i="7"/>
  <c r="I119" i="7"/>
  <c r="H119" i="7"/>
  <c r="F119" i="7"/>
  <c r="C119" i="7"/>
  <c r="AC118" i="7"/>
  <c r="AD118" i="7" s="1"/>
  <c r="AA118" i="7"/>
  <c r="Z118" i="7"/>
  <c r="T118" i="7"/>
  <c r="U118" i="7" s="1"/>
  <c r="Q118" i="7"/>
  <c r="L118" i="7"/>
  <c r="K118" i="7"/>
  <c r="E118" i="7"/>
  <c r="F118" i="7" s="1"/>
  <c r="B118" i="7"/>
  <c r="H118" i="7" s="1"/>
  <c r="I118" i="7" s="1"/>
  <c r="AD117" i="7"/>
  <c r="AC117" i="7"/>
  <c r="AA117" i="7"/>
  <c r="X117" i="7"/>
  <c r="W117" i="7"/>
  <c r="U117" i="7"/>
  <c r="R117" i="7"/>
  <c r="O117" i="7"/>
  <c r="N117" i="7"/>
  <c r="L117" i="7"/>
  <c r="H117" i="7"/>
  <c r="I117" i="7" s="1"/>
  <c r="F117" i="7"/>
  <c r="C117" i="7"/>
  <c r="AD116" i="7"/>
  <c r="AC116" i="7"/>
  <c r="AA116" i="7"/>
  <c r="W116" i="7"/>
  <c r="X116" i="7" s="1"/>
  <c r="U116" i="7"/>
  <c r="R116" i="7"/>
  <c r="N116" i="7"/>
  <c r="O116" i="7" s="1"/>
  <c r="L116" i="7"/>
  <c r="I116" i="7"/>
  <c r="H116" i="7"/>
  <c r="F116" i="7"/>
  <c r="C116" i="7"/>
  <c r="AC115" i="7"/>
  <c r="AD115" i="7" s="1"/>
  <c r="AA115" i="7"/>
  <c r="W115" i="7"/>
  <c r="X115" i="7" s="1"/>
  <c r="U115" i="7"/>
  <c r="R115" i="7"/>
  <c r="O115" i="7"/>
  <c r="N115" i="7"/>
  <c r="L115" i="7"/>
  <c r="H115" i="7"/>
  <c r="I115" i="7" s="1"/>
  <c r="F115" i="7"/>
  <c r="C115" i="7"/>
  <c r="AC114" i="7"/>
  <c r="AD114" i="7" s="1"/>
  <c r="AA114" i="7"/>
  <c r="W114" i="7"/>
  <c r="X114" i="7" s="1"/>
  <c r="U114" i="7"/>
  <c r="R114" i="7"/>
  <c r="N114" i="7"/>
  <c r="O114" i="7" s="1"/>
  <c r="L114" i="7"/>
  <c r="H114" i="7"/>
  <c r="I114" i="7" s="1"/>
  <c r="F114" i="7"/>
  <c r="C114" i="7"/>
  <c r="AD113" i="7"/>
  <c r="AC113" i="7"/>
  <c r="AA113" i="7"/>
  <c r="X113" i="7"/>
  <c r="W113" i="7"/>
  <c r="U113" i="7"/>
  <c r="R113" i="7"/>
  <c r="N113" i="7"/>
  <c r="O113" i="7" s="1"/>
  <c r="L113" i="7"/>
  <c r="H113" i="7"/>
  <c r="I113" i="7" s="1"/>
  <c r="F113" i="7"/>
  <c r="C113" i="7"/>
  <c r="AD112" i="7"/>
  <c r="AC112" i="7"/>
  <c r="AA112" i="7"/>
  <c r="W112" i="7"/>
  <c r="X112" i="7" s="1"/>
  <c r="U112" i="7"/>
  <c r="R112" i="7"/>
  <c r="O112" i="7"/>
  <c r="N112" i="7"/>
  <c r="L112" i="7"/>
  <c r="I112" i="7"/>
  <c r="H112" i="7"/>
  <c r="F112" i="7"/>
  <c r="C112" i="7"/>
  <c r="AC111" i="7"/>
  <c r="AD111" i="7" s="1"/>
  <c r="AA111" i="7"/>
  <c r="W111" i="7"/>
  <c r="X111" i="7" s="1"/>
  <c r="U111" i="7"/>
  <c r="R111" i="7"/>
  <c r="O111" i="7"/>
  <c r="N111" i="7"/>
  <c r="L111" i="7"/>
  <c r="I111" i="7"/>
  <c r="H111" i="7"/>
  <c r="F111" i="7"/>
  <c r="C111" i="7"/>
  <c r="AC110" i="7"/>
  <c r="AD110" i="7" s="1"/>
  <c r="AA110" i="7"/>
  <c r="W110" i="7"/>
  <c r="X110" i="7" s="1"/>
  <c r="U110" i="7"/>
  <c r="R110" i="7"/>
  <c r="N110" i="7"/>
  <c r="O110" i="7" s="1"/>
  <c r="L110" i="7"/>
  <c r="H110" i="7"/>
  <c r="I110" i="7" s="1"/>
  <c r="F110" i="7"/>
  <c r="C110" i="7"/>
  <c r="AD109" i="7"/>
  <c r="AC109" i="7"/>
  <c r="AA109" i="7"/>
  <c r="X109" i="7"/>
  <c r="W109" i="7"/>
  <c r="U109" i="7"/>
  <c r="R109" i="7"/>
  <c r="N109" i="7"/>
  <c r="O109" i="7" s="1"/>
  <c r="L109" i="7"/>
  <c r="H109" i="7"/>
  <c r="I109" i="7" s="1"/>
  <c r="F109" i="7"/>
  <c r="C109" i="7"/>
  <c r="AC108" i="7"/>
  <c r="AD108" i="7" s="1"/>
  <c r="AA108" i="7"/>
  <c r="W108" i="7"/>
  <c r="X108" i="7" s="1"/>
  <c r="U108" i="7"/>
  <c r="R108" i="7"/>
  <c r="O108" i="7"/>
  <c r="N108" i="7"/>
  <c r="L108" i="7"/>
  <c r="I108" i="7"/>
  <c r="H108" i="7"/>
  <c r="F108" i="7"/>
  <c r="C108" i="7"/>
  <c r="AC107" i="7"/>
  <c r="AD107" i="7" s="1"/>
  <c r="AA107" i="7"/>
  <c r="X107" i="7"/>
  <c r="W107" i="7"/>
  <c r="U107" i="7"/>
  <c r="R107" i="7"/>
  <c r="O107" i="7"/>
  <c r="N107" i="7"/>
  <c r="L107" i="7"/>
  <c r="I107" i="7"/>
  <c r="H107" i="7"/>
  <c r="F107" i="7"/>
  <c r="C107" i="7"/>
  <c r="AC106" i="7"/>
  <c r="AD106" i="7" s="1"/>
  <c r="AA106" i="7"/>
  <c r="X106" i="7"/>
  <c r="W106" i="7"/>
  <c r="U106" i="7"/>
  <c r="R106" i="7"/>
  <c r="N106" i="7"/>
  <c r="O106" i="7" s="1"/>
  <c r="L106" i="7"/>
  <c r="H106" i="7"/>
  <c r="I106" i="7" s="1"/>
  <c r="F106" i="7"/>
  <c r="C106" i="7"/>
  <c r="AD105" i="7"/>
  <c r="AC105" i="7"/>
  <c r="AA105" i="7"/>
  <c r="X105" i="7"/>
  <c r="W105" i="7"/>
  <c r="U105" i="7"/>
  <c r="R105" i="7"/>
  <c r="O105" i="7"/>
  <c r="N105" i="7"/>
  <c r="L105" i="7"/>
  <c r="H105" i="7"/>
  <c r="I105" i="7" s="1"/>
  <c r="F105" i="7"/>
  <c r="C105" i="7"/>
  <c r="AC104" i="7"/>
  <c r="AD104" i="7" s="1"/>
  <c r="AA104" i="7"/>
  <c r="W104" i="7"/>
  <c r="X104" i="7" s="1"/>
  <c r="U104" i="7"/>
  <c r="R104" i="7"/>
  <c r="N104" i="7"/>
  <c r="O104" i="7" s="1"/>
  <c r="L104" i="7"/>
  <c r="I104" i="7"/>
  <c r="H104" i="7"/>
  <c r="F104" i="7"/>
  <c r="C104" i="7"/>
  <c r="AC103" i="7"/>
  <c r="AD103" i="7" s="1"/>
  <c r="AA103" i="7"/>
  <c r="X103" i="7"/>
  <c r="W103" i="7"/>
  <c r="U103" i="7"/>
  <c r="R103" i="7"/>
  <c r="O103" i="7"/>
  <c r="N103" i="7"/>
  <c r="L103" i="7"/>
  <c r="H103" i="7"/>
  <c r="I103" i="7" s="1"/>
  <c r="F103" i="7"/>
  <c r="C103" i="7"/>
  <c r="AC102" i="7"/>
  <c r="AD102" i="7" s="1"/>
  <c r="AA102" i="7"/>
  <c r="X102" i="7"/>
  <c r="W102" i="7"/>
  <c r="U102" i="7"/>
  <c r="R102" i="7"/>
  <c r="N102" i="7"/>
  <c r="O102" i="7" s="1"/>
  <c r="L102" i="7"/>
  <c r="H102" i="7"/>
  <c r="I102" i="7" s="1"/>
  <c r="F102" i="7"/>
  <c r="C102" i="7"/>
  <c r="AD101" i="7"/>
  <c r="AC101" i="7"/>
  <c r="AA101" i="7"/>
  <c r="X101" i="7"/>
  <c r="W101" i="7"/>
  <c r="U101" i="7"/>
  <c r="R101" i="7"/>
  <c r="N101" i="7"/>
  <c r="O101" i="7" s="1"/>
  <c r="L101" i="7"/>
  <c r="H101" i="7"/>
  <c r="I101" i="7" s="1"/>
  <c r="F101" i="7"/>
  <c r="C101" i="7"/>
  <c r="AD100" i="7"/>
  <c r="AC100" i="7"/>
  <c r="AA100" i="7"/>
  <c r="W100" i="7"/>
  <c r="X100" i="7" s="1"/>
  <c r="U100" i="7"/>
  <c r="R100" i="7"/>
  <c r="O100" i="7"/>
  <c r="N100" i="7"/>
  <c r="L100" i="7"/>
  <c r="I100" i="7"/>
  <c r="H100" i="7"/>
  <c r="F100" i="7"/>
  <c r="C100" i="7"/>
  <c r="AC99" i="7"/>
  <c r="AD99" i="7" s="1"/>
  <c r="AA99" i="7"/>
  <c r="W99" i="7"/>
  <c r="X99" i="7" s="1"/>
  <c r="U99" i="7"/>
  <c r="R99" i="7"/>
  <c r="O99" i="7"/>
  <c r="N99" i="7"/>
  <c r="L99" i="7"/>
  <c r="H99" i="7"/>
  <c r="I99" i="7" s="1"/>
  <c r="F99" i="7"/>
  <c r="C99" i="7"/>
  <c r="AC98" i="7"/>
  <c r="AD98" i="7" s="1"/>
  <c r="AA98" i="7"/>
  <c r="W98" i="7"/>
  <c r="X98" i="7" s="1"/>
  <c r="U98" i="7"/>
  <c r="R98" i="7"/>
  <c r="N98" i="7"/>
  <c r="O98" i="7" s="1"/>
  <c r="L98" i="7"/>
  <c r="H98" i="7"/>
  <c r="I98" i="7" s="1"/>
  <c r="F98" i="7"/>
  <c r="C98" i="7"/>
  <c r="AD97" i="7"/>
  <c r="AC97" i="7"/>
  <c r="AA97" i="7"/>
  <c r="X97" i="7"/>
  <c r="W97" i="7"/>
  <c r="U97" i="7"/>
  <c r="R97" i="7"/>
  <c r="N97" i="7"/>
  <c r="O97" i="7" s="1"/>
  <c r="L97" i="7"/>
  <c r="H97" i="7"/>
  <c r="I97" i="7" s="1"/>
  <c r="F97" i="7"/>
  <c r="C97" i="7"/>
  <c r="AD96" i="7"/>
  <c r="AC96" i="7"/>
  <c r="AA96" i="7"/>
  <c r="W96" i="7"/>
  <c r="X96" i="7" s="1"/>
  <c r="U96" i="7"/>
  <c r="R96" i="7"/>
  <c r="O96" i="7"/>
  <c r="N96" i="7"/>
  <c r="L96" i="7"/>
  <c r="I96" i="7"/>
  <c r="H96" i="7"/>
  <c r="F96" i="7"/>
  <c r="C96" i="7"/>
  <c r="AC95" i="7"/>
  <c r="AD95" i="7" s="1"/>
  <c r="AA95" i="7"/>
  <c r="W95" i="7"/>
  <c r="X95" i="7" s="1"/>
  <c r="U95" i="7"/>
  <c r="R95" i="7"/>
  <c r="O95" i="7"/>
  <c r="N95" i="7"/>
  <c r="L95" i="7"/>
  <c r="I95" i="7"/>
  <c r="H95" i="7"/>
  <c r="F95" i="7"/>
  <c r="C95" i="7"/>
  <c r="AC94" i="7"/>
  <c r="AD94" i="7" s="1"/>
  <c r="AA94" i="7"/>
  <c r="W94" i="7"/>
  <c r="X94" i="7" s="1"/>
  <c r="U94" i="7"/>
  <c r="R94" i="7"/>
  <c r="N94" i="7"/>
  <c r="O94" i="7" s="1"/>
  <c r="L94" i="7"/>
  <c r="H94" i="7"/>
  <c r="I94" i="7" s="1"/>
  <c r="F94" i="7"/>
  <c r="C94" i="7"/>
  <c r="AD92" i="7"/>
  <c r="AC92" i="7"/>
  <c r="AA92" i="7"/>
  <c r="X92" i="7"/>
  <c r="W92" i="7"/>
  <c r="U92" i="7"/>
  <c r="R92" i="7"/>
  <c r="N92" i="7"/>
  <c r="O92" i="7" s="1"/>
  <c r="L92" i="7"/>
  <c r="H92" i="7"/>
  <c r="I92" i="7" s="1"/>
  <c r="F92" i="7"/>
  <c r="C92" i="7"/>
  <c r="AC91" i="7"/>
  <c r="AD91" i="7" s="1"/>
  <c r="AA91" i="7"/>
  <c r="W91" i="7"/>
  <c r="X91" i="7" s="1"/>
  <c r="U91" i="7"/>
  <c r="R91" i="7"/>
  <c r="O91" i="7"/>
  <c r="N91" i="7"/>
  <c r="L91" i="7"/>
  <c r="I91" i="7"/>
  <c r="H91" i="7"/>
  <c r="F91" i="7"/>
  <c r="C91" i="7"/>
  <c r="AC90" i="7"/>
  <c r="AD90" i="7" s="1"/>
  <c r="AA90" i="7"/>
  <c r="X90" i="7"/>
  <c r="W90" i="7"/>
  <c r="U90" i="7"/>
  <c r="R90" i="7"/>
  <c r="O90" i="7"/>
  <c r="N90" i="7"/>
  <c r="L90" i="7"/>
  <c r="I90" i="7"/>
  <c r="H90" i="7"/>
  <c r="F90" i="7"/>
  <c r="C90" i="7"/>
  <c r="AC89" i="7"/>
  <c r="AD89" i="7" s="1"/>
  <c r="AA89" i="7"/>
  <c r="X89" i="7"/>
  <c r="W89" i="7"/>
  <c r="U89" i="7"/>
  <c r="R89" i="7"/>
  <c r="N89" i="7"/>
  <c r="O89" i="7" s="1"/>
  <c r="L89" i="7"/>
  <c r="H89" i="7"/>
  <c r="I89" i="7" s="1"/>
  <c r="F89" i="7"/>
  <c r="C89" i="7"/>
  <c r="Z88" i="7"/>
  <c r="AA88" i="7" s="1"/>
  <c r="T88" i="7"/>
  <c r="R88" i="7"/>
  <c r="Q88" i="7"/>
  <c r="N88" i="7"/>
  <c r="O88" i="7" s="1"/>
  <c r="K88" i="7"/>
  <c r="L88" i="7" s="1"/>
  <c r="I88" i="7"/>
  <c r="H88" i="7"/>
  <c r="F88" i="7"/>
  <c r="E88" i="7"/>
  <c r="B88" i="7"/>
  <c r="C88" i="7" s="1"/>
  <c r="AD87" i="7"/>
  <c r="AC87" i="7"/>
  <c r="AA87" i="7"/>
  <c r="X87" i="7"/>
  <c r="W87" i="7"/>
  <c r="U87" i="7"/>
  <c r="R87" i="7"/>
  <c r="N87" i="7"/>
  <c r="O87" i="7" s="1"/>
  <c r="L87" i="7"/>
  <c r="I87" i="7"/>
  <c r="H87" i="7"/>
  <c r="F87" i="7"/>
  <c r="C87" i="7"/>
  <c r="AC86" i="7"/>
  <c r="AD86" i="7" s="1"/>
  <c r="AA86" i="7"/>
  <c r="W86" i="7"/>
  <c r="X86" i="7" s="1"/>
  <c r="U86" i="7"/>
  <c r="R86" i="7"/>
  <c r="N86" i="7"/>
  <c r="O86" i="7" s="1"/>
  <c r="L86" i="7"/>
  <c r="H86" i="7"/>
  <c r="I86" i="7" s="1"/>
  <c r="F86" i="7"/>
  <c r="C86" i="7"/>
  <c r="AD85" i="7"/>
  <c r="AC85" i="7"/>
  <c r="AA85" i="7"/>
  <c r="W85" i="7"/>
  <c r="X85" i="7" s="1"/>
  <c r="U85" i="7"/>
  <c r="R85" i="7"/>
  <c r="O85" i="7"/>
  <c r="N85" i="7"/>
  <c r="L85" i="7"/>
  <c r="I85" i="7"/>
  <c r="H85" i="7"/>
  <c r="F85" i="7"/>
  <c r="C85" i="7"/>
  <c r="AC84" i="7"/>
  <c r="AD84" i="7" s="1"/>
  <c r="AA84" i="7"/>
  <c r="W84" i="7"/>
  <c r="X84" i="7" s="1"/>
  <c r="U84" i="7"/>
  <c r="R84" i="7"/>
  <c r="N84" i="7"/>
  <c r="O84" i="7" s="1"/>
  <c r="L84" i="7"/>
  <c r="I84" i="7"/>
  <c r="H84" i="7"/>
  <c r="F84" i="7"/>
  <c r="C84" i="7"/>
  <c r="AC83" i="7"/>
  <c r="AD83" i="7" s="1"/>
  <c r="AA83" i="7"/>
  <c r="W83" i="7"/>
  <c r="X83" i="7" s="1"/>
  <c r="U83" i="7"/>
  <c r="R83" i="7"/>
  <c r="O83" i="7"/>
  <c r="N83" i="7"/>
  <c r="L83" i="7"/>
  <c r="I83" i="7"/>
  <c r="H83" i="7"/>
  <c r="F83" i="7"/>
  <c r="C83" i="7"/>
  <c r="AC82" i="7"/>
  <c r="AD82" i="7" s="1"/>
  <c r="AA82" i="7"/>
  <c r="W82" i="7"/>
  <c r="X82" i="7" s="1"/>
  <c r="U82" i="7"/>
  <c r="R82" i="7"/>
  <c r="N82" i="7"/>
  <c r="O82" i="7" s="1"/>
  <c r="L82" i="7"/>
  <c r="I82" i="7"/>
  <c r="H82" i="7"/>
  <c r="F82" i="7"/>
  <c r="C82" i="7"/>
  <c r="AD81" i="7"/>
  <c r="AC81" i="7"/>
  <c r="AA81" i="7"/>
  <c r="W81" i="7"/>
  <c r="X81" i="7" s="1"/>
  <c r="U81" i="7"/>
  <c r="R81" i="7"/>
  <c r="O81" i="7"/>
  <c r="N81" i="7"/>
  <c r="L81" i="7"/>
  <c r="I81" i="7"/>
  <c r="H81" i="7"/>
  <c r="F81" i="7"/>
  <c r="C81" i="7"/>
  <c r="AC80" i="7"/>
  <c r="AD80" i="7" s="1"/>
  <c r="AA80" i="7"/>
  <c r="W80" i="7"/>
  <c r="X80" i="7" s="1"/>
  <c r="U80" i="7"/>
  <c r="R80" i="7"/>
  <c r="O80" i="7"/>
  <c r="N80" i="7"/>
  <c r="L80" i="7"/>
  <c r="I80" i="7"/>
  <c r="H80" i="7"/>
  <c r="F80" i="7"/>
  <c r="C80" i="7"/>
  <c r="AC79" i="7"/>
  <c r="AD79" i="7" s="1"/>
  <c r="AA79" i="7"/>
  <c r="W79" i="7"/>
  <c r="X79" i="7" s="1"/>
  <c r="U79" i="7"/>
  <c r="R79" i="7"/>
  <c r="O79" i="7"/>
  <c r="N79" i="7"/>
  <c r="L79" i="7"/>
  <c r="H79" i="7"/>
  <c r="I79" i="7" s="1"/>
  <c r="F79" i="7"/>
  <c r="C79" i="7"/>
  <c r="AD78" i="7"/>
  <c r="AC78" i="7"/>
  <c r="AA78" i="7"/>
  <c r="X78" i="7"/>
  <c r="W78" i="7"/>
  <c r="U78" i="7"/>
  <c r="R78" i="7"/>
  <c r="N78" i="7"/>
  <c r="O78" i="7" s="1"/>
  <c r="L78" i="7"/>
  <c r="I78" i="7"/>
  <c r="H78" i="7"/>
  <c r="F78" i="7"/>
  <c r="C78" i="7"/>
  <c r="AD77" i="7"/>
  <c r="AC77" i="7"/>
  <c r="AA77" i="7"/>
  <c r="X77" i="7"/>
  <c r="W77" i="7"/>
  <c r="U77" i="7"/>
  <c r="R77" i="7"/>
  <c r="N77" i="7"/>
  <c r="O77" i="7" s="1"/>
  <c r="L77" i="7"/>
  <c r="H77" i="7"/>
  <c r="I77" i="7" s="1"/>
  <c r="F77" i="7"/>
  <c r="C77" i="7"/>
  <c r="AD76" i="7"/>
  <c r="AC76" i="7"/>
  <c r="AA76" i="7"/>
  <c r="W76" i="7"/>
  <c r="X76" i="7" s="1"/>
  <c r="U76" i="7"/>
  <c r="R76" i="7"/>
  <c r="O76" i="7"/>
  <c r="N76" i="7"/>
  <c r="L76" i="7"/>
  <c r="I76" i="7"/>
  <c r="H76" i="7"/>
  <c r="F76" i="7"/>
  <c r="C76" i="7"/>
  <c r="AC75" i="7"/>
  <c r="AD75" i="7" s="1"/>
  <c r="AA75" i="7"/>
  <c r="X75" i="7"/>
  <c r="W75" i="7"/>
  <c r="U75" i="7"/>
  <c r="R75" i="7"/>
  <c r="N75" i="7"/>
  <c r="O75" i="7" s="1"/>
  <c r="L75" i="7"/>
  <c r="H75" i="7"/>
  <c r="I75" i="7" s="1"/>
  <c r="F75" i="7"/>
  <c r="C75" i="7"/>
  <c r="Z73" i="7"/>
  <c r="AA73" i="7" s="1"/>
  <c r="W73" i="7"/>
  <c r="X73" i="7" s="1"/>
  <c r="U73" i="7"/>
  <c r="T73" i="7"/>
  <c r="R73" i="7"/>
  <c r="Q73" i="7"/>
  <c r="AC73" i="7" s="1"/>
  <c r="AD73" i="7" s="1"/>
  <c r="K73" i="7"/>
  <c r="E73" i="7"/>
  <c r="F73" i="7" s="1"/>
  <c r="B73" i="7"/>
  <c r="AD72" i="7"/>
  <c r="AC72" i="7"/>
  <c r="AA72" i="7"/>
  <c r="W72" i="7"/>
  <c r="X72" i="7" s="1"/>
  <c r="U72" i="7"/>
  <c r="R72" i="7"/>
  <c r="N72" i="7"/>
  <c r="O72" i="7" s="1"/>
  <c r="L72" i="7"/>
  <c r="I72" i="7"/>
  <c r="H72" i="7"/>
  <c r="F72" i="7"/>
  <c r="C72" i="7"/>
  <c r="AD71" i="7"/>
  <c r="AC71" i="7"/>
  <c r="AA71" i="7"/>
  <c r="X71" i="7"/>
  <c r="W71" i="7"/>
  <c r="U71" i="7"/>
  <c r="R71" i="7"/>
  <c r="N71" i="7"/>
  <c r="O71" i="7" s="1"/>
  <c r="L71" i="7"/>
  <c r="H71" i="7"/>
  <c r="I71" i="7" s="1"/>
  <c r="F71" i="7"/>
  <c r="C71" i="7"/>
  <c r="AC70" i="7"/>
  <c r="AD70" i="7" s="1"/>
  <c r="AA70" i="7"/>
  <c r="W70" i="7"/>
  <c r="X70" i="7" s="1"/>
  <c r="U70" i="7"/>
  <c r="R70" i="7"/>
  <c r="N70" i="7"/>
  <c r="O70" i="7" s="1"/>
  <c r="L70" i="7"/>
  <c r="H70" i="7"/>
  <c r="I70" i="7" s="1"/>
  <c r="F70" i="7"/>
  <c r="C70" i="7"/>
  <c r="AD69" i="7"/>
  <c r="AC69" i="7"/>
  <c r="AA69" i="7"/>
  <c r="X69" i="7"/>
  <c r="W69" i="7"/>
  <c r="U69" i="7"/>
  <c r="R69" i="7"/>
  <c r="N69" i="7"/>
  <c r="O69" i="7" s="1"/>
  <c r="L69" i="7"/>
  <c r="I69" i="7"/>
  <c r="H69" i="7"/>
  <c r="F69" i="7"/>
  <c r="C69" i="7"/>
  <c r="AC68" i="7"/>
  <c r="AD68" i="7" s="1"/>
  <c r="AA68" i="7"/>
  <c r="W68" i="7"/>
  <c r="X68" i="7" s="1"/>
  <c r="U68" i="7"/>
  <c r="R68" i="7"/>
  <c r="N68" i="7"/>
  <c r="O68" i="7" s="1"/>
  <c r="L68" i="7"/>
  <c r="I68" i="7"/>
  <c r="H68" i="7"/>
  <c r="F68" i="7"/>
  <c r="C68" i="7"/>
  <c r="AD67" i="7"/>
  <c r="AC67" i="7"/>
  <c r="AA67" i="7"/>
  <c r="W67" i="7"/>
  <c r="X67" i="7" s="1"/>
  <c r="U67" i="7"/>
  <c r="R67" i="7"/>
  <c r="O67" i="7"/>
  <c r="N67" i="7"/>
  <c r="L67" i="7"/>
  <c r="I67" i="7"/>
  <c r="H67" i="7"/>
  <c r="F67" i="7"/>
  <c r="C67" i="7"/>
  <c r="AC66" i="7"/>
  <c r="AD66" i="7" s="1"/>
  <c r="AA66" i="7"/>
  <c r="W66" i="7"/>
  <c r="X66" i="7" s="1"/>
  <c r="U66" i="7"/>
  <c r="R66" i="7"/>
  <c r="N66" i="7"/>
  <c r="O66" i="7" s="1"/>
  <c r="L66" i="7"/>
  <c r="I66" i="7"/>
  <c r="H66" i="7"/>
  <c r="F66" i="7"/>
  <c r="C66" i="7"/>
  <c r="AD65" i="7"/>
  <c r="AC65" i="7"/>
  <c r="AA65" i="7"/>
  <c r="W65" i="7"/>
  <c r="X65" i="7" s="1"/>
  <c r="U65" i="7"/>
  <c r="R65" i="7"/>
  <c r="O65" i="7"/>
  <c r="N65" i="7"/>
  <c r="L65" i="7"/>
  <c r="I65" i="7"/>
  <c r="H65" i="7"/>
  <c r="F65" i="7"/>
  <c r="C65" i="7"/>
  <c r="AC64" i="7"/>
  <c r="AD64" i="7" s="1"/>
  <c r="AA64" i="7"/>
  <c r="X64" i="7"/>
  <c r="W64" i="7"/>
  <c r="U64" i="7"/>
  <c r="R64" i="7"/>
  <c r="O64" i="7"/>
  <c r="N64" i="7"/>
  <c r="L64" i="7"/>
  <c r="H64" i="7"/>
  <c r="I64" i="7" s="1"/>
  <c r="F64" i="7"/>
  <c r="C64" i="7"/>
  <c r="Z62" i="7"/>
  <c r="AA62" i="7" s="1"/>
  <c r="W62" i="7"/>
  <c r="X62" i="7" s="1"/>
  <c r="U62" i="7"/>
  <c r="T62" i="7"/>
  <c r="R62" i="7"/>
  <c r="Q62" i="7"/>
  <c r="AC62" i="7" s="1"/>
  <c r="AD62" i="7" s="1"/>
  <c r="K62" i="7"/>
  <c r="L62" i="7" s="1"/>
  <c r="F62" i="7"/>
  <c r="E62" i="7"/>
  <c r="B62" i="7"/>
  <c r="AA61" i="7"/>
  <c r="Z61" i="7"/>
  <c r="T61" i="7"/>
  <c r="U61" i="7" s="1"/>
  <c r="Q61" i="7"/>
  <c r="AC61" i="7" s="1"/>
  <c r="AD61" i="7" s="1"/>
  <c r="O61" i="7"/>
  <c r="L61" i="7"/>
  <c r="K61" i="7"/>
  <c r="H61" i="7"/>
  <c r="I61" i="7" s="1"/>
  <c r="E61" i="7"/>
  <c r="F61" i="7" s="1"/>
  <c r="C61" i="7"/>
  <c r="B61" i="7"/>
  <c r="N61" i="7" s="1"/>
  <c r="AD60" i="7"/>
  <c r="AC60" i="7"/>
  <c r="AA60" i="7"/>
  <c r="X60" i="7"/>
  <c r="W60" i="7"/>
  <c r="U60" i="7"/>
  <c r="R60" i="7"/>
  <c r="N60" i="7"/>
  <c r="O60" i="7" s="1"/>
  <c r="L60" i="7"/>
  <c r="H60" i="7"/>
  <c r="I60" i="7" s="1"/>
  <c r="F60" i="7"/>
  <c r="C60" i="7"/>
  <c r="AD59" i="7"/>
  <c r="AC59" i="7"/>
  <c r="AA59" i="7"/>
  <c r="X59" i="7"/>
  <c r="W59" i="7"/>
  <c r="U59" i="7"/>
  <c r="R59" i="7"/>
  <c r="N59" i="7"/>
  <c r="O59" i="7" s="1"/>
  <c r="L59" i="7"/>
  <c r="I59" i="7"/>
  <c r="H59" i="7"/>
  <c r="F59" i="7"/>
  <c r="C59" i="7"/>
  <c r="AC58" i="7"/>
  <c r="AD58" i="7" s="1"/>
  <c r="AA58" i="7"/>
  <c r="W58" i="7"/>
  <c r="X58" i="7" s="1"/>
  <c r="U58" i="7"/>
  <c r="R58" i="7"/>
  <c r="O58" i="7"/>
  <c r="N58" i="7"/>
  <c r="L58" i="7"/>
  <c r="I58" i="7"/>
  <c r="H58" i="7"/>
  <c r="F58" i="7"/>
  <c r="C58" i="7"/>
  <c r="AC57" i="7"/>
  <c r="AD57" i="7" s="1"/>
  <c r="AA57" i="7"/>
  <c r="W57" i="7"/>
  <c r="X57" i="7" s="1"/>
  <c r="U57" i="7"/>
  <c r="R57" i="7"/>
  <c r="O57" i="7"/>
  <c r="N57" i="7"/>
  <c r="L57" i="7"/>
  <c r="H57" i="7"/>
  <c r="I57" i="7" s="1"/>
  <c r="F57" i="7"/>
  <c r="C57" i="7"/>
  <c r="AD56" i="7"/>
  <c r="AC56" i="7"/>
  <c r="AA56" i="7"/>
  <c r="X56" i="7"/>
  <c r="W56" i="7"/>
  <c r="U56" i="7"/>
  <c r="R56" i="7"/>
  <c r="N56" i="7"/>
  <c r="O56" i="7" s="1"/>
  <c r="L56" i="7"/>
  <c r="H56" i="7"/>
  <c r="I56" i="7" s="1"/>
  <c r="F56" i="7"/>
  <c r="C56" i="7"/>
  <c r="AD55" i="7"/>
  <c r="AC55" i="7"/>
  <c r="AA55" i="7"/>
  <c r="X55" i="7"/>
  <c r="W55" i="7"/>
  <c r="U55" i="7"/>
  <c r="R55" i="7"/>
  <c r="N55" i="7"/>
  <c r="O55" i="7" s="1"/>
  <c r="L55" i="7"/>
  <c r="I55" i="7"/>
  <c r="H55" i="7"/>
  <c r="F55" i="7"/>
  <c r="C55" i="7"/>
  <c r="AC54" i="7"/>
  <c r="AD54" i="7" s="1"/>
  <c r="AA54" i="7"/>
  <c r="W54" i="7"/>
  <c r="X54" i="7" s="1"/>
  <c r="U54" i="7"/>
  <c r="R54" i="7"/>
  <c r="O54" i="7"/>
  <c r="N54" i="7"/>
  <c r="L54" i="7"/>
  <c r="I54" i="7"/>
  <c r="H54" i="7"/>
  <c r="F54" i="7"/>
  <c r="C54" i="7"/>
  <c r="AC53" i="7"/>
  <c r="AD53" i="7" s="1"/>
  <c r="AA53" i="7"/>
  <c r="X53" i="7"/>
  <c r="W53" i="7"/>
  <c r="U53" i="7"/>
  <c r="R53" i="7"/>
  <c r="O53" i="7"/>
  <c r="N53" i="7"/>
  <c r="L53" i="7"/>
  <c r="H53" i="7"/>
  <c r="I53" i="7" s="1"/>
  <c r="F53" i="7"/>
  <c r="C53" i="7"/>
  <c r="AD52" i="7"/>
  <c r="AC52" i="7"/>
  <c r="AA52" i="7"/>
  <c r="X52" i="7"/>
  <c r="W52" i="7"/>
  <c r="U52" i="7"/>
  <c r="R52" i="7"/>
  <c r="N52" i="7"/>
  <c r="O52" i="7" s="1"/>
  <c r="L52" i="7"/>
  <c r="H52" i="7"/>
  <c r="I52" i="7" s="1"/>
  <c r="F52" i="7"/>
  <c r="C52" i="7"/>
  <c r="AD51" i="7"/>
  <c r="AC51" i="7"/>
  <c r="AA51" i="7"/>
  <c r="X51" i="7"/>
  <c r="W51" i="7"/>
  <c r="U51" i="7"/>
  <c r="R51" i="7"/>
  <c r="N51" i="7"/>
  <c r="O51" i="7" s="1"/>
  <c r="L51" i="7"/>
  <c r="I51" i="7"/>
  <c r="H51" i="7"/>
  <c r="F51" i="7"/>
  <c r="C51" i="7"/>
  <c r="AC50" i="7"/>
  <c r="AD50" i="7" s="1"/>
  <c r="AA50" i="7"/>
  <c r="W50" i="7"/>
  <c r="X50" i="7" s="1"/>
  <c r="U50" i="7"/>
  <c r="R50" i="7"/>
  <c r="O50" i="7"/>
  <c r="N50" i="7"/>
  <c r="L50" i="7"/>
  <c r="I50" i="7"/>
  <c r="H50" i="7"/>
  <c r="F50" i="7"/>
  <c r="C50" i="7"/>
  <c r="AC49" i="7"/>
  <c r="AD49" i="7" s="1"/>
  <c r="AA49" i="7"/>
  <c r="X49" i="7"/>
  <c r="W49" i="7"/>
  <c r="U49" i="7"/>
  <c r="R49" i="7"/>
  <c r="O49" i="7"/>
  <c r="N49" i="7"/>
  <c r="L49" i="7"/>
  <c r="H49" i="7"/>
  <c r="I49" i="7" s="1"/>
  <c r="F49" i="7"/>
  <c r="C49" i="7"/>
  <c r="AD48" i="7"/>
  <c r="AC48" i="7"/>
  <c r="AA48" i="7"/>
  <c r="X48" i="7"/>
  <c r="W48" i="7"/>
  <c r="U48" i="7"/>
  <c r="R48" i="7"/>
  <c r="N48" i="7"/>
  <c r="O48" i="7" s="1"/>
  <c r="L48" i="7"/>
  <c r="H48" i="7"/>
  <c r="I48" i="7" s="1"/>
  <c r="F48" i="7"/>
  <c r="C48" i="7"/>
  <c r="AD47" i="7"/>
  <c r="AC47" i="7"/>
  <c r="AA47" i="7"/>
  <c r="X47" i="7"/>
  <c r="W47" i="7"/>
  <c r="U47" i="7"/>
  <c r="R47" i="7"/>
  <c r="N47" i="7"/>
  <c r="O47" i="7" s="1"/>
  <c r="L47" i="7"/>
  <c r="I47" i="7"/>
  <c r="H47" i="7"/>
  <c r="F47" i="7"/>
  <c r="C47" i="7"/>
  <c r="AC46" i="7"/>
  <c r="AD46" i="7" s="1"/>
  <c r="AA46" i="7"/>
  <c r="W46" i="7"/>
  <c r="X46" i="7" s="1"/>
  <c r="U46" i="7"/>
  <c r="R46" i="7"/>
  <c r="O46" i="7"/>
  <c r="N46" i="7"/>
  <c r="L46" i="7"/>
  <c r="I46" i="7"/>
  <c r="H46" i="7"/>
  <c r="F46" i="7"/>
  <c r="C46" i="7"/>
  <c r="AC44" i="7"/>
  <c r="AD44" i="7" s="1"/>
  <c r="AA44" i="7"/>
  <c r="W44" i="7"/>
  <c r="X44" i="7" s="1"/>
  <c r="U44" i="7"/>
  <c r="R44" i="7"/>
  <c r="O44" i="7"/>
  <c r="N44" i="7"/>
  <c r="L44" i="7"/>
  <c r="H44" i="7"/>
  <c r="I44" i="7" s="1"/>
  <c r="F44" i="7"/>
  <c r="C44" i="7"/>
  <c r="AD43" i="7"/>
  <c r="AC43" i="7"/>
  <c r="AA43" i="7"/>
  <c r="X43" i="7"/>
  <c r="W43" i="7"/>
  <c r="U43" i="7"/>
  <c r="R43" i="7"/>
  <c r="N43" i="7"/>
  <c r="O43" i="7" s="1"/>
  <c r="L43" i="7"/>
  <c r="H43" i="7"/>
  <c r="I43" i="7" s="1"/>
  <c r="F43" i="7"/>
  <c r="C43" i="7"/>
  <c r="AD42" i="7"/>
  <c r="AC42" i="7"/>
  <c r="AA42" i="7"/>
  <c r="X42" i="7"/>
  <c r="W42" i="7"/>
  <c r="U42" i="7"/>
  <c r="R42" i="7"/>
  <c r="N42" i="7"/>
  <c r="O42" i="7" s="1"/>
  <c r="L42" i="7"/>
  <c r="I42" i="7"/>
  <c r="H42" i="7"/>
  <c r="F42" i="7"/>
  <c r="C42" i="7"/>
  <c r="AC40" i="7"/>
  <c r="AD40" i="7" s="1"/>
  <c r="AA40" i="7"/>
  <c r="Z40" i="7"/>
  <c r="T40" i="7"/>
  <c r="U40" i="7" s="1"/>
  <c r="Q40" i="7"/>
  <c r="O40" i="7"/>
  <c r="L40" i="7"/>
  <c r="K40" i="7"/>
  <c r="E40" i="7"/>
  <c r="C40" i="7"/>
  <c r="B40" i="7"/>
  <c r="N40" i="7" s="1"/>
  <c r="AD39" i="7"/>
  <c r="AC39" i="7"/>
  <c r="AA39" i="7"/>
  <c r="X39" i="7"/>
  <c r="W39" i="7"/>
  <c r="U39" i="7"/>
  <c r="R39" i="7"/>
  <c r="N39" i="7"/>
  <c r="O39" i="7" s="1"/>
  <c r="L39" i="7"/>
  <c r="H39" i="7"/>
  <c r="I39" i="7" s="1"/>
  <c r="F39" i="7"/>
  <c r="C39" i="7"/>
  <c r="AD38" i="7"/>
  <c r="AC38" i="7"/>
  <c r="AA38" i="7"/>
  <c r="X38" i="7"/>
  <c r="W38" i="7"/>
  <c r="U38" i="7"/>
  <c r="R38" i="7"/>
  <c r="O38" i="7"/>
  <c r="N38" i="7"/>
  <c r="L38" i="7"/>
  <c r="I38" i="7"/>
  <c r="H38" i="7"/>
  <c r="F38" i="7"/>
  <c r="C38" i="7"/>
  <c r="AC37" i="7"/>
  <c r="AD37" i="7" s="1"/>
  <c r="AA37" i="7"/>
  <c r="W37" i="7"/>
  <c r="X37" i="7" s="1"/>
  <c r="U37" i="7"/>
  <c r="R37" i="7"/>
  <c r="O37" i="7"/>
  <c r="N37" i="7"/>
  <c r="L37" i="7"/>
  <c r="I37" i="7"/>
  <c r="H37" i="7"/>
  <c r="F37" i="7"/>
  <c r="C37" i="7"/>
  <c r="AC36" i="7"/>
  <c r="AD36" i="7" s="1"/>
  <c r="AA36" i="7"/>
  <c r="W36" i="7"/>
  <c r="X36" i="7" s="1"/>
  <c r="U36" i="7"/>
  <c r="R36" i="7"/>
  <c r="O36" i="7"/>
  <c r="N36" i="7"/>
  <c r="L36" i="7"/>
  <c r="H36" i="7"/>
  <c r="I36" i="7" s="1"/>
  <c r="F36" i="7"/>
  <c r="C36" i="7"/>
  <c r="AD35" i="7"/>
  <c r="AC35" i="7"/>
  <c r="AA35" i="7"/>
  <c r="X35" i="7"/>
  <c r="W35" i="7"/>
  <c r="U35" i="7"/>
  <c r="R35" i="7"/>
  <c r="N35" i="7"/>
  <c r="O35" i="7" s="1"/>
  <c r="L35" i="7"/>
  <c r="H35" i="7"/>
  <c r="I35" i="7" s="1"/>
  <c r="F35" i="7"/>
  <c r="C35" i="7"/>
  <c r="AD34" i="7"/>
  <c r="AC34" i="7"/>
  <c r="AA34" i="7"/>
  <c r="X34" i="7"/>
  <c r="W34" i="7"/>
  <c r="U34" i="7"/>
  <c r="R34" i="7"/>
  <c r="O34" i="7"/>
  <c r="N34" i="7"/>
  <c r="L34" i="7"/>
  <c r="I34" i="7"/>
  <c r="H34" i="7"/>
  <c r="F34" i="7"/>
  <c r="C34" i="7"/>
  <c r="AC33" i="7"/>
  <c r="AD33" i="7" s="1"/>
  <c r="AA33" i="7"/>
  <c r="W33" i="7"/>
  <c r="X33" i="7" s="1"/>
  <c r="U33" i="7"/>
  <c r="R33" i="7"/>
  <c r="O33" i="7"/>
  <c r="N33" i="7"/>
  <c r="L33" i="7"/>
  <c r="I33" i="7"/>
  <c r="H33" i="7"/>
  <c r="F33" i="7"/>
  <c r="C33" i="7"/>
  <c r="AC32" i="7"/>
  <c r="AD32" i="7" s="1"/>
  <c r="AA32" i="7"/>
  <c r="W32" i="7"/>
  <c r="X32" i="7" s="1"/>
  <c r="U32" i="7"/>
  <c r="R32" i="7"/>
  <c r="O32" i="7"/>
  <c r="N32" i="7"/>
  <c r="L32" i="7"/>
  <c r="H32" i="7"/>
  <c r="I32" i="7" s="1"/>
  <c r="F32" i="7"/>
  <c r="C32" i="7"/>
  <c r="AD31" i="7"/>
  <c r="AC31" i="7"/>
  <c r="AA31" i="7"/>
  <c r="X31" i="7"/>
  <c r="W31" i="7"/>
  <c r="U31" i="7"/>
  <c r="R31" i="7"/>
  <c r="N31" i="7"/>
  <c r="O31" i="7" s="1"/>
  <c r="L31" i="7"/>
  <c r="H31" i="7"/>
  <c r="I31" i="7" s="1"/>
  <c r="F31" i="7"/>
  <c r="C31" i="7"/>
  <c r="AD29" i="7"/>
  <c r="AA29" i="7"/>
  <c r="Z29" i="7"/>
  <c r="W29" i="7"/>
  <c r="X29" i="7" s="1"/>
  <c r="T29" i="7"/>
  <c r="U29" i="7" s="1"/>
  <c r="R29" i="7"/>
  <c r="Q29" i="7"/>
  <c r="AC29" i="7" s="1"/>
  <c r="K29" i="7"/>
  <c r="L29" i="7" s="1"/>
  <c r="H29" i="7"/>
  <c r="I29" i="7" s="1"/>
  <c r="F29" i="7"/>
  <c r="E29" i="7"/>
  <c r="C29" i="7"/>
  <c r="B29" i="7"/>
  <c r="N29" i="7" s="1"/>
  <c r="O29" i="7" s="1"/>
  <c r="AC28" i="7"/>
  <c r="AD28" i="7" s="1"/>
  <c r="AA28" i="7"/>
  <c r="W28" i="7"/>
  <c r="X28" i="7" s="1"/>
  <c r="U28" i="7"/>
  <c r="R28" i="7"/>
  <c r="O28" i="7"/>
  <c r="N28" i="7"/>
  <c r="L28" i="7"/>
  <c r="H28" i="7"/>
  <c r="I28" i="7" s="1"/>
  <c r="F28" i="7"/>
  <c r="C28" i="7"/>
  <c r="AD27" i="7"/>
  <c r="AC27" i="7"/>
  <c r="AA27" i="7"/>
  <c r="X27" i="7"/>
  <c r="W27" i="7"/>
  <c r="U27" i="7"/>
  <c r="R27" i="7"/>
  <c r="N27" i="7"/>
  <c r="O27" i="7" s="1"/>
  <c r="L27" i="7"/>
  <c r="H27" i="7"/>
  <c r="I27" i="7" s="1"/>
  <c r="F27" i="7"/>
  <c r="C27" i="7"/>
  <c r="AD26" i="7"/>
  <c r="AC26" i="7"/>
  <c r="AA26" i="7"/>
  <c r="X26" i="7"/>
  <c r="W26" i="7"/>
  <c r="U26" i="7"/>
  <c r="R26" i="7"/>
  <c r="O26" i="7"/>
  <c r="N26" i="7"/>
  <c r="L26" i="7"/>
  <c r="I26" i="7"/>
  <c r="H26" i="7"/>
  <c r="F26" i="7"/>
  <c r="C26" i="7"/>
  <c r="AC25" i="7"/>
  <c r="AD25" i="7" s="1"/>
  <c r="AA25" i="7"/>
  <c r="W25" i="7"/>
  <c r="X25" i="7" s="1"/>
  <c r="U25" i="7"/>
  <c r="R25" i="7"/>
  <c r="O25" i="7"/>
  <c r="N25" i="7"/>
  <c r="L25" i="7"/>
  <c r="I25" i="7"/>
  <c r="H25" i="7"/>
  <c r="F25" i="7"/>
  <c r="C25" i="7"/>
  <c r="AC24" i="7"/>
  <c r="AD24" i="7" s="1"/>
  <c r="AA24" i="7"/>
  <c r="W24" i="7"/>
  <c r="X24" i="7" s="1"/>
  <c r="U24" i="7"/>
  <c r="R24" i="7"/>
  <c r="O24" i="7"/>
  <c r="N24" i="7"/>
  <c r="L24" i="7"/>
  <c r="H24" i="7"/>
  <c r="I24" i="7" s="1"/>
  <c r="F24" i="7"/>
  <c r="C24" i="7"/>
  <c r="AD23" i="7"/>
  <c r="AC23" i="7"/>
  <c r="AA23" i="7"/>
  <c r="X23" i="7"/>
  <c r="W23" i="7"/>
  <c r="U23" i="7"/>
  <c r="R23" i="7"/>
  <c r="N23" i="7"/>
  <c r="O23" i="7" s="1"/>
  <c r="L23" i="7"/>
  <c r="H23" i="7"/>
  <c r="I23" i="7" s="1"/>
  <c r="F23" i="7"/>
  <c r="C23" i="7"/>
  <c r="AD22" i="7"/>
  <c r="AC22" i="7"/>
  <c r="AA22" i="7"/>
  <c r="X22" i="7"/>
  <c r="W22" i="7"/>
  <c r="U22" i="7"/>
  <c r="R22" i="7"/>
  <c r="N22" i="7"/>
  <c r="O22" i="7" s="1"/>
  <c r="L22" i="7"/>
  <c r="I22" i="7"/>
  <c r="H22" i="7"/>
  <c r="F22" i="7"/>
  <c r="C22" i="7"/>
  <c r="AC21" i="7"/>
  <c r="AD21" i="7" s="1"/>
  <c r="AA21" i="7"/>
  <c r="W21" i="7"/>
  <c r="X21" i="7" s="1"/>
  <c r="U21" i="7"/>
  <c r="R21" i="7"/>
  <c r="O21" i="7"/>
  <c r="N21" i="7"/>
  <c r="L21" i="7"/>
  <c r="I21" i="7"/>
  <c r="H21" i="7"/>
  <c r="F21" i="7"/>
  <c r="C21" i="7"/>
  <c r="AC19" i="7"/>
  <c r="AD19" i="7" s="1"/>
  <c r="AA19" i="7"/>
  <c r="W19" i="7"/>
  <c r="X19" i="7" s="1"/>
  <c r="U19" i="7"/>
  <c r="R19" i="7"/>
  <c r="O19" i="7"/>
  <c r="N19" i="7"/>
  <c r="L19" i="7"/>
  <c r="H19" i="7"/>
  <c r="I19" i="7" s="1"/>
  <c r="F19" i="7"/>
  <c r="C19" i="7"/>
  <c r="Z18" i="7"/>
  <c r="AA18" i="7" s="1"/>
  <c r="W18" i="7"/>
  <c r="X18" i="7" s="1"/>
  <c r="U18" i="7"/>
  <c r="T18" i="7"/>
  <c r="R18" i="7"/>
  <c r="Q18" i="7"/>
  <c r="AC18" i="7" s="1"/>
  <c r="AD18" i="7" s="1"/>
  <c r="N18" i="7"/>
  <c r="O18" i="7" s="1"/>
  <c r="K18" i="7"/>
  <c r="L18" i="7" s="1"/>
  <c r="F18" i="7"/>
  <c r="E18" i="7"/>
  <c r="B18" i="7"/>
  <c r="AC17" i="7"/>
  <c r="AD17" i="7" s="1"/>
  <c r="AA17" i="7"/>
  <c r="W17" i="7"/>
  <c r="X17" i="7" s="1"/>
  <c r="U17" i="7"/>
  <c r="R17" i="7"/>
  <c r="O17" i="7"/>
  <c r="N17" i="7"/>
  <c r="L17" i="7"/>
  <c r="I17" i="7"/>
  <c r="H17" i="7"/>
  <c r="F17" i="7"/>
  <c r="C17" i="7"/>
  <c r="AC16" i="7"/>
  <c r="AD16" i="7" s="1"/>
  <c r="AA16" i="7"/>
  <c r="W16" i="7"/>
  <c r="X16" i="7" s="1"/>
  <c r="U16" i="7"/>
  <c r="R16" i="7"/>
  <c r="O16" i="7"/>
  <c r="N16" i="7"/>
  <c r="L16" i="7"/>
  <c r="H16" i="7"/>
  <c r="I16" i="7" s="1"/>
  <c r="F16" i="7"/>
  <c r="C16" i="7"/>
  <c r="AD15" i="7"/>
  <c r="AC15" i="7"/>
  <c r="AA15" i="7"/>
  <c r="X15" i="7"/>
  <c r="W15" i="7"/>
  <c r="U15" i="7"/>
  <c r="R15" i="7"/>
  <c r="N15" i="7"/>
  <c r="O15" i="7" s="1"/>
  <c r="L15" i="7"/>
  <c r="H15" i="7"/>
  <c r="I15" i="7" s="1"/>
  <c r="F15" i="7"/>
  <c r="C15" i="7"/>
  <c r="AD14" i="7"/>
  <c r="AC14" i="7"/>
  <c r="AA14" i="7"/>
  <c r="X14" i="7"/>
  <c r="W14" i="7"/>
  <c r="U14" i="7"/>
  <c r="R14" i="7"/>
  <c r="N14" i="7"/>
  <c r="O14" i="7" s="1"/>
  <c r="L14" i="7"/>
  <c r="I14" i="7"/>
  <c r="H14" i="7"/>
  <c r="F14" i="7"/>
  <c r="C14" i="7"/>
  <c r="AC13" i="7"/>
  <c r="AD13" i="7" s="1"/>
  <c r="AA13" i="7"/>
  <c r="W13" i="7"/>
  <c r="X13" i="7" s="1"/>
  <c r="U13" i="7"/>
  <c r="R13" i="7"/>
  <c r="O13" i="7"/>
  <c r="N13" i="7"/>
  <c r="L13" i="7"/>
  <c r="I13" i="7"/>
  <c r="H13" i="7"/>
  <c r="F13" i="7"/>
  <c r="C13" i="7"/>
  <c r="AC12" i="7"/>
  <c r="AD12" i="7" s="1"/>
  <c r="AA12" i="7"/>
  <c r="X12" i="7"/>
  <c r="W12" i="7"/>
  <c r="U12" i="7"/>
  <c r="R12" i="7"/>
  <c r="O12" i="7"/>
  <c r="N12" i="7"/>
  <c r="L12" i="7"/>
  <c r="H12" i="7"/>
  <c r="I12" i="7" s="1"/>
  <c r="F12" i="7"/>
  <c r="C12" i="7"/>
  <c r="AD11" i="7"/>
  <c r="AC11" i="7"/>
  <c r="AA11" i="7"/>
  <c r="X11" i="7"/>
  <c r="W11" i="7"/>
  <c r="U11" i="7"/>
  <c r="R11" i="7"/>
  <c r="N11" i="7"/>
  <c r="O11" i="7" s="1"/>
  <c r="L11" i="7"/>
  <c r="H11" i="7"/>
  <c r="I11" i="7" s="1"/>
  <c r="F11" i="7"/>
  <c r="C11" i="7"/>
  <c r="AD10" i="7"/>
  <c r="AC10" i="7"/>
  <c r="AA10" i="7"/>
  <c r="X10" i="7"/>
  <c r="W10" i="7"/>
  <c r="U10" i="7"/>
  <c r="R10" i="7"/>
  <c r="N10" i="7"/>
  <c r="O10" i="7" s="1"/>
  <c r="L10" i="7"/>
  <c r="I10" i="7"/>
  <c r="H10" i="7"/>
  <c r="F10" i="7"/>
  <c r="C10" i="7"/>
  <c r="AC8" i="7"/>
  <c r="AD8" i="7" s="1"/>
  <c r="AA8" i="7"/>
  <c r="W8" i="7"/>
  <c r="X8" i="7" s="1"/>
  <c r="U8" i="7"/>
  <c r="R8" i="7"/>
  <c r="O8" i="7"/>
  <c r="N8" i="7"/>
  <c r="L8" i="7"/>
  <c r="I8" i="7"/>
  <c r="H8" i="7"/>
  <c r="F8" i="7"/>
  <c r="C8" i="7"/>
  <c r="AC444" i="6"/>
  <c r="W444" i="6"/>
  <c r="N444" i="6"/>
  <c r="H444" i="6"/>
  <c r="Z442" i="6"/>
  <c r="AA442" i="6" s="1"/>
  <c r="U442" i="6"/>
  <c r="T442" i="6"/>
  <c r="Q442" i="6"/>
  <c r="N442" i="6"/>
  <c r="O442" i="6" s="1"/>
  <c r="L442" i="6"/>
  <c r="K442" i="6"/>
  <c r="E442" i="6"/>
  <c r="F442" i="6" s="1"/>
  <c r="B442" i="6"/>
  <c r="AD441" i="6"/>
  <c r="AA441" i="6"/>
  <c r="Z441" i="6"/>
  <c r="T441" i="6"/>
  <c r="U441" i="6" s="1"/>
  <c r="R441" i="6"/>
  <c r="Q441" i="6"/>
  <c r="AC441" i="6" s="1"/>
  <c r="K441" i="6"/>
  <c r="L441" i="6" s="1"/>
  <c r="H441" i="6"/>
  <c r="I441" i="6" s="1"/>
  <c r="F441" i="6"/>
  <c r="E441" i="6"/>
  <c r="C441" i="6"/>
  <c r="B441" i="6"/>
  <c r="AC440" i="6"/>
  <c r="AD440" i="6" s="1"/>
  <c r="AA440" i="6"/>
  <c r="X440" i="6"/>
  <c r="W440" i="6"/>
  <c r="U440" i="6"/>
  <c r="R440" i="6"/>
  <c r="O440" i="6"/>
  <c r="N440" i="6"/>
  <c r="L440" i="6"/>
  <c r="H440" i="6"/>
  <c r="I440" i="6" s="1"/>
  <c r="F440" i="6"/>
  <c r="C440" i="6"/>
  <c r="AD439" i="6"/>
  <c r="AC439" i="6"/>
  <c r="AA439" i="6"/>
  <c r="X439" i="6"/>
  <c r="W439" i="6"/>
  <c r="U439" i="6"/>
  <c r="R439" i="6"/>
  <c r="N439" i="6"/>
  <c r="O439" i="6" s="1"/>
  <c r="L439" i="6"/>
  <c r="H439" i="6"/>
  <c r="I439" i="6" s="1"/>
  <c r="F439" i="6"/>
  <c r="C439" i="6"/>
  <c r="AD438" i="6"/>
  <c r="AC438" i="6"/>
  <c r="AA438" i="6"/>
  <c r="W438" i="6"/>
  <c r="U438" i="6"/>
  <c r="R438" i="6"/>
  <c r="N438" i="6"/>
  <c r="O438" i="6" s="1"/>
  <c r="L438" i="6"/>
  <c r="I438" i="6"/>
  <c r="H438" i="6"/>
  <c r="F438" i="6"/>
  <c r="C438" i="6"/>
  <c r="AC437" i="6"/>
  <c r="AD437" i="6" s="1"/>
  <c r="AA437" i="6"/>
  <c r="W437" i="6"/>
  <c r="X437" i="6" s="1"/>
  <c r="U437" i="6"/>
  <c r="R437" i="6"/>
  <c r="O437" i="6"/>
  <c r="N437" i="6"/>
  <c r="L437" i="6"/>
  <c r="I437" i="6"/>
  <c r="H437" i="6"/>
  <c r="F437" i="6"/>
  <c r="C437" i="6"/>
  <c r="AC436" i="6"/>
  <c r="AD436" i="6" s="1"/>
  <c r="AA436" i="6"/>
  <c r="W436" i="6"/>
  <c r="X436" i="6" s="1"/>
  <c r="U436" i="6"/>
  <c r="R436" i="6"/>
  <c r="O436" i="6"/>
  <c r="N436" i="6"/>
  <c r="L436" i="6"/>
  <c r="H436" i="6"/>
  <c r="I436" i="6" s="1"/>
  <c r="F436" i="6"/>
  <c r="C436" i="6"/>
  <c r="AD435" i="6"/>
  <c r="AC435" i="6"/>
  <c r="AA435" i="6"/>
  <c r="X435" i="6"/>
  <c r="W435" i="6"/>
  <c r="U435" i="6"/>
  <c r="R435" i="6"/>
  <c r="N435" i="6"/>
  <c r="O435" i="6" s="1"/>
  <c r="L435" i="6"/>
  <c r="H435" i="6"/>
  <c r="I435" i="6" s="1"/>
  <c r="F435" i="6"/>
  <c r="C435" i="6"/>
  <c r="AD434" i="6"/>
  <c r="AC434" i="6"/>
  <c r="AA434" i="6"/>
  <c r="W434" i="6"/>
  <c r="U434" i="6"/>
  <c r="R434" i="6"/>
  <c r="N434" i="6"/>
  <c r="O434" i="6" s="1"/>
  <c r="L434" i="6"/>
  <c r="I434" i="6"/>
  <c r="H434" i="6"/>
  <c r="F434" i="6"/>
  <c r="C434" i="6"/>
  <c r="AC433" i="6"/>
  <c r="AD433" i="6" s="1"/>
  <c r="AA433" i="6"/>
  <c r="W433" i="6"/>
  <c r="X433" i="6" s="1"/>
  <c r="U433" i="6"/>
  <c r="R433" i="6"/>
  <c r="O433" i="6"/>
  <c r="N433" i="6"/>
  <c r="L433" i="6"/>
  <c r="I433" i="6"/>
  <c r="H433" i="6"/>
  <c r="F433" i="6"/>
  <c r="C433" i="6"/>
  <c r="AC432" i="6"/>
  <c r="AD432" i="6" s="1"/>
  <c r="AA432" i="6"/>
  <c r="W432" i="6"/>
  <c r="X432" i="6" s="1"/>
  <c r="U432" i="6"/>
  <c r="R432" i="6"/>
  <c r="O432" i="6"/>
  <c r="N432" i="6"/>
  <c r="L432" i="6"/>
  <c r="H432" i="6"/>
  <c r="I432" i="6" s="1"/>
  <c r="F432" i="6"/>
  <c r="C432" i="6"/>
  <c r="Z429" i="6"/>
  <c r="AA429" i="6" s="1"/>
  <c r="W429" i="6"/>
  <c r="X429" i="6" s="1"/>
  <c r="U429" i="6"/>
  <c r="T429" i="6"/>
  <c r="R429" i="6"/>
  <c r="Q429" i="6"/>
  <c r="K429" i="6"/>
  <c r="L429" i="6" s="1"/>
  <c r="F429" i="6"/>
  <c r="E429" i="6"/>
  <c r="B429" i="6"/>
  <c r="AA428" i="6"/>
  <c r="Z428" i="6"/>
  <c r="T428" i="6"/>
  <c r="U428" i="6" s="1"/>
  <c r="Q428" i="6"/>
  <c r="L428" i="6"/>
  <c r="K428" i="6"/>
  <c r="E428" i="6"/>
  <c r="F428" i="6" s="1"/>
  <c r="C428" i="6"/>
  <c r="B428" i="6"/>
  <c r="N428" i="6" s="1"/>
  <c r="O428" i="6" s="1"/>
  <c r="AD427" i="6"/>
  <c r="AC427" i="6"/>
  <c r="AA427" i="6"/>
  <c r="W427" i="6"/>
  <c r="U427" i="6"/>
  <c r="R427" i="6"/>
  <c r="N427" i="6"/>
  <c r="O427" i="6" s="1"/>
  <c r="L427" i="6"/>
  <c r="H427" i="6"/>
  <c r="I427" i="6" s="1"/>
  <c r="F427" i="6"/>
  <c r="C427" i="6"/>
  <c r="AD426" i="6"/>
  <c r="AC426" i="6"/>
  <c r="AA426" i="6"/>
  <c r="W426" i="6"/>
  <c r="U426" i="6"/>
  <c r="R426" i="6"/>
  <c r="O426" i="6"/>
  <c r="N426" i="6"/>
  <c r="L426" i="6"/>
  <c r="I426" i="6"/>
  <c r="H426" i="6"/>
  <c r="F426" i="6"/>
  <c r="C426" i="6"/>
  <c r="AC425" i="6"/>
  <c r="AD425" i="6" s="1"/>
  <c r="AA425" i="6"/>
  <c r="W425" i="6"/>
  <c r="X425" i="6" s="1"/>
  <c r="U425" i="6"/>
  <c r="R425" i="6"/>
  <c r="O425" i="6"/>
  <c r="N425" i="6"/>
  <c r="L425" i="6"/>
  <c r="I425" i="6"/>
  <c r="H425" i="6"/>
  <c r="F425" i="6"/>
  <c r="C425" i="6"/>
  <c r="AC424" i="6"/>
  <c r="AD424" i="6" s="1"/>
  <c r="AA424" i="6"/>
  <c r="W424" i="6"/>
  <c r="X424" i="6" s="1"/>
  <c r="U424" i="6"/>
  <c r="R424" i="6"/>
  <c r="O424" i="6"/>
  <c r="N424" i="6"/>
  <c r="L424" i="6"/>
  <c r="H424" i="6"/>
  <c r="I424" i="6" s="1"/>
  <c r="F424" i="6"/>
  <c r="C424" i="6"/>
  <c r="AD423" i="6"/>
  <c r="AC423" i="6"/>
  <c r="AA423" i="6"/>
  <c r="X423" i="6"/>
  <c r="W423" i="6"/>
  <c r="U423" i="6"/>
  <c r="R423" i="6"/>
  <c r="N423" i="6"/>
  <c r="O423" i="6" s="1"/>
  <c r="L423" i="6"/>
  <c r="H423" i="6"/>
  <c r="I423" i="6" s="1"/>
  <c r="F423" i="6"/>
  <c r="C423" i="6"/>
  <c r="AD422" i="6"/>
  <c r="AC422" i="6"/>
  <c r="AA422" i="6"/>
  <c r="W422" i="6"/>
  <c r="U422" i="6"/>
  <c r="R422" i="6"/>
  <c r="N422" i="6"/>
  <c r="O422" i="6" s="1"/>
  <c r="L422" i="6"/>
  <c r="I422" i="6"/>
  <c r="H422" i="6"/>
  <c r="F422" i="6"/>
  <c r="C422" i="6"/>
  <c r="AC421" i="6"/>
  <c r="AD421" i="6" s="1"/>
  <c r="AA421" i="6"/>
  <c r="W421" i="6"/>
  <c r="X421" i="6" s="1"/>
  <c r="U421" i="6"/>
  <c r="R421" i="6"/>
  <c r="O421" i="6"/>
  <c r="N421" i="6"/>
  <c r="L421" i="6"/>
  <c r="I421" i="6"/>
  <c r="H421" i="6"/>
  <c r="F421" i="6"/>
  <c r="C421" i="6"/>
  <c r="AC420" i="6"/>
  <c r="AD420" i="6" s="1"/>
  <c r="AA420" i="6"/>
  <c r="X420" i="6"/>
  <c r="W420" i="6"/>
  <c r="U420" i="6"/>
  <c r="R420" i="6"/>
  <c r="O420" i="6"/>
  <c r="N420" i="6"/>
  <c r="L420" i="6"/>
  <c r="H420" i="6"/>
  <c r="I420" i="6" s="1"/>
  <c r="F420" i="6"/>
  <c r="C420" i="6"/>
  <c r="AD419" i="6"/>
  <c r="AC419" i="6"/>
  <c r="AA419" i="6"/>
  <c r="X419" i="6"/>
  <c r="W419" i="6"/>
  <c r="U419" i="6"/>
  <c r="R419" i="6"/>
  <c r="N419" i="6"/>
  <c r="O419" i="6" s="1"/>
  <c r="L419" i="6"/>
  <c r="H419" i="6"/>
  <c r="I419" i="6" s="1"/>
  <c r="F419" i="6"/>
  <c r="C419" i="6"/>
  <c r="AD418" i="6"/>
  <c r="AC418" i="6"/>
  <c r="AA418" i="6"/>
  <c r="W418" i="6"/>
  <c r="U418" i="6"/>
  <c r="R418" i="6"/>
  <c r="N418" i="6"/>
  <c r="O418" i="6" s="1"/>
  <c r="L418" i="6"/>
  <c r="I418" i="6"/>
  <c r="H418" i="6"/>
  <c r="F418" i="6"/>
  <c r="C418" i="6"/>
  <c r="AC417" i="6"/>
  <c r="AD417" i="6" s="1"/>
  <c r="AA417" i="6"/>
  <c r="W417" i="6"/>
  <c r="X417" i="6" s="1"/>
  <c r="U417" i="6"/>
  <c r="R417" i="6"/>
  <c r="O417" i="6"/>
  <c r="N417" i="6"/>
  <c r="L417" i="6"/>
  <c r="I417" i="6"/>
  <c r="H417" i="6"/>
  <c r="F417" i="6"/>
  <c r="C417" i="6"/>
  <c r="AC416" i="6"/>
  <c r="AD416" i="6" s="1"/>
  <c r="AA416" i="6"/>
  <c r="W416" i="6"/>
  <c r="X416" i="6" s="1"/>
  <c r="U416" i="6"/>
  <c r="R416" i="6"/>
  <c r="O416" i="6"/>
  <c r="N416" i="6"/>
  <c r="L416" i="6"/>
  <c r="H416" i="6"/>
  <c r="I416" i="6" s="1"/>
  <c r="F416" i="6"/>
  <c r="C416" i="6"/>
  <c r="AD415" i="6"/>
  <c r="AC415" i="6"/>
  <c r="AA415" i="6"/>
  <c r="X415" i="6"/>
  <c r="W415" i="6"/>
  <c r="U415" i="6"/>
  <c r="R415" i="6"/>
  <c r="N415" i="6"/>
  <c r="O415" i="6" s="1"/>
  <c r="L415" i="6"/>
  <c r="H415" i="6"/>
  <c r="I415" i="6" s="1"/>
  <c r="F415" i="6"/>
  <c r="C415" i="6"/>
  <c r="AD414" i="6"/>
  <c r="AC414" i="6"/>
  <c r="AA414" i="6"/>
  <c r="W414" i="6"/>
  <c r="U414" i="6"/>
  <c r="R414" i="6"/>
  <c r="N414" i="6"/>
  <c r="O414" i="6" s="1"/>
  <c r="L414" i="6"/>
  <c r="I414" i="6"/>
  <c r="H414" i="6"/>
  <c r="F414" i="6"/>
  <c r="C414" i="6"/>
  <c r="AC413" i="6"/>
  <c r="AD413" i="6" s="1"/>
  <c r="AA413" i="6"/>
  <c r="W413" i="6"/>
  <c r="X413" i="6" s="1"/>
  <c r="U413" i="6"/>
  <c r="R413" i="6"/>
  <c r="O413" i="6"/>
  <c r="N413" i="6"/>
  <c r="L413" i="6"/>
  <c r="I413" i="6"/>
  <c r="H413" i="6"/>
  <c r="F413" i="6"/>
  <c r="C413" i="6"/>
  <c r="AC412" i="6"/>
  <c r="AD412" i="6" s="1"/>
  <c r="AA412" i="6"/>
  <c r="X412" i="6"/>
  <c r="W412" i="6"/>
  <c r="U412" i="6"/>
  <c r="R412" i="6"/>
  <c r="O412" i="6"/>
  <c r="N412" i="6"/>
  <c r="L412" i="6"/>
  <c r="H412" i="6"/>
  <c r="I412" i="6" s="1"/>
  <c r="F412" i="6"/>
  <c r="C412" i="6"/>
  <c r="AD411" i="6"/>
  <c r="AC411" i="6"/>
  <c r="AA411" i="6"/>
  <c r="X411" i="6"/>
  <c r="W411" i="6"/>
  <c r="U411" i="6"/>
  <c r="R411" i="6"/>
  <c r="N411" i="6"/>
  <c r="O411" i="6" s="1"/>
  <c r="L411" i="6"/>
  <c r="H411" i="6"/>
  <c r="I411" i="6" s="1"/>
  <c r="F411" i="6"/>
  <c r="C411" i="6"/>
  <c r="AD410" i="6"/>
  <c r="AC410" i="6"/>
  <c r="AA410" i="6"/>
  <c r="W410" i="6"/>
  <c r="U410" i="6"/>
  <c r="R410" i="6"/>
  <c r="N410" i="6"/>
  <c r="O410" i="6" s="1"/>
  <c r="L410" i="6"/>
  <c r="I410" i="6"/>
  <c r="H410" i="6"/>
  <c r="F410" i="6"/>
  <c r="C410" i="6"/>
  <c r="AC409" i="6"/>
  <c r="AD409" i="6" s="1"/>
  <c r="AA409" i="6"/>
  <c r="W409" i="6"/>
  <c r="X409" i="6" s="1"/>
  <c r="U409" i="6"/>
  <c r="R409" i="6"/>
  <c r="O409" i="6"/>
  <c r="N409" i="6"/>
  <c r="L409" i="6"/>
  <c r="I409" i="6"/>
  <c r="H409" i="6"/>
  <c r="F409" i="6"/>
  <c r="C409" i="6"/>
  <c r="AC408" i="6"/>
  <c r="AD408" i="6" s="1"/>
  <c r="AA408" i="6"/>
  <c r="W408" i="6"/>
  <c r="X408" i="6" s="1"/>
  <c r="U408" i="6"/>
  <c r="R408" i="6"/>
  <c r="O408" i="6"/>
  <c r="N408" i="6"/>
  <c r="L408" i="6"/>
  <c r="H408" i="6"/>
  <c r="I408" i="6" s="1"/>
  <c r="F408" i="6"/>
  <c r="C408" i="6"/>
  <c r="AD407" i="6"/>
  <c r="AC407" i="6"/>
  <c r="AA407" i="6"/>
  <c r="X407" i="6"/>
  <c r="W407" i="6"/>
  <c r="U407" i="6"/>
  <c r="R407" i="6"/>
  <c r="N407" i="6"/>
  <c r="O407" i="6" s="1"/>
  <c r="L407" i="6"/>
  <c r="H407" i="6"/>
  <c r="I407" i="6" s="1"/>
  <c r="F407" i="6"/>
  <c r="C407" i="6"/>
  <c r="Z403" i="6"/>
  <c r="AA403" i="6" s="1"/>
  <c r="U403" i="6"/>
  <c r="T403" i="6"/>
  <c r="Q403" i="6"/>
  <c r="L403" i="6"/>
  <c r="K403" i="6"/>
  <c r="E403" i="6"/>
  <c r="F403" i="6" s="1"/>
  <c r="B403" i="6"/>
  <c r="N403" i="6" s="1"/>
  <c r="O403" i="6" s="1"/>
  <c r="AD402" i="6"/>
  <c r="AC402" i="6"/>
  <c r="AA402" i="6"/>
  <c r="W402" i="6"/>
  <c r="U402" i="6"/>
  <c r="R402" i="6"/>
  <c r="N402" i="6"/>
  <c r="O402" i="6" s="1"/>
  <c r="L402" i="6"/>
  <c r="I402" i="6"/>
  <c r="H402" i="6"/>
  <c r="F402" i="6"/>
  <c r="C402" i="6"/>
  <c r="AC401" i="6"/>
  <c r="AD401" i="6" s="1"/>
  <c r="AA401" i="6"/>
  <c r="W401" i="6"/>
  <c r="X401" i="6" s="1"/>
  <c r="U401" i="6"/>
  <c r="R401" i="6"/>
  <c r="O401" i="6"/>
  <c r="N401" i="6"/>
  <c r="L401" i="6"/>
  <c r="H401" i="6"/>
  <c r="I401" i="6" s="1"/>
  <c r="F401" i="6"/>
  <c r="C401" i="6"/>
  <c r="AC400" i="6"/>
  <c r="AD400" i="6" s="1"/>
  <c r="AA400" i="6"/>
  <c r="X400" i="6"/>
  <c r="W400" i="6"/>
  <c r="U400" i="6"/>
  <c r="R400" i="6"/>
  <c r="O400" i="6"/>
  <c r="N400" i="6"/>
  <c r="L400" i="6"/>
  <c r="H400" i="6"/>
  <c r="I400" i="6" s="1"/>
  <c r="F400" i="6"/>
  <c r="C400" i="6"/>
  <c r="AD399" i="6"/>
  <c r="AC399" i="6"/>
  <c r="AA399" i="6"/>
  <c r="X399" i="6"/>
  <c r="W399" i="6"/>
  <c r="U399" i="6"/>
  <c r="R399" i="6"/>
  <c r="N399" i="6"/>
  <c r="O399" i="6" s="1"/>
  <c r="L399" i="6"/>
  <c r="H399" i="6"/>
  <c r="I399" i="6" s="1"/>
  <c r="F399" i="6"/>
  <c r="C399" i="6"/>
  <c r="AC398" i="6"/>
  <c r="AD398" i="6" s="1"/>
  <c r="AA398" i="6"/>
  <c r="W398" i="6"/>
  <c r="U398" i="6"/>
  <c r="R398" i="6"/>
  <c r="N398" i="6"/>
  <c r="O398" i="6" s="1"/>
  <c r="L398" i="6"/>
  <c r="I398" i="6"/>
  <c r="H398" i="6"/>
  <c r="F398" i="6"/>
  <c r="C398" i="6"/>
  <c r="AC397" i="6"/>
  <c r="AD397" i="6" s="1"/>
  <c r="AA397" i="6"/>
  <c r="X397" i="6"/>
  <c r="W397" i="6"/>
  <c r="U397" i="6"/>
  <c r="R397" i="6"/>
  <c r="O397" i="6"/>
  <c r="N397" i="6"/>
  <c r="L397" i="6"/>
  <c r="H397" i="6"/>
  <c r="I397" i="6" s="1"/>
  <c r="F397" i="6"/>
  <c r="C397" i="6"/>
  <c r="Z396" i="6"/>
  <c r="AA396" i="6" s="1"/>
  <c r="W396" i="6"/>
  <c r="X396" i="6" s="1"/>
  <c r="U396" i="6"/>
  <c r="T396" i="6"/>
  <c r="Q396" i="6"/>
  <c r="R396" i="6" s="1"/>
  <c r="N396" i="6"/>
  <c r="O396" i="6" s="1"/>
  <c r="K396" i="6"/>
  <c r="L396" i="6" s="1"/>
  <c r="E396" i="6"/>
  <c r="F396" i="6" s="1"/>
  <c r="B396" i="6"/>
  <c r="AD395" i="6"/>
  <c r="AC395" i="6"/>
  <c r="AA395" i="6"/>
  <c r="W395" i="6"/>
  <c r="U395" i="6"/>
  <c r="R395" i="6"/>
  <c r="O395" i="6"/>
  <c r="N395" i="6"/>
  <c r="L395" i="6"/>
  <c r="I395" i="6"/>
  <c r="H395" i="6"/>
  <c r="F395" i="6"/>
  <c r="C395" i="6"/>
  <c r="AC394" i="6"/>
  <c r="AD394" i="6" s="1"/>
  <c r="AA394" i="6"/>
  <c r="W394" i="6"/>
  <c r="X394" i="6" s="1"/>
  <c r="U394" i="6"/>
  <c r="R394" i="6"/>
  <c r="O394" i="6"/>
  <c r="N394" i="6"/>
  <c r="L394" i="6"/>
  <c r="I394" i="6"/>
  <c r="H394" i="6"/>
  <c r="F394" i="6"/>
  <c r="C394" i="6"/>
  <c r="AC393" i="6"/>
  <c r="AD393" i="6" s="1"/>
  <c r="Z393" i="6"/>
  <c r="AA393" i="6" s="1"/>
  <c r="U393" i="6"/>
  <c r="T393" i="6"/>
  <c r="Q393" i="6"/>
  <c r="R393" i="6" s="1"/>
  <c r="L393" i="6"/>
  <c r="K393" i="6"/>
  <c r="E393" i="6"/>
  <c r="F393" i="6" s="1"/>
  <c r="B393" i="6"/>
  <c r="N393" i="6" s="1"/>
  <c r="O393" i="6" s="1"/>
  <c r="AC392" i="6"/>
  <c r="AD392" i="6" s="1"/>
  <c r="AA392" i="6"/>
  <c r="W392" i="6"/>
  <c r="U392" i="6"/>
  <c r="R392" i="6"/>
  <c r="N392" i="6"/>
  <c r="O392" i="6" s="1"/>
  <c r="L392" i="6"/>
  <c r="I392" i="6"/>
  <c r="H392" i="6"/>
  <c r="F392" i="6"/>
  <c r="C392" i="6"/>
  <c r="AC391" i="6"/>
  <c r="AD391" i="6" s="1"/>
  <c r="AA391" i="6"/>
  <c r="X391" i="6"/>
  <c r="W391" i="6"/>
  <c r="U391" i="6"/>
  <c r="R391" i="6"/>
  <c r="O391" i="6"/>
  <c r="N391" i="6"/>
  <c r="L391" i="6"/>
  <c r="H391" i="6"/>
  <c r="I391" i="6" s="1"/>
  <c r="F391" i="6"/>
  <c r="C391" i="6"/>
  <c r="AC390" i="6"/>
  <c r="AD390" i="6" s="1"/>
  <c r="AA390" i="6"/>
  <c r="W390" i="6"/>
  <c r="X390" i="6" s="1"/>
  <c r="U390" i="6"/>
  <c r="R390" i="6"/>
  <c r="O390" i="6"/>
  <c r="N390" i="6"/>
  <c r="L390" i="6"/>
  <c r="H390" i="6"/>
  <c r="I390" i="6" s="1"/>
  <c r="F390" i="6"/>
  <c r="C390" i="6"/>
  <c r="AD389" i="6"/>
  <c r="AC389" i="6"/>
  <c r="AA389" i="6"/>
  <c r="X389" i="6"/>
  <c r="W389" i="6"/>
  <c r="U389" i="6"/>
  <c r="R389" i="6"/>
  <c r="N389" i="6"/>
  <c r="O389" i="6" s="1"/>
  <c r="L389" i="6"/>
  <c r="H389" i="6"/>
  <c r="I389" i="6" s="1"/>
  <c r="F389" i="6"/>
  <c r="C389" i="6"/>
  <c r="AD388" i="6"/>
  <c r="AC388" i="6"/>
  <c r="AA388" i="6"/>
  <c r="W388" i="6"/>
  <c r="U388" i="6"/>
  <c r="R388" i="6"/>
  <c r="O388" i="6"/>
  <c r="N388" i="6"/>
  <c r="L388" i="6"/>
  <c r="I388" i="6"/>
  <c r="H388" i="6"/>
  <c r="F388" i="6"/>
  <c r="C388" i="6"/>
  <c r="AC386" i="6"/>
  <c r="AD386" i="6" s="1"/>
  <c r="AA386" i="6"/>
  <c r="W386" i="6"/>
  <c r="X386" i="6" s="1"/>
  <c r="U386" i="6"/>
  <c r="R386" i="6"/>
  <c r="O386" i="6"/>
  <c r="N386" i="6"/>
  <c r="L386" i="6"/>
  <c r="I386" i="6"/>
  <c r="H386" i="6"/>
  <c r="F386" i="6"/>
  <c r="C386" i="6"/>
  <c r="AC385" i="6"/>
  <c r="AD385" i="6" s="1"/>
  <c r="AA385" i="6"/>
  <c r="X385" i="6"/>
  <c r="W385" i="6"/>
  <c r="U385" i="6"/>
  <c r="R385" i="6"/>
  <c r="O385" i="6"/>
  <c r="N385" i="6"/>
  <c r="L385" i="6"/>
  <c r="H385" i="6"/>
  <c r="I385" i="6" s="1"/>
  <c r="F385" i="6"/>
  <c r="C385" i="6"/>
  <c r="AD383" i="6"/>
  <c r="AC383" i="6"/>
  <c r="AA383" i="6"/>
  <c r="X383" i="6"/>
  <c r="W383" i="6"/>
  <c r="U383" i="6"/>
  <c r="R383" i="6"/>
  <c r="N383" i="6"/>
  <c r="O383" i="6" s="1"/>
  <c r="L383" i="6"/>
  <c r="H383" i="6"/>
  <c r="I383" i="6" s="1"/>
  <c r="F383" i="6"/>
  <c r="C383" i="6"/>
  <c r="AC382" i="6"/>
  <c r="AD382" i="6" s="1"/>
  <c r="AA382" i="6"/>
  <c r="W382" i="6"/>
  <c r="U382" i="6"/>
  <c r="R382" i="6"/>
  <c r="N382" i="6"/>
  <c r="O382" i="6" s="1"/>
  <c r="L382" i="6"/>
  <c r="I382" i="6"/>
  <c r="H382" i="6"/>
  <c r="F382" i="6"/>
  <c r="C382" i="6"/>
  <c r="AC381" i="6"/>
  <c r="AD381" i="6" s="1"/>
  <c r="AA381" i="6"/>
  <c r="W381" i="6"/>
  <c r="X381" i="6" s="1"/>
  <c r="U381" i="6"/>
  <c r="R381" i="6"/>
  <c r="O381" i="6"/>
  <c r="N381" i="6"/>
  <c r="L381" i="6"/>
  <c r="H381" i="6"/>
  <c r="I381" i="6" s="1"/>
  <c r="F381" i="6"/>
  <c r="C381" i="6"/>
  <c r="AC380" i="6"/>
  <c r="AD380" i="6" s="1"/>
  <c r="AA380" i="6"/>
  <c r="W380" i="6"/>
  <c r="X380" i="6" s="1"/>
  <c r="U380" i="6"/>
  <c r="R380" i="6"/>
  <c r="O380" i="6"/>
  <c r="N380" i="6"/>
  <c r="L380" i="6"/>
  <c r="H380" i="6"/>
  <c r="I380" i="6" s="1"/>
  <c r="F380" i="6"/>
  <c r="C380" i="6"/>
  <c r="AD379" i="6"/>
  <c r="AC379" i="6"/>
  <c r="AA379" i="6"/>
  <c r="X379" i="6"/>
  <c r="W379" i="6"/>
  <c r="U379" i="6"/>
  <c r="R379" i="6"/>
  <c r="O379" i="6"/>
  <c r="N379" i="6"/>
  <c r="L379" i="6"/>
  <c r="H379" i="6"/>
  <c r="I379" i="6" s="1"/>
  <c r="F379" i="6"/>
  <c r="C379" i="6"/>
  <c r="AD378" i="6"/>
  <c r="AC378" i="6"/>
  <c r="AA378" i="6"/>
  <c r="W378" i="6"/>
  <c r="U378" i="6"/>
  <c r="R378" i="6"/>
  <c r="O378" i="6"/>
  <c r="N378" i="6"/>
  <c r="L378" i="6"/>
  <c r="I378" i="6"/>
  <c r="H378" i="6"/>
  <c r="F378" i="6"/>
  <c r="C378" i="6"/>
  <c r="AC377" i="6"/>
  <c r="AD377" i="6" s="1"/>
  <c r="AA377" i="6"/>
  <c r="W377" i="6"/>
  <c r="X377" i="6" s="1"/>
  <c r="U377" i="6"/>
  <c r="R377" i="6"/>
  <c r="O377" i="6"/>
  <c r="N377" i="6"/>
  <c r="L377" i="6"/>
  <c r="I377" i="6"/>
  <c r="H377" i="6"/>
  <c r="F377" i="6"/>
  <c r="C377" i="6"/>
  <c r="AC376" i="6"/>
  <c r="AD376" i="6" s="1"/>
  <c r="AA376" i="6"/>
  <c r="W376" i="6"/>
  <c r="X376" i="6" s="1"/>
  <c r="U376" i="6"/>
  <c r="R376" i="6"/>
  <c r="O376" i="6"/>
  <c r="N376" i="6"/>
  <c r="L376" i="6"/>
  <c r="H376" i="6"/>
  <c r="I376" i="6" s="1"/>
  <c r="F376" i="6"/>
  <c r="C376" i="6"/>
  <c r="AD375" i="6"/>
  <c r="AC375" i="6"/>
  <c r="AA375" i="6"/>
  <c r="X375" i="6"/>
  <c r="W375" i="6"/>
  <c r="U375" i="6"/>
  <c r="R375" i="6"/>
  <c r="N375" i="6"/>
  <c r="O375" i="6" s="1"/>
  <c r="L375" i="6"/>
  <c r="H375" i="6"/>
  <c r="I375" i="6" s="1"/>
  <c r="F375" i="6"/>
  <c r="C375" i="6"/>
  <c r="AC374" i="6"/>
  <c r="AD374" i="6" s="1"/>
  <c r="AA374" i="6"/>
  <c r="W374" i="6"/>
  <c r="U374" i="6"/>
  <c r="R374" i="6"/>
  <c r="N374" i="6"/>
  <c r="O374" i="6" s="1"/>
  <c r="L374" i="6"/>
  <c r="I374" i="6"/>
  <c r="H374" i="6"/>
  <c r="F374" i="6"/>
  <c r="C374" i="6"/>
  <c r="AC373" i="6"/>
  <c r="AD373" i="6" s="1"/>
  <c r="AA373" i="6"/>
  <c r="X373" i="6"/>
  <c r="W373" i="6"/>
  <c r="U373" i="6"/>
  <c r="R373" i="6"/>
  <c r="O373" i="6"/>
  <c r="N373" i="6"/>
  <c r="L373" i="6"/>
  <c r="H373" i="6"/>
  <c r="I373" i="6" s="1"/>
  <c r="F373" i="6"/>
  <c r="C373" i="6"/>
  <c r="AC372" i="6"/>
  <c r="AD372" i="6" s="1"/>
  <c r="AA372" i="6"/>
  <c r="W372" i="6"/>
  <c r="X372" i="6" s="1"/>
  <c r="U372" i="6"/>
  <c r="R372" i="6"/>
  <c r="O372" i="6"/>
  <c r="N372" i="6"/>
  <c r="L372" i="6"/>
  <c r="H372" i="6"/>
  <c r="I372" i="6" s="1"/>
  <c r="F372" i="6"/>
  <c r="C372" i="6"/>
  <c r="AD371" i="6"/>
  <c r="AC371" i="6"/>
  <c r="AA371" i="6"/>
  <c r="X371" i="6"/>
  <c r="W371" i="6"/>
  <c r="U371" i="6"/>
  <c r="R371" i="6"/>
  <c r="O371" i="6"/>
  <c r="N371" i="6"/>
  <c r="L371" i="6"/>
  <c r="H371" i="6"/>
  <c r="I371" i="6" s="1"/>
  <c r="F371" i="6"/>
  <c r="C371" i="6"/>
  <c r="AD370" i="6"/>
  <c r="AC370" i="6"/>
  <c r="AA370" i="6"/>
  <c r="W370" i="6"/>
  <c r="U370" i="6"/>
  <c r="R370" i="6"/>
  <c r="N370" i="6"/>
  <c r="O370" i="6" s="1"/>
  <c r="L370" i="6"/>
  <c r="I370" i="6"/>
  <c r="H370" i="6"/>
  <c r="F370" i="6"/>
  <c r="C370" i="6"/>
  <c r="AC369" i="6"/>
  <c r="AD369" i="6" s="1"/>
  <c r="AA369" i="6"/>
  <c r="W369" i="6"/>
  <c r="X369" i="6" s="1"/>
  <c r="U369" i="6"/>
  <c r="R369" i="6"/>
  <c r="O369" i="6"/>
  <c r="N369" i="6"/>
  <c r="L369" i="6"/>
  <c r="H369" i="6"/>
  <c r="I369" i="6" s="1"/>
  <c r="F369" i="6"/>
  <c r="C369" i="6"/>
  <c r="Z368" i="6"/>
  <c r="AA368" i="6" s="1"/>
  <c r="U368" i="6"/>
  <c r="T368" i="6"/>
  <c r="Q368" i="6"/>
  <c r="R368" i="6" s="1"/>
  <c r="N368" i="6"/>
  <c r="O368" i="6" s="1"/>
  <c r="L368" i="6"/>
  <c r="K368" i="6"/>
  <c r="E368" i="6"/>
  <c r="F368" i="6" s="1"/>
  <c r="B368" i="6"/>
  <c r="AC367" i="6"/>
  <c r="AD367" i="6" s="1"/>
  <c r="AA367" i="6"/>
  <c r="W367" i="6"/>
  <c r="U367" i="6"/>
  <c r="R367" i="6"/>
  <c r="N367" i="6"/>
  <c r="O367" i="6" s="1"/>
  <c r="L367" i="6"/>
  <c r="I367" i="6"/>
  <c r="H367" i="6"/>
  <c r="F367" i="6"/>
  <c r="C367" i="6"/>
  <c r="AC366" i="6"/>
  <c r="AD366" i="6" s="1"/>
  <c r="AA366" i="6"/>
  <c r="W366" i="6"/>
  <c r="X366" i="6" s="1"/>
  <c r="U366" i="6"/>
  <c r="R366" i="6"/>
  <c r="O366" i="6"/>
  <c r="N366" i="6"/>
  <c r="L366" i="6"/>
  <c r="H366" i="6"/>
  <c r="I366" i="6" s="1"/>
  <c r="F366" i="6"/>
  <c r="C366" i="6"/>
  <c r="AC365" i="6"/>
  <c r="AD365" i="6" s="1"/>
  <c r="AA365" i="6"/>
  <c r="W365" i="6"/>
  <c r="X365" i="6" s="1"/>
  <c r="U365" i="6"/>
  <c r="R365" i="6"/>
  <c r="O365" i="6"/>
  <c r="N365" i="6"/>
  <c r="L365" i="6"/>
  <c r="H365" i="6"/>
  <c r="I365" i="6" s="1"/>
  <c r="F365" i="6"/>
  <c r="C365" i="6"/>
  <c r="AD364" i="6"/>
  <c r="AC364" i="6"/>
  <c r="AA364" i="6"/>
  <c r="X364" i="6"/>
  <c r="W364" i="6"/>
  <c r="U364" i="6"/>
  <c r="R364" i="6"/>
  <c r="O364" i="6"/>
  <c r="N364" i="6"/>
  <c r="L364" i="6"/>
  <c r="H364" i="6"/>
  <c r="I364" i="6" s="1"/>
  <c r="F364" i="6"/>
  <c r="C364" i="6"/>
  <c r="AD363" i="6"/>
  <c r="AC363" i="6"/>
  <c r="AA363" i="6"/>
  <c r="W363" i="6"/>
  <c r="U363" i="6"/>
  <c r="R363" i="6"/>
  <c r="N363" i="6"/>
  <c r="O363" i="6" s="1"/>
  <c r="L363" i="6"/>
  <c r="I363" i="6"/>
  <c r="H363" i="6"/>
  <c r="F363" i="6"/>
  <c r="C363" i="6"/>
  <c r="AC362" i="6"/>
  <c r="AD362" i="6" s="1"/>
  <c r="AA362" i="6"/>
  <c r="X362" i="6"/>
  <c r="W362" i="6"/>
  <c r="U362" i="6"/>
  <c r="R362" i="6"/>
  <c r="O362" i="6"/>
  <c r="N362" i="6"/>
  <c r="L362" i="6"/>
  <c r="H362" i="6"/>
  <c r="I362" i="6" s="1"/>
  <c r="F362" i="6"/>
  <c r="C362" i="6"/>
  <c r="AC361" i="6"/>
  <c r="AD361" i="6" s="1"/>
  <c r="AA361" i="6"/>
  <c r="W361" i="6"/>
  <c r="X361" i="6" s="1"/>
  <c r="U361" i="6"/>
  <c r="R361" i="6"/>
  <c r="O361" i="6"/>
  <c r="N361" i="6"/>
  <c r="L361" i="6"/>
  <c r="H361" i="6"/>
  <c r="I361" i="6" s="1"/>
  <c r="F361" i="6"/>
  <c r="C361" i="6"/>
  <c r="AD360" i="6"/>
  <c r="AC360" i="6"/>
  <c r="AA360" i="6"/>
  <c r="X360" i="6"/>
  <c r="W360" i="6"/>
  <c r="U360" i="6"/>
  <c r="R360" i="6"/>
  <c r="N360" i="6"/>
  <c r="O360" i="6" s="1"/>
  <c r="L360" i="6"/>
  <c r="H360" i="6"/>
  <c r="I360" i="6" s="1"/>
  <c r="F360" i="6"/>
  <c r="C360" i="6"/>
  <c r="AA358" i="6"/>
  <c r="Z358" i="6"/>
  <c r="T358" i="6"/>
  <c r="U358" i="6" s="1"/>
  <c r="Q358" i="6"/>
  <c r="K358" i="6"/>
  <c r="L358" i="6" s="1"/>
  <c r="E358" i="6"/>
  <c r="F358" i="6" s="1"/>
  <c r="B358" i="6"/>
  <c r="AC357" i="6"/>
  <c r="AD357" i="6" s="1"/>
  <c r="AA357" i="6"/>
  <c r="W357" i="6"/>
  <c r="X357" i="6" s="1"/>
  <c r="U357" i="6"/>
  <c r="R357" i="6"/>
  <c r="O357" i="6"/>
  <c r="N357" i="6"/>
  <c r="L357" i="6"/>
  <c r="H357" i="6"/>
  <c r="I357" i="6" s="1"/>
  <c r="F357" i="6"/>
  <c r="C357" i="6"/>
  <c r="AC356" i="6"/>
  <c r="AD356" i="6" s="1"/>
  <c r="AA356" i="6"/>
  <c r="X356" i="6"/>
  <c r="W356" i="6"/>
  <c r="U356" i="6"/>
  <c r="R356" i="6"/>
  <c r="N356" i="6"/>
  <c r="O356" i="6" s="1"/>
  <c r="L356" i="6"/>
  <c r="H356" i="6"/>
  <c r="I356" i="6" s="1"/>
  <c r="F356" i="6"/>
  <c r="C356" i="6"/>
  <c r="AC355" i="6"/>
  <c r="AD355" i="6" s="1"/>
  <c r="AA355" i="6"/>
  <c r="X355" i="6"/>
  <c r="W355" i="6"/>
  <c r="U355" i="6"/>
  <c r="R355" i="6"/>
  <c r="N355" i="6"/>
  <c r="O355" i="6" s="1"/>
  <c r="L355" i="6"/>
  <c r="H355" i="6"/>
  <c r="I355" i="6" s="1"/>
  <c r="F355" i="6"/>
  <c r="C355" i="6"/>
  <c r="AC354" i="6"/>
  <c r="AD354" i="6" s="1"/>
  <c r="AA354" i="6"/>
  <c r="W354" i="6"/>
  <c r="X354" i="6" s="1"/>
  <c r="U354" i="6"/>
  <c r="R354" i="6"/>
  <c r="O354" i="6"/>
  <c r="N354" i="6"/>
  <c r="L354" i="6"/>
  <c r="H354" i="6"/>
  <c r="I354" i="6" s="1"/>
  <c r="F354" i="6"/>
  <c r="C354" i="6"/>
  <c r="AC353" i="6"/>
  <c r="AD353" i="6" s="1"/>
  <c r="AA353" i="6"/>
  <c r="W353" i="6"/>
  <c r="X353" i="6" s="1"/>
  <c r="U353" i="6"/>
  <c r="R353" i="6"/>
  <c r="O353" i="6"/>
  <c r="N353" i="6"/>
  <c r="L353" i="6"/>
  <c r="H353" i="6"/>
  <c r="I353" i="6" s="1"/>
  <c r="F353" i="6"/>
  <c r="C353" i="6"/>
  <c r="AC352" i="6"/>
  <c r="AD352" i="6" s="1"/>
  <c r="AA352" i="6"/>
  <c r="X352" i="6"/>
  <c r="W352" i="6"/>
  <c r="U352" i="6"/>
  <c r="R352" i="6"/>
  <c r="O352" i="6"/>
  <c r="N352" i="6"/>
  <c r="L352" i="6"/>
  <c r="H352" i="6"/>
  <c r="I352" i="6" s="1"/>
  <c r="F352" i="6"/>
  <c r="C352" i="6"/>
  <c r="AD351" i="6"/>
  <c r="AC351" i="6"/>
  <c r="AA351" i="6"/>
  <c r="X351" i="6"/>
  <c r="W351" i="6"/>
  <c r="U351" i="6"/>
  <c r="R351" i="6"/>
  <c r="N351" i="6"/>
  <c r="O351" i="6" s="1"/>
  <c r="L351" i="6"/>
  <c r="I351" i="6"/>
  <c r="H351" i="6"/>
  <c r="F351" i="6"/>
  <c r="C351" i="6"/>
  <c r="AC350" i="6"/>
  <c r="AD350" i="6" s="1"/>
  <c r="AA350" i="6"/>
  <c r="X350" i="6"/>
  <c r="W350" i="6"/>
  <c r="U350" i="6"/>
  <c r="R350" i="6"/>
  <c r="O350" i="6"/>
  <c r="N350" i="6"/>
  <c r="L350" i="6"/>
  <c r="H350" i="6"/>
  <c r="I350" i="6" s="1"/>
  <c r="F350" i="6"/>
  <c r="C350" i="6"/>
  <c r="AC349" i="6"/>
  <c r="AD349" i="6" s="1"/>
  <c r="AA349" i="6"/>
  <c r="W349" i="6"/>
  <c r="X349" i="6" s="1"/>
  <c r="U349" i="6"/>
  <c r="R349" i="6"/>
  <c r="O349" i="6"/>
  <c r="N349" i="6"/>
  <c r="L349" i="6"/>
  <c r="H349" i="6"/>
  <c r="I349" i="6" s="1"/>
  <c r="F349" i="6"/>
  <c r="C349" i="6"/>
  <c r="AC347" i="6"/>
  <c r="AD347" i="6" s="1"/>
  <c r="AA347" i="6"/>
  <c r="X347" i="6"/>
  <c r="W347" i="6"/>
  <c r="U347" i="6"/>
  <c r="R347" i="6"/>
  <c r="N347" i="6"/>
  <c r="O347" i="6" s="1"/>
  <c r="L347" i="6"/>
  <c r="H347" i="6"/>
  <c r="I347" i="6" s="1"/>
  <c r="F347" i="6"/>
  <c r="C347" i="6"/>
  <c r="Z344" i="6"/>
  <c r="AA344" i="6" s="1"/>
  <c r="U344" i="6"/>
  <c r="T344" i="6"/>
  <c r="Q344" i="6"/>
  <c r="K344" i="6"/>
  <c r="L344" i="6" s="1"/>
  <c r="E344" i="6"/>
  <c r="F344" i="6" s="1"/>
  <c r="B344" i="6"/>
  <c r="C344" i="6" s="1"/>
  <c r="Z343" i="6"/>
  <c r="AA343" i="6" s="1"/>
  <c r="T343" i="6"/>
  <c r="U343" i="6" s="1"/>
  <c r="R343" i="6"/>
  <c r="Q343" i="6"/>
  <c r="AC343" i="6" s="1"/>
  <c r="AD343" i="6" s="1"/>
  <c r="K343" i="6"/>
  <c r="L343" i="6" s="1"/>
  <c r="E343" i="6"/>
  <c r="H343" i="6" s="1"/>
  <c r="I343" i="6" s="1"/>
  <c r="C343" i="6"/>
  <c r="B343" i="6"/>
  <c r="N343" i="6" s="1"/>
  <c r="O343" i="6" s="1"/>
  <c r="AC342" i="6"/>
  <c r="AD342" i="6" s="1"/>
  <c r="Z342" i="6"/>
  <c r="AA342" i="6" s="1"/>
  <c r="T342" i="6"/>
  <c r="U342" i="6" s="1"/>
  <c r="Q342" i="6"/>
  <c r="R342" i="6" s="1"/>
  <c r="L342" i="6"/>
  <c r="K342" i="6"/>
  <c r="E342" i="6"/>
  <c r="F342" i="6" s="1"/>
  <c r="B342" i="6"/>
  <c r="C342" i="6" s="1"/>
  <c r="AD341" i="6"/>
  <c r="AC341" i="6"/>
  <c r="AA341" i="6"/>
  <c r="X341" i="6"/>
  <c r="W341" i="6"/>
  <c r="U341" i="6"/>
  <c r="R341" i="6"/>
  <c r="O341" i="6"/>
  <c r="N341" i="6"/>
  <c r="L341" i="6"/>
  <c r="I341" i="6"/>
  <c r="H341" i="6"/>
  <c r="F341" i="6"/>
  <c r="C341" i="6"/>
  <c r="AC340" i="6"/>
  <c r="AD340" i="6" s="1"/>
  <c r="AA340" i="6"/>
  <c r="X340" i="6"/>
  <c r="W340" i="6"/>
  <c r="U340" i="6"/>
  <c r="R340" i="6"/>
  <c r="O340" i="6"/>
  <c r="N340" i="6"/>
  <c r="L340" i="6"/>
  <c r="I340" i="6"/>
  <c r="H340" i="6"/>
  <c r="F340" i="6"/>
  <c r="C340" i="6"/>
  <c r="AC339" i="6"/>
  <c r="AD339" i="6" s="1"/>
  <c r="AA339" i="6"/>
  <c r="W339" i="6"/>
  <c r="X339" i="6" s="1"/>
  <c r="U339" i="6"/>
  <c r="R339" i="6"/>
  <c r="O339" i="6"/>
  <c r="N339" i="6"/>
  <c r="L339" i="6"/>
  <c r="H339" i="6"/>
  <c r="I339" i="6" s="1"/>
  <c r="F339" i="6"/>
  <c r="C339" i="6"/>
  <c r="AD338" i="6"/>
  <c r="AC338" i="6"/>
  <c r="AA338" i="6"/>
  <c r="X338" i="6"/>
  <c r="W338" i="6"/>
  <c r="U338" i="6"/>
  <c r="R338" i="6"/>
  <c r="N338" i="6"/>
  <c r="O338" i="6" s="1"/>
  <c r="L338" i="6"/>
  <c r="H338" i="6"/>
  <c r="I338" i="6" s="1"/>
  <c r="F338" i="6"/>
  <c r="C338" i="6"/>
  <c r="AC337" i="6"/>
  <c r="AD337" i="6" s="1"/>
  <c r="AA337" i="6"/>
  <c r="X337" i="6"/>
  <c r="W337" i="6"/>
  <c r="U337" i="6"/>
  <c r="R337" i="6"/>
  <c r="N337" i="6"/>
  <c r="O337" i="6" s="1"/>
  <c r="L337" i="6"/>
  <c r="H337" i="6"/>
  <c r="I337" i="6" s="1"/>
  <c r="F337" i="6"/>
  <c r="C337" i="6"/>
  <c r="AC335" i="6"/>
  <c r="AD335" i="6" s="1"/>
  <c r="AA335" i="6"/>
  <c r="W335" i="6"/>
  <c r="X335" i="6" s="1"/>
  <c r="U335" i="6"/>
  <c r="R335" i="6"/>
  <c r="O335" i="6"/>
  <c r="N335" i="6"/>
  <c r="L335" i="6"/>
  <c r="H335" i="6"/>
  <c r="I335" i="6" s="1"/>
  <c r="F335" i="6"/>
  <c r="C335" i="6"/>
  <c r="AC334" i="6"/>
  <c r="AD334" i="6" s="1"/>
  <c r="AA334" i="6"/>
  <c r="W334" i="6"/>
  <c r="X334" i="6" s="1"/>
  <c r="U334" i="6"/>
  <c r="R334" i="6"/>
  <c r="O334" i="6"/>
  <c r="N334" i="6"/>
  <c r="L334" i="6"/>
  <c r="H334" i="6"/>
  <c r="I334" i="6" s="1"/>
  <c r="F334" i="6"/>
  <c r="C334" i="6"/>
  <c r="AC333" i="6"/>
  <c r="AD333" i="6" s="1"/>
  <c r="AA333" i="6"/>
  <c r="X333" i="6"/>
  <c r="W333" i="6"/>
  <c r="U333" i="6"/>
  <c r="R333" i="6"/>
  <c r="O333" i="6"/>
  <c r="N333" i="6"/>
  <c r="L333" i="6"/>
  <c r="H333" i="6"/>
  <c r="I333" i="6" s="1"/>
  <c r="F333" i="6"/>
  <c r="C333" i="6"/>
  <c r="AC332" i="6"/>
  <c r="AD332" i="6" s="1"/>
  <c r="AA332" i="6"/>
  <c r="W332" i="6"/>
  <c r="X332" i="6" s="1"/>
  <c r="U332" i="6"/>
  <c r="R332" i="6"/>
  <c r="O332" i="6"/>
  <c r="N332" i="6"/>
  <c r="L332" i="6"/>
  <c r="H332" i="6"/>
  <c r="I332" i="6" s="1"/>
  <c r="F332" i="6"/>
  <c r="C332" i="6"/>
  <c r="AC331" i="6"/>
  <c r="AD331" i="6" s="1"/>
  <c r="AA331" i="6"/>
  <c r="W331" i="6"/>
  <c r="X331" i="6" s="1"/>
  <c r="U331" i="6"/>
  <c r="R331" i="6"/>
  <c r="O331" i="6"/>
  <c r="N331" i="6"/>
  <c r="L331" i="6"/>
  <c r="I331" i="6"/>
  <c r="H331" i="6"/>
  <c r="F331" i="6"/>
  <c r="C331" i="6"/>
  <c r="AC330" i="6"/>
  <c r="AD330" i="6" s="1"/>
  <c r="AA330" i="6"/>
  <c r="W330" i="6"/>
  <c r="X330" i="6" s="1"/>
  <c r="U330" i="6"/>
  <c r="R330" i="6"/>
  <c r="N330" i="6"/>
  <c r="O330" i="6" s="1"/>
  <c r="L330" i="6"/>
  <c r="H330" i="6"/>
  <c r="I330" i="6" s="1"/>
  <c r="F330" i="6"/>
  <c r="C330" i="6"/>
  <c r="AC329" i="6"/>
  <c r="AD329" i="6" s="1"/>
  <c r="AA329" i="6"/>
  <c r="X329" i="6"/>
  <c r="W329" i="6"/>
  <c r="U329" i="6"/>
  <c r="R329" i="6"/>
  <c r="O329" i="6"/>
  <c r="N329" i="6"/>
  <c r="L329" i="6"/>
  <c r="H329" i="6"/>
  <c r="I329" i="6" s="1"/>
  <c r="F329" i="6"/>
  <c r="C329" i="6"/>
  <c r="AC328" i="6"/>
  <c r="AD328" i="6" s="1"/>
  <c r="AA328" i="6"/>
  <c r="X328" i="6"/>
  <c r="W328" i="6"/>
  <c r="U328" i="6"/>
  <c r="R328" i="6"/>
  <c r="N328" i="6"/>
  <c r="O328" i="6" s="1"/>
  <c r="L328" i="6"/>
  <c r="H328" i="6"/>
  <c r="I328" i="6" s="1"/>
  <c r="F328" i="6"/>
  <c r="C328" i="6"/>
  <c r="Z325" i="6"/>
  <c r="AA325" i="6" s="1"/>
  <c r="U325" i="6"/>
  <c r="T325" i="6"/>
  <c r="Q325" i="6"/>
  <c r="R325" i="6" s="1"/>
  <c r="L325" i="6"/>
  <c r="K325" i="6"/>
  <c r="N325" i="6" s="1"/>
  <c r="O325" i="6" s="1"/>
  <c r="H325" i="6"/>
  <c r="I325" i="6" s="1"/>
  <c r="E325" i="6"/>
  <c r="F325" i="6" s="1"/>
  <c r="B325" i="6"/>
  <c r="C325" i="6" s="1"/>
  <c r="AC324" i="6"/>
  <c r="AD324" i="6" s="1"/>
  <c r="AA324" i="6"/>
  <c r="Z324" i="6"/>
  <c r="W324" i="6"/>
  <c r="X324" i="6" s="1"/>
  <c r="T324" i="6"/>
  <c r="U324" i="6" s="1"/>
  <c r="Q324" i="6"/>
  <c r="R324" i="6" s="1"/>
  <c r="K324" i="6"/>
  <c r="L324" i="6" s="1"/>
  <c r="E324" i="6"/>
  <c r="F324" i="6" s="1"/>
  <c r="B324" i="6"/>
  <c r="H324" i="6" s="1"/>
  <c r="I324" i="6" s="1"/>
  <c r="AC323" i="6"/>
  <c r="AD323" i="6" s="1"/>
  <c r="AA323" i="6"/>
  <c r="X323" i="6"/>
  <c r="W323" i="6"/>
  <c r="U323" i="6"/>
  <c r="R323" i="6"/>
  <c r="O323" i="6"/>
  <c r="N323" i="6"/>
  <c r="L323" i="6"/>
  <c r="H323" i="6"/>
  <c r="I323" i="6" s="1"/>
  <c r="F323" i="6"/>
  <c r="C323" i="6"/>
  <c r="AC322" i="6"/>
  <c r="AD322" i="6" s="1"/>
  <c r="AA322" i="6"/>
  <c r="X322" i="6"/>
  <c r="W322" i="6"/>
  <c r="U322" i="6"/>
  <c r="R322" i="6"/>
  <c r="N322" i="6"/>
  <c r="O322" i="6" s="1"/>
  <c r="L322" i="6"/>
  <c r="H322" i="6"/>
  <c r="I322" i="6" s="1"/>
  <c r="F322" i="6"/>
  <c r="C322" i="6"/>
  <c r="AD321" i="6"/>
  <c r="AC321" i="6"/>
  <c r="AA321" i="6"/>
  <c r="X321" i="6"/>
  <c r="W321" i="6"/>
  <c r="U321" i="6"/>
  <c r="R321" i="6"/>
  <c r="N321" i="6"/>
  <c r="O321" i="6" s="1"/>
  <c r="L321" i="6"/>
  <c r="H321" i="6"/>
  <c r="I321" i="6" s="1"/>
  <c r="F321" i="6"/>
  <c r="C321" i="6"/>
  <c r="AD320" i="6"/>
  <c r="AC320" i="6"/>
  <c r="AA320" i="6"/>
  <c r="W320" i="6"/>
  <c r="X320" i="6" s="1"/>
  <c r="U320" i="6"/>
  <c r="R320" i="6"/>
  <c r="N320" i="6"/>
  <c r="O320" i="6" s="1"/>
  <c r="L320" i="6"/>
  <c r="I320" i="6"/>
  <c r="H320" i="6"/>
  <c r="F320" i="6"/>
  <c r="C320" i="6"/>
  <c r="AC319" i="6"/>
  <c r="AD319" i="6" s="1"/>
  <c r="AA319" i="6"/>
  <c r="X319" i="6"/>
  <c r="W319" i="6"/>
  <c r="U319" i="6"/>
  <c r="R319" i="6"/>
  <c r="O319" i="6"/>
  <c r="N319" i="6"/>
  <c r="L319" i="6"/>
  <c r="H319" i="6"/>
  <c r="I319" i="6" s="1"/>
  <c r="F319" i="6"/>
  <c r="C319" i="6"/>
  <c r="AC318" i="6"/>
  <c r="AD318" i="6" s="1"/>
  <c r="AA318" i="6"/>
  <c r="W318" i="6"/>
  <c r="X318" i="6" s="1"/>
  <c r="U318" i="6"/>
  <c r="R318" i="6"/>
  <c r="O318" i="6"/>
  <c r="N318" i="6"/>
  <c r="L318" i="6"/>
  <c r="H318" i="6"/>
  <c r="I318" i="6" s="1"/>
  <c r="F318" i="6"/>
  <c r="C318" i="6"/>
  <c r="AD317" i="6"/>
  <c r="AC317" i="6"/>
  <c r="AA317" i="6"/>
  <c r="X317" i="6"/>
  <c r="W317" i="6"/>
  <c r="U317" i="6"/>
  <c r="R317" i="6"/>
  <c r="O317" i="6"/>
  <c r="N317" i="6"/>
  <c r="L317" i="6"/>
  <c r="I317" i="6"/>
  <c r="H317" i="6"/>
  <c r="F317" i="6"/>
  <c r="C317" i="6"/>
  <c r="AC316" i="6"/>
  <c r="AD316" i="6" s="1"/>
  <c r="AA316" i="6"/>
  <c r="W316" i="6"/>
  <c r="X316" i="6" s="1"/>
  <c r="U316" i="6"/>
  <c r="R316" i="6"/>
  <c r="N316" i="6"/>
  <c r="O316" i="6" s="1"/>
  <c r="L316" i="6"/>
  <c r="I316" i="6"/>
  <c r="H316" i="6"/>
  <c r="F316" i="6"/>
  <c r="C316" i="6"/>
  <c r="AC315" i="6"/>
  <c r="AD315" i="6" s="1"/>
  <c r="AA315" i="6"/>
  <c r="W315" i="6"/>
  <c r="X315" i="6" s="1"/>
  <c r="U315" i="6"/>
  <c r="R315" i="6"/>
  <c r="N315" i="6"/>
  <c r="O315" i="6" s="1"/>
  <c r="L315" i="6"/>
  <c r="H315" i="6"/>
  <c r="I315" i="6" s="1"/>
  <c r="F315" i="6"/>
  <c r="C315" i="6"/>
  <c r="AD314" i="6"/>
  <c r="AC314" i="6"/>
  <c r="AA314" i="6"/>
  <c r="W314" i="6"/>
  <c r="X314" i="6" s="1"/>
  <c r="U314" i="6"/>
  <c r="R314" i="6"/>
  <c r="N314" i="6"/>
  <c r="O314" i="6" s="1"/>
  <c r="L314" i="6"/>
  <c r="H314" i="6"/>
  <c r="I314" i="6" s="1"/>
  <c r="F314" i="6"/>
  <c r="C314" i="6"/>
  <c r="AD313" i="6"/>
  <c r="AC313" i="6"/>
  <c r="AA313" i="6"/>
  <c r="W313" i="6"/>
  <c r="X313" i="6" s="1"/>
  <c r="U313" i="6"/>
  <c r="R313" i="6"/>
  <c r="O313" i="6"/>
  <c r="N313" i="6"/>
  <c r="L313" i="6"/>
  <c r="I313" i="6"/>
  <c r="H313" i="6"/>
  <c r="F313" i="6"/>
  <c r="C313" i="6"/>
  <c r="AC312" i="6"/>
  <c r="AD312" i="6" s="1"/>
  <c r="AA312" i="6"/>
  <c r="W312" i="6"/>
  <c r="X312" i="6" s="1"/>
  <c r="U312" i="6"/>
  <c r="R312" i="6"/>
  <c r="N312" i="6"/>
  <c r="O312" i="6" s="1"/>
  <c r="L312" i="6"/>
  <c r="I312" i="6"/>
  <c r="H312" i="6"/>
  <c r="F312" i="6"/>
  <c r="C312" i="6"/>
  <c r="AC311" i="6"/>
  <c r="AD311" i="6" s="1"/>
  <c r="AA311" i="6"/>
  <c r="X311" i="6"/>
  <c r="W311" i="6"/>
  <c r="U311" i="6"/>
  <c r="R311" i="6"/>
  <c r="N311" i="6"/>
  <c r="O311" i="6" s="1"/>
  <c r="L311" i="6"/>
  <c r="I311" i="6"/>
  <c r="H311" i="6"/>
  <c r="F311" i="6"/>
  <c r="C311" i="6"/>
  <c r="AD310" i="6"/>
  <c r="AC310" i="6"/>
  <c r="AA310" i="6"/>
  <c r="W310" i="6"/>
  <c r="X310" i="6" s="1"/>
  <c r="U310" i="6"/>
  <c r="R310" i="6"/>
  <c r="N310" i="6"/>
  <c r="O310" i="6" s="1"/>
  <c r="L310" i="6"/>
  <c r="H310" i="6"/>
  <c r="I310" i="6" s="1"/>
  <c r="F310" i="6"/>
  <c r="C310" i="6"/>
  <c r="AD309" i="6"/>
  <c r="AC309" i="6"/>
  <c r="AA309" i="6"/>
  <c r="W309" i="6"/>
  <c r="X309" i="6" s="1"/>
  <c r="U309" i="6"/>
  <c r="R309" i="6"/>
  <c r="O309" i="6"/>
  <c r="N309" i="6"/>
  <c r="L309" i="6"/>
  <c r="I309" i="6"/>
  <c r="H309" i="6"/>
  <c r="F309" i="6"/>
  <c r="C309" i="6"/>
  <c r="AC308" i="6"/>
  <c r="AD308" i="6" s="1"/>
  <c r="AA308" i="6"/>
  <c r="W308" i="6"/>
  <c r="X308" i="6" s="1"/>
  <c r="U308" i="6"/>
  <c r="R308" i="6"/>
  <c r="N308" i="6"/>
  <c r="O308" i="6" s="1"/>
  <c r="L308" i="6"/>
  <c r="I308" i="6"/>
  <c r="H308" i="6"/>
  <c r="F308" i="6"/>
  <c r="C308" i="6"/>
  <c r="AC307" i="6"/>
  <c r="AD307" i="6" s="1"/>
  <c r="AA307" i="6"/>
  <c r="X307" i="6"/>
  <c r="W307" i="6"/>
  <c r="U307" i="6"/>
  <c r="R307" i="6"/>
  <c r="N307" i="6"/>
  <c r="O307" i="6" s="1"/>
  <c r="L307" i="6"/>
  <c r="I307" i="6"/>
  <c r="H307" i="6"/>
  <c r="F307" i="6"/>
  <c r="C307" i="6"/>
  <c r="AD306" i="6"/>
  <c r="AC306" i="6"/>
  <c r="AA306" i="6"/>
  <c r="W306" i="6"/>
  <c r="X306" i="6" s="1"/>
  <c r="U306" i="6"/>
  <c r="R306" i="6"/>
  <c r="N306" i="6"/>
  <c r="O306" i="6" s="1"/>
  <c r="L306" i="6"/>
  <c r="H306" i="6"/>
  <c r="I306" i="6" s="1"/>
  <c r="F306" i="6"/>
  <c r="C306" i="6"/>
  <c r="AD305" i="6"/>
  <c r="AC305" i="6"/>
  <c r="AA305" i="6"/>
  <c r="W305" i="6"/>
  <c r="X305" i="6" s="1"/>
  <c r="U305" i="6"/>
  <c r="R305" i="6"/>
  <c r="N305" i="6"/>
  <c r="O305" i="6" s="1"/>
  <c r="L305" i="6"/>
  <c r="I305" i="6"/>
  <c r="H305" i="6"/>
  <c r="F305" i="6"/>
  <c r="C305" i="6"/>
  <c r="AC304" i="6"/>
  <c r="AD304" i="6" s="1"/>
  <c r="AA304" i="6"/>
  <c r="W304" i="6"/>
  <c r="X304" i="6" s="1"/>
  <c r="U304" i="6"/>
  <c r="R304" i="6"/>
  <c r="N304" i="6"/>
  <c r="O304" i="6" s="1"/>
  <c r="L304" i="6"/>
  <c r="I304" i="6"/>
  <c r="H304" i="6"/>
  <c r="F304" i="6"/>
  <c r="C304" i="6"/>
  <c r="AC303" i="6"/>
  <c r="AD303" i="6" s="1"/>
  <c r="AA303" i="6"/>
  <c r="X303" i="6"/>
  <c r="W303" i="6"/>
  <c r="U303" i="6"/>
  <c r="R303" i="6"/>
  <c r="N303" i="6"/>
  <c r="O303" i="6" s="1"/>
  <c r="L303" i="6"/>
  <c r="I303" i="6"/>
  <c r="H303" i="6"/>
  <c r="F303" i="6"/>
  <c r="C303" i="6"/>
  <c r="AD302" i="6"/>
  <c r="AC302" i="6"/>
  <c r="AA302" i="6"/>
  <c r="W302" i="6"/>
  <c r="X302" i="6" s="1"/>
  <c r="U302" i="6"/>
  <c r="R302" i="6"/>
  <c r="N302" i="6"/>
  <c r="O302" i="6" s="1"/>
  <c r="L302" i="6"/>
  <c r="H302" i="6"/>
  <c r="I302" i="6" s="1"/>
  <c r="F302" i="6"/>
  <c r="C302" i="6"/>
  <c r="AD301" i="6"/>
  <c r="AC301" i="6"/>
  <c r="AA301" i="6"/>
  <c r="W301" i="6"/>
  <c r="X301" i="6" s="1"/>
  <c r="U301" i="6"/>
  <c r="R301" i="6"/>
  <c r="N301" i="6"/>
  <c r="O301" i="6" s="1"/>
  <c r="L301" i="6"/>
  <c r="I301" i="6"/>
  <c r="H301" i="6"/>
  <c r="F301" i="6"/>
  <c r="C301" i="6"/>
  <c r="AC300" i="6"/>
  <c r="AD300" i="6" s="1"/>
  <c r="AA300" i="6"/>
  <c r="W300" i="6"/>
  <c r="X300" i="6" s="1"/>
  <c r="U300" i="6"/>
  <c r="R300" i="6"/>
  <c r="N300" i="6"/>
  <c r="O300" i="6" s="1"/>
  <c r="L300" i="6"/>
  <c r="I300" i="6"/>
  <c r="H300" i="6"/>
  <c r="F300" i="6"/>
  <c r="C300" i="6"/>
  <c r="AC299" i="6"/>
  <c r="AD299" i="6" s="1"/>
  <c r="AA299" i="6"/>
  <c r="X299" i="6"/>
  <c r="W299" i="6"/>
  <c r="U299" i="6"/>
  <c r="R299" i="6"/>
  <c r="N299" i="6"/>
  <c r="O299" i="6" s="1"/>
  <c r="L299" i="6"/>
  <c r="I299" i="6"/>
  <c r="H299" i="6"/>
  <c r="F299" i="6"/>
  <c r="C299" i="6"/>
  <c r="AD298" i="6"/>
  <c r="AC298" i="6"/>
  <c r="AA298" i="6"/>
  <c r="W298" i="6"/>
  <c r="X298" i="6" s="1"/>
  <c r="U298" i="6"/>
  <c r="R298" i="6"/>
  <c r="N298" i="6"/>
  <c r="O298" i="6" s="1"/>
  <c r="L298" i="6"/>
  <c r="H298" i="6"/>
  <c r="I298" i="6" s="1"/>
  <c r="F298" i="6"/>
  <c r="C298" i="6"/>
  <c r="AD297" i="6"/>
  <c r="AC297" i="6"/>
  <c r="AA297" i="6"/>
  <c r="W297" i="6"/>
  <c r="X297" i="6" s="1"/>
  <c r="U297" i="6"/>
  <c r="R297" i="6"/>
  <c r="N297" i="6"/>
  <c r="O297" i="6" s="1"/>
  <c r="L297" i="6"/>
  <c r="I297" i="6"/>
  <c r="H297" i="6"/>
  <c r="F297" i="6"/>
  <c r="C297" i="6"/>
  <c r="AC295" i="6"/>
  <c r="AD295" i="6" s="1"/>
  <c r="AA295" i="6"/>
  <c r="Z295" i="6"/>
  <c r="X295" i="6"/>
  <c r="T295" i="6"/>
  <c r="U295" i="6" s="1"/>
  <c r="R295" i="6"/>
  <c r="Q295" i="6"/>
  <c r="W295" i="6" s="1"/>
  <c r="L295" i="6"/>
  <c r="K295" i="6"/>
  <c r="E295" i="6"/>
  <c r="H295" i="6" s="1"/>
  <c r="I295" i="6" s="1"/>
  <c r="C295" i="6"/>
  <c r="B295" i="6"/>
  <c r="N295" i="6" s="1"/>
  <c r="O295" i="6" s="1"/>
  <c r="AD294" i="6"/>
  <c r="AC294" i="6"/>
  <c r="AA294" i="6"/>
  <c r="W294" i="6"/>
  <c r="X294" i="6" s="1"/>
  <c r="U294" i="6"/>
  <c r="R294" i="6"/>
  <c r="N294" i="6"/>
  <c r="O294" i="6" s="1"/>
  <c r="L294" i="6"/>
  <c r="H294" i="6"/>
  <c r="I294" i="6" s="1"/>
  <c r="F294" i="6"/>
  <c r="C294" i="6"/>
  <c r="AD293" i="6"/>
  <c r="AC293" i="6"/>
  <c r="AA293" i="6"/>
  <c r="W293" i="6"/>
  <c r="X293" i="6" s="1"/>
  <c r="U293" i="6"/>
  <c r="R293" i="6"/>
  <c r="N293" i="6"/>
  <c r="O293" i="6" s="1"/>
  <c r="L293" i="6"/>
  <c r="I293" i="6"/>
  <c r="H293" i="6"/>
  <c r="F293" i="6"/>
  <c r="C293" i="6"/>
  <c r="AC292" i="6"/>
  <c r="AD292" i="6" s="1"/>
  <c r="AA292" i="6"/>
  <c r="W292" i="6"/>
  <c r="X292" i="6" s="1"/>
  <c r="U292" i="6"/>
  <c r="R292" i="6"/>
  <c r="N292" i="6"/>
  <c r="O292" i="6" s="1"/>
  <c r="L292" i="6"/>
  <c r="I292" i="6"/>
  <c r="H292" i="6"/>
  <c r="F292" i="6"/>
  <c r="C292" i="6"/>
  <c r="AC291" i="6"/>
  <c r="AD291" i="6" s="1"/>
  <c r="AA291" i="6"/>
  <c r="W291" i="6"/>
  <c r="X291" i="6" s="1"/>
  <c r="U291" i="6"/>
  <c r="R291" i="6"/>
  <c r="N291" i="6"/>
  <c r="O291" i="6" s="1"/>
  <c r="L291" i="6"/>
  <c r="H291" i="6"/>
  <c r="I291" i="6" s="1"/>
  <c r="F291" i="6"/>
  <c r="C291" i="6"/>
  <c r="AD290" i="6"/>
  <c r="AC290" i="6"/>
  <c r="AA290" i="6"/>
  <c r="W290" i="6"/>
  <c r="X290" i="6" s="1"/>
  <c r="U290" i="6"/>
  <c r="R290" i="6"/>
  <c r="N290" i="6"/>
  <c r="O290" i="6" s="1"/>
  <c r="L290" i="6"/>
  <c r="H290" i="6"/>
  <c r="I290" i="6" s="1"/>
  <c r="F290" i="6"/>
  <c r="C290" i="6"/>
  <c r="AD289" i="6"/>
  <c r="AC289" i="6"/>
  <c r="AA289" i="6"/>
  <c r="W289" i="6"/>
  <c r="X289" i="6" s="1"/>
  <c r="U289" i="6"/>
  <c r="R289" i="6"/>
  <c r="N289" i="6"/>
  <c r="O289" i="6" s="1"/>
  <c r="L289" i="6"/>
  <c r="I289" i="6"/>
  <c r="H289" i="6"/>
  <c r="F289" i="6"/>
  <c r="C289" i="6"/>
  <c r="AC288" i="6"/>
  <c r="AD288" i="6" s="1"/>
  <c r="AA288" i="6"/>
  <c r="W288" i="6"/>
  <c r="X288" i="6" s="1"/>
  <c r="U288" i="6"/>
  <c r="R288" i="6"/>
  <c r="N288" i="6"/>
  <c r="O288" i="6" s="1"/>
  <c r="L288" i="6"/>
  <c r="I288" i="6"/>
  <c r="H288" i="6"/>
  <c r="F288" i="6"/>
  <c r="C288" i="6"/>
  <c r="AC287" i="6"/>
  <c r="AD287" i="6" s="1"/>
  <c r="AA287" i="6"/>
  <c r="W287" i="6"/>
  <c r="X287" i="6" s="1"/>
  <c r="U287" i="6"/>
  <c r="R287" i="6"/>
  <c r="N287" i="6"/>
  <c r="O287" i="6" s="1"/>
  <c r="L287" i="6"/>
  <c r="H287" i="6"/>
  <c r="I287" i="6" s="1"/>
  <c r="F287" i="6"/>
  <c r="C287" i="6"/>
  <c r="AD286" i="6"/>
  <c r="AC286" i="6"/>
  <c r="AA286" i="6"/>
  <c r="W286" i="6"/>
  <c r="X286" i="6" s="1"/>
  <c r="U286" i="6"/>
  <c r="R286" i="6"/>
  <c r="N286" i="6"/>
  <c r="O286" i="6" s="1"/>
  <c r="L286" i="6"/>
  <c r="H286" i="6"/>
  <c r="I286" i="6" s="1"/>
  <c r="F286" i="6"/>
  <c r="C286" i="6"/>
  <c r="AD284" i="6"/>
  <c r="AA284" i="6"/>
  <c r="Z284" i="6"/>
  <c r="T284" i="6"/>
  <c r="R284" i="6"/>
  <c r="Q284" i="6"/>
  <c r="AC284" i="6" s="1"/>
  <c r="O284" i="6"/>
  <c r="K284" i="6"/>
  <c r="L284" i="6" s="1"/>
  <c r="H284" i="6"/>
  <c r="I284" i="6" s="1"/>
  <c r="F284" i="6"/>
  <c r="E284" i="6"/>
  <c r="C284" i="6"/>
  <c r="B284" i="6"/>
  <c r="N284" i="6" s="1"/>
  <c r="AC283" i="6"/>
  <c r="AD283" i="6" s="1"/>
  <c r="AA283" i="6"/>
  <c r="W283" i="6"/>
  <c r="X283" i="6" s="1"/>
  <c r="U283" i="6"/>
  <c r="R283" i="6"/>
  <c r="N283" i="6"/>
  <c r="O283" i="6" s="1"/>
  <c r="L283" i="6"/>
  <c r="H283" i="6"/>
  <c r="I283" i="6" s="1"/>
  <c r="F283" i="6"/>
  <c r="C283" i="6"/>
  <c r="AD282" i="6"/>
  <c r="AC282" i="6"/>
  <c r="AA282" i="6"/>
  <c r="W282" i="6"/>
  <c r="X282" i="6" s="1"/>
  <c r="U282" i="6"/>
  <c r="R282" i="6"/>
  <c r="N282" i="6"/>
  <c r="O282" i="6" s="1"/>
  <c r="L282" i="6"/>
  <c r="H282" i="6"/>
  <c r="I282" i="6" s="1"/>
  <c r="F282" i="6"/>
  <c r="C282" i="6"/>
  <c r="AD281" i="6"/>
  <c r="AC281" i="6"/>
  <c r="AA281" i="6"/>
  <c r="W281" i="6"/>
  <c r="X281" i="6" s="1"/>
  <c r="U281" i="6"/>
  <c r="R281" i="6"/>
  <c r="O281" i="6"/>
  <c r="N281" i="6"/>
  <c r="L281" i="6"/>
  <c r="I281" i="6"/>
  <c r="H281" i="6"/>
  <c r="F281" i="6"/>
  <c r="C281" i="6"/>
  <c r="AC280" i="6"/>
  <c r="AD280" i="6" s="1"/>
  <c r="AA280" i="6"/>
  <c r="W280" i="6"/>
  <c r="X280" i="6" s="1"/>
  <c r="U280" i="6"/>
  <c r="R280" i="6"/>
  <c r="N280" i="6"/>
  <c r="O280" i="6" s="1"/>
  <c r="L280" i="6"/>
  <c r="I280" i="6"/>
  <c r="H280" i="6"/>
  <c r="F280" i="6"/>
  <c r="C280" i="6"/>
  <c r="AC279" i="6"/>
  <c r="AD279" i="6" s="1"/>
  <c r="AA279" i="6"/>
  <c r="W279" i="6"/>
  <c r="X279" i="6" s="1"/>
  <c r="U279" i="6"/>
  <c r="R279" i="6"/>
  <c r="N279" i="6"/>
  <c r="O279" i="6" s="1"/>
  <c r="L279" i="6"/>
  <c r="H279" i="6"/>
  <c r="I279" i="6" s="1"/>
  <c r="F279" i="6"/>
  <c r="C279" i="6"/>
  <c r="AD278" i="6"/>
  <c r="AC278" i="6"/>
  <c r="AA278" i="6"/>
  <c r="W278" i="6"/>
  <c r="X278" i="6" s="1"/>
  <c r="U278" i="6"/>
  <c r="R278" i="6"/>
  <c r="N278" i="6"/>
  <c r="O278" i="6" s="1"/>
  <c r="L278" i="6"/>
  <c r="H278" i="6"/>
  <c r="I278" i="6" s="1"/>
  <c r="F278" i="6"/>
  <c r="C278" i="6"/>
  <c r="AD277" i="6"/>
  <c r="AC277" i="6"/>
  <c r="AA277" i="6"/>
  <c r="W277" i="6"/>
  <c r="X277" i="6" s="1"/>
  <c r="U277" i="6"/>
  <c r="R277" i="6"/>
  <c r="O277" i="6"/>
  <c r="N277" i="6"/>
  <c r="L277" i="6"/>
  <c r="I277" i="6"/>
  <c r="H277" i="6"/>
  <c r="F277" i="6"/>
  <c r="C277" i="6"/>
  <c r="AC276" i="6"/>
  <c r="AD276" i="6" s="1"/>
  <c r="AA276" i="6"/>
  <c r="W276" i="6"/>
  <c r="X276" i="6" s="1"/>
  <c r="U276" i="6"/>
  <c r="R276" i="6"/>
  <c r="N276" i="6"/>
  <c r="O276" i="6" s="1"/>
  <c r="L276" i="6"/>
  <c r="I276" i="6"/>
  <c r="H276" i="6"/>
  <c r="F276" i="6"/>
  <c r="C276" i="6"/>
  <c r="AC275" i="6"/>
  <c r="AD275" i="6" s="1"/>
  <c r="AA275" i="6"/>
  <c r="W275" i="6"/>
  <c r="X275" i="6" s="1"/>
  <c r="U275" i="6"/>
  <c r="R275" i="6"/>
  <c r="N275" i="6"/>
  <c r="O275" i="6" s="1"/>
  <c r="L275" i="6"/>
  <c r="H275" i="6"/>
  <c r="I275" i="6" s="1"/>
  <c r="F275" i="6"/>
  <c r="C275" i="6"/>
  <c r="Z273" i="6"/>
  <c r="AA273" i="6" s="1"/>
  <c r="W273" i="6"/>
  <c r="X273" i="6" s="1"/>
  <c r="U273" i="6"/>
  <c r="T273" i="6"/>
  <c r="R273" i="6"/>
  <c r="Q273" i="6"/>
  <c r="AC273" i="6" s="1"/>
  <c r="AD273" i="6" s="1"/>
  <c r="K273" i="6"/>
  <c r="L273" i="6" s="1"/>
  <c r="F273" i="6"/>
  <c r="E273" i="6"/>
  <c r="B273" i="6"/>
  <c r="C273" i="6" s="1"/>
  <c r="AC272" i="6"/>
  <c r="AD272" i="6" s="1"/>
  <c r="AA272" i="6"/>
  <c r="W272" i="6"/>
  <c r="X272" i="6" s="1"/>
  <c r="U272" i="6"/>
  <c r="R272" i="6"/>
  <c r="N272" i="6"/>
  <c r="O272" i="6" s="1"/>
  <c r="L272" i="6"/>
  <c r="I272" i="6"/>
  <c r="H272" i="6"/>
  <c r="F272" i="6"/>
  <c r="C272" i="6"/>
  <c r="AC271" i="6"/>
  <c r="AD271" i="6" s="1"/>
  <c r="AA271" i="6"/>
  <c r="W271" i="6"/>
  <c r="X271" i="6" s="1"/>
  <c r="U271" i="6"/>
  <c r="R271" i="6"/>
  <c r="N271" i="6"/>
  <c r="O271" i="6" s="1"/>
  <c r="L271" i="6"/>
  <c r="H271" i="6"/>
  <c r="I271" i="6" s="1"/>
  <c r="F271" i="6"/>
  <c r="C271" i="6"/>
  <c r="AD270" i="6"/>
  <c r="AC270" i="6"/>
  <c r="AA270" i="6"/>
  <c r="W270" i="6"/>
  <c r="X270" i="6" s="1"/>
  <c r="U270" i="6"/>
  <c r="R270" i="6"/>
  <c r="N270" i="6"/>
  <c r="O270" i="6" s="1"/>
  <c r="L270" i="6"/>
  <c r="H270" i="6"/>
  <c r="I270" i="6" s="1"/>
  <c r="F270" i="6"/>
  <c r="C270" i="6"/>
  <c r="AD269" i="6"/>
  <c r="AC269" i="6"/>
  <c r="AA269" i="6"/>
  <c r="W269" i="6"/>
  <c r="X269" i="6" s="1"/>
  <c r="U269" i="6"/>
  <c r="R269" i="6"/>
  <c r="O269" i="6"/>
  <c r="N269" i="6"/>
  <c r="L269" i="6"/>
  <c r="I269" i="6"/>
  <c r="H269" i="6"/>
  <c r="F269" i="6"/>
  <c r="C269" i="6"/>
  <c r="AC267" i="6"/>
  <c r="AD267" i="6" s="1"/>
  <c r="AA267" i="6"/>
  <c r="Z267" i="6"/>
  <c r="T267" i="6"/>
  <c r="U267" i="6" s="1"/>
  <c r="Q267" i="6"/>
  <c r="W267" i="6" s="1"/>
  <c r="X267" i="6" s="1"/>
  <c r="L267" i="6"/>
  <c r="K267" i="6"/>
  <c r="F267" i="6"/>
  <c r="E267" i="6"/>
  <c r="H267" i="6" s="1"/>
  <c r="I267" i="6" s="1"/>
  <c r="C267" i="6"/>
  <c r="B267" i="6"/>
  <c r="N267" i="6" s="1"/>
  <c r="O267" i="6" s="1"/>
  <c r="AD266" i="6"/>
  <c r="AC266" i="6"/>
  <c r="AA266" i="6"/>
  <c r="W266" i="6"/>
  <c r="X266" i="6" s="1"/>
  <c r="U266" i="6"/>
  <c r="R266" i="6"/>
  <c r="N266" i="6"/>
  <c r="O266" i="6" s="1"/>
  <c r="L266" i="6"/>
  <c r="H266" i="6"/>
  <c r="I266" i="6" s="1"/>
  <c r="F266" i="6"/>
  <c r="C266" i="6"/>
  <c r="AD265" i="6"/>
  <c r="AC265" i="6"/>
  <c r="AA265" i="6"/>
  <c r="W265" i="6"/>
  <c r="X265" i="6" s="1"/>
  <c r="U265" i="6"/>
  <c r="R265" i="6"/>
  <c r="N265" i="6"/>
  <c r="O265" i="6" s="1"/>
  <c r="L265" i="6"/>
  <c r="I265" i="6"/>
  <c r="H265" i="6"/>
  <c r="F265" i="6"/>
  <c r="C265" i="6"/>
  <c r="AA263" i="6"/>
  <c r="Z263" i="6"/>
  <c r="X263" i="6"/>
  <c r="T263" i="6"/>
  <c r="U263" i="6" s="1"/>
  <c r="Q263" i="6"/>
  <c r="W263" i="6" s="1"/>
  <c r="O263" i="6"/>
  <c r="L263" i="6"/>
  <c r="K263" i="6"/>
  <c r="E263" i="6"/>
  <c r="C263" i="6"/>
  <c r="B263" i="6"/>
  <c r="N263" i="6" s="1"/>
  <c r="AD262" i="6"/>
  <c r="Z262" i="6"/>
  <c r="AA262" i="6" s="1"/>
  <c r="W262" i="6"/>
  <c r="X262" i="6" s="1"/>
  <c r="U262" i="6"/>
  <c r="T262" i="6"/>
  <c r="R262" i="6"/>
  <c r="Q262" i="6"/>
  <c r="AC262" i="6" s="1"/>
  <c r="K262" i="6"/>
  <c r="L262" i="6" s="1"/>
  <c r="F262" i="6"/>
  <c r="E262" i="6"/>
  <c r="B262" i="6"/>
  <c r="C262" i="6" s="1"/>
  <c r="AC261" i="6"/>
  <c r="AD261" i="6" s="1"/>
  <c r="AA261" i="6"/>
  <c r="W261" i="6"/>
  <c r="X261" i="6" s="1"/>
  <c r="U261" i="6"/>
  <c r="R261" i="6"/>
  <c r="N261" i="6"/>
  <c r="O261" i="6" s="1"/>
  <c r="L261" i="6"/>
  <c r="I261" i="6"/>
  <c r="H261" i="6"/>
  <c r="F261" i="6"/>
  <c r="C261" i="6"/>
  <c r="AC260" i="6"/>
  <c r="AD260" i="6" s="1"/>
  <c r="AA260" i="6"/>
  <c r="W260" i="6"/>
  <c r="X260" i="6" s="1"/>
  <c r="U260" i="6"/>
  <c r="R260" i="6"/>
  <c r="N260" i="6"/>
  <c r="O260" i="6" s="1"/>
  <c r="L260" i="6"/>
  <c r="H260" i="6"/>
  <c r="I260" i="6" s="1"/>
  <c r="F260" i="6"/>
  <c r="C260" i="6"/>
  <c r="AD259" i="6"/>
  <c r="AC259" i="6"/>
  <c r="AA259" i="6"/>
  <c r="W259" i="6"/>
  <c r="X259" i="6" s="1"/>
  <c r="U259" i="6"/>
  <c r="R259" i="6"/>
  <c r="N259" i="6"/>
  <c r="O259" i="6" s="1"/>
  <c r="L259" i="6"/>
  <c r="H259" i="6"/>
  <c r="I259" i="6" s="1"/>
  <c r="F259" i="6"/>
  <c r="C259" i="6"/>
  <c r="AD258" i="6"/>
  <c r="AC258" i="6"/>
  <c r="AA258" i="6"/>
  <c r="W258" i="6"/>
  <c r="X258" i="6" s="1"/>
  <c r="U258" i="6"/>
  <c r="R258" i="6"/>
  <c r="N258" i="6"/>
  <c r="O258" i="6" s="1"/>
  <c r="L258" i="6"/>
  <c r="I258" i="6"/>
  <c r="H258" i="6"/>
  <c r="F258" i="6"/>
  <c r="C258" i="6"/>
  <c r="AC257" i="6"/>
  <c r="AD257" i="6" s="1"/>
  <c r="AA257" i="6"/>
  <c r="W257" i="6"/>
  <c r="X257" i="6" s="1"/>
  <c r="U257" i="6"/>
  <c r="R257" i="6"/>
  <c r="N257" i="6"/>
  <c r="O257" i="6" s="1"/>
  <c r="L257" i="6"/>
  <c r="I257" i="6"/>
  <c r="H257" i="6"/>
  <c r="F257" i="6"/>
  <c r="C257" i="6"/>
  <c r="AC256" i="6"/>
  <c r="AD256" i="6" s="1"/>
  <c r="AA256" i="6"/>
  <c r="W256" i="6"/>
  <c r="X256" i="6" s="1"/>
  <c r="U256" i="6"/>
  <c r="R256" i="6"/>
  <c r="N256" i="6"/>
  <c r="O256" i="6" s="1"/>
  <c r="L256" i="6"/>
  <c r="H256" i="6"/>
  <c r="I256" i="6" s="1"/>
  <c r="F256" i="6"/>
  <c r="C256" i="6"/>
  <c r="AD255" i="6"/>
  <c r="AC255" i="6"/>
  <c r="AA255" i="6"/>
  <c r="W255" i="6"/>
  <c r="X255" i="6" s="1"/>
  <c r="U255" i="6"/>
  <c r="R255" i="6"/>
  <c r="N255" i="6"/>
  <c r="O255" i="6" s="1"/>
  <c r="L255" i="6"/>
  <c r="H255" i="6"/>
  <c r="I255" i="6" s="1"/>
  <c r="F255" i="6"/>
  <c r="C255" i="6"/>
  <c r="AD254" i="6"/>
  <c r="AC254" i="6"/>
  <c r="AA254" i="6"/>
  <c r="W254" i="6"/>
  <c r="X254" i="6" s="1"/>
  <c r="U254" i="6"/>
  <c r="R254" i="6"/>
  <c r="N254" i="6"/>
  <c r="O254" i="6" s="1"/>
  <c r="L254" i="6"/>
  <c r="I254" i="6"/>
  <c r="H254" i="6"/>
  <c r="F254" i="6"/>
  <c r="C254" i="6"/>
  <c r="AC253" i="6"/>
  <c r="AD253" i="6" s="1"/>
  <c r="AA253" i="6"/>
  <c r="W253" i="6"/>
  <c r="X253" i="6" s="1"/>
  <c r="U253" i="6"/>
  <c r="R253" i="6"/>
  <c r="N253" i="6"/>
  <c r="O253" i="6" s="1"/>
  <c r="L253" i="6"/>
  <c r="I253" i="6"/>
  <c r="H253" i="6"/>
  <c r="F253" i="6"/>
  <c r="C253" i="6"/>
  <c r="AC252" i="6"/>
  <c r="AD252" i="6" s="1"/>
  <c r="AA252" i="6"/>
  <c r="W252" i="6"/>
  <c r="X252" i="6" s="1"/>
  <c r="U252" i="6"/>
  <c r="R252" i="6"/>
  <c r="N252" i="6"/>
  <c r="O252" i="6" s="1"/>
  <c r="L252" i="6"/>
  <c r="H252" i="6"/>
  <c r="I252" i="6" s="1"/>
  <c r="F252" i="6"/>
  <c r="C252" i="6"/>
  <c r="AD251" i="6"/>
  <c r="AC251" i="6"/>
  <c r="AA251" i="6"/>
  <c r="W251" i="6"/>
  <c r="X251" i="6" s="1"/>
  <c r="U251" i="6"/>
  <c r="R251" i="6"/>
  <c r="N251" i="6"/>
  <c r="O251" i="6" s="1"/>
  <c r="L251" i="6"/>
  <c r="H251" i="6"/>
  <c r="I251" i="6" s="1"/>
  <c r="F251" i="6"/>
  <c r="C251" i="6"/>
  <c r="AD250" i="6"/>
  <c r="AC250" i="6"/>
  <c r="AA250" i="6"/>
  <c r="W250" i="6"/>
  <c r="X250" i="6" s="1"/>
  <c r="U250" i="6"/>
  <c r="R250" i="6"/>
  <c r="N250" i="6"/>
  <c r="O250" i="6" s="1"/>
  <c r="L250" i="6"/>
  <c r="I250" i="6"/>
  <c r="H250" i="6"/>
  <c r="F250" i="6"/>
  <c r="C250" i="6"/>
  <c r="AC249" i="6"/>
  <c r="AD249" i="6" s="1"/>
  <c r="AA249" i="6"/>
  <c r="W249" i="6"/>
  <c r="X249" i="6" s="1"/>
  <c r="U249" i="6"/>
  <c r="R249" i="6"/>
  <c r="N249" i="6"/>
  <c r="O249" i="6" s="1"/>
  <c r="L249" i="6"/>
  <c r="I249" i="6"/>
  <c r="H249" i="6"/>
  <c r="F249" i="6"/>
  <c r="C249" i="6"/>
  <c r="AC248" i="6"/>
  <c r="AD248" i="6" s="1"/>
  <c r="AA248" i="6"/>
  <c r="W248" i="6"/>
  <c r="X248" i="6" s="1"/>
  <c r="U248" i="6"/>
  <c r="R248" i="6"/>
  <c r="N248" i="6"/>
  <c r="O248" i="6" s="1"/>
  <c r="L248" i="6"/>
  <c r="H248" i="6"/>
  <c r="I248" i="6" s="1"/>
  <c r="F248" i="6"/>
  <c r="C248" i="6"/>
  <c r="AD247" i="6"/>
  <c r="AC247" i="6"/>
  <c r="AA247" i="6"/>
  <c r="W247" i="6"/>
  <c r="X247" i="6" s="1"/>
  <c r="U247" i="6"/>
  <c r="R247" i="6"/>
  <c r="N247" i="6"/>
  <c r="O247" i="6" s="1"/>
  <c r="L247" i="6"/>
  <c r="H247" i="6"/>
  <c r="I247" i="6" s="1"/>
  <c r="F247" i="6"/>
  <c r="C247" i="6"/>
  <c r="AD246" i="6"/>
  <c r="AC246" i="6"/>
  <c r="AA246" i="6"/>
  <c r="W246" i="6"/>
  <c r="X246" i="6" s="1"/>
  <c r="U246" i="6"/>
  <c r="R246" i="6"/>
  <c r="N246" i="6"/>
  <c r="O246" i="6" s="1"/>
  <c r="L246" i="6"/>
  <c r="I246" i="6"/>
  <c r="H246" i="6"/>
  <c r="F246" i="6"/>
  <c r="C246" i="6"/>
  <c r="AC245" i="6"/>
  <c r="AD245" i="6" s="1"/>
  <c r="AA245" i="6"/>
  <c r="W245" i="6"/>
  <c r="X245" i="6" s="1"/>
  <c r="U245" i="6"/>
  <c r="R245" i="6"/>
  <c r="N245" i="6"/>
  <c r="O245" i="6" s="1"/>
  <c r="L245" i="6"/>
  <c r="I245" i="6"/>
  <c r="H245" i="6"/>
  <c r="F245" i="6"/>
  <c r="C245" i="6"/>
  <c r="AC244" i="6"/>
  <c r="AD244" i="6" s="1"/>
  <c r="AA244" i="6"/>
  <c r="W244" i="6"/>
  <c r="X244" i="6" s="1"/>
  <c r="U244" i="6"/>
  <c r="R244" i="6"/>
  <c r="N244" i="6"/>
  <c r="O244" i="6" s="1"/>
  <c r="L244" i="6"/>
  <c r="H244" i="6"/>
  <c r="I244" i="6" s="1"/>
  <c r="F244" i="6"/>
  <c r="C244" i="6"/>
  <c r="AD243" i="6"/>
  <c r="AC243" i="6"/>
  <c r="AA243" i="6"/>
  <c r="W243" i="6"/>
  <c r="X243" i="6" s="1"/>
  <c r="U243" i="6"/>
  <c r="R243" i="6"/>
  <c r="N243" i="6"/>
  <c r="O243" i="6" s="1"/>
  <c r="L243" i="6"/>
  <c r="H243" i="6"/>
  <c r="I243" i="6" s="1"/>
  <c r="F243" i="6"/>
  <c r="C243" i="6"/>
  <c r="AD242" i="6"/>
  <c r="AC242" i="6"/>
  <c r="AA242" i="6"/>
  <c r="W242" i="6"/>
  <c r="X242" i="6" s="1"/>
  <c r="U242" i="6"/>
  <c r="R242" i="6"/>
  <c r="N242" i="6"/>
  <c r="O242" i="6" s="1"/>
  <c r="L242" i="6"/>
  <c r="I242" i="6"/>
  <c r="H242" i="6"/>
  <c r="F242" i="6"/>
  <c r="C242" i="6"/>
  <c r="AC241" i="6"/>
  <c r="AD241" i="6" s="1"/>
  <c r="AA241" i="6"/>
  <c r="W241" i="6"/>
  <c r="X241" i="6" s="1"/>
  <c r="U241" i="6"/>
  <c r="R241" i="6"/>
  <c r="N241" i="6"/>
  <c r="O241" i="6" s="1"/>
  <c r="L241" i="6"/>
  <c r="I241" i="6"/>
  <c r="H241" i="6"/>
  <c r="F241" i="6"/>
  <c r="C241" i="6"/>
  <c r="AC240" i="6"/>
  <c r="AD240" i="6" s="1"/>
  <c r="AA240" i="6"/>
  <c r="W240" i="6"/>
  <c r="X240" i="6" s="1"/>
  <c r="U240" i="6"/>
  <c r="R240" i="6"/>
  <c r="N240" i="6"/>
  <c r="O240" i="6" s="1"/>
  <c r="L240" i="6"/>
  <c r="H240" i="6"/>
  <c r="I240" i="6" s="1"/>
  <c r="F240" i="6"/>
  <c r="C240" i="6"/>
  <c r="AD238" i="6"/>
  <c r="AC238" i="6"/>
  <c r="AA238" i="6"/>
  <c r="W238" i="6"/>
  <c r="X238" i="6" s="1"/>
  <c r="U238" i="6"/>
  <c r="R238" i="6"/>
  <c r="N238" i="6"/>
  <c r="O238" i="6" s="1"/>
  <c r="L238" i="6"/>
  <c r="H238" i="6"/>
  <c r="I238" i="6" s="1"/>
  <c r="F238" i="6"/>
  <c r="C238" i="6"/>
  <c r="AD236" i="6"/>
  <c r="AA236" i="6"/>
  <c r="Z236" i="6"/>
  <c r="T236" i="6"/>
  <c r="R236" i="6"/>
  <c r="Q236" i="6"/>
  <c r="AC236" i="6" s="1"/>
  <c r="O236" i="6"/>
  <c r="K236" i="6"/>
  <c r="L236" i="6" s="1"/>
  <c r="H236" i="6"/>
  <c r="I236" i="6" s="1"/>
  <c r="F236" i="6"/>
  <c r="E236" i="6"/>
  <c r="C236" i="6"/>
  <c r="B236" i="6"/>
  <c r="N236" i="6" s="1"/>
  <c r="AC235" i="6"/>
  <c r="AD235" i="6" s="1"/>
  <c r="AA235" i="6"/>
  <c r="W235" i="6"/>
  <c r="X235" i="6" s="1"/>
  <c r="U235" i="6"/>
  <c r="R235" i="6"/>
  <c r="N235" i="6"/>
  <c r="O235" i="6" s="1"/>
  <c r="L235" i="6"/>
  <c r="H235" i="6"/>
  <c r="I235" i="6" s="1"/>
  <c r="F235" i="6"/>
  <c r="C235" i="6"/>
  <c r="AD234" i="6"/>
  <c r="AC234" i="6"/>
  <c r="AA234" i="6"/>
  <c r="W234" i="6"/>
  <c r="X234" i="6" s="1"/>
  <c r="U234" i="6"/>
  <c r="R234" i="6"/>
  <c r="N234" i="6"/>
  <c r="O234" i="6" s="1"/>
  <c r="L234" i="6"/>
  <c r="H234" i="6"/>
  <c r="I234" i="6" s="1"/>
  <c r="F234" i="6"/>
  <c r="C234" i="6"/>
  <c r="AD233" i="6"/>
  <c r="AC233" i="6"/>
  <c r="AA233" i="6"/>
  <c r="W233" i="6"/>
  <c r="X233" i="6" s="1"/>
  <c r="U233" i="6"/>
  <c r="R233" i="6"/>
  <c r="O233" i="6"/>
  <c r="N233" i="6"/>
  <c r="L233" i="6"/>
  <c r="I233" i="6"/>
  <c r="H233" i="6"/>
  <c r="F233" i="6"/>
  <c r="C233" i="6"/>
  <c r="AC232" i="6"/>
  <c r="AD232" i="6" s="1"/>
  <c r="AA232" i="6"/>
  <c r="W232" i="6"/>
  <c r="X232" i="6" s="1"/>
  <c r="U232" i="6"/>
  <c r="R232" i="6"/>
  <c r="N232" i="6"/>
  <c r="O232" i="6" s="1"/>
  <c r="L232" i="6"/>
  <c r="I232" i="6"/>
  <c r="H232" i="6"/>
  <c r="F232" i="6"/>
  <c r="C232" i="6"/>
  <c r="AC231" i="6"/>
  <c r="AD231" i="6" s="1"/>
  <c r="AA231" i="6"/>
  <c r="W231" i="6"/>
  <c r="X231" i="6" s="1"/>
  <c r="U231" i="6"/>
  <c r="R231" i="6"/>
  <c r="N231" i="6"/>
  <c r="O231" i="6" s="1"/>
  <c r="L231" i="6"/>
  <c r="H231" i="6"/>
  <c r="I231" i="6" s="1"/>
  <c r="F231" i="6"/>
  <c r="C231" i="6"/>
  <c r="AD230" i="6"/>
  <c r="AC230" i="6"/>
  <c r="AA230" i="6"/>
  <c r="W230" i="6"/>
  <c r="X230" i="6" s="1"/>
  <c r="U230" i="6"/>
  <c r="R230" i="6"/>
  <c r="N230" i="6"/>
  <c r="O230" i="6" s="1"/>
  <c r="L230" i="6"/>
  <c r="H230" i="6"/>
  <c r="I230" i="6" s="1"/>
  <c r="F230" i="6"/>
  <c r="C230" i="6"/>
  <c r="AD229" i="6"/>
  <c r="AC229" i="6"/>
  <c r="AA229" i="6"/>
  <c r="W229" i="6"/>
  <c r="X229" i="6" s="1"/>
  <c r="U229" i="6"/>
  <c r="R229" i="6"/>
  <c r="O229" i="6"/>
  <c r="N229" i="6"/>
  <c r="L229" i="6"/>
  <c r="I229" i="6"/>
  <c r="H229" i="6"/>
  <c r="F229" i="6"/>
  <c r="C229" i="6"/>
  <c r="AC227" i="6"/>
  <c r="AD227" i="6" s="1"/>
  <c r="AA227" i="6"/>
  <c r="Z227" i="6"/>
  <c r="X227" i="6"/>
  <c r="T227" i="6"/>
  <c r="U227" i="6" s="1"/>
  <c r="Q227" i="6"/>
  <c r="W227" i="6" s="1"/>
  <c r="O227" i="6"/>
  <c r="L227" i="6"/>
  <c r="K227" i="6"/>
  <c r="E227" i="6"/>
  <c r="H227" i="6" s="1"/>
  <c r="I227" i="6" s="1"/>
  <c r="C227" i="6"/>
  <c r="B227" i="6"/>
  <c r="N227" i="6" s="1"/>
  <c r="AD226" i="6"/>
  <c r="AC226" i="6"/>
  <c r="AA226" i="6"/>
  <c r="W226" i="6"/>
  <c r="X226" i="6" s="1"/>
  <c r="U226" i="6"/>
  <c r="R226" i="6"/>
  <c r="N226" i="6"/>
  <c r="O226" i="6" s="1"/>
  <c r="L226" i="6"/>
  <c r="H226" i="6"/>
  <c r="I226" i="6" s="1"/>
  <c r="F226" i="6"/>
  <c r="C226" i="6"/>
  <c r="AD225" i="6"/>
  <c r="AC225" i="6"/>
  <c r="AA225" i="6"/>
  <c r="W225" i="6"/>
  <c r="X225" i="6" s="1"/>
  <c r="U225" i="6"/>
  <c r="R225" i="6"/>
  <c r="N225" i="6"/>
  <c r="O225" i="6" s="1"/>
  <c r="L225" i="6"/>
  <c r="I225" i="6"/>
  <c r="H225" i="6"/>
  <c r="F225" i="6"/>
  <c r="C225" i="6"/>
  <c r="AD224" i="6"/>
  <c r="AC224" i="6"/>
  <c r="AA224" i="6"/>
  <c r="W224" i="6"/>
  <c r="X224" i="6" s="1"/>
  <c r="U224" i="6"/>
  <c r="R224" i="6"/>
  <c r="N224" i="6"/>
  <c r="O224" i="6" s="1"/>
  <c r="L224" i="6"/>
  <c r="I224" i="6"/>
  <c r="H224" i="6"/>
  <c r="F224" i="6"/>
  <c r="C224" i="6"/>
  <c r="AC223" i="6"/>
  <c r="AD223" i="6" s="1"/>
  <c r="AA223" i="6"/>
  <c r="X223" i="6"/>
  <c r="W223" i="6"/>
  <c r="U223" i="6"/>
  <c r="R223" i="6"/>
  <c r="N223" i="6"/>
  <c r="O223" i="6" s="1"/>
  <c r="L223" i="6"/>
  <c r="H223" i="6"/>
  <c r="I223" i="6" s="1"/>
  <c r="F223" i="6"/>
  <c r="C223" i="6"/>
  <c r="AD222" i="6"/>
  <c r="AC222" i="6"/>
  <c r="AA222" i="6"/>
  <c r="W222" i="6"/>
  <c r="X222" i="6" s="1"/>
  <c r="U222" i="6"/>
  <c r="R222" i="6"/>
  <c r="N222" i="6"/>
  <c r="O222" i="6" s="1"/>
  <c r="L222" i="6"/>
  <c r="H222" i="6"/>
  <c r="I222" i="6" s="1"/>
  <c r="F222" i="6"/>
  <c r="C222" i="6"/>
  <c r="AD221" i="6"/>
  <c r="AC221" i="6"/>
  <c r="AA221" i="6"/>
  <c r="W221" i="6"/>
  <c r="X221" i="6" s="1"/>
  <c r="U221" i="6"/>
  <c r="R221" i="6"/>
  <c r="N221" i="6"/>
  <c r="O221" i="6" s="1"/>
  <c r="L221" i="6"/>
  <c r="I221" i="6"/>
  <c r="H221" i="6"/>
  <c r="F221" i="6"/>
  <c r="C221" i="6"/>
  <c r="AD220" i="6"/>
  <c r="AC220" i="6"/>
  <c r="AA220" i="6"/>
  <c r="W220" i="6"/>
  <c r="X220" i="6" s="1"/>
  <c r="U220" i="6"/>
  <c r="R220" i="6"/>
  <c r="O220" i="6"/>
  <c r="N220" i="6"/>
  <c r="L220" i="6"/>
  <c r="I220" i="6"/>
  <c r="H220" i="6"/>
  <c r="F220" i="6"/>
  <c r="C220" i="6"/>
  <c r="AC219" i="6"/>
  <c r="AD219" i="6" s="1"/>
  <c r="AA219" i="6"/>
  <c r="W219" i="6"/>
  <c r="X219" i="6" s="1"/>
  <c r="U219" i="6"/>
  <c r="R219" i="6"/>
  <c r="N219" i="6"/>
  <c r="O219" i="6" s="1"/>
  <c r="L219" i="6"/>
  <c r="H219" i="6"/>
  <c r="I219" i="6" s="1"/>
  <c r="F219" i="6"/>
  <c r="C219" i="6"/>
  <c r="Z218" i="6"/>
  <c r="AA218" i="6" s="1"/>
  <c r="W218" i="6"/>
  <c r="X218" i="6" s="1"/>
  <c r="U218" i="6"/>
  <c r="T218" i="6"/>
  <c r="R218" i="6"/>
  <c r="Q218" i="6"/>
  <c r="N218" i="6"/>
  <c r="O218" i="6" s="1"/>
  <c r="L218" i="6"/>
  <c r="K218" i="6"/>
  <c r="F218" i="6"/>
  <c r="E218" i="6"/>
  <c r="B218" i="6"/>
  <c r="AD217" i="6"/>
  <c r="AC217" i="6"/>
  <c r="AA217" i="6"/>
  <c r="W217" i="6"/>
  <c r="X217" i="6" s="1"/>
  <c r="U217" i="6"/>
  <c r="R217" i="6"/>
  <c r="O217" i="6"/>
  <c r="N217" i="6"/>
  <c r="L217" i="6"/>
  <c r="I217" i="6"/>
  <c r="H217" i="6"/>
  <c r="F217" i="6"/>
  <c r="C217" i="6"/>
  <c r="AC216" i="6"/>
  <c r="AD216" i="6" s="1"/>
  <c r="AA216" i="6"/>
  <c r="W216" i="6"/>
  <c r="X216" i="6" s="1"/>
  <c r="U216" i="6"/>
  <c r="R216" i="6"/>
  <c r="N216" i="6"/>
  <c r="O216" i="6" s="1"/>
  <c r="L216" i="6"/>
  <c r="H216" i="6"/>
  <c r="I216" i="6" s="1"/>
  <c r="F216" i="6"/>
  <c r="C216" i="6"/>
  <c r="AD215" i="6"/>
  <c r="AC215" i="6"/>
  <c r="AA215" i="6"/>
  <c r="W215" i="6"/>
  <c r="X215" i="6" s="1"/>
  <c r="U215" i="6"/>
  <c r="R215" i="6"/>
  <c r="N215" i="6"/>
  <c r="O215" i="6" s="1"/>
  <c r="L215" i="6"/>
  <c r="I215" i="6"/>
  <c r="H215" i="6"/>
  <c r="F215" i="6"/>
  <c r="C215" i="6"/>
  <c r="AD214" i="6"/>
  <c r="AC214" i="6"/>
  <c r="AA214" i="6"/>
  <c r="W214" i="6"/>
  <c r="X214" i="6" s="1"/>
  <c r="U214" i="6"/>
  <c r="R214" i="6"/>
  <c r="N214" i="6"/>
  <c r="O214" i="6" s="1"/>
  <c r="L214" i="6"/>
  <c r="I214" i="6"/>
  <c r="H214" i="6"/>
  <c r="F214" i="6"/>
  <c r="C214" i="6"/>
  <c r="AC213" i="6"/>
  <c r="AD213" i="6" s="1"/>
  <c r="AA213" i="6"/>
  <c r="W213" i="6"/>
  <c r="X213" i="6" s="1"/>
  <c r="U213" i="6"/>
  <c r="R213" i="6"/>
  <c r="N213" i="6"/>
  <c r="O213" i="6" s="1"/>
  <c r="L213" i="6"/>
  <c r="H213" i="6"/>
  <c r="I213" i="6" s="1"/>
  <c r="F213" i="6"/>
  <c r="C213" i="6"/>
  <c r="AD211" i="6"/>
  <c r="AC211" i="6"/>
  <c r="AA211" i="6"/>
  <c r="W211" i="6"/>
  <c r="X211" i="6" s="1"/>
  <c r="U211" i="6"/>
  <c r="R211" i="6"/>
  <c r="N211" i="6"/>
  <c r="O211" i="6" s="1"/>
  <c r="L211" i="6"/>
  <c r="H211" i="6"/>
  <c r="I211" i="6" s="1"/>
  <c r="F211" i="6"/>
  <c r="C211" i="6"/>
  <c r="AA209" i="6"/>
  <c r="Z209" i="6"/>
  <c r="X209" i="6"/>
  <c r="W209" i="6"/>
  <c r="U209" i="6"/>
  <c r="T209" i="6"/>
  <c r="R209" i="6"/>
  <c r="Q209" i="6"/>
  <c r="AC209" i="6" s="1"/>
  <c r="AD209" i="6" s="1"/>
  <c r="L209" i="6"/>
  <c r="K209" i="6"/>
  <c r="I209" i="6"/>
  <c r="H209" i="6"/>
  <c r="F209" i="6"/>
  <c r="E209" i="6"/>
  <c r="C209" i="6"/>
  <c r="B209" i="6"/>
  <c r="N209" i="6" s="1"/>
  <c r="O209" i="6" s="1"/>
  <c r="AD208" i="6"/>
  <c r="AC208" i="6"/>
  <c r="AA208" i="6"/>
  <c r="W208" i="6"/>
  <c r="X208" i="6" s="1"/>
  <c r="U208" i="6"/>
  <c r="R208" i="6"/>
  <c r="N208" i="6"/>
  <c r="O208" i="6" s="1"/>
  <c r="L208" i="6"/>
  <c r="I208" i="6"/>
  <c r="H208" i="6"/>
  <c r="F208" i="6"/>
  <c r="C208" i="6"/>
  <c r="AD207" i="6"/>
  <c r="AC207" i="6"/>
  <c r="AA207" i="6"/>
  <c r="W207" i="6"/>
  <c r="X207" i="6" s="1"/>
  <c r="U207" i="6"/>
  <c r="R207" i="6"/>
  <c r="N207" i="6"/>
  <c r="O207" i="6" s="1"/>
  <c r="L207" i="6"/>
  <c r="H207" i="6"/>
  <c r="I207" i="6" s="1"/>
  <c r="F207" i="6"/>
  <c r="C207" i="6"/>
  <c r="AD206" i="6"/>
  <c r="AC206" i="6"/>
  <c r="AA206" i="6"/>
  <c r="X206" i="6"/>
  <c r="W206" i="6"/>
  <c r="U206" i="6"/>
  <c r="R206" i="6"/>
  <c r="O206" i="6"/>
  <c r="N206" i="6"/>
  <c r="L206" i="6"/>
  <c r="H206" i="6"/>
  <c r="I206" i="6" s="1"/>
  <c r="F206" i="6"/>
  <c r="C206" i="6"/>
  <c r="AC205" i="6"/>
  <c r="AD205" i="6" s="1"/>
  <c r="AA205" i="6"/>
  <c r="W205" i="6"/>
  <c r="X205" i="6" s="1"/>
  <c r="U205" i="6"/>
  <c r="R205" i="6"/>
  <c r="N205" i="6"/>
  <c r="O205" i="6" s="1"/>
  <c r="L205" i="6"/>
  <c r="I205" i="6"/>
  <c r="H205" i="6"/>
  <c r="F205" i="6"/>
  <c r="C205" i="6"/>
  <c r="AD204" i="6"/>
  <c r="AC204" i="6"/>
  <c r="AA204" i="6"/>
  <c r="W204" i="6"/>
  <c r="X204" i="6" s="1"/>
  <c r="U204" i="6"/>
  <c r="R204" i="6"/>
  <c r="N204" i="6"/>
  <c r="O204" i="6" s="1"/>
  <c r="L204" i="6"/>
  <c r="I204" i="6"/>
  <c r="H204" i="6"/>
  <c r="F204" i="6"/>
  <c r="C204" i="6"/>
  <c r="AC203" i="6"/>
  <c r="AD203" i="6" s="1"/>
  <c r="AA203" i="6"/>
  <c r="W203" i="6"/>
  <c r="X203" i="6" s="1"/>
  <c r="U203" i="6"/>
  <c r="R203" i="6"/>
  <c r="N203" i="6"/>
  <c r="O203" i="6" s="1"/>
  <c r="L203" i="6"/>
  <c r="H203" i="6"/>
  <c r="I203" i="6" s="1"/>
  <c r="F203" i="6"/>
  <c r="C203" i="6"/>
  <c r="AD202" i="6"/>
  <c r="AC202" i="6"/>
  <c r="AA202" i="6"/>
  <c r="W202" i="6"/>
  <c r="X202" i="6" s="1"/>
  <c r="U202" i="6"/>
  <c r="R202" i="6"/>
  <c r="O202" i="6"/>
  <c r="N202" i="6"/>
  <c r="L202" i="6"/>
  <c r="H202" i="6"/>
  <c r="I202" i="6" s="1"/>
  <c r="F202" i="6"/>
  <c r="C202" i="6"/>
  <c r="AC201" i="6"/>
  <c r="AD201" i="6" s="1"/>
  <c r="AA201" i="6"/>
  <c r="W201" i="6"/>
  <c r="X201" i="6" s="1"/>
  <c r="U201" i="6"/>
  <c r="R201" i="6"/>
  <c r="N201" i="6"/>
  <c r="O201" i="6" s="1"/>
  <c r="L201" i="6"/>
  <c r="I201" i="6"/>
  <c r="H201" i="6"/>
  <c r="F201" i="6"/>
  <c r="C201" i="6"/>
  <c r="Z197" i="6"/>
  <c r="AA197" i="6" s="1"/>
  <c r="W197" i="6"/>
  <c r="X197" i="6" s="1"/>
  <c r="T197" i="6"/>
  <c r="U197" i="6" s="1"/>
  <c r="R197" i="6"/>
  <c r="Q197" i="6"/>
  <c r="AC197" i="6" s="1"/>
  <c r="AD197" i="6" s="1"/>
  <c r="K197" i="6"/>
  <c r="L197" i="6" s="1"/>
  <c r="F197" i="6"/>
  <c r="E197" i="6"/>
  <c r="B197" i="6"/>
  <c r="H197" i="6" s="1"/>
  <c r="I197" i="6" s="1"/>
  <c r="AC196" i="6"/>
  <c r="AD196" i="6" s="1"/>
  <c r="Z196" i="6"/>
  <c r="AA196" i="6" s="1"/>
  <c r="X196" i="6"/>
  <c r="U196" i="6"/>
  <c r="T196" i="6"/>
  <c r="R196" i="6"/>
  <c r="Q196" i="6"/>
  <c r="W196" i="6" s="1"/>
  <c r="L196" i="6"/>
  <c r="K196" i="6"/>
  <c r="F196" i="6"/>
  <c r="E196" i="6"/>
  <c r="C196" i="6"/>
  <c r="B196" i="6"/>
  <c r="N196" i="6" s="1"/>
  <c r="O196" i="6" s="1"/>
  <c r="AD195" i="6"/>
  <c r="AC195" i="6"/>
  <c r="AA195" i="6"/>
  <c r="W195" i="6"/>
  <c r="X195" i="6" s="1"/>
  <c r="U195" i="6"/>
  <c r="R195" i="6"/>
  <c r="N195" i="6"/>
  <c r="O195" i="6" s="1"/>
  <c r="L195" i="6"/>
  <c r="I195" i="6"/>
  <c r="H195" i="6"/>
  <c r="F195" i="6"/>
  <c r="C195" i="6"/>
  <c r="AD194" i="6"/>
  <c r="AC194" i="6"/>
  <c r="AA194" i="6"/>
  <c r="W194" i="6"/>
  <c r="X194" i="6" s="1"/>
  <c r="U194" i="6"/>
  <c r="R194" i="6"/>
  <c r="O194" i="6"/>
  <c r="N194" i="6"/>
  <c r="L194" i="6"/>
  <c r="I194" i="6"/>
  <c r="H194" i="6"/>
  <c r="F194" i="6"/>
  <c r="C194" i="6"/>
  <c r="Z193" i="6"/>
  <c r="T193" i="6"/>
  <c r="U193" i="6" s="1"/>
  <c r="R193" i="6"/>
  <c r="Q193" i="6"/>
  <c r="L193" i="6"/>
  <c r="K193" i="6"/>
  <c r="H193" i="6"/>
  <c r="I193" i="6" s="1"/>
  <c r="F193" i="6"/>
  <c r="E193" i="6"/>
  <c r="C193" i="6"/>
  <c r="B193" i="6"/>
  <c r="N193" i="6" s="1"/>
  <c r="O193" i="6" s="1"/>
  <c r="AD192" i="6"/>
  <c r="AC192" i="6"/>
  <c r="AA192" i="6"/>
  <c r="W192" i="6"/>
  <c r="X192" i="6" s="1"/>
  <c r="U192" i="6"/>
  <c r="R192" i="6"/>
  <c r="N192" i="6"/>
  <c r="O192" i="6" s="1"/>
  <c r="L192" i="6"/>
  <c r="H192" i="6"/>
  <c r="I192" i="6" s="1"/>
  <c r="F192" i="6"/>
  <c r="C192" i="6"/>
  <c r="AD191" i="6"/>
  <c r="AC191" i="6"/>
  <c r="AA191" i="6"/>
  <c r="W191" i="6"/>
  <c r="X191" i="6" s="1"/>
  <c r="U191" i="6"/>
  <c r="R191" i="6"/>
  <c r="O191" i="6"/>
  <c r="N191" i="6"/>
  <c r="L191" i="6"/>
  <c r="I191" i="6"/>
  <c r="H191" i="6"/>
  <c r="F191" i="6"/>
  <c r="C191" i="6"/>
  <c r="AC190" i="6"/>
  <c r="AD190" i="6" s="1"/>
  <c r="AA190" i="6"/>
  <c r="X190" i="6"/>
  <c r="W190" i="6"/>
  <c r="U190" i="6"/>
  <c r="R190" i="6"/>
  <c r="N190" i="6"/>
  <c r="O190" i="6" s="1"/>
  <c r="L190" i="6"/>
  <c r="H190" i="6"/>
  <c r="I190" i="6" s="1"/>
  <c r="F190" i="6"/>
  <c r="C190" i="6"/>
  <c r="AC189" i="6"/>
  <c r="AD189" i="6" s="1"/>
  <c r="AA189" i="6"/>
  <c r="X189" i="6"/>
  <c r="W189" i="6"/>
  <c r="U189" i="6"/>
  <c r="R189" i="6"/>
  <c r="N189" i="6"/>
  <c r="O189" i="6" s="1"/>
  <c r="L189" i="6"/>
  <c r="H189" i="6"/>
  <c r="I189" i="6" s="1"/>
  <c r="F189" i="6"/>
  <c r="C189" i="6"/>
  <c r="AD188" i="6"/>
  <c r="AC188" i="6"/>
  <c r="AA188" i="6"/>
  <c r="W188" i="6"/>
  <c r="X188" i="6" s="1"/>
  <c r="U188" i="6"/>
  <c r="R188" i="6"/>
  <c r="N188" i="6"/>
  <c r="O188" i="6" s="1"/>
  <c r="L188" i="6"/>
  <c r="I188" i="6"/>
  <c r="H188" i="6"/>
  <c r="F188" i="6"/>
  <c r="C188" i="6"/>
  <c r="AD187" i="6"/>
  <c r="AC187" i="6"/>
  <c r="AA187" i="6"/>
  <c r="W187" i="6"/>
  <c r="X187" i="6" s="1"/>
  <c r="U187" i="6"/>
  <c r="R187" i="6"/>
  <c r="N187" i="6"/>
  <c r="O187" i="6" s="1"/>
  <c r="L187" i="6"/>
  <c r="I187" i="6"/>
  <c r="H187" i="6"/>
  <c r="F187" i="6"/>
  <c r="C187" i="6"/>
  <c r="AC186" i="6"/>
  <c r="AD186" i="6" s="1"/>
  <c r="AA186" i="6"/>
  <c r="X186" i="6"/>
  <c r="W186" i="6"/>
  <c r="U186" i="6"/>
  <c r="R186" i="6"/>
  <c r="O186" i="6"/>
  <c r="N186" i="6"/>
  <c r="L186" i="6"/>
  <c r="H186" i="6"/>
  <c r="I186" i="6" s="1"/>
  <c r="F186" i="6"/>
  <c r="C186" i="6"/>
  <c r="AC184" i="6"/>
  <c r="AD184" i="6" s="1"/>
  <c r="AA184" i="6"/>
  <c r="W184" i="6"/>
  <c r="X184" i="6" s="1"/>
  <c r="U184" i="6"/>
  <c r="R184" i="6"/>
  <c r="N184" i="6"/>
  <c r="O184" i="6" s="1"/>
  <c r="L184" i="6"/>
  <c r="I184" i="6"/>
  <c r="H184" i="6"/>
  <c r="F184" i="6"/>
  <c r="C184" i="6"/>
  <c r="AD183" i="6"/>
  <c r="AC183" i="6"/>
  <c r="AA183" i="6"/>
  <c r="W183" i="6"/>
  <c r="X183" i="6" s="1"/>
  <c r="U183" i="6"/>
  <c r="R183" i="6"/>
  <c r="N183" i="6"/>
  <c r="O183" i="6" s="1"/>
  <c r="L183" i="6"/>
  <c r="I183" i="6"/>
  <c r="H183" i="6"/>
  <c r="F183" i="6"/>
  <c r="C183" i="6"/>
  <c r="AA182" i="6"/>
  <c r="Z182" i="6"/>
  <c r="U182" i="6"/>
  <c r="T182" i="6"/>
  <c r="Q182" i="6"/>
  <c r="W182" i="6" s="1"/>
  <c r="X182" i="6" s="1"/>
  <c r="K182" i="6"/>
  <c r="L182" i="6" s="1"/>
  <c r="H182" i="6"/>
  <c r="I182" i="6" s="1"/>
  <c r="E182" i="6"/>
  <c r="F182" i="6" s="1"/>
  <c r="C182" i="6"/>
  <c r="B182" i="6"/>
  <c r="N182" i="6" s="1"/>
  <c r="O182" i="6" s="1"/>
  <c r="AC181" i="6"/>
  <c r="AD181" i="6" s="1"/>
  <c r="AA181" i="6"/>
  <c r="X181" i="6"/>
  <c r="W181" i="6"/>
  <c r="U181" i="6"/>
  <c r="R181" i="6"/>
  <c r="N181" i="6"/>
  <c r="O181" i="6" s="1"/>
  <c r="L181" i="6"/>
  <c r="I181" i="6"/>
  <c r="H181" i="6"/>
  <c r="F181" i="6"/>
  <c r="C181" i="6"/>
  <c r="AD180" i="6"/>
  <c r="AC180" i="6"/>
  <c r="AA180" i="6"/>
  <c r="W180" i="6"/>
  <c r="X180" i="6" s="1"/>
  <c r="U180" i="6"/>
  <c r="R180" i="6"/>
  <c r="N180" i="6"/>
  <c r="O180" i="6" s="1"/>
  <c r="L180" i="6"/>
  <c r="I180" i="6"/>
  <c r="H180" i="6"/>
  <c r="F180" i="6"/>
  <c r="C180" i="6"/>
  <c r="AD179" i="6"/>
  <c r="AC179" i="6"/>
  <c r="AA179" i="6"/>
  <c r="W179" i="6"/>
  <c r="X179" i="6" s="1"/>
  <c r="U179" i="6"/>
  <c r="R179" i="6"/>
  <c r="O179" i="6"/>
  <c r="N179" i="6"/>
  <c r="L179" i="6"/>
  <c r="I179" i="6"/>
  <c r="H179" i="6"/>
  <c r="F179" i="6"/>
  <c r="C179" i="6"/>
  <c r="AC178" i="6"/>
  <c r="AD178" i="6" s="1"/>
  <c r="AA178" i="6"/>
  <c r="X178" i="6"/>
  <c r="W178" i="6"/>
  <c r="U178" i="6"/>
  <c r="R178" i="6"/>
  <c r="O178" i="6"/>
  <c r="N178" i="6"/>
  <c r="L178" i="6"/>
  <c r="H178" i="6"/>
  <c r="I178" i="6" s="1"/>
  <c r="F178" i="6"/>
  <c r="C178" i="6"/>
  <c r="AC177" i="6"/>
  <c r="AD177" i="6" s="1"/>
  <c r="AA177" i="6"/>
  <c r="X177" i="6"/>
  <c r="W177" i="6"/>
  <c r="U177" i="6"/>
  <c r="R177" i="6"/>
  <c r="N177" i="6"/>
  <c r="O177" i="6" s="1"/>
  <c r="L177" i="6"/>
  <c r="I177" i="6"/>
  <c r="H177" i="6"/>
  <c r="F177" i="6"/>
  <c r="C177" i="6"/>
  <c r="AD175" i="6"/>
  <c r="AC175" i="6"/>
  <c r="AA175" i="6"/>
  <c r="W175" i="6"/>
  <c r="X175" i="6" s="1"/>
  <c r="U175" i="6"/>
  <c r="R175" i="6"/>
  <c r="N175" i="6"/>
  <c r="O175" i="6" s="1"/>
  <c r="L175" i="6"/>
  <c r="H175" i="6"/>
  <c r="I175" i="6" s="1"/>
  <c r="F175" i="6"/>
  <c r="C175" i="6"/>
  <c r="AA172" i="6"/>
  <c r="K172" i="6"/>
  <c r="AA171" i="6"/>
  <c r="Z171" i="6"/>
  <c r="U171" i="6"/>
  <c r="T171" i="6"/>
  <c r="Q171" i="6"/>
  <c r="W171" i="6" s="1"/>
  <c r="X171" i="6" s="1"/>
  <c r="L171" i="6"/>
  <c r="K171" i="6"/>
  <c r="I171" i="6"/>
  <c r="E171" i="6"/>
  <c r="H171" i="6" s="1"/>
  <c r="C171" i="6"/>
  <c r="B171" i="6"/>
  <c r="N171" i="6" s="1"/>
  <c r="O171" i="6" s="1"/>
  <c r="AA170" i="6"/>
  <c r="Z170" i="6"/>
  <c r="W170" i="6"/>
  <c r="X170" i="6" s="1"/>
  <c r="U170" i="6"/>
  <c r="T170" i="6"/>
  <c r="R170" i="6"/>
  <c r="Q170" i="6"/>
  <c r="AC170" i="6" s="1"/>
  <c r="AD170" i="6" s="1"/>
  <c r="O170" i="6"/>
  <c r="K170" i="6"/>
  <c r="L170" i="6" s="1"/>
  <c r="F170" i="6"/>
  <c r="E170" i="6"/>
  <c r="C170" i="6"/>
  <c r="B170" i="6"/>
  <c r="N170" i="6" s="1"/>
  <c r="AC169" i="6"/>
  <c r="AD169" i="6" s="1"/>
  <c r="AA169" i="6"/>
  <c r="W169" i="6"/>
  <c r="X169" i="6" s="1"/>
  <c r="U169" i="6"/>
  <c r="R169" i="6"/>
  <c r="N169" i="6"/>
  <c r="O169" i="6" s="1"/>
  <c r="L169" i="6"/>
  <c r="I169" i="6"/>
  <c r="H169" i="6"/>
  <c r="F169" i="6"/>
  <c r="C169" i="6"/>
  <c r="AD168" i="6"/>
  <c r="AC168" i="6"/>
  <c r="AA168" i="6"/>
  <c r="W168" i="6"/>
  <c r="X168" i="6" s="1"/>
  <c r="U168" i="6"/>
  <c r="R168" i="6"/>
  <c r="N168" i="6"/>
  <c r="O168" i="6" s="1"/>
  <c r="L168" i="6"/>
  <c r="H168" i="6"/>
  <c r="I168" i="6" s="1"/>
  <c r="F168" i="6"/>
  <c r="C168" i="6"/>
  <c r="AD167" i="6"/>
  <c r="AC167" i="6"/>
  <c r="AA167" i="6"/>
  <c r="W167" i="6"/>
  <c r="X167" i="6" s="1"/>
  <c r="U167" i="6"/>
  <c r="R167" i="6"/>
  <c r="N167" i="6"/>
  <c r="O167" i="6" s="1"/>
  <c r="L167" i="6"/>
  <c r="I167" i="6"/>
  <c r="H167" i="6"/>
  <c r="F167" i="6"/>
  <c r="C167" i="6"/>
  <c r="AD166" i="6"/>
  <c r="AA166" i="6"/>
  <c r="Z166" i="6"/>
  <c r="T166" i="6"/>
  <c r="R166" i="6"/>
  <c r="Q166" i="6"/>
  <c r="AC166" i="6" s="1"/>
  <c r="L166" i="6"/>
  <c r="K166" i="6"/>
  <c r="H166" i="6"/>
  <c r="I166" i="6" s="1"/>
  <c r="F166" i="6"/>
  <c r="E166" i="6"/>
  <c r="C166" i="6"/>
  <c r="B166" i="6"/>
  <c r="N166" i="6" s="1"/>
  <c r="O166" i="6" s="1"/>
  <c r="AD165" i="6"/>
  <c r="AC165" i="6"/>
  <c r="AA165" i="6"/>
  <c r="X165" i="6"/>
  <c r="W165" i="6"/>
  <c r="U165" i="6"/>
  <c r="R165" i="6"/>
  <c r="N165" i="6"/>
  <c r="O165" i="6" s="1"/>
  <c r="L165" i="6"/>
  <c r="H165" i="6"/>
  <c r="I165" i="6" s="1"/>
  <c r="F165" i="6"/>
  <c r="C165" i="6"/>
  <c r="AD164" i="6"/>
  <c r="AC164" i="6"/>
  <c r="AA164" i="6"/>
  <c r="W164" i="6"/>
  <c r="X164" i="6" s="1"/>
  <c r="U164" i="6"/>
  <c r="R164" i="6"/>
  <c r="N164" i="6"/>
  <c r="O164" i="6" s="1"/>
  <c r="L164" i="6"/>
  <c r="I164" i="6"/>
  <c r="H164" i="6"/>
  <c r="F164" i="6"/>
  <c r="C164" i="6"/>
  <c r="AD163" i="6"/>
  <c r="AC163" i="6"/>
  <c r="AA163" i="6"/>
  <c r="W163" i="6"/>
  <c r="X163" i="6" s="1"/>
  <c r="U163" i="6"/>
  <c r="R163" i="6"/>
  <c r="O163" i="6"/>
  <c r="N163" i="6"/>
  <c r="L163" i="6"/>
  <c r="I163" i="6"/>
  <c r="H163" i="6"/>
  <c r="F163" i="6"/>
  <c r="C163" i="6"/>
  <c r="AC162" i="6"/>
  <c r="AD162" i="6" s="1"/>
  <c r="AA162" i="6"/>
  <c r="W162" i="6"/>
  <c r="X162" i="6" s="1"/>
  <c r="U162" i="6"/>
  <c r="R162" i="6"/>
  <c r="N162" i="6"/>
  <c r="O162" i="6" s="1"/>
  <c r="L162" i="6"/>
  <c r="I162" i="6"/>
  <c r="H162" i="6"/>
  <c r="F162" i="6"/>
  <c r="C162" i="6"/>
  <c r="AD161" i="6"/>
  <c r="AC161" i="6"/>
  <c r="AA161" i="6"/>
  <c r="X161" i="6"/>
  <c r="W161" i="6"/>
  <c r="U161" i="6"/>
  <c r="R161" i="6"/>
  <c r="N161" i="6"/>
  <c r="O161" i="6" s="1"/>
  <c r="L161" i="6"/>
  <c r="H161" i="6"/>
  <c r="I161" i="6" s="1"/>
  <c r="F161" i="6"/>
  <c r="C161" i="6"/>
  <c r="AD160" i="6"/>
  <c r="AC160" i="6"/>
  <c r="AA160" i="6"/>
  <c r="W160" i="6"/>
  <c r="X160" i="6" s="1"/>
  <c r="U160" i="6"/>
  <c r="R160" i="6"/>
  <c r="N160" i="6"/>
  <c r="O160" i="6" s="1"/>
  <c r="L160" i="6"/>
  <c r="I160" i="6"/>
  <c r="H160" i="6"/>
  <c r="F160" i="6"/>
  <c r="C160" i="6"/>
  <c r="AA158" i="6"/>
  <c r="Z158" i="6"/>
  <c r="T158" i="6"/>
  <c r="R158" i="6"/>
  <c r="Q158" i="6"/>
  <c r="AC158" i="6" s="1"/>
  <c r="AD158" i="6" s="1"/>
  <c r="L158" i="6"/>
  <c r="K158" i="6"/>
  <c r="H158" i="6"/>
  <c r="I158" i="6" s="1"/>
  <c r="F158" i="6"/>
  <c r="E158" i="6"/>
  <c r="C158" i="6"/>
  <c r="B158" i="6"/>
  <c r="N158" i="6" s="1"/>
  <c r="O158" i="6" s="1"/>
  <c r="AD157" i="6"/>
  <c r="AC157" i="6"/>
  <c r="AA157" i="6"/>
  <c r="W157" i="6"/>
  <c r="X157" i="6" s="1"/>
  <c r="U157" i="6"/>
  <c r="R157" i="6"/>
  <c r="N157" i="6"/>
  <c r="O157" i="6" s="1"/>
  <c r="L157" i="6"/>
  <c r="H157" i="6"/>
  <c r="I157" i="6" s="1"/>
  <c r="F157" i="6"/>
  <c r="C157" i="6"/>
  <c r="AD156" i="6"/>
  <c r="AC156" i="6"/>
  <c r="AA156" i="6"/>
  <c r="W156" i="6"/>
  <c r="X156" i="6" s="1"/>
  <c r="U156" i="6"/>
  <c r="R156" i="6"/>
  <c r="N156" i="6"/>
  <c r="O156" i="6" s="1"/>
  <c r="L156" i="6"/>
  <c r="I156" i="6"/>
  <c r="H156" i="6"/>
  <c r="F156" i="6"/>
  <c r="C156" i="6"/>
  <c r="AD155" i="6"/>
  <c r="AC155" i="6"/>
  <c r="AA155" i="6"/>
  <c r="W155" i="6"/>
  <c r="X155" i="6" s="1"/>
  <c r="U155" i="6"/>
  <c r="R155" i="6"/>
  <c r="N155" i="6"/>
  <c r="O155" i="6" s="1"/>
  <c r="L155" i="6"/>
  <c r="I155" i="6"/>
  <c r="H155" i="6"/>
  <c r="F155" i="6"/>
  <c r="C155" i="6"/>
  <c r="AC154" i="6"/>
  <c r="AD154" i="6" s="1"/>
  <c r="AA154" i="6"/>
  <c r="W154" i="6"/>
  <c r="X154" i="6" s="1"/>
  <c r="U154" i="6"/>
  <c r="R154" i="6"/>
  <c r="N154" i="6"/>
  <c r="O154" i="6" s="1"/>
  <c r="L154" i="6"/>
  <c r="I154" i="6"/>
  <c r="H154" i="6"/>
  <c r="F154" i="6"/>
  <c r="C154" i="6"/>
  <c r="AD153" i="6"/>
  <c r="AC153" i="6"/>
  <c r="AA153" i="6"/>
  <c r="W153" i="6"/>
  <c r="X153" i="6" s="1"/>
  <c r="U153" i="6"/>
  <c r="R153" i="6"/>
  <c r="N153" i="6"/>
  <c r="O153" i="6" s="1"/>
  <c r="L153" i="6"/>
  <c r="H153" i="6"/>
  <c r="I153" i="6" s="1"/>
  <c r="F153" i="6"/>
  <c r="C153" i="6"/>
  <c r="AD151" i="6"/>
  <c r="AC151" i="6"/>
  <c r="AA151" i="6"/>
  <c r="W151" i="6"/>
  <c r="X151" i="6" s="1"/>
  <c r="U151" i="6"/>
  <c r="R151" i="6"/>
  <c r="N151" i="6"/>
  <c r="O151" i="6" s="1"/>
  <c r="L151" i="6"/>
  <c r="I151" i="6"/>
  <c r="H151" i="6"/>
  <c r="F151" i="6"/>
  <c r="C151" i="6"/>
  <c r="AA149" i="6"/>
  <c r="Z149" i="6"/>
  <c r="T149" i="6"/>
  <c r="R149" i="6"/>
  <c r="Q149" i="6"/>
  <c r="AC149" i="6" s="1"/>
  <c r="AD149" i="6" s="1"/>
  <c r="O149" i="6"/>
  <c r="L149" i="6"/>
  <c r="K149" i="6"/>
  <c r="H149" i="6"/>
  <c r="I149" i="6" s="1"/>
  <c r="F149" i="6"/>
  <c r="E149" i="6"/>
  <c r="C149" i="6"/>
  <c r="B149" i="6"/>
  <c r="N149" i="6" s="1"/>
  <c r="AD148" i="6"/>
  <c r="Z148" i="6"/>
  <c r="AA148" i="6" s="1"/>
  <c r="U148" i="6"/>
  <c r="T148" i="6"/>
  <c r="R148" i="6"/>
  <c r="Q148" i="6"/>
  <c r="AC148" i="6" s="1"/>
  <c r="L148" i="6"/>
  <c r="K148" i="6"/>
  <c r="F148" i="6"/>
  <c r="E148" i="6"/>
  <c r="B148" i="6"/>
  <c r="N148" i="6" s="1"/>
  <c r="O148" i="6" s="1"/>
  <c r="AD147" i="6"/>
  <c r="AC147" i="6"/>
  <c r="AA147" i="6"/>
  <c r="W147" i="6"/>
  <c r="X147" i="6" s="1"/>
  <c r="U147" i="6"/>
  <c r="R147" i="6"/>
  <c r="N147" i="6"/>
  <c r="O147" i="6" s="1"/>
  <c r="L147" i="6"/>
  <c r="I147" i="6"/>
  <c r="H147" i="6"/>
  <c r="F147" i="6"/>
  <c r="C147" i="6"/>
  <c r="AC146" i="6"/>
  <c r="AD146" i="6" s="1"/>
  <c r="AA146" i="6"/>
  <c r="W146" i="6"/>
  <c r="X146" i="6" s="1"/>
  <c r="U146" i="6"/>
  <c r="R146" i="6"/>
  <c r="N146" i="6"/>
  <c r="O146" i="6" s="1"/>
  <c r="L146" i="6"/>
  <c r="I146" i="6"/>
  <c r="H146" i="6"/>
  <c r="F146" i="6"/>
  <c r="C146" i="6"/>
  <c r="AD145" i="6"/>
  <c r="AC145" i="6"/>
  <c r="AA145" i="6"/>
  <c r="X145" i="6"/>
  <c r="W145" i="6"/>
  <c r="U145" i="6"/>
  <c r="R145" i="6"/>
  <c r="N145" i="6"/>
  <c r="O145" i="6" s="1"/>
  <c r="L145" i="6"/>
  <c r="H145" i="6"/>
  <c r="I145" i="6" s="1"/>
  <c r="F145" i="6"/>
  <c r="C145" i="6"/>
  <c r="AD144" i="6"/>
  <c r="AC144" i="6"/>
  <c r="AA144" i="6"/>
  <c r="W144" i="6"/>
  <c r="X144" i="6" s="1"/>
  <c r="U144" i="6"/>
  <c r="R144" i="6"/>
  <c r="N144" i="6"/>
  <c r="O144" i="6" s="1"/>
  <c r="L144" i="6"/>
  <c r="I144" i="6"/>
  <c r="H144" i="6"/>
  <c r="F144" i="6"/>
  <c r="C144" i="6"/>
  <c r="AD143" i="6"/>
  <c r="AC143" i="6"/>
  <c r="AA143" i="6"/>
  <c r="W143" i="6"/>
  <c r="X143" i="6" s="1"/>
  <c r="U143" i="6"/>
  <c r="R143" i="6"/>
  <c r="O143" i="6"/>
  <c r="N143" i="6"/>
  <c r="L143" i="6"/>
  <c r="I143" i="6"/>
  <c r="H143" i="6"/>
  <c r="F143" i="6"/>
  <c r="C143" i="6"/>
  <c r="AC141" i="6"/>
  <c r="AD141" i="6" s="1"/>
  <c r="AA141" i="6"/>
  <c r="Z141" i="6"/>
  <c r="X141" i="6"/>
  <c r="U141" i="6"/>
  <c r="T141" i="6"/>
  <c r="Q141" i="6"/>
  <c r="W141" i="6" s="1"/>
  <c r="O141" i="6"/>
  <c r="L141" i="6"/>
  <c r="K141" i="6"/>
  <c r="I141" i="6"/>
  <c r="F141" i="6"/>
  <c r="E141" i="6"/>
  <c r="H141" i="6" s="1"/>
  <c r="C141" i="6"/>
  <c r="B141" i="6"/>
  <c r="N141" i="6" s="1"/>
  <c r="AD140" i="6"/>
  <c r="AC140" i="6"/>
  <c r="AA140" i="6"/>
  <c r="W140" i="6"/>
  <c r="X140" i="6" s="1"/>
  <c r="U140" i="6"/>
  <c r="R140" i="6"/>
  <c r="N140" i="6"/>
  <c r="O140" i="6" s="1"/>
  <c r="L140" i="6"/>
  <c r="I140" i="6"/>
  <c r="H140" i="6"/>
  <c r="F140" i="6"/>
  <c r="C140" i="6"/>
  <c r="AD139" i="6"/>
  <c r="AC139" i="6"/>
  <c r="AA139" i="6"/>
  <c r="W139" i="6"/>
  <c r="X139" i="6" s="1"/>
  <c r="U139" i="6"/>
  <c r="R139" i="6"/>
  <c r="N139" i="6"/>
  <c r="O139" i="6" s="1"/>
  <c r="L139" i="6"/>
  <c r="I139" i="6"/>
  <c r="H139" i="6"/>
  <c r="F139" i="6"/>
  <c r="C139" i="6"/>
  <c r="AD138" i="6"/>
  <c r="AC138" i="6"/>
  <c r="AA138" i="6"/>
  <c r="W138" i="6"/>
  <c r="X138" i="6" s="1"/>
  <c r="U138" i="6"/>
  <c r="R138" i="6"/>
  <c r="N138" i="6"/>
  <c r="O138" i="6" s="1"/>
  <c r="L138" i="6"/>
  <c r="I138" i="6"/>
  <c r="H138" i="6"/>
  <c r="F138" i="6"/>
  <c r="C138" i="6"/>
  <c r="AD137" i="6"/>
  <c r="AC137" i="6"/>
  <c r="AA137" i="6"/>
  <c r="X137" i="6"/>
  <c r="W137" i="6"/>
  <c r="U137" i="6"/>
  <c r="R137" i="6"/>
  <c r="N137" i="6"/>
  <c r="O137" i="6" s="1"/>
  <c r="L137" i="6"/>
  <c r="H137" i="6"/>
  <c r="I137" i="6" s="1"/>
  <c r="F137" i="6"/>
  <c r="C137" i="6"/>
  <c r="AD136" i="6"/>
  <c r="AC136" i="6"/>
  <c r="AA136" i="6"/>
  <c r="W136" i="6"/>
  <c r="X136" i="6" s="1"/>
  <c r="U136" i="6"/>
  <c r="R136" i="6"/>
  <c r="N136" i="6"/>
  <c r="O136" i="6" s="1"/>
  <c r="L136" i="6"/>
  <c r="I136" i="6"/>
  <c r="H136" i="6"/>
  <c r="F136" i="6"/>
  <c r="C136" i="6"/>
  <c r="AD135" i="6"/>
  <c r="AC135" i="6"/>
  <c r="AA135" i="6"/>
  <c r="W135" i="6"/>
  <c r="X135" i="6" s="1"/>
  <c r="U135" i="6"/>
  <c r="R135" i="6"/>
  <c r="O135" i="6"/>
  <c r="N135" i="6"/>
  <c r="L135" i="6"/>
  <c r="I135" i="6"/>
  <c r="H135" i="6"/>
  <c r="F135" i="6"/>
  <c r="C135" i="6"/>
  <c r="AD134" i="6"/>
  <c r="AC134" i="6"/>
  <c r="AA134" i="6"/>
  <c r="W134" i="6"/>
  <c r="X134" i="6" s="1"/>
  <c r="U134" i="6"/>
  <c r="R134" i="6"/>
  <c r="N134" i="6"/>
  <c r="O134" i="6" s="1"/>
  <c r="L134" i="6"/>
  <c r="I134" i="6"/>
  <c r="H134" i="6"/>
  <c r="F134" i="6"/>
  <c r="C134" i="6"/>
  <c r="AD133" i="6"/>
  <c r="AC133" i="6"/>
  <c r="AA133" i="6"/>
  <c r="W133" i="6"/>
  <c r="X133" i="6" s="1"/>
  <c r="U133" i="6"/>
  <c r="R133" i="6"/>
  <c r="N133" i="6"/>
  <c r="O133" i="6" s="1"/>
  <c r="L133" i="6"/>
  <c r="I133" i="6"/>
  <c r="H133" i="6"/>
  <c r="F133" i="6"/>
  <c r="C133" i="6"/>
  <c r="AD132" i="6"/>
  <c r="AC132" i="6"/>
  <c r="AA132" i="6"/>
  <c r="W132" i="6"/>
  <c r="X132" i="6" s="1"/>
  <c r="U132" i="6"/>
  <c r="R132" i="6"/>
  <c r="N132" i="6"/>
  <c r="O132" i="6" s="1"/>
  <c r="L132" i="6"/>
  <c r="I132" i="6"/>
  <c r="H132" i="6"/>
  <c r="F132" i="6"/>
  <c r="C132" i="6"/>
  <c r="AD131" i="6"/>
  <c r="AC131" i="6"/>
  <c r="AA131" i="6"/>
  <c r="W131" i="6"/>
  <c r="X131" i="6" s="1"/>
  <c r="U131" i="6"/>
  <c r="R131" i="6"/>
  <c r="N131" i="6"/>
  <c r="O131" i="6" s="1"/>
  <c r="L131" i="6"/>
  <c r="I131" i="6"/>
  <c r="H131" i="6"/>
  <c r="F131" i="6"/>
  <c r="C131" i="6"/>
  <c r="AC130" i="6"/>
  <c r="AD130" i="6" s="1"/>
  <c r="AA130" i="6"/>
  <c r="W130" i="6"/>
  <c r="X130" i="6" s="1"/>
  <c r="U130" i="6"/>
  <c r="R130" i="6"/>
  <c r="N130" i="6"/>
  <c r="O130" i="6" s="1"/>
  <c r="L130" i="6"/>
  <c r="I130" i="6"/>
  <c r="H130" i="6"/>
  <c r="F130" i="6"/>
  <c r="C130" i="6"/>
  <c r="AD129" i="6"/>
  <c r="AC129" i="6"/>
  <c r="AA129" i="6"/>
  <c r="X129" i="6"/>
  <c r="W129" i="6"/>
  <c r="U129" i="6"/>
  <c r="R129" i="6"/>
  <c r="N129" i="6"/>
  <c r="O129" i="6" s="1"/>
  <c r="L129" i="6"/>
  <c r="H129" i="6"/>
  <c r="I129" i="6" s="1"/>
  <c r="F129" i="6"/>
  <c r="C129" i="6"/>
  <c r="AD127" i="6"/>
  <c r="AC127" i="6"/>
  <c r="AA127" i="6"/>
  <c r="W127" i="6"/>
  <c r="X127" i="6" s="1"/>
  <c r="U127" i="6"/>
  <c r="R127" i="6"/>
  <c r="N127" i="6"/>
  <c r="O127" i="6" s="1"/>
  <c r="L127" i="6"/>
  <c r="I127" i="6"/>
  <c r="H127" i="6"/>
  <c r="F127" i="6"/>
  <c r="C127" i="6"/>
  <c r="AA124" i="6"/>
  <c r="Z124" i="6"/>
  <c r="Z172" i="6" s="1"/>
  <c r="Z198" i="6" s="1"/>
  <c r="T124" i="6"/>
  <c r="R124" i="6"/>
  <c r="Q124" i="6"/>
  <c r="Q172" i="6" s="1"/>
  <c r="L124" i="6"/>
  <c r="K124" i="6"/>
  <c r="H124" i="6"/>
  <c r="I124" i="6" s="1"/>
  <c r="F124" i="6"/>
  <c r="E124" i="6"/>
  <c r="E172" i="6" s="1"/>
  <c r="C124" i="6"/>
  <c r="B124" i="6"/>
  <c r="N124" i="6" s="1"/>
  <c r="O124" i="6" s="1"/>
  <c r="AD123" i="6"/>
  <c r="AC123" i="6"/>
  <c r="AA123" i="6"/>
  <c r="W123" i="6"/>
  <c r="X123" i="6" s="1"/>
  <c r="U123" i="6"/>
  <c r="R123" i="6"/>
  <c r="N123" i="6"/>
  <c r="O123" i="6" s="1"/>
  <c r="L123" i="6"/>
  <c r="I123" i="6"/>
  <c r="H123" i="6"/>
  <c r="F123" i="6"/>
  <c r="C123" i="6"/>
  <c r="AA122" i="6"/>
  <c r="Z122" i="6"/>
  <c r="X122" i="6"/>
  <c r="W122" i="6"/>
  <c r="U122" i="6"/>
  <c r="T122" i="6"/>
  <c r="R122" i="6"/>
  <c r="Q122" i="6"/>
  <c r="AC122" i="6" s="1"/>
  <c r="AD122" i="6" s="1"/>
  <c r="K122" i="6"/>
  <c r="L122" i="6" s="1"/>
  <c r="F122" i="6"/>
  <c r="E122" i="6"/>
  <c r="C122" i="6"/>
  <c r="B122" i="6"/>
  <c r="AD121" i="6"/>
  <c r="AC121" i="6"/>
  <c r="AA121" i="6"/>
  <c r="W121" i="6"/>
  <c r="X121" i="6" s="1"/>
  <c r="U121" i="6"/>
  <c r="R121" i="6"/>
  <c r="N121" i="6"/>
  <c r="O121" i="6" s="1"/>
  <c r="L121" i="6"/>
  <c r="I121" i="6"/>
  <c r="H121" i="6"/>
  <c r="F121" i="6"/>
  <c r="C121" i="6"/>
  <c r="AD120" i="6"/>
  <c r="AC120" i="6"/>
  <c r="AA120" i="6"/>
  <c r="W120" i="6"/>
  <c r="X120" i="6" s="1"/>
  <c r="U120" i="6"/>
  <c r="R120" i="6"/>
  <c r="N120" i="6"/>
  <c r="O120" i="6" s="1"/>
  <c r="L120" i="6"/>
  <c r="H120" i="6"/>
  <c r="I120" i="6" s="1"/>
  <c r="F120" i="6"/>
  <c r="C120" i="6"/>
  <c r="AD119" i="6"/>
  <c r="AC119" i="6"/>
  <c r="AA119" i="6"/>
  <c r="W119" i="6"/>
  <c r="X119" i="6" s="1"/>
  <c r="U119" i="6"/>
  <c r="R119" i="6"/>
  <c r="N119" i="6"/>
  <c r="O119" i="6" s="1"/>
  <c r="L119" i="6"/>
  <c r="I119" i="6"/>
  <c r="H119" i="6"/>
  <c r="F119" i="6"/>
  <c r="C119" i="6"/>
  <c r="AD118" i="6"/>
  <c r="AA118" i="6"/>
  <c r="Z118" i="6"/>
  <c r="T118" i="6"/>
  <c r="R118" i="6"/>
  <c r="Q118" i="6"/>
  <c r="AC118" i="6" s="1"/>
  <c r="L118" i="6"/>
  <c r="K118" i="6"/>
  <c r="I118" i="6"/>
  <c r="H118" i="6"/>
  <c r="F118" i="6"/>
  <c r="E118" i="6"/>
  <c r="C118" i="6"/>
  <c r="B118" i="6"/>
  <c r="N118" i="6" s="1"/>
  <c r="O118" i="6" s="1"/>
  <c r="AD117" i="6"/>
  <c r="AC117" i="6"/>
  <c r="AA117" i="6"/>
  <c r="W117" i="6"/>
  <c r="X117" i="6" s="1"/>
  <c r="U117" i="6"/>
  <c r="R117" i="6"/>
  <c r="N117" i="6"/>
  <c r="O117" i="6" s="1"/>
  <c r="L117" i="6"/>
  <c r="H117" i="6"/>
  <c r="I117" i="6" s="1"/>
  <c r="F117" i="6"/>
  <c r="C117" i="6"/>
  <c r="AD116" i="6"/>
  <c r="AC116" i="6"/>
  <c r="AA116" i="6"/>
  <c r="W116" i="6"/>
  <c r="X116" i="6" s="1"/>
  <c r="U116" i="6"/>
  <c r="R116" i="6"/>
  <c r="N116" i="6"/>
  <c r="O116" i="6" s="1"/>
  <c r="L116" i="6"/>
  <c r="I116" i="6"/>
  <c r="H116" i="6"/>
  <c r="F116" i="6"/>
  <c r="C116" i="6"/>
  <c r="AD115" i="6"/>
  <c r="AC115" i="6"/>
  <c r="AA115" i="6"/>
  <c r="W115" i="6"/>
  <c r="X115" i="6" s="1"/>
  <c r="U115" i="6"/>
  <c r="R115" i="6"/>
  <c r="N115" i="6"/>
  <c r="O115" i="6" s="1"/>
  <c r="L115" i="6"/>
  <c r="I115" i="6"/>
  <c r="H115" i="6"/>
  <c r="F115" i="6"/>
  <c r="C115" i="6"/>
  <c r="AC114" i="6"/>
  <c r="AD114" i="6" s="1"/>
  <c r="AA114" i="6"/>
  <c r="W114" i="6"/>
  <c r="X114" i="6" s="1"/>
  <c r="U114" i="6"/>
  <c r="R114" i="6"/>
  <c r="N114" i="6"/>
  <c r="O114" i="6" s="1"/>
  <c r="L114" i="6"/>
  <c r="I114" i="6"/>
  <c r="H114" i="6"/>
  <c r="F114" i="6"/>
  <c r="C114" i="6"/>
  <c r="AD113" i="6"/>
  <c r="AC113" i="6"/>
  <c r="AA113" i="6"/>
  <c r="X113" i="6"/>
  <c r="W113" i="6"/>
  <c r="U113" i="6"/>
  <c r="R113" i="6"/>
  <c r="N113" i="6"/>
  <c r="O113" i="6" s="1"/>
  <c r="L113" i="6"/>
  <c r="H113" i="6"/>
  <c r="I113" i="6" s="1"/>
  <c r="F113" i="6"/>
  <c r="C113" i="6"/>
  <c r="AD112" i="6"/>
  <c r="AC112" i="6"/>
  <c r="AA112" i="6"/>
  <c r="W112" i="6"/>
  <c r="X112" i="6" s="1"/>
  <c r="U112" i="6"/>
  <c r="R112" i="6"/>
  <c r="N112" i="6"/>
  <c r="O112" i="6" s="1"/>
  <c r="L112" i="6"/>
  <c r="I112" i="6"/>
  <c r="H112" i="6"/>
  <c r="F112" i="6"/>
  <c r="C112" i="6"/>
  <c r="AD111" i="6"/>
  <c r="AC111" i="6"/>
  <c r="AA111" i="6"/>
  <c r="W111" i="6"/>
  <c r="X111" i="6" s="1"/>
  <c r="U111" i="6"/>
  <c r="R111" i="6"/>
  <c r="O111" i="6"/>
  <c r="N111" i="6"/>
  <c r="L111" i="6"/>
  <c r="I111" i="6"/>
  <c r="H111" i="6"/>
  <c r="F111" i="6"/>
  <c r="C111" i="6"/>
  <c r="AD110" i="6"/>
  <c r="AC110" i="6"/>
  <c r="AA110" i="6"/>
  <c r="W110" i="6"/>
  <c r="X110" i="6" s="1"/>
  <c r="U110" i="6"/>
  <c r="R110" i="6"/>
  <c r="N110" i="6"/>
  <c r="O110" i="6" s="1"/>
  <c r="L110" i="6"/>
  <c r="I110" i="6"/>
  <c r="H110" i="6"/>
  <c r="F110" i="6"/>
  <c r="C110" i="6"/>
  <c r="AD109" i="6"/>
  <c r="AC109" i="6"/>
  <c r="AA109" i="6"/>
  <c r="W109" i="6"/>
  <c r="X109" i="6" s="1"/>
  <c r="U109" i="6"/>
  <c r="R109" i="6"/>
  <c r="N109" i="6"/>
  <c r="O109" i="6" s="1"/>
  <c r="L109" i="6"/>
  <c r="I109" i="6"/>
  <c r="H109" i="6"/>
  <c r="F109" i="6"/>
  <c r="C109" i="6"/>
  <c r="AD108" i="6"/>
  <c r="AC108" i="6"/>
  <c r="AA108" i="6"/>
  <c r="W108" i="6"/>
  <c r="X108" i="6" s="1"/>
  <c r="U108" i="6"/>
  <c r="R108" i="6"/>
  <c r="N108" i="6"/>
  <c r="O108" i="6" s="1"/>
  <c r="L108" i="6"/>
  <c r="I108" i="6"/>
  <c r="H108" i="6"/>
  <c r="F108" i="6"/>
  <c r="C108" i="6"/>
  <c r="AD107" i="6"/>
  <c r="AC107" i="6"/>
  <c r="AA107" i="6"/>
  <c r="W107" i="6"/>
  <c r="X107" i="6" s="1"/>
  <c r="U107" i="6"/>
  <c r="R107" i="6"/>
  <c r="N107" i="6"/>
  <c r="O107" i="6" s="1"/>
  <c r="L107" i="6"/>
  <c r="I107" i="6"/>
  <c r="H107" i="6"/>
  <c r="F107" i="6"/>
  <c r="C107" i="6"/>
  <c r="AD106" i="6"/>
  <c r="AC106" i="6"/>
  <c r="AA106" i="6"/>
  <c r="W106" i="6"/>
  <c r="X106" i="6" s="1"/>
  <c r="U106" i="6"/>
  <c r="R106" i="6"/>
  <c r="N106" i="6"/>
  <c r="O106" i="6" s="1"/>
  <c r="L106" i="6"/>
  <c r="I106" i="6"/>
  <c r="H106" i="6"/>
  <c r="F106" i="6"/>
  <c r="C106" i="6"/>
  <c r="AD105" i="6"/>
  <c r="AC105" i="6"/>
  <c r="AA105" i="6"/>
  <c r="W105" i="6"/>
  <c r="X105" i="6" s="1"/>
  <c r="U105" i="6"/>
  <c r="R105" i="6"/>
  <c r="N105" i="6"/>
  <c r="O105" i="6" s="1"/>
  <c r="L105" i="6"/>
  <c r="H105" i="6"/>
  <c r="I105" i="6" s="1"/>
  <c r="F105" i="6"/>
  <c r="C105" i="6"/>
  <c r="AD104" i="6"/>
  <c r="AC104" i="6"/>
  <c r="AA104" i="6"/>
  <c r="W104" i="6"/>
  <c r="X104" i="6" s="1"/>
  <c r="U104" i="6"/>
  <c r="R104" i="6"/>
  <c r="N104" i="6"/>
  <c r="O104" i="6" s="1"/>
  <c r="L104" i="6"/>
  <c r="I104" i="6"/>
  <c r="H104" i="6"/>
  <c r="F104" i="6"/>
  <c r="C104" i="6"/>
  <c r="AD103" i="6"/>
  <c r="AC103" i="6"/>
  <c r="AA103" i="6"/>
  <c r="W103" i="6"/>
  <c r="X103" i="6" s="1"/>
  <c r="U103" i="6"/>
  <c r="R103" i="6"/>
  <c r="O103" i="6"/>
  <c r="N103" i="6"/>
  <c r="L103" i="6"/>
  <c r="I103" i="6"/>
  <c r="H103" i="6"/>
  <c r="F103" i="6"/>
  <c r="C103" i="6"/>
  <c r="AD102" i="6"/>
  <c r="AC102" i="6"/>
  <c r="AA102" i="6"/>
  <c r="W102" i="6"/>
  <c r="X102" i="6" s="1"/>
  <c r="U102" i="6"/>
  <c r="R102" i="6"/>
  <c r="N102" i="6"/>
  <c r="O102" i="6" s="1"/>
  <c r="L102" i="6"/>
  <c r="I102" i="6"/>
  <c r="H102" i="6"/>
  <c r="F102" i="6"/>
  <c r="C102" i="6"/>
  <c r="AD101" i="6"/>
  <c r="AC101" i="6"/>
  <c r="AA101" i="6"/>
  <c r="W101" i="6"/>
  <c r="X101" i="6" s="1"/>
  <c r="U101" i="6"/>
  <c r="R101" i="6"/>
  <c r="N101" i="6"/>
  <c r="O101" i="6" s="1"/>
  <c r="L101" i="6"/>
  <c r="H101" i="6"/>
  <c r="I101" i="6" s="1"/>
  <c r="F101" i="6"/>
  <c r="C101" i="6"/>
  <c r="AD100" i="6"/>
  <c r="AC100" i="6"/>
  <c r="AA100" i="6"/>
  <c r="W100" i="6"/>
  <c r="X100" i="6" s="1"/>
  <c r="U100" i="6"/>
  <c r="R100" i="6"/>
  <c r="N100" i="6"/>
  <c r="O100" i="6" s="1"/>
  <c r="L100" i="6"/>
  <c r="I100" i="6"/>
  <c r="H100" i="6"/>
  <c r="F100" i="6"/>
  <c r="C100" i="6"/>
  <c r="AD99" i="6"/>
  <c r="AC99" i="6"/>
  <c r="AA99" i="6"/>
  <c r="W99" i="6"/>
  <c r="X99" i="6" s="1"/>
  <c r="U99" i="6"/>
  <c r="R99" i="6"/>
  <c r="N99" i="6"/>
  <c r="O99" i="6" s="1"/>
  <c r="L99" i="6"/>
  <c r="I99" i="6"/>
  <c r="H99" i="6"/>
  <c r="F99" i="6"/>
  <c r="C99" i="6"/>
  <c r="AC98" i="6"/>
  <c r="AD98" i="6" s="1"/>
  <c r="AA98" i="6"/>
  <c r="W98" i="6"/>
  <c r="X98" i="6" s="1"/>
  <c r="U98" i="6"/>
  <c r="R98" i="6"/>
  <c r="N98" i="6"/>
  <c r="O98" i="6" s="1"/>
  <c r="L98" i="6"/>
  <c r="I98" i="6"/>
  <c r="H98" i="6"/>
  <c r="F98" i="6"/>
  <c r="C98" i="6"/>
  <c r="AD97" i="6"/>
  <c r="AC97" i="6"/>
  <c r="AA97" i="6"/>
  <c r="X97" i="6"/>
  <c r="W97" i="6"/>
  <c r="U97" i="6"/>
  <c r="R97" i="6"/>
  <c r="N97" i="6"/>
  <c r="O97" i="6" s="1"/>
  <c r="L97" i="6"/>
  <c r="H97" i="6"/>
  <c r="I97" i="6" s="1"/>
  <c r="F97" i="6"/>
  <c r="C97" i="6"/>
  <c r="AD96" i="6"/>
  <c r="AC96" i="6"/>
  <c r="AA96" i="6"/>
  <c r="W96" i="6"/>
  <c r="X96" i="6" s="1"/>
  <c r="U96" i="6"/>
  <c r="R96" i="6"/>
  <c r="N96" i="6"/>
  <c r="O96" i="6" s="1"/>
  <c r="L96" i="6"/>
  <c r="I96" i="6"/>
  <c r="H96" i="6"/>
  <c r="F96" i="6"/>
  <c r="C96" i="6"/>
  <c r="AD95" i="6"/>
  <c r="AC95" i="6"/>
  <c r="AA95" i="6"/>
  <c r="W95" i="6"/>
  <c r="X95" i="6" s="1"/>
  <c r="U95" i="6"/>
  <c r="R95" i="6"/>
  <c r="N95" i="6"/>
  <c r="O95" i="6" s="1"/>
  <c r="L95" i="6"/>
  <c r="I95" i="6"/>
  <c r="H95" i="6"/>
  <c r="F95" i="6"/>
  <c r="C95" i="6"/>
  <c r="AC94" i="6"/>
  <c r="AD94" i="6" s="1"/>
  <c r="AA94" i="6"/>
  <c r="W94" i="6"/>
  <c r="X94" i="6" s="1"/>
  <c r="U94" i="6"/>
  <c r="R94" i="6"/>
  <c r="N94" i="6"/>
  <c r="O94" i="6" s="1"/>
  <c r="L94" i="6"/>
  <c r="I94" i="6"/>
  <c r="H94" i="6"/>
  <c r="F94" i="6"/>
  <c r="C94" i="6"/>
  <c r="AD92" i="6"/>
  <c r="AC92" i="6"/>
  <c r="AA92" i="6"/>
  <c r="W92" i="6"/>
  <c r="X92" i="6" s="1"/>
  <c r="U92" i="6"/>
  <c r="R92" i="6"/>
  <c r="N92" i="6"/>
  <c r="O92" i="6" s="1"/>
  <c r="L92" i="6"/>
  <c r="I92" i="6"/>
  <c r="H92" i="6"/>
  <c r="F92" i="6"/>
  <c r="C92" i="6"/>
  <c r="AD91" i="6"/>
  <c r="AC91" i="6"/>
  <c r="AA91" i="6"/>
  <c r="W91" i="6"/>
  <c r="X91" i="6" s="1"/>
  <c r="U91" i="6"/>
  <c r="R91" i="6"/>
  <c r="N91" i="6"/>
  <c r="O91" i="6" s="1"/>
  <c r="L91" i="6"/>
  <c r="I91" i="6"/>
  <c r="H91" i="6"/>
  <c r="F91" i="6"/>
  <c r="C91" i="6"/>
  <c r="AD90" i="6"/>
  <c r="AC90" i="6"/>
  <c r="AA90" i="6"/>
  <c r="W90" i="6"/>
  <c r="X90" i="6" s="1"/>
  <c r="U90" i="6"/>
  <c r="R90" i="6"/>
  <c r="N90" i="6"/>
  <c r="O90" i="6" s="1"/>
  <c r="L90" i="6"/>
  <c r="I90" i="6"/>
  <c r="H90" i="6"/>
  <c r="F90" i="6"/>
  <c r="C90" i="6"/>
  <c r="AD89" i="6"/>
  <c r="AC89" i="6"/>
  <c r="AA89" i="6"/>
  <c r="W89" i="6"/>
  <c r="X89" i="6" s="1"/>
  <c r="U89" i="6"/>
  <c r="R89" i="6"/>
  <c r="N89" i="6"/>
  <c r="O89" i="6" s="1"/>
  <c r="L89" i="6"/>
  <c r="I89" i="6"/>
  <c r="H89" i="6"/>
  <c r="F89" i="6"/>
  <c r="C89" i="6"/>
  <c r="Z88" i="6"/>
  <c r="AA88" i="6" s="1"/>
  <c r="U88" i="6"/>
  <c r="T88" i="6"/>
  <c r="R88" i="6"/>
  <c r="Q88" i="6"/>
  <c r="N88" i="6"/>
  <c r="O88" i="6" s="1"/>
  <c r="L88" i="6"/>
  <c r="K88" i="6"/>
  <c r="I88" i="6"/>
  <c r="F88" i="6"/>
  <c r="E88" i="6"/>
  <c r="C88" i="6"/>
  <c r="B88" i="6"/>
  <c r="H88" i="6" s="1"/>
  <c r="AD87" i="6"/>
  <c r="AC87" i="6"/>
  <c r="AA87" i="6"/>
  <c r="W87" i="6"/>
  <c r="X87" i="6" s="1"/>
  <c r="U87" i="6"/>
  <c r="R87" i="6"/>
  <c r="O87" i="6"/>
  <c r="N87" i="6"/>
  <c r="L87" i="6"/>
  <c r="I87" i="6"/>
  <c r="H87" i="6"/>
  <c r="F87" i="6"/>
  <c r="C87" i="6"/>
  <c r="AD86" i="6"/>
  <c r="AC86" i="6"/>
  <c r="AA86" i="6"/>
  <c r="W86" i="6"/>
  <c r="X86" i="6" s="1"/>
  <c r="U86" i="6"/>
  <c r="R86" i="6"/>
  <c r="N86" i="6"/>
  <c r="O86" i="6" s="1"/>
  <c r="L86" i="6"/>
  <c r="I86" i="6"/>
  <c r="H86" i="6"/>
  <c r="F86" i="6"/>
  <c r="C86" i="6"/>
  <c r="AD85" i="6"/>
  <c r="AC85" i="6"/>
  <c r="AA85" i="6"/>
  <c r="W85" i="6"/>
  <c r="X85" i="6" s="1"/>
  <c r="U85" i="6"/>
  <c r="R85" i="6"/>
  <c r="N85" i="6"/>
  <c r="O85" i="6" s="1"/>
  <c r="L85" i="6"/>
  <c r="H85" i="6"/>
  <c r="I85" i="6" s="1"/>
  <c r="F85" i="6"/>
  <c r="C85" i="6"/>
  <c r="AD84" i="6"/>
  <c r="AC84" i="6"/>
  <c r="AA84" i="6"/>
  <c r="W84" i="6"/>
  <c r="X84" i="6" s="1"/>
  <c r="U84" i="6"/>
  <c r="R84" i="6"/>
  <c r="N84" i="6"/>
  <c r="O84" i="6" s="1"/>
  <c r="L84" i="6"/>
  <c r="I84" i="6"/>
  <c r="H84" i="6"/>
  <c r="F84" i="6"/>
  <c r="C84" i="6"/>
  <c r="AD83" i="6"/>
  <c r="AC83" i="6"/>
  <c r="AA83" i="6"/>
  <c r="W83" i="6"/>
  <c r="X83" i="6" s="1"/>
  <c r="U83" i="6"/>
  <c r="R83" i="6"/>
  <c r="N83" i="6"/>
  <c r="O83" i="6" s="1"/>
  <c r="L83" i="6"/>
  <c r="I83" i="6"/>
  <c r="H83" i="6"/>
  <c r="F83" i="6"/>
  <c r="C83" i="6"/>
  <c r="AC82" i="6"/>
  <c r="AD82" i="6" s="1"/>
  <c r="AA82" i="6"/>
  <c r="W82" i="6"/>
  <c r="X82" i="6" s="1"/>
  <c r="U82" i="6"/>
  <c r="R82" i="6"/>
  <c r="N82" i="6"/>
  <c r="O82" i="6" s="1"/>
  <c r="L82" i="6"/>
  <c r="I82" i="6"/>
  <c r="H82" i="6"/>
  <c r="F82" i="6"/>
  <c r="C82" i="6"/>
  <c r="AD81" i="6"/>
  <c r="AC81" i="6"/>
  <c r="AA81" i="6"/>
  <c r="X81" i="6"/>
  <c r="W81" i="6"/>
  <c r="U81" i="6"/>
  <c r="R81" i="6"/>
  <c r="N81" i="6"/>
  <c r="O81" i="6" s="1"/>
  <c r="L81" i="6"/>
  <c r="H81" i="6"/>
  <c r="I81" i="6" s="1"/>
  <c r="F81" i="6"/>
  <c r="C81" i="6"/>
  <c r="AD80" i="6"/>
  <c r="AC80" i="6"/>
  <c r="AA80" i="6"/>
  <c r="W80" i="6"/>
  <c r="X80" i="6" s="1"/>
  <c r="U80" i="6"/>
  <c r="R80" i="6"/>
  <c r="N80" i="6"/>
  <c r="O80" i="6" s="1"/>
  <c r="L80" i="6"/>
  <c r="I80" i="6"/>
  <c r="H80" i="6"/>
  <c r="F80" i="6"/>
  <c r="C80" i="6"/>
  <c r="AD79" i="6"/>
  <c r="AC79" i="6"/>
  <c r="AA79" i="6"/>
  <c r="W79" i="6"/>
  <c r="X79" i="6" s="1"/>
  <c r="U79" i="6"/>
  <c r="R79" i="6"/>
  <c r="N79" i="6"/>
  <c r="O79" i="6" s="1"/>
  <c r="L79" i="6"/>
  <c r="I79" i="6"/>
  <c r="H79" i="6"/>
  <c r="F79" i="6"/>
  <c r="C79" i="6"/>
  <c r="AC78" i="6"/>
  <c r="AD78" i="6" s="1"/>
  <c r="AA78" i="6"/>
  <c r="W78" i="6"/>
  <c r="X78" i="6" s="1"/>
  <c r="U78" i="6"/>
  <c r="R78" i="6"/>
  <c r="N78" i="6"/>
  <c r="O78" i="6" s="1"/>
  <c r="L78" i="6"/>
  <c r="I78" i="6"/>
  <c r="H78" i="6"/>
  <c r="F78" i="6"/>
  <c r="C78" i="6"/>
  <c r="AD77" i="6"/>
  <c r="AC77" i="6"/>
  <c r="AA77" i="6"/>
  <c r="W77" i="6"/>
  <c r="X77" i="6" s="1"/>
  <c r="U77" i="6"/>
  <c r="R77" i="6"/>
  <c r="N77" i="6"/>
  <c r="O77" i="6" s="1"/>
  <c r="L77" i="6"/>
  <c r="I77" i="6"/>
  <c r="H77" i="6"/>
  <c r="F77" i="6"/>
  <c r="C77" i="6"/>
  <c r="AD76" i="6"/>
  <c r="AC76" i="6"/>
  <c r="AA76" i="6"/>
  <c r="W76" i="6"/>
  <c r="X76" i="6" s="1"/>
  <c r="U76" i="6"/>
  <c r="R76" i="6"/>
  <c r="N76" i="6"/>
  <c r="O76" i="6" s="1"/>
  <c r="L76" i="6"/>
  <c r="I76" i="6"/>
  <c r="H76" i="6"/>
  <c r="F76" i="6"/>
  <c r="C76" i="6"/>
  <c r="AD75" i="6"/>
  <c r="AC75" i="6"/>
  <c r="AA75" i="6"/>
  <c r="W75" i="6"/>
  <c r="X75" i="6" s="1"/>
  <c r="U75" i="6"/>
  <c r="R75" i="6"/>
  <c r="N75" i="6"/>
  <c r="O75" i="6" s="1"/>
  <c r="L75" i="6"/>
  <c r="I75" i="6"/>
  <c r="H75" i="6"/>
  <c r="F75" i="6"/>
  <c r="C75" i="6"/>
  <c r="AA73" i="6"/>
  <c r="Z73" i="6"/>
  <c r="U73" i="6"/>
  <c r="T73" i="6"/>
  <c r="Q73" i="6"/>
  <c r="W73" i="6" s="1"/>
  <c r="X73" i="6" s="1"/>
  <c r="L73" i="6"/>
  <c r="K73" i="6"/>
  <c r="E73" i="6"/>
  <c r="H73" i="6" s="1"/>
  <c r="I73" i="6" s="1"/>
  <c r="C73" i="6"/>
  <c r="B73" i="6"/>
  <c r="N73" i="6" s="1"/>
  <c r="O73" i="6" s="1"/>
  <c r="AD72" i="6"/>
  <c r="AC72" i="6"/>
  <c r="AA72" i="6"/>
  <c r="W72" i="6"/>
  <c r="X72" i="6" s="1"/>
  <c r="U72" i="6"/>
  <c r="R72" i="6"/>
  <c r="N72" i="6"/>
  <c r="O72" i="6" s="1"/>
  <c r="L72" i="6"/>
  <c r="I72" i="6"/>
  <c r="H72" i="6"/>
  <c r="F72" i="6"/>
  <c r="C72" i="6"/>
  <c r="AD71" i="6"/>
  <c r="AC71" i="6"/>
  <c r="AA71" i="6"/>
  <c r="W71" i="6"/>
  <c r="X71" i="6" s="1"/>
  <c r="U71" i="6"/>
  <c r="R71" i="6"/>
  <c r="O71" i="6"/>
  <c r="N71" i="6"/>
  <c r="L71" i="6"/>
  <c r="I71" i="6"/>
  <c r="H71" i="6"/>
  <c r="F71" i="6"/>
  <c r="C71" i="6"/>
  <c r="AD70" i="6"/>
  <c r="AC70" i="6"/>
  <c r="AA70" i="6"/>
  <c r="W70" i="6"/>
  <c r="X70" i="6" s="1"/>
  <c r="U70" i="6"/>
  <c r="R70" i="6"/>
  <c r="N70" i="6"/>
  <c r="O70" i="6" s="1"/>
  <c r="L70" i="6"/>
  <c r="I70" i="6"/>
  <c r="H70" i="6"/>
  <c r="F70" i="6"/>
  <c r="C70" i="6"/>
  <c r="AD69" i="6"/>
  <c r="AC69" i="6"/>
  <c r="AA69" i="6"/>
  <c r="W69" i="6"/>
  <c r="X69" i="6" s="1"/>
  <c r="U69" i="6"/>
  <c r="R69" i="6"/>
  <c r="N69" i="6"/>
  <c r="O69" i="6" s="1"/>
  <c r="L69" i="6"/>
  <c r="H69" i="6"/>
  <c r="I69" i="6" s="1"/>
  <c r="F69" i="6"/>
  <c r="C69" i="6"/>
  <c r="AD68" i="6"/>
  <c r="AC68" i="6"/>
  <c r="AA68" i="6"/>
  <c r="W68" i="6"/>
  <c r="X68" i="6" s="1"/>
  <c r="U68" i="6"/>
  <c r="R68" i="6"/>
  <c r="N68" i="6"/>
  <c r="O68" i="6" s="1"/>
  <c r="L68" i="6"/>
  <c r="I68" i="6"/>
  <c r="H68" i="6"/>
  <c r="F68" i="6"/>
  <c r="C68" i="6"/>
  <c r="AD67" i="6"/>
  <c r="AC67" i="6"/>
  <c r="AA67" i="6"/>
  <c r="W67" i="6"/>
  <c r="X67" i="6" s="1"/>
  <c r="U67" i="6"/>
  <c r="R67" i="6"/>
  <c r="N67" i="6"/>
  <c r="O67" i="6" s="1"/>
  <c r="L67" i="6"/>
  <c r="I67" i="6"/>
  <c r="H67" i="6"/>
  <c r="F67" i="6"/>
  <c r="C67" i="6"/>
  <c r="AC66" i="6"/>
  <c r="AD66" i="6" s="1"/>
  <c r="AA66" i="6"/>
  <c r="W66" i="6"/>
  <c r="X66" i="6" s="1"/>
  <c r="U66" i="6"/>
  <c r="R66" i="6"/>
  <c r="N66" i="6"/>
  <c r="O66" i="6" s="1"/>
  <c r="L66" i="6"/>
  <c r="I66" i="6"/>
  <c r="H66" i="6"/>
  <c r="F66" i="6"/>
  <c r="C66" i="6"/>
  <c r="AD65" i="6"/>
  <c r="AC65" i="6"/>
  <c r="AA65" i="6"/>
  <c r="X65" i="6"/>
  <c r="W65" i="6"/>
  <c r="U65" i="6"/>
  <c r="R65" i="6"/>
  <c r="N65" i="6"/>
  <c r="O65" i="6" s="1"/>
  <c r="L65" i="6"/>
  <c r="H65" i="6"/>
  <c r="I65" i="6" s="1"/>
  <c r="F65" i="6"/>
  <c r="C65" i="6"/>
  <c r="AD64" i="6"/>
  <c r="AC64" i="6"/>
  <c r="AA64" i="6"/>
  <c r="W64" i="6"/>
  <c r="X64" i="6" s="1"/>
  <c r="U64" i="6"/>
  <c r="R64" i="6"/>
  <c r="N64" i="6"/>
  <c r="O64" i="6" s="1"/>
  <c r="L64" i="6"/>
  <c r="I64" i="6"/>
  <c r="H64" i="6"/>
  <c r="F64" i="6"/>
  <c r="C64" i="6"/>
  <c r="AA62" i="6"/>
  <c r="Z62" i="6"/>
  <c r="T62" i="6"/>
  <c r="W62" i="6" s="1"/>
  <c r="X62" i="6" s="1"/>
  <c r="R62" i="6"/>
  <c r="Q62" i="6"/>
  <c r="AC62" i="6" s="1"/>
  <c r="AD62" i="6" s="1"/>
  <c r="L62" i="6"/>
  <c r="K62" i="6"/>
  <c r="H62" i="6"/>
  <c r="I62" i="6" s="1"/>
  <c r="F62" i="6"/>
  <c r="E62" i="6"/>
  <c r="C62" i="6"/>
  <c r="B62" i="6"/>
  <c r="N62" i="6" s="1"/>
  <c r="O62" i="6" s="1"/>
  <c r="AD61" i="6"/>
  <c r="AA61" i="6"/>
  <c r="Z61" i="6"/>
  <c r="U61" i="6"/>
  <c r="T61" i="6"/>
  <c r="R61" i="6"/>
  <c r="Q61" i="6"/>
  <c r="AC61" i="6" s="1"/>
  <c r="L61" i="6"/>
  <c r="K61" i="6"/>
  <c r="F61" i="6"/>
  <c r="E61" i="6"/>
  <c r="B61" i="6"/>
  <c r="AD60" i="6"/>
  <c r="AC60" i="6"/>
  <c r="AA60" i="6"/>
  <c r="W60" i="6"/>
  <c r="X60" i="6" s="1"/>
  <c r="U60" i="6"/>
  <c r="R60" i="6"/>
  <c r="N60" i="6"/>
  <c r="O60" i="6" s="1"/>
  <c r="L60" i="6"/>
  <c r="I60" i="6"/>
  <c r="H60" i="6"/>
  <c r="F60" i="6"/>
  <c r="C60" i="6"/>
  <c r="AD59" i="6"/>
  <c r="AC59" i="6"/>
  <c r="AA59" i="6"/>
  <c r="W59" i="6"/>
  <c r="X59" i="6" s="1"/>
  <c r="U59" i="6"/>
  <c r="R59" i="6"/>
  <c r="N59" i="6"/>
  <c r="O59" i="6" s="1"/>
  <c r="L59" i="6"/>
  <c r="I59" i="6"/>
  <c r="H59" i="6"/>
  <c r="F59" i="6"/>
  <c r="C59" i="6"/>
  <c r="AD58" i="6"/>
  <c r="AC58" i="6"/>
  <c r="AA58" i="6"/>
  <c r="W58" i="6"/>
  <c r="X58" i="6" s="1"/>
  <c r="U58" i="6"/>
  <c r="R58" i="6"/>
  <c r="N58" i="6"/>
  <c r="O58" i="6" s="1"/>
  <c r="L58" i="6"/>
  <c r="H58" i="6"/>
  <c r="I58" i="6" s="1"/>
  <c r="F58" i="6"/>
  <c r="C58" i="6"/>
  <c r="AD57" i="6"/>
  <c r="AC57" i="6"/>
  <c r="AA57" i="6"/>
  <c r="W57" i="6"/>
  <c r="X57" i="6" s="1"/>
  <c r="U57" i="6"/>
  <c r="R57" i="6"/>
  <c r="N57" i="6"/>
  <c r="O57" i="6" s="1"/>
  <c r="L57" i="6"/>
  <c r="I57" i="6"/>
  <c r="H57" i="6"/>
  <c r="F57" i="6"/>
  <c r="C57" i="6"/>
  <c r="AD56" i="6"/>
  <c r="AC56" i="6"/>
  <c r="AA56" i="6"/>
  <c r="W56" i="6"/>
  <c r="X56" i="6" s="1"/>
  <c r="U56" i="6"/>
  <c r="R56" i="6"/>
  <c r="O56" i="6"/>
  <c r="N56" i="6"/>
  <c r="L56" i="6"/>
  <c r="I56" i="6"/>
  <c r="H56" i="6"/>
  <c r="F56" i="6"/>
  <c r="C56" i="6"/>
  <c r="AD55" i="6"/>
  <c r="AC55" i="6"/>
  <c r="AA55" i="6"/>
  <c r="W55" i="6"/>
  <c r="X55" i="6" s="1"/>
  <c r="U55" i="6"/>
  <c r="R55" i="6"/>
  <c r="N55" i="6"/>
  <c r="O55" i="6" s="1"/>
  <c r="L55" i="6"/>
  <c r="I55" i="6"/>
  <c r="H55" i="6"/>
  <c r="F55" i="6"/>
  <c r="C55" i="6"/>
  <c r="AD54" i="6"/>
  <c r="AC54" i="6"/>
  <c r="AA54" i="6"/>
  <c r="W54" i="6"/>
  <c r="X54" i="6" s="1"/>
  <c r="U54" i="6"/>
  <c r="R54" i="6"/>
  <c r="N54" i="6"/>
  <c r="O54" i="6" s="1"/>
  <c r="L54" i="6"/>
  <c r="H54" i="6"/>
  <c r="I54" i="6" s="1"/>
  <c r="F54" i="6"/>
  <c r="C54" i="6"/>
  <c r="AD53" i="6"/>
  <c r="AC53" i="6"/>
  <c r="AA53" i="6"/>
  <c r="W53" i="6"/>
  <c r="X53" i="6" s="1"/>
  <c r="U53" i="6"/>
  <c r="R53" i="6"/>
  <c r="N53" i="6"/>
  <c r="O53" i="6" s="1"/>
  <c r="L53" i="6"/>
  <c r="I53" i="6"/>
  <c r="H53" i="6"/>
  <c r="F53" i="6"/>
  <c r="C53" i="6"/>
  <c r="AD52" i="6"/>
  <c r="AC52" i="6"/>
  <c r="AA52" i="6"/>
  <c r="W52" i="6"/>
  <c r="X52" i="6" s="1"/>
  <c r="U52" i="6"/>
  <c r="R52" i="6"/>
  <c r="N52" i="6"/>
  <c r="O52" i="6" s="1"/>
  <c r="L52" i="6"/>
  <c r="I52" i="6"/>
  <c r="H52" i="6"/>
  <c r="F52" i="6"/>
  <c r="C52" i="6"/>
  <c r="AC51" i="6"/>
  <c r="AD51" i="6" s="1"/>
  <c r="AA51" i="6"/>
  <c r="W51" i="6"/>
  <c r="X51" i="6" s="1"/>
  <c r="U51" i="6"/>
  <c r="R51" i="6"/>
  <c r="N51" i="6"/>
  <c r="O51" i="6" s="1"/>
  <c r="L51" i="6"/>
  <c r="I51" i="6"/>
  <c r="H51" i="6"/>
  <c r="F51" i="6"/>
  <c r="C51" i="6"/>
  <c r="AD50" i="6"/>
  <c r="AC50" i="6"/>
  <c r="AA50" i="6"/>
  <c r="X50" i="6"/>
  <c r="W50" i="6"/>
  <c r="U50" i="6"/>
  <c r="R50" i="6"/>
  <c r="N50" i="6"/>
  <c r="O50" i="6" s="1"/>
  <c r="L50" i="6"/>
  <c r="H50" i="6"/>
  <c r="I50" i="6" s="1"/>
  <c r="F50" i="6"/>
  <c r="C50" i="6"/>
  <c r="AD49" i="6"/>
  <c r="AC49" i="6"/>
  <c r="AA49" i="6"/>
  <c r="W49" i="6"/>
  <c r="X49" i="6" s="1"/>
  <c r="U49" i="6"/>
  <c r="R49" i="6"/>
  <c r="N49" i="6"/>
  <c r="O49" i="6" s="1"/>
  <c r="L49" i="6"/>
  <c r="I49" i="6"/>
  <c r="H49" i="6"/>
  <c r="F49" i="6"/>
  <c r="C49" i="6"/>
  <c r="AD48" i="6"/>
  <c r="AC48" i="6"/>
  <c r="AA48" i="6"/>
  <c r="W48" i="6"/>
  <c r="X48" i="6" s="1"/>
  <c r="U48" i="6"/>
  <c r="R48" i="6"/>
  <c r="N48" i="6"/>
  <c r="O48" i="6" s="1"/>
  <c r="L48" i="6"/>
  <c r="I48" i="6"/>
  <c r="H48" i="6"/>
  <c r="F48" i="6"/>
  <c r="C48" i="6"/>
  <c r="AC47" i="6"/>
  <c r="AD47" i="6" s="1"/>
  <c r="AA47" i="6"/>
  <c r="W47" i="6"/>
  <c r="X47" i="6" s="1"/>
  <c r="U47" i="6"/>
  <c r="R47" i="6"/>
  <c r="N47" i="6"/>
  <c r="O47" i="6" s="1"/>
  <c r="L47" i="6"/>
  <c r="I47" i="6"/>
  <c r="H47" i="6"/>
  <c r="F47" i="6"/>
  <c r="C47" i="6"/>
  <c r="AD46" i="6"/>
  <c r="AC46" i="6"/>
  <c r="AA46" i="6"/>
  <c r="W46" i="6"/>
  <c r="X46" i="6" s="1"/>
  <c r="U46" i="6"/>
  <c r="R46" i="6"/>
  <c r="N46" i="6"/>
  <c r="O46" i="6" s="1"/>
  <c r="L46" i="6"/>
  <c r="I46" i="6"/>
  <c r="H46" i="6"/>
  <c r="F46" i="6"/>
  <c r="C46" i="6"/>
  <c r="AD44" i="6"/>
  <c r="AC44" i="6"/>
  <c r="AA44" i="6"/>
  <c r="W44" i="6"/>
  <c r="X44" i="6" s="1"/>
  <c r="U44" i="6"/>
  <c r="R44" i="6"/>
  <c r="N44" i="6"/>
  <c r="O44" i="6" s="1"/>
  <c r="L44" i="6"/>
  <c r="I44" i="6"/>
  <c r="H44" i="6"/>
  <c r="F44" i="6"/>
  <c r="C44" i="6"/>
  <c r="AD43" i="6"/>
  <c r="AC43" i="6"/>
  <c r="AA43" i="6"/>
  <c r="W43" i="6"/>
  <c r="X43" i="6" s="1"/>
  <c r="U43" i="6"/>
  <c r="R43" i="6"/>
  <c r="N43" i="6"/>
  <c r="O43" i="6" s="1"/>
  <c r="L43" i="6"/>
  <c r="I43" i="6"/>
  <c r="H43" i="6"/>
  <c r="F43" i="6"/>
  <c r="C43" i="6"/>
  <c r="AD42" i="6"/>
  <c r="AC42" i="6"/>
  <c r="AA42" i="6"/>
  <c r="W42" i="6"/>
  <c r="X42" i="6" s="1"/>
  <c r="U42" i="6"/>
  <c r="R42" i="6"/>
  <c r="N42" i="6"/>
  <c r="O42" i="6" s="1"/>
  <c r="L42" i="6"/>
  <c r="I42" i="6"/>
  <c r="H42" i="6"/>
  <c r="F42" i="6"/>
  <c r="C42" i="6"/>
  <c r="Z40" i="6"/>
  <c r="AA40" i="6" s="1"/>
  <c r="U40" i="6"/>
  <c r="T40" i="6"/>
  <c r="R40" i="6"/>
  <c r="Q40" i="6"/>
  <c r="N40" i="6"/>
  <c r="O40" i="6" s="1"/>
  <c r="L40" i="6"/>
  <c r="K40" i="6"/>
  <c r="I40" i="6"/>
  <c r="F40" i="6"/>
  <c r="E40" i="6"/>
  <c r="C40" i="6"/>
  <c r="B40" i="6"/>
  <c r="H40" i="6" s="1"/>
  <c r="AD39" i="6"/>
  <c r="AC39" i="6"/>
  <c r="AA39" i="6"/>
  <c r="W39" i="6"/>
  <c r="X39" i="6" s="1"/>
  <c r="U39" i="6"/>
  <c r="R39" i="6"/>
  <c r="O39" i="6"/>
  <c r="N39" i="6"/>
  <c r="L39" i="6"/>
  <c r="I39" i="6"/>
  <c r="H39" i="6"/>
  <c r="F39" i="6"/>
  <c r="C39" i="6"/>
  <c r="AD38" i="6"/>
  <c r="AC38" i="6"/>
  <c r="AA38" i="6"/>
  <c r="W38" i="6"/>
  <c r="X38" i="6" s="1"/>
  <c r="U38" i="6"/>
  <c r="R38" i="6"/>
  <c r="N38" i="6"/>
  <c r="O38" i="6" s="1"/>
  <c r="L38" i="6"/>
  <c r="I38" i="6"/>
  <c r="H38" i="6"/>
  <c r="F38" i="6"/>
  <c r="C38" i="6"/>
  <c r="AD37" i="6"/>
  <c r="AC37" i="6"/>
  <c r="AA37" i="6"/>
  <c r="W37" i="6"/>
  <c r="X37" i="6" s="1"/>
  <c r="U37" i="6"/>
  <c r="R37" i="6"/>
  <c r="N37" i="6"/>
  <c r="O37" i="6" s="1"/>
  <c r="L37" i="6"/>
  <c r="H37" i="6"/>
  <c r="I37" i="6" s="1"/>
  <c r="F37" i="6"/>
  <c r="C37" i="6"/>
  <c r="AD36" i="6"/>
  <c r="AC36" i="6"/>
  <c r="AA36" i="6"/>
  <c r="W36" i="6"/>
  <c r="X36" i="6" s="1"/>
  <c r="U36" i="6"/>
  <c r="R36" i="6"/>
  <c r="N36" i="6"/>
  <c r="O36" i="6" s="1"/>
  <c r="L36" i="6"/>
  <c r="I36" i="6"/>
  <c r="H36" i="6"/>
  <c r="F36" i="6"/>
  <c r="C36" i="6"/>
  <c r="AD35" i="6"/>
  <c r="AC35" i="6"/>
  <c r="AA35" i="6"/>
  <c r="W35" i="6"/>
  <c r="X35" i="6" s="1"/>
  <c r="U35" i="6"/>
  <c r="R35" i="6"/>
  <c r="N35" i="6"/>
  <c r="O35" i="6" s="1"/>
  <c r="L35" i="6"/>
  <c r="I35" i="6"/>
  <c r="H35" i="6"/>
  <c r="F35" i="6"/>
  <c r="C35" i="6"/>
  <c r="AC34" i="6"/>
  <c r="AD34" i="6" s="1"/>
  <c r="AA34" i="6"/>
  <c r="W34" i="6"/>
  <c r="X34" i="6" s="1"/>
  <c r="U34" i="6"/>
  <c r="R34" i="6"/>
  <c r="N34" i="6"/>
  <c r="O34" i="6" s="1"/>
  <c r="L34" i="6"/>
  <c r="I34" i="6"/>
  <c r="H34" i="6"/>
  <c r="F34" i="6"/>
  <c r="C34" i="6"/>
  <c r="AD33" i="6"/>
  <c r="AC33" i="6"/>
  <c r="AA33" i="6"/>
  <c r="X33" i="6"/>
  <c r="W33" i="6"/>
  <c r="U33" i="6"/>
  <c r="R33" i="6"/>
  <c r="N33" i="6"/>
  <c r="O33" i="6" s="1"/>
  <c r="L33" i="6"/>
  <c r="H33" i="6"/>
  <c r="I33" i="6" s="1"/>
  <c r="F33" i="6"/>
  <c r="C33" i="6"/>
  <c r="AD32" i="6"/>
  <c r="AC32" i="6"/>
  <c r="AA32" i="6"/>
  <c r="W32" i="6"/>
  <c r="X32" i="6" s="1"/>
  <c r="U32" i="6"/>
  <c r="R32" i="6"/>
  <c r="N32" i="6"/>
  <c r="O32" i="6" s="1"/>
  <c r="L32" i="6"/>
  <c r="I32" i="6"/>
  <c r="H32" i="6"/>
  <c r="F32" i="6"/>
  <c r="C32" i="6"/>
  <c r="AD31" i="6"/>
  <c r="AC31" i="6"/>
  <c r="AA31" i="6"/>
  <c r="W31" i="6"/>
  <c r="X31" i="6" s="1"/>
  <c r="U31" i="6"/>
  <c r="R31" i="6"/>
  <c r="N31" i="6"/>
  <c r="O31" i="6" s="1"/>
  <c r="L31" i="6"/>
  <c r="I31" i="6"/>
  <c r="H31" i="6"/>
  <c r="F31" i="6"/>
  <c r="C31" i="6"/>
  <c r="AA29" i="6"/>
  <c r="Z29" i="6"/>
  <c r="X29" i="6"/>
  <c r="U29" i="6"/>
  <c r="T29" i="6"/>
  <c r="Q29" i="6"/>
  <c r="W29" i="6" s="1"/>
  <c r="L29" i="6"/>
  <c r="K29" i="6"/>
  <c r="I29" i="6"/>
  <c r="F29" i="6"/>
  <c r="E29" i="6"/>
  <c r="H29" i="6" s="1"/>
  <c r="C29" i="6"/>
  <c r="B29" i="6"/>
  <c r="N29" i="6" s="1"/>
  <c r="O29" i="6" s="1"/>
  <c r="AD28" i="6"/>
  <c r="AC28" i="6"/>
  <c r="AA28" i="6"/>
  <c r="W28" i="6"/>
  <c r="X28" i="6" s="1"/>
  <c r="U28" i="6"/>
  <c r="R28" i="6"/>
  <c r="N28" i="6"/>
  <c r="O28" i="6" s="1"/>
  <c r="L28" i="6"/>
  <c r="I28" i="6"/>
  <c r="H28" i="6"/>
  <c r="F28" i="6"/>
  <c r="C28" i="6"/>
  <c r="AD27" i="6"/>
  <c r="AC27" i="6"/>
  <c r="AA27" i="6"/>
  <c r="W27" i="6"/>
  <c r="X27" i="6" s="1"/>
  <c r="U27" i="6"/>
  <c r="R27" i="6"/>
  <c r="N27" i="6"/>
  <c r="O27" i="6" s="1"/>
  <c r="L27" i="6"/>
  <c r="I27" i="6"/>
  <c r="H27" i="6"/>
  <c r="F27" i="6"/>
  <c r="C27" i="6"/>
  <c r="AD26" i="6"/>
  <c r="AC26" i="6"/>
  <c r="AA26" i="6"/>
  <c r="W26" i="6"/>
  <c r="X26" i="6" s="1"/>
  <c r="U26" i="6"/>
  <c r="R26" i="6"/>
  <c r="N26" i="6"/>
  <c r="O26" i="6" s="1"/>
  <c r="L26" i="6"/>
  <c r="I26" i="6"/>
  <c r="H26" i="6"/>
  <c r="F26" i="6"/>
  <c r="C26" i="6"/>
  <c r="AD25" i="6"/>
  <c r="AC25" i="6"/>
  <c r="AA25" i="6"/>
  <c r="W25" i="6"/>
  <c r="X25" i="6" s="1"/>
  <c r="U25" i="6"/>
  <c r="R25" i="6"/>
  <c r="N25" i="6"/>
  <c r="O25" i="6" s="1"/>
  <c r="L25" i="6"/>
  <c r="H25" i="6"/>
  <c r="I25" i="6" s="1"/>
  <c r="F25" i="6"/>
  <c r="C25" i="6"/>
  <c r="AD24" i="6"/>
  <c r="AC24" i="6"/>
  <c r="AA24" i="6"/>
  <c r="W24" i="6"/>
  <c r="X24" i="6" s="1"/>
  <c r="U24" i="6"/>
  <c r="R24" i="6"/>
  <c r="N24" i="6"/>
  <c r="O24" i="6" s="1"/>
  <c r="L24" i="6"/>
  <c r="I24" i="6"/>
  <c r="H24" i="6"/>
  <c r="F24" i="6"/>
  <c r="C24" i="6"/>
  <c r="AD23" i="6"/>
  <c r="AC23" i="6"/>
  <c r="AA23" i="6"/>
  <c r="W23" i="6"/>
  <c r="X23" i="6" s="1"/>
  <c r="U23" i="6"/>
  <c r="R23" i="6"/>
  <c r="O23" i="6"/>
  <c r="N23" i="6"/>
  <c r="L23" i="6"/>
  <c r="I23" i="6"/>
  <c r="H23" i="6"/>
  <c r="F23" i="6"/>
  <c r="C23" i="6"/>
  <c r="AD22" i="6"/>
  <c r="AC22" i="6"/>
  <c r="AA22" i="6"/>
  <c r="W22" i="6"/>
  <c r="X22" i="6" s="1"/>
  <c r="U22" i="6"/>
  <c r="R22" i="6"/>
  <c r="N22" i="6"/>
  <c r="O22" i="6" s="1"/>
  <c r="L22" i="6"/>
  <c r="I22" i="6"/>
  <c r="H22" i="6"/>
  <c r="F22" i="6"/>
  <c r="C22" i="6"/>
  <c r="AD21" i="6"/>
  <c r="AC21" i="6"/>
  <c r="AA21" i="6"/>
  <c r="W21" i="6"/>
  <c r="X21" i="6" s="1"/>
  <c r="U21" i="6"/>
  <c r="R21" i="6"/>
  <c r="N21" i="6"/>
  <c r="O21" i="6" s="1"/>
  <c r="L21" i="6"/>
  <c r="H21" i="6"/>
  <c r="I21" i="6" s="1"/>
  <c r="F21" i="6"/>
  <c r="C21" i="6"/>
  <c r="AD19" i="6"/>
  <c r="AC19" i="6"/>
  <c r="AA19" i="6"/>
  <c r="W19" i="6"/>
  <c r="X19" i="6" s="1"/>
  <c r="U19" i="6"/>
  <c r="R19" i="6"/>
  <c r="N19" i="6"/>
  <c r="O19" i="6" s="1"/>
  <c r="L19" i="6"/>
  <c r="I19" i="6"/>
  <c r="H19" i="6"/>
  <c r="F19" i="6"/>
  <c r="C19" i="6"/>
  <c r="AA18" i="6"/>
  <c r="Z18" i="6"/>
  <c r="X18" i="6"/>
  <c r="U18" i="6"/>
  <c r="T18" i="6"/>
  <c r="W18" i="6" s="1"/>
  <c r="R18" i="6"/>
  <c r="Q18" i="6"/>
  <c r="AC18" i="6" s="1"/>
  <c r="AD18" i="6" s="1"/>
  <c r="L18" i="6"/>
  <c r="K18" i="6"/>
  <c r="I18" i="6"/>
  <c r="H18" i="6"/>
  <c r="F18" i="6"/>
  <c r="E18" i="6"/>
  <c r="C18" i="6"/>
  <c r="B18" i="6"/>
  <c r="N18" i="6" s="1"/>
  <c r="O18" i="6" s="1"/>
  <c r="AD17" i="6"/>
  <c r="AC17" i="6"/>
  <c r="AA17" i="6"/>
  <c r="X17" i="6"/>
  <c r="W17" i="6"/>
  <c r="U17" i="6"/>
  <c r="R17" i="6"/>
  <c r="N17" i="6"/>
  <c r="O17" i="6" s="1"/>
  <c r="L17" i="6"/>
  <c r="H17" i="6"/>
  <c r="I17" i="6" s="1"/>
  <c r="F17" i="6"/>
  <c r="C17" i="6"/>
  <c r="AD16" i="6"/>
  <c r="AC16" i="6"/>
  <c r="AA16" i="6"/>
  <c r="W16" i="6"/>
  <c r="X16" i="6" s="1"/>
  <c r="U16" i="6"/>
  <c r="R16" i="6"/>
  <c r="N16" i="6"/>
  <c r="O16" i="6" s="1"/>
  <c r="L16" i="6"/>
  <c r="I16" i="6"/>
  <c r="H16" i="6"/>
  <c r="F16" i="6"/>
  <c r="C16" i="6"/>
  <c r="AD15" i="6"/>
  <c r="AC15" i="6"/>
  <c r="AA15" i="6"/>
  <c r="W15" i="6"/>
  <c r="X15" i="6" s="1"/>
  <c r="U15" i="6"/>
  <c r="R15" i="6"/>
  <c r="N15" i="6"/>
  <c r="O15" i="6" s="1"/>
  <c r="L15" i="6"/>
  <c r="I15" i="6"/>
  <c r="H15" i="6"/>
  <c r="F15" i="6"/>
  <c r="C15" i="6"/>
  <c r="AD14" i="6"/>
  <c r="AC14" i="6"/>
  <c r="AA14" i="6"/>
  <c r="W14" i="6"/>
  <c r="X14" i="6" s="1"/>
  <c r="U14" i="6"/>
  <c r="R14" i="6"/>
  <c r="N14" i="6"/>
  <c r="O14" i="6" s="1"/>
  <c r="L14" i="6"/>
  <c r="I14" i="6"/>
  <c r="H14" i="6"/>
  <c r="F14" i="6"/>
  <c r="C14" i="6"/>
  <c r="AD13" i="6"/>
  <c r="AC13" i="6"/>
  <c r="AA13" i="6"/>
  <c r="W13" i="6"/>
  <c r="X13" i="6" s="1"/>
  <c r="U13" i="6"/>
  <c r="R13" i="6"/>
  <c r="N13" i="6"/>
  <c r="O13" i="6" s="1"/>
  <c r="L13" i="6"/>
  <c r="I13" i="6"/>
  <c r="H13" i="6"/>
  <c r="F13" i="6"/>
  <c r="C13" i="6"/>
  <c r="AD12" i="6"/>
  <c r="AC12" i="6"/>
  <c r="AA12" i="6"/>
  <c r="W12" i="6"/>
  <c r="X12" i="6" s="1"/>
  <c r="U12" i="6"/>
  <c r="R12" i="6"/>
  <c r="N12" i="6"/>
  <c r="O12" i="6" s="1"/>
  <c r="L12" i="6"/>
  <c r="I12" i="6"/>
  <c r="H12" i="6"/>
  <c r="F12" i="6"/>
  <c r="C12" i="6"/>
  <c r="AD11" i="6"/>
  <c r="AC11" i="6"/>
  <c r="AA11" i="6"/>
  <c r="W11" i="6"/>
  <c r="X11" i="6" s="1"/>
  <c r="U11" i="6"/>
  <c r="R11" i="6"/>
  <c r="N11" i="6"/>
  <c r="O11" i="6" s="1"/>
  <c r="L11" i="6"/>
  <c r="I11" i="6"/>
  <c r="H11" i="6"/>
  <c r="F11" i="6"/>
  <c r="C11" i="6"/>
  <c r="AD10" i="6"/>
  <c r="AC10" i="6"/>
  <c r="AA10" i="6"/>
  <c r="W10" i="6"/>
  <c r="X10" i="6" s="1"/>
  <c r="U10" i="6"/>
  <c r="R10" i="6"/>
  <c r="N10" i="6"/>
  <c r="O10" i="6" s="1"/>
  <c r="L10" i="6"/>
  <c r="I10" i="6"/>
  <c r="H10" i="6"/>
  <c r="F10" i="6"/>
  <c r="C10" i="6"/>
  <c r="AD8" i="6"/>
  <c r="AC8" i="6"/>
  <c r="AA8" i="6"/>
  <c r="W8" i="6"/>
  <c r="X8" i="6" s="1"/>
  <c r="U8" i="6"/>
  <c r="R8" i="6"/>
  <c r="N8" i="6"/>
  <c r="O8" i="6" s="1"/>
  <c r="L8" i="6"/>
  <c r="H8" i="6"/>
  <c r="I8" i="6" s="1"/>
  <c r="F8" i="6"/>
  <c r="C8" i="6"/>
  <c r="AC444" i="5"/>
  <c r="W444" i="5"/>
  <c r="N444" i="5"/>
  <c r="H444" i="5"/>
  <c r="AA442" i="5"/>
  <c r="Z442" i="5"/>
  <c r="W442" i="5"/>
  <c r="X442" i="5" s="1"/>
  <c r="U442" i="5"/>
  <c r="T442" i="5"/>
  <c r="R442" i="5"/>
  <c r="Q442" i="5"/>
  <c r="AC442" i="5" s="1"/>
  <c r="AD442" i="5" s="1"/>
  <c r="K442" i="5"/>
  <c r="L442" i="5" s="1"/>
  <c r="F442" i="5"/>
  <c r="E442" i="5"/>
  <c r="C442" i="5"/>
  <c r="B442" i="5"/>
  <c r="N442" i="5" s="1"/>
  <c r="O442" i="5" s="1"/>
  <c r="AA441" i="5"/>
  <c r="Z441" i="5"/>
  <c r="X441" i="5"/>
  <c r="U441" i="5"/>
  <c r="T441" i="5"/>
  <c r="R441" i="5"/>
  <c r="Q441" i="5"/>
  <c r="W441" i="5" s="1"/>
  <c r="L441" i="5"/>
  <c r="K441" i="5"/>
  <c r="I441" i="5"/>
  <c r="F441" i="5"/>
  <c r="E441" i="5"/>
  <c r="H441" i="5" s="1"/>
  <c r="C441" i="5"/>
  <c r="B441" i="5"/>
  <c r="N441" i="5" s="1"/>
  <c r="O441" i="5" s="1"/>
  <c r="AD440" i="5"/>
  <c r="AC440" i="5"/>
  <c r="AA440" i="5"/>
  <c r="W440" i="5"/>
  <c r="X440" i="5" s="1"/>
  <c r="U440" i="5"/>
  <c r="R440" i="5"/>
  <c r="N440" i="5"/>
  <c r="O440" i="5" s="1"/>
  <c r="L440" i="5"/>
  <c r="I440" i="5"/>
  <c r="H440" i="5"/>
  <c r="F440" i="5"/>
  <c r="C440" i="5"/>
  <c r="AD439" i="5"/>
  <c r="AC439" i="5"/>
  <c r="AA439" i="5"/>
  <c r="W439" i="5"/>
  <c r="X439" i="5" s="1"/>
  <c r="U439" i="5"/>
  <c r="R439" i="5"/>
  <c r="N439" i="5"/>
  <c r="O439" i="5" s="1"/>
  <c r="L439" i="5"/>
  <c r="I439" i="5"/>
  <c r="H439" i="5"/>
  <c r="F439" i="5"/>
  <c r="C439" i="5"/>
  <c r="AC438" i="5"/>
  <c r="AD438" i="5" s="1"/>
  <c r="AA438" i="5"/>
  <c r="W438" i="5"/>
  <c r="X438" i="5" s="1"/>
  <c r="U438" i="5"/>
  <c r="R438" i="5"/>
  <c r="N438" i="5"/>
  <c r="O438" i="5" s="1"/>
  <c r="L438" i="5"/>
  <c r="I438" i="5"/>
  <c r="H438" i="5"/>
  <c r="F438" i="5"/>
  <c r="C438" i="5"/>
  <c r="AD437" i="5"/>
  <c r="AC437" i="5"/>
  <c r="AA437" i="5"/>
  <c r="W437" i="5"/>
  <c r="X437" i="5" s="1"/>
  <c r="U437" i="5"/>
  <c r="R437" i="5"/>
  <c r="N437" i="5"/>
  <c r="O437" i="5" s="1"/>
  <c r="L437" i="5"/>
  <c r="I437" i="5"/>
  <c r="H437" i="5"/>
  <c r="F437" i="5"/>
  <c r="C437" i="5"/>
  <c r="AD436" i="5"/>
  <c r="AC436" i="5"/>
  <c r="AA436" i="5"/>
  <c r="W436" i="5"/>
  <c r="X436" i="5" s="1"/>
  <c r="U436" i="5"/>
  <c r="R436" i="5"/>
  <c r="N436" i="5"/>
  <c r="L436" i="5"/>
  <c r="I436" i="5"/>
  <c r="H436" i="5"/>
  <c r="F436" i="5"/>
  <c r="C436" i="5"/>
  <c r="AD435" i="5"/>
  <c r="AC435" i="5"/>
  <c r="AA435" i="5"/>
  <c r="W435" i="5"/>
  <c r="X435" i="5" s="1"/>
  <c r="U435" i="5"/>
  <c r="R435" i="5"/>
  <c r="O435" i="5"/>
  <c r="N435" i="5"/>
  <c r="L435" i="5"/>
  <c r="I435" i="5"/>
  <c r="H435" i="5"/>
  <c r="F435" i="5"/>
  <c r="C435" i="5"/>
  <c r="AC434" i="5"/>
  <c r="AD434" i="5" s="1"/>
  <c r="AA434" i="5"/>
  <c r="W434" i="5"/>
  <c r="X434" i="5" s="1"/>
  <c r="U434" i="5"/>
  <c r="R434" i="5"/>
  <c r="N434" i="5"/>
  <c r="L434" i="5"/>
  <c r="I434" i="5"/>
  <c r="H434" i="5"/>
  <c r="F434" i="5"/>
  <c r="C434" i="5"/>
  <c r="AD433" i="5"/>
  <c r="AC433" i="5"/>
  <c r="AA433" i="5"/>
  <c r="W433" i="5"/>
  <c r="X433" i="5" s="1"/>
  <c r="U433" i="5"/>
  <c r="R433" i="5"/>
  <c r="N433" i="5"/>
  <c r="O433" i="5" s="1"/>
  <c r="L433" i="5"/>
  <c r="H433" i="5"/>
  <c r="I433" i="5" s="1"/>
  <c r="F433" i="5"/>
  <c r="C433" i="5"/>
  <c r="AD432" i="5"/>
  <c r="AC432" i="5"/>
  <c r="AA432" i="5"/>
  <c r="W432" i="5"/>
  <c r="X432" i="5" s="1"/>
  <c r="U432" i="5"/>
  <c r="R432" i="5"/>
  <c r="N432" i="5"/>
  <c r="O432" i="5" s="1"/>
  <c r="L432" i="5"/>
  <c r="I432" i="5"/>
  <c r="H432" i="5"/>
  <c r="F432" i="5"/>
  <c r="C432" i="5"/>
  <c r="AA429" i="5"/>
  <c r="Z429" i="5"/>
  <c r="X429" i="5"/>
  <c r="U429" i="5"/>
  <c r="T429" i="5"/>
  <c r="W429" i="5" s="1"/>
  <c r="R429" i="5"/>
  <c r="Q429" i="5"/>
  <c r="AC429" i="5" s="1"/>
  <c r="AD429" i="5" s="1"/>
  <c r="L429" i="5"/>
  <c r="K429" i="5"/>
  <c r="H429" i="5"/>
  <c r="I429" i="5" s="1"/>
  <c r="F429" i="5"/>
  <c r="E429" i="5"/>
  <c r="C429" i="5"/>
  <c r="B429" i="5"/>
  <c r="N429" i="5" s="1"/>
  <c r="O429" i="5" s="1"/>
  <c r="Z428" i="5"/>
  <c r="AA428" i="5" s="1"/>
  <c r="U428" i="5"/>
  <c r="T428" i="5"/>
  <c r="R428" i="5"/>
  <c r="Q428" i="5"/>
  <c r="N428" i="5"/>
  <c r="O428" i="5" s="1"/>
  <c r="L428" i="5"/>
  <c r="K428" i="5"/>
  <c r="F428" i="5"/>
  <c r="E428" i="5"/>
  <c r="B428" i="5"/>
  <c r="H428" i="5" s="1"/>
  <c r="I428" i="5" s="1"/>
  <c r="AD427" i="5"/>
  <c r="AC427" i="5"/>
  <c r="AA427" i="5"/>
  <c r="W427" i="5"/>
  <c r="X427" i="5" s="1"/>
  <c r="U427" i="5"/>
  <c r="R427" i="5"/>
  <c r="N427" i="5"/>
  <c r="O427" i="5" s="1"/>
  <c r="L427" i="5"/>
  <c r="I427" i="5"/>
  <c r="H427" i="5"/>
  <c r="F427" i="5"/>
  <c r="C427" i="5"/>
  <c r="AD426" i="5"/>
  <c r="AC426" i="5"/>
  <c r="AA426" i="5"/>
  <c r="W426" i="5"/>
  <c r="X426" i="5" s="1"/>
  <c r="U426" i="5"/>
  <c r="R426" i="5"/>
  <c r="N426" i="5"/>
  <c r="L426" i="5"/>
  <c r="I426" i="5"/>
  <c r="H426" i="5"/>
  <c r="F426" i="5"/>
  <c r="C426" i="5"/>
  <c r="AD425" i="5"/>
  <c r="AC425" i="5"/>
  <c r="AA425" i="5"/>
  <c r="X425" i="5"/>
  <c r="W425" i="5"/>
  <c r="U425" i="5"/>
  <c r="R425" i="5"/>
  <c r="N425" i="5"/>
  <c r="O425" i="5" s="1"/>
  <c r="L425" i="5"/>
  <c r="I425" i="5"/>
  <c r="H425" i="5"/>
  <c r="F425" i="5"/>
  <c r="C425" i="5"/>
  <c r="AD424" i="5"/>
  <c r="AC424" i="5"/>
  <c r="AA424" i="5"/>
  <c r="W424" i="5"/>
  <c r="X424" i="5" s="1"/>
  <c r="U424" i="5"/>
  <c r="R424" i="5"/>
  <c r="N424" i="5"/>
  <c r="O424" i="5" s="1"/>
  <c r="L424" i="5"/>
  <c r="I424" i="5"/>
  <c r="H424" i="5"/>
  <c r="F424" i="5"/>
  <c r="C424" i="5"/>
  <c r="AD423" i="5"/>
  <c r="AC423" i="5"/>
  <c r="AA423" i="5"/>
  <c r="W423" i="5"/>
  <c r="X423" i="5" s="1"/>
  <c r="U423" i="5"/>
  <c r="R423" i="5"/>
  <c r="N423" i="5"/>
  <c r="O423" i="5" s="1"/>
  <c r="L423" i="5"/>
  <c r="I423" i="5"/>
  <c r="H423" i="5"/>
  <c r="F423" i="5"/>
  <c r="C423" i="5"/>
  <c r="AC422" i="5"/>
  <c r="AD422" i="5" s="1"/>
  <c r="AA422" i="5"/>
  <c r="W422" i="5"/>
  <c r="X422" i="5" s="1"/>
  <c r="U422" i="5"/>
  <c r="R422" i="5"/>
  <c r="N422" i="5"/>
  <c r="O422" i="5" s="1"/>
  <c r="L422" i="5"/>
  <c r="I422" i="5"/>
  <c r="H422" i="5"/>
  <c r="F422" i="5"/>
  <c r="C422" i="5"/>
  <c r="AD421" i="5"/>
  <c r="AC421" i="5"/>
  <c r="AA421" i="5"/>
  <c r="W421" i="5"/>
  <c r="X421" i="5" s="1"/>
  <c r="U421" i="5"/>
  <c r="R421" i="5"/>
  <c r="N421" i="5"/>
  <c r="O421" i="5" s="1"/>
  <c r="L421" i="5"/>
  <c r="I421" i="5"/>
  <c r="H421" i="5"/>
  <c r="F421" i="5"/>
  <c r="C421" i="5"/>
  <c r="AD420" i="5"/>
  <c r="AC420" i="5"/>
  <c r="AA420" i="5"/>
  <c r="W420" i="5"/>
  <c r="X420" i="5" s="1"/>
  <c r="U420" i="5"/>
  <c r="R420" i="5"/>
  <c r="N420" i="5"/>
  <c r="L420" i="5"/>
  <c r="I420" i="5"/>
  <c r="H420" i="5"/>
  <c r="F420" i="5"/>
  <c r="C420" i="5"/>
  <c r="AD419" i="5"/>
  <c r="AC419" i="5"/>
  <c r="AA419" i="5"/>
  <c r="W419" i="5"/>
  <c r="X419" i="5" s="1"/>
  <c r="U419" i="5"/>
  <c r="R419" i="5"/>
  <c r="O419" i="5"/>
  <c r="N419" i="5"/>
  <c r="L419" i="5"/>
  <c r="I419" i="5"/>
  <c r="H419" i="5"/>
  <c r="F419" i="5"/>
  <c r="C419" i="5"/>
  <c r="AC418" i="5"/>
  <c r="AD418" i="5" s="1"/>
  <c r="AA418" i="5"/>
  <c r="W418" i="5"/>
  <c r="X418" i="5" s="1"/>
  <c r="U418" i="5"/>
  <c r="R418" i="5"/>
  <c r="N418" i="5"/>
  <c r="L418" i="5"/>
  <c r="I418" i="5"/>
  <c r="H418" i="5"/>
  <c r="F418" i="5"/>
  <c r="C418" i="5"/>
  <c r="AD417" i="5"/>
  <c r="AC417" i="5"/>
  <c r="AA417" i="5"/>
  <c r="W417" i="5"/>
  <c r="X417" i="5" s="1"/>
  <c r="U417" i="5"/>
  <c r="R417" i="5"/>
  <c r="N417" i="5"/>
  <c r="O417" i="5" s="1"/>
  <c r="L417" i="5"/>
  <c r="H417" i="5"/>
  <c r="I417" i="5" s="1"/>
  <c r="F417" i="5"/>
  <c r="C417" i="5"/>
  <c r="AD416" i="5"/>
  <c r="AC416" i="5"/>
  <c r="AA416" i="5"/>
  <c r="W416" i="5"/>
  <c r="X416" i="5" s="1"/>
  <c r="U416" i="5"/>
  <c r="R416" i="5"/>
  <c r="N416" i="5"/>
  <c r="O416" i="5" s="1"/>
  <c r="L416" i="5"/>
  <c r="I416" i="5"/>
  <c r="H416" i="5"/>
  <c r="F416" i="5"/>
  <c r="C416" i="5"/>
  <c r="AD415" i="5"/>
  <c r="AC415" i="5"/>
  <c r="AA415" i="5"/>
  <c r="W415" i="5"/>
  <c r="X415" i="5" s="1"/>
  <c r="U415" i="5"/>
  <c r="R415" i="5"/>
  <c r="O415" i="5"/>
  <c r="N415" i="5"/>
  <c r="L415" i="5"/>
  <c r="I415" i="5"/>
  <c r="H415" i="5"/>
  <c r="F415" i="5"/>
  <c r="C415" i="5"/>
  <c r="AC414" i="5"/>
  <c r="AD414" i="5" s="1"/>
  <c r="AA414" i="5"/>
  <c r="W414" i="5"/>
  <c r="X414" i="5" s="1"/>
  <c r="U414" i="5"/>
  <c r="R414" i="5"/>
  <c r="N414" i="5"/>
  <c r="O414" i="5" s="1"/>
  <c r="L414" i="5"/>
  <c r="I414" i="5"/>
  <c r="H414" i="5"/>
  <c r="F414" i="5"/>
  <c r="C414" i="5"/>
  <c r="AD413" i="5"/>
  <c r="AC413" i="5"/>
  <c r="AA413" i="5"/>
  <c r="X413" i="5"/>
  <c r="W413" i="5"/>
  <c r="U413" i="5"/>
  <c r="R413" i="5"/>
  <c r="N413" i="5"/>
  <c r="L413" i="5"/>
  <c r="H413" i="5"/>
  <c r="I413" i="5" s="1"/>
  <c r="F413" i="5"/>
  <c r="C413" i="5"/>
  <c r="AD412" i="5"/>
  <c r="AC412" i="5"/>
  <c r="AA412" i="5"/>
  <c r="W412" i="5"/>
  <c r="X412" i="5" s="1"/>
  <c r="U412" i="5"/>
  <c r="R412" i="5"/>
  <c r="N412" i="5"/>
  <c r="O412" i="5" s="1"/>
  <c r="L412" i="5"/>
  <c r="I412" i="5"/>
  <c r="H412" i="5"/>
  <c r="F412" i="5"/>
  <c r="C412" i="5"/>
  <c r="AD411" i="5"/>
  <c r="AC411" i="5"/>
  <c r="AA411" i="5"/>
  <c r="W411" i="5"/>
  <c r="X411" i="5" s="1"/>
  <c r="U411" i="5"/>
  <c r="R411" i="5"/>
  <c r="N411" i="5"/>
  <c r="O411" i="5" s="1"/>
  <c r="L411" i="5"/>
  <c r="I411" i="5"/>
  <c r="H411" i="5"/>
  <c r="F411" i="5"/>
  <c r="C411" i="5"/>
  <c r="AD410" i="5"/>
  <c r="AC410" i="5"/>
  <c r="AA410" i="5"/>
  <c r="W410" i="5"/>
  <c r="X410" i="5" s="1"/>
  <c r="U410" i="5"/>
  <c r="R410" i="5"/>
  <c r="N410" i="5"/>
  <c r="L410" i="5"/>
  <c r="I410" i="5"/>
  <c r="H410" i="5"/>
  <c r="F410" i="5"/>
  <c r="C410" i="5"/>
  <c r="AD409" i="5"/>
  <c r="AC409" i="5"/>
  <c r="AA409" i="5"/>
  <c r="X409" i="5"/>
  <c r="W409" i="5"/>
  <c r="U409" i="5"/>
  <c r="R409" i="5"/>
  <c r="N409" i="5"/>
  <c r="O409" i="5" s="1"/>
  <c r="L409" i="5"/>
  <c r="I409" i="5"/>
  <c r="H409" i="5"/>
  <c r="F409" i="5"/>
  <c r="C409" i="5"/>
  <c r="AD408" i="5"/>
  <c r="AC408" i="5"/>
  <c r="AA408" i="5"/>
  <c r="W408" i="5"/>
  <c r="X408" i="5" s="1"/>
  <c r="U408" i="5"/>
  <c r="R408" i="5"/>
  <c r="N408" i="5"/>
  <c r="O408" i="5" s="1"/>
  <c r="L408" i="5"/>
  <c r="I408" i="5"/>
  <c r="H408" i="5"/>
  <c r="F408" i="5"/>
  <c r="C408" i="5"/>
  <c r="AD407" i="5"/>
  <c r="AC407" i="5"/>
  <c r="AA407" i="5"/>
  <c r="W407" i="5"/>
  <c r="X407" i="5" s="1"/>
  <c r="U407" i="5"/>
  <c r="R407" i="5"/>
  <c r="N407" i="5"/>
  <c r="O407" i="5" s="1"/>
  <c r="L407" i="5"/>
  <c r="I407" i="5"/>
  <c r="H407" i="5"/>
  <c r="F407" i="5"/>
  <c r="C407" i="5"/>
  <c r="AD403" i="5"/>
  <c r="AA403" i="5"/>
  <c r="Z403" i="5"/>
  <c r="W403" i="5"/>
  <c r="X403" i="5" s="1"/>
  <c r="U403" i="5"/>
  <c r="T403" i="5"/>
  <c r="R403" i="5"/>
  <c r="Q403" i="5"/>
  <c r="AC403" i="5" s="1"/>
  <c r="K403" i="5"/>
  <c r="L403" i="5" s="1"/>
  <c r="F403" i="5"/>
  <c r="E403" i="5"/>
  <c r="C403" i="5"/>
  <c r="B403" i="5"/>
  <c r="N403" i="5" s="1"/>
  <c r="O403" i="5" s="1"/>
  <c r="AD402" i="5"/>
  <c r="AC402" i="5"/>
  <c r="AA402" i="5"/>
  <c r="W402" i="5"/>
  <c r="X402" i="5" s="1"/>
  <c r="U402" i="5"/>
  <c r="R402" i="5"/>
  <c r="N402" i="5"/>
  <c r="L402" i="5"/>
  <c r="I402" i="5"/>
  <c r="H402" i="5"/>
  <c r="F402" i="5"/>
  <c r="C402" i="5"/>
  <c r="AD401" i="5"/>
  <c r="AC401" i="5"/>
  <c r="AA401" i="5"/>
  <c r="X401" i="5"/>
  <c r="W401" i="5"/>
  <c r="U401" i="5"/>
  <c r="R401" i="5"/>
  <c r="N401" i="5"/>
  <c r="O401" i="5" s="1"/>
  <c r="L401" i="5"/>
  <c r="I401" i="5"/>
  <c r="H401" i="5"/>
  <c r="F401" i="5"/>
  <c r="C401" i="5"/>
  <c r="AD400" i="5"/>
  <c r="AC400" i="5"/>
  <c r="AA400" i="5"/>
  <c r="W400" i="5"/>
  <c r="X400" i="5" s="1"/>
  <c r="U400" i="5"/>
  <c r="R400" i="5"/>
  <c r="N400" i="5"/>
  <c r="O400" i="5" s="1"/>
  <c r="L400" i="5"/>
  <c r="I400" i="5"/>
  <c r="H400" i="5"/>
  <c r="F400" i="5"/>
  <c r="C400" i="5"/>
  <c r="AD399" i="5"/>
  <c r="AC399" i="5"/>
  <c r="AA399" i="5"/>
  <c r="W399" i="5"/>
  <c r="X399" i="5" s="1"/>
  <c r="U399" i="5"/>
  <c r="R399" i="5"/>
  <c r="N399" i="5"/>
  <c r="O399" i="5" s="1"/>
  <c r="L399" i="5"/>
  <c r="I399" i="5"/>
  <c r="H399" i="5"/>
  <c r="F399" i="5"/>
  <c r="C399" i="5"/>
  <c r="AC398" i="5"/>
  <c r="AD398" i="5" s="1"/>
  <c r="AA398" i="5"/>
  <c r="W398" i="5"/>
  <c r="X398" i="5" s="1"/>
  <c r="U398" i="5"/>
  <c r="R398" i="5"/>
  <c r="N398" i="5"/>
  <c r="O398" i="5" s="1"/>
  <c r="L398" i="5"/>
  <c r="I398" i="5"/>
  <c r="H398" i="5"/>
  <c r="F398" i="5"/>
  <c r="C398" i="5"/>
  <c r="AD397" i="5"/>
  <c r="AC397" i="5"/>
  <c r="AA397" i="5"/>
  <c r="W397" i="5"/>
  <c r="X397" i="5" s="1"/>
  <c r="U397" i="5"/>
  <c r="R397" i="5"/>
  <c r="N397" i="5"/>
  <c r="O397" i="5" s="1"/>
  <c r="L397" i="5"/>
  <c r="I397" i="5"/>
  <c r="H397" i="5"/>
  <c r="F397" i="5"/>
  <c r="C397" i="5"/>
  <c r="AA396" i="5"/>
  <c r="Z396" i="5"/>
  <c r="W396" i="5"/>
  <c r="X396" i="5" s="1"/>
  <c r="U396" i="5"/>
  <c r="T396" i="5"/>
  <c r="R396" i="5"/>
  <c r="Q396" i="5"/>
  <c r="AC396" i="5" s="1"/>
  <c r="AD396" i="5" s="1"/>
  <c r="O396" i="5"/>
  <c r="L396" i="5"/>
  <c r="K396" i="5"/>
  <c r="F396" i="5"/>
  <c r="E396" i="5"/>
  <c r="C396" i="5"/>
  <c r="B396" i="5"/>
  <c r="N396" i="5" s="1"/>
  <c r="AD395" i="5"/>
  <c r="AC395" i="5"/>
  <c r="AA395" i="5"/>
  <c r="W395" i="5"/>
  <c r="X395" i="5" s="1"/>
  <c r="U395" i="5"/>
  <c r="R395" i="5"/>
  <c r="N395" i="5"/>
  <c r="O395" i="5" s="1"/>
  <c r="L395" i="5"/>
  <c r="I395" i="5"/>
  <c r="H395" i="5"/>
  <c r="F395" i="5"/>
  <c r="C395" i="5"/>
  <c r="AD394" i="5"/>
  <c r="AC394" i="5"/>
  <c r="AA394" i="5"/>
  <c r="W394" i="5"/>
  <c r="X394" i="5" s="1"/>
  <c r="U394" i="5"/>
  <c r="R394" i="5"/>
  <c r="N394" i="5"/>
  <c r="O394" i="5" s="1"/>
  <c r="L394" i="5"/>
  <c r="H394" i="5"/>
  <c r="I394" i="5" s="1"/>
  <c r="F394" i="5"/>
  <c r="C394" i="5"/>
  <c r="AA393" i="5"/>
  <c r="Z393" i="5"/>
  <c r="X393" i="5"/>
  <c r="W393" i="5"/>
  <c r="U393" i="5"/>
  <c r="T393" i="5"/>
  <c r="R393" i="5"/>
  <c r="Q393" i="5"/>
  <c r="AC393" i="5" s="1"/>
  <c r="AD393" i="5" s="1"/>
  <c r="L393" i="5"/>
  <c r="K393" i="5"/>
  <c r="F393" i="5"/>
  <c r="E393" i="5"/>
  <c r="C393" i="5"/>
  <c r="B393" i="5"/>
  <c r="N393" i="5" s="1"/>
  <c r="O393" i="5" s="1"/>
  <c r="AC392" i="5"/>
  <c r="AD392" i="5" s="1"/>
  <c r="AA392" i="5"/>
  <c r="W392" i="5"/>
  <c r="X392" i="5" s="1"/>
  <c r="U392" i="5"/>
  <c r="R392" i="5"/>
  <c r="N392" i="5"/>
  <c r="O392" i="5" s="1"/>
  <c r="L392" i="5"/>
  <c r="I392" i="5"/>
  <c r="H392" i="5"/>
  <c r="F392" i="5"/>
  <c r="C392" i="5"/>
  <c r="AD391" i="5"/>
  <c r="AC391" i="5"/>
  <c r="AA391" i="5"/>
  <c r="X391" i="5"/>
  <c r="W391" i="5"/>
  <c r="U391" i="5"/>
  <c r="R391" i="5"/>
  <c r="N391" i="5"/>
  <c r="L391" i="5"/>
  <c r="H391" i="5"/>
  <c r="I391" i="5" s="1"/>
  <c r="F391" i="5"/>
  <c r="C391" i="5"/>
  <c r="AD390" i="5"/>
  <c r="AC390" i="5"/>
  <c r="AA390" i="5"/>
  <c r="W390" i="5"/>
  <c r="X390" i="5" s="1"/>
  <c r="U390" i="5"/>
  <c r="R390" i="5"/>
  <c r="N390" i="5"/>
  <c r="O390" i="5" s="1"/>
  <c r="L390" i="5"/>
  <c r="I390" i="5"/>
  <c r="H390" i="5"/>
  <c r="F390" i="5"/>
  <c r="C390" i="5"/>
  <c r="AD389" i="5"/>
  <c r="AC389" i="5"/>
  <c r="AA389" i="5"/>
  <c r="W389" i="5"/>
  <c r="X389" i="5" s="1"/>
  <c r="U389" i="5"/>
  <c r="R389" i="5"/>
  <c r="N389" i="5"/>
  <c r="O389" i="5" s="1"/>
  <c r="L389" i="5"/>
  <c r="I389" i="5"/>
  <c r="H389" i="5"/>
  <c r="F389" i="5"/>
  <c r="C389" i="5"/>
  <c r="AD388" i="5"/>
  <c r="AC388" i="5"/>
  <c r="AA388" i="5"/>
  <c r="W388" i="5"/>
  <c r="X388" i="5" s="1"/>
  <c r="U388" i="5"/>
  <c r="R388" i="5"/>
  <c r="N388" i="5"/>
  <c r="L388" i="5"/>
  <c r="I388" i="5"/>
  <c r="H388" i="5"/>
  <c r="F388" i="5"/>
  <c r="C388" i="5"/>
  <c r="AD386" i="5"/>
  <c r="AC386" i="5"/>
  <c r="AA386" i="5"/>
  <c r="X386" i="5"/>
  <c r="W386" i="5"/>
  <c r="U386" i="5"/>
  <c r="R386" i="5"/>
  <c r="N386" i="5"/>
  <c r="O386" i="5" s="1"/>
  <c r="L386" i="5"/>
  <c r="H386" i="5"/>
  <c r="I386" i="5" s="1"/>
  <c r="F386" i="5"/>
  <c r="C386" i="5"/>
  <c r="AC385" i="5"/>
  <c r="AD385" i="5" s="1"/>
  <c r="AA385" i="5"/>
  <c r="X385" i="5"/>
  <c r="W385" i="5"/>
  <c r="U385" i="5"/>
  <c r="R385" i="5"/>
  <c r="N385" i="5"/>
  <c r="O385" i="5" s="1"/>
  <c r="L385" i="5"/>
  <c r="I385" i="5"/>
  <c r="H385" i="5"/>
  <c r="F385" i="5"/>
  <c r="C385" i="5"/>
  <c r="AD383" i="5"/>
  <c r="AC383" i="5"/>
  <c r="AA383" i="5"/>
  <c r="W383" i="5"/>
  <c r="X383" i="5" s="1"/>
  <c r="U383" i="5"/>
  <c r="R383" i="5"/>
  <c r="O383" i="5"/>
  <c r="N383" i="5"/>
  <c r="L383" i="5"/>
  <c r="H383" i="5"/>
  <c r="I383" i="5" s="1"/>
  <c r="F383" i="5"/>
  <c r="C383" i="5"/>
  <c r="AC382" i="5"/>
  <c r="AD382" i="5" s="1"/>
  <c r="AA382" i="5"/>
  <c r="W382" i="5"/>
  <c r="X382" i="5" s="1"/>
  <c r="U382" i="5"/>
  <c r="R382" i="5"/>
  <c r="O382" i="5"/>
  <c r="N382" i="5"/>
  <c r="L382" i="5"/>
  <c r="I382" i="5"/>
  <c r="H382" i="5"/>
  <c r="F382" i="5"/>
  <c r="C382" i="5"/>
  <c r="AD381" i="5"/>
  <c r="AC381" i="5"/>
  <c r="AA381" i="5"/>
  <c r="X381" i="5"/>
  <c r="W381" i="5"/>
  <c r="U381" i="5"/>
  <c r="R381" i="5"/>
  <c r="N381" i="5"/>
  <c r="O381" i="5" s="1"/>
  <c r="L381" i="5"/>
  <c r="H381" i="5"/>
  <c r="I381" i="5" s="1"/>
  <c r="F381" i="5"/>
  <c r="C381" i="5"/>
  <c r="AC380" i="5"/>
  <c r="AD380" i="5" s="1"/>
  <c r="AA380" i="5"/>
  <c r="X380" i="5"/>
  <c r="W380" i="5"/>
  <c r="U380" i="5"/>
  <c r="R380" i="5"/>
  <c r="N380" i="5"/>
  <c r="O380" i="5" s="1"/>
  <c r="L380" i="5"/>
  <c r="I380" i="5"/>
  <c r="H380" i="5"/>
  <c r="F380" i="5"/>
  <c r="C380" i="5"/>
  <c r="AD379" i="5"/>
  <c r="AC379" i="5"/>
  <c r="AA379" i="5"/>
  <c r="W379" i="5"/>
  <c r="X379" i="5" s="1"/>
  <c r="U379" i="5"/>
  <c r="R379" i="5"/>
  <c r="O379" i="5"/>
  <c r="N379" i="5"/>
  <c r="L379" i="5"/>
  <c r="H379" i="5"/>
  <c r="I379" i="5" s="1"/>
  <c r="F379" i="5"/>
  <c r="C379" i="5"/>
  <c r="AC378" i="5"/>
  <c r="AD378" i="5" s="1"/>
  <c r="AA378" i="5"/>
  <c r="W378" i="5"/>
  <c r="X378" i="5" s="1"/>
  <c r="U378" i="5"/>
  <c r="R378" i="5"/>
  <c r="O378" i="5"/>
  <c r="N378" i="5"/>
  <c r="L378" i="5"/>
  <c r="I378" i="5"/>
  <c r="H378" i="5"/>
  <c r="F378" i="5"/>
  <c r="C378" i="5"/>
  <c r="AD377" i="5"/>
  <c r="AC377" i="5"/>
  <c r="AA377" i="5"/>
  <c r="X377" i="5"/>
  <c r="W377" i="5"/>
  <c r="U377" i="5"/>
  <c r="R377" i="5"/>
  <c r="N377" i="5"/>
  <c r="O377" i="5" s="1"/>
  <c r="L377" i="5"/>
  <c r="H377" i="5"/>
  <c r="I377" i="5" s="1"/>
  <c r="F377" i="5"/>
  <c r="C377" i="5"/>
  <c r="AC376" i="5"/>
  <c r="AD376" i="5" s="1"/>
  <c r="AA376" i="5"/>
  <c r="X376" i="5"/>
  <c r="W376" i="5"/>
  <c r="U376" i="5"/>
  <c r="R376" i="5"/>
  <c r="N376" i="5"/>
  <c r="O376" i="5" s="1"/>
  <c r="L376" i="5"/>
  <c r="I376" i="5"/>
  <c r="H376" i="5"/>
  <c r="F376" i="5"/>
  <c r="C376" i="5"/>
  <c r="AD375" i="5"/>
  <c r="AC375" i="5"/>
  <c r="AA375" i="5"/>
  <c r="W375" i="5"/>
  <c r="X375" i="5" s="1"/>
  <c r="U375" i="5"/>
  <c r="R375" i="5"/>
  <c r="O375" i="5"/>
  <c r="N375" i="5"/>
  <c r="L375" i="5"/>
  <c r="H375" i="5"/>
  <c r="I375" i="5" s="1"/>
  <c r="F375" i="5"/>
  <c r="C375" i="5"/>
  <c r="AC374" i="5"/>
  <c r="AD374" i="5" s="1"/>
  <c r="AA374" i="5"/>
  <c r="W374" i="5"/>
  <c r="X374" i="5" s="1"/>
  <c r="U374" i="5"/>
  <c r="R374" i="5"/>
  <c r="O374" i="5"/>
  <c r="N374" i="5"/>
  <c r="L374" i="5"/>
  <c r="I374" i="5"/>
  <c r="H374" i="5"/>
  <c r="F374" i="5"/>
  <c r="C374" i="5"/>
  <c r="AD373" i="5"/>
  <c r="AC373" i="5"/>
  <c r="AA373" i="5"/>
  <c r="X373" i="5"/>
  <c r="W373" i="5"/>
  <c r="U373" i="5"/>
  <c r="R373" i="5"/>
  <c r="N373" i="5"/>
  <c r="O373" i="5" s="1"/>
  <c r="L373" i="5"/>
  <c r="H373" i="5"/>
  <c r="I373" i="5" s="1"/>
  <c r="F373" i="5"/>
  <c r="C373" i="5"/>
  <c r="AC372" i="5"/>
  <c r="AD372" i="5" s="1"/>
  <c r="AA372" i="5"/>
  <c r="X372" i="5"/>
  <c r="W372" i="5"/>
  <c r="U372" i="5"/>
  <c r="R372" i="5"/>
  <c r="N372" i="5"/>
  <c r="O372" i="5" s="1"/>
  <c r="L372" i="5"/>
  <c r="H372" i="5"/>
  <c r="I372" i="5" s="1"/>
  <c r="F372" i="5"/>
  <c r="C372" i="5"/>
  <c r="AD371" i="5"/>
  <c r="AC371" i="5"/>
  <c r="AA371" i="5"/>
  <c r="W371" i="5"/>
  <c r="X371" i="5" s="1"/>
  <c r="U371" i="5"/>
  <c r="R371" i="5"/>
  <c r="O371" i="5"/>
  <c r="N371" i="5"/>
  <c r="L371" i="5"/>
  <c r="H371" i="5"/>
  <c r="I371" i="5" s="1"/>
  <c r="F371" i="5"/>
  <c r="C371" i="5"/>
  <c r="AC370" i="5"/>
  <c r="AD370" i="5" s="1"/>
  <c r="AA370" i="5"/>
  <c r="W370" i="5"/>
  <c r="X370" i="5" s="1"/>
  <c r="U370" i="5"/>
  <c r="R370" i="5"/>
  <c r="O370" i="5"/>
  <c r="N370" i="5"/>
  <c r="L370" i="5"/>
  <c r="I370" i="5"/>
  <c r="H370" i="5"/>
  <c r="F370" i="5"/>
  <c r="C370" i="5"/>
  <c r="AC369" i="5"/>
  <c r="AD369" i="5" s="1"/>
  <c r="AA369" i="5"/>
  <c r="X369" i="5"/>
  <c r="W369" i="5"/>
  <c r="U369" i="5"/>
  <c r="R369" i="5"/>
  <c r="N369" i="5"/>
  <c r="O369" i="5" s="1"/>
  <c r="L369" i="5"/>
  <c r="H369" i="5"/>
  <c r="I369" i="5" s="1"/>
  <c r="F369" i="5"/>
  <c r="C369" i="5"/>
  <c r="Z368" i="5"/>
  <c r="AA368" i="5" s="1"/>
  <c r="W368" i="5"/>
  <c r="X368" i="5" s="1"/>
  <c r="U368" i="5"/>
  <c r="T368" i="5"/>
  <c r="Q368" i="5"/>
  <c r="R368" i="5" s="1"/>
  <c r="N368" i="5"/>
  <c r="O368" i="5" s="1"/>
  <c r="K368" i="5"/>
  <c r="L368" i="5" s="1"/>
  <c r="E368" i="5"/>
  <c r="F368" i="5" s="1"/>
  <c r="B368" i="5"/>
  <c r="H368" i="5" s="1"/>
  <c r="I368" i="5" s="1"/>
  <c r="AC367" i="5"/>
  <c r="AD367" i="5" s="1"/>
  <c r="AA367" i="5"/>
  <c r="W367" i="5"/>
  <c r="X367" i="5" s="1"/>
  <c r="U367" i="5"/>
  <c r="R367" i="5"/>
  <c r="O367" i="5"/>
  <c r="N367" i="5"/>
  <c r="L367" i="5"/>
  <c r="I367" i="5"/>
  <c r="H367" i="5"/>
  <c r="F367" i="5"/>
  <c r="C367" i="5"/>
  <c r="AC366" i="5"/>
  <c r="AD366" i="5" s="1"/>
  <c r="AA366" i="5"/>
  <c r="X366" i="5"/>
  <c r="W366" i="5"/>
  <c r="U366" i="5"/>
  <c r="R366" i="5"/>
  <c r="N366" i="5"/>
  <c r="O366" i="5" s="1"/>
  <c r="L366" i="5"/>
  <c r="H366" i="5"/>
  <c r="I366" i="5" s="1"/>
  <c r="F366" i="5"/>
  <c r="C366" i="5"/>
  <c r="AC365" i="5"/>
  <c r="AD365" i="5" s="1"/>
  <c r="AA365" i="5"/>
  <c r="X365" i="5"/>
  <c r="W365" i="5"/>
  <c r="U365" i="5"/>
  <c r="R365" i="5"/>
  <c r="N365" i="5"/>
  <c r="O365" i="5" s="1"/>
  <c r="L365" i="5"/>
  <c r="H365" i="5"/>
  <c r="I365" i="5" s="1"/>
  <c r="F365" i="5"/>
  <c r="C365" i="5"/>
  <c r="AD364" i="5"/>
  <c r="AC364" i="5"/>
  <c r="AA364" i="5"/>
  <c r="X364" i="5"/>
  <c r="W364" i="5"/>
  <c r="U364" i="5"/>
  <c r="R364" i="5"/>
  <c r="O364" i="5"/>
  <c r="N364" i="5"/>
  <c r="L364" i="5"/>
  <c r="H364" i="5"/>
  <c r="I364" i="5" s="1"/>
  <c r="F364" i="5"/>
  <c r="C364" i="5"/>
  <c r="AC363" i="5"/>
  <c r="AD363" i="5" s="1"/>
  <c r="AA363" i="5"/>
  <c r="W363" i="5"/>
  <c r="X363" i="5" s="1"/>
  <c r="U363" i="5"/>
  <c r="R363" i="5"/>
  <c r="O363" i="5"/>
  <c r="N363" i="5"/>
  <c r="L363" i="5"/>
  <c r="I363" i="5"/>
  <c r="H363" i="5"/>
  <c r="F363" i="5"/>
  <c r="C363" i="5"/>
  <c r="AD362" i="5"/>
  <c r="AC362" i="5"/>
  <c r="AA362" i="5"/>
  <c r="X362" i="5"/>
  <c r="W362" i="5"/>
  <c r="U362" i="5"/>
  <c r="R362" i="5"/>
  <c r="N362" i="5"/>
  <c r="O362" i="5" s="1"/>
  <c r="L362" i="5"/>
  <c r="H362" i="5"/>
  <c r="I362" i="5" s="1"/>
  <c r="F362" i="5"/>
  <c r="C362" i="5"/>
  <c r="AC361" i="5"/>
  <c r="AD361" i="5" s="1"/>
  <c r="AA361" i="5"/>
  <c r="X361" i="5"/>
  <c r="W361" i="5"/>
  <c r="U361" i="5"/>
  <c r="R361" i="5"/>
  <c r="N361" i="5"/>
  <c r="O361" i="5" s="1"/>
  <c r="L361" i="5"/>
  <c r="H361" i="5"/>
  <c r="I361" i="5" s="1"/>
  <c r="F361" i="5"/>
  <c r="C361" i="5"/>
  <c r="AD360" i="5"/>
  <c r="AC360" i="5"/>
  <c r="AA360" i="5"/>
  <c r="X360" i="5"/>
  <c r="W360" i="5"/>
  <c r="U360" i="5"/>
  <c r="R360" i="5"/>
  <c r="O360" i="5"/>
  <c r="N360" i="5"/>
  <c r="L360" i="5"/>
  <c r="H360" i="5"/>
  <c r="I360" i="5" s="1"/>
  <c r="F360" i="5"/>
  <c r="C360" i="5"/>
  <c r="AC358" i="5"/>
  <c r="AD358" i="5" s="1"/>
  <c r="AA358" i="5"/>
  <c r="Z358" i="5"/>
  <c r="T358" i="5"/>
  <c r="U358" i="5" s="1"/>
  <c r="Q358" i="5"/>
  <c r="R358" i="5" s="1"/>
  <c r="K358" i="5"/>
  <c r="L358" i="5" s="1"/>
  <c r="E358" i="5"/>
  <c r="F358" i="5" s="1"/>
  <c r="C358" i="5"/>
  <c r="B358" i="5"/>
  <c r="N358" i="5" s="1"/>
  <c r="O358" i="5" s="1"/>
  <c r="AC357" i="5"/>
  <c r="AD357" i="5" s="1"/>
  <c r="AA357" i="5"/>
  <c r="X357" i="5"/>
  <c r="W357" i="5"/>
  <c r="U357" i="5"/>
  <c r="R357" i="5"/>
  <c r="N357" i="5"/>
  <c r="O357" i="5" s="1"/>
  <c r="L357" i="5"/>
  <c r="H357" i="5"/>
  <c r="I357" i="5" s="1"/>
  <c r="F357" i="5"/>
  <c r="C357" i="5"/>
  <c r="AD356" i="5"/>
  <c r="AC356" i="5"/>
  <c r="AA356" i="5"/>
  <c r="W356" i="5"/>
  <c r="X356" i="5" s="1"/>
  <c r="U356" i="5"/>
  <c r="R356" i="5"/>
  <c r="O356" i="5"/>
  <c r="N356" i="5"/>
  <c r="L356" i="5"/>
  <c r="H356" i="5"/>
  <c r="I356" i="5" s="1"/>
  <c r="F356" i="5"/>
  <c r="C356" i="5"/>
  <c r="AC355" i="5"/>
  <c r="AD355" i="5" s="1"/>
  <c r="AA355" i="5"/>
  <c r="W355" i="5"/>
  <c r="X355" i="5" s="1"/>
  <c r="U355" i="5"/>
  <c r="R355" i="5"/>
  <c r="O355" i="5"/>
  <c r="N355" i="5"/>
  <c r="L355" i="5"/>
  <c r="I355" i="5"/>
  <c r="H355" i="5"/>
  <c r="F355" i="5"/>
  <c r="C355" i="5"/>
  <c r="AD354" i="5"/>
  <c r="AC354" i="5"/>
  <c r="AA354" i="5"/>
  <c r="X354" i="5"/>
  <c r="W354" i="5"/>
  <c r="U354" i="5"/>
  <c r="R354" i="5"/>
  <c r="N354" i="5"/>
  <c r="O354" i="5" s="1"/>
  <c r="L354" i="5"/>
  <c r="H354" i="5"/>
  <c r="I354" i="5" s="1"/>
  <c r="F354" i="5"/>
  <c r="C354" i="5"/>
  <c r="AC353" i="5"/>
  <c r="AD353" i="5" s="1"/>
  <c r="AA353" i="5"/>
  <c r="X353" i="5"/>
  <c r="W353" i="5"/>
  <c r="U353" i="5"/>
  <c r="R353" i="5"/>
  <c r="N353" i="5"/>
  <c r="O353" i="5" s="1"/>
  <c r="L353" i="5"/>
  <c r="H353" i="5"/>
  <c r="I353" i="5" s="1"/>
  <c r="F353" i="5"/>
  <c r="C353" i="5"/>
  <c r="AD352" i="5"/>
  <c r="AC352" i="5"/>
  <c r="AA352" i="5"/>
  <c r="X352" i="5"/>
  <c r="W352" i="5"/>
  <c r="U352" i="5"/>
  <c r="R352" i="5"/>
  <c r="O352" i="5"/>
  <c r="N352" i="5"/>
  <c r="L352" i="5"/>
  <c r="H352" i="5"/>
  <c r="I352" i="5" s="1"/>
  <c r="F352" i="5"/>
  <c r="C352" i="5"/>
  <c r="AC351" i="5"/>
  <c r="AD351" i="5" s="1"/>
  <c r="AA351" i="5"/>
  <c r="W351" i="5"/>
  <c r="X351" i="5" s="1"/>
  <c r="U351" i="5"/>
  <c r="R351" i="5"/>
  <c r="O351" i="5"/>
  <c r="N351" i="5"/>
  <c r="L351" i="5"/>
  <c r="I351" i="5"/>
  <c r="H351" i="5"/>
  <c r="F351" i="5"/>
  <c r="C351" i="5"/>
  <c r="AC350" i="5"/>
  <c r="AD350" i="5" s="1"/>
  <c r="AA350" i="5"/>
  <c r="X350" i="5"/>
  <c r="W350" i="5"/>
  <c r="U350" i="5"/>
  <c r="R350" i="5"/>
  <c r="N350" i="5"/>
  <c r="O350" i="5" s="1"/>
  <c r="L350" i="5"/>
  <c r="H350" i="5"/>
  <c r="I350" i="5" s="1"/>
  <c r="F350" i="5"/>
  <c r="C350" i="5"/>
  <c r="AC349" i="5"/>
  <c r="AD349" i="5" s="1"/>
  <c r="AA349" i="5"/>
  <c r="X349" i="5"/>
  <c r="W349" i="5"/>
  <c r="U349" i="5"/>
  <c r="R349" i="5"/>
  <c r="N349" i="5"/>
  <c r="O349" i="5" s="1"/>
  <c r="L349" i="5"/>
  <c r="H349" i="5"/>
  <c r="I349" i="5" s="1"/>
  <c r="F349" i="5"/>
  <c r="C349" i="5"/>
  <c r="AD347" i="5"/>
  <c r="AC347" i="5"/>
  <c r="AA347" i="5"/>
  <c r="X347" i="5"/>
  <c r="W347" i="5"/>
  <c r="U347" i="5"/>
  <c r="R347" i="5"/>
  <c r="O347" i="5"/>
  <c r="N347" i="5"/>
  <c r="L347" i="5"/>
  <c r="H347" i="5"/>
  <c r="I347" i="5" s="1"/>
  <c r="F347" i="5"/>
  <c r="C347" i="5"/>
  <c r="Z344" i="5"/>
  <c r="AA344" i="5" s="1"/>
  <c r="W344" i="5"/>
  <c r="X344" i="5" s="1"/>
  <c r="U344" i="5"/>
  <c r="T344" i="5"/>
  <c r="Q344" i="5"/>
  <c r="R344" i="5" s="1"/>
  <c r="K344" i="5"/>
  <c r="L344" i="5" s="1"/>
  <c r="E344" i="5"/>
  <c r="F344" i="5" s="1"/>
  <c r="C344" i="5"/>
  <c r="B344" i="5"/>
  <c r="AC343" i="5"/>
  <c r="AD343" i="5" s="1"/>
  <c r="AA343" i="5"/>
  <c r="Z343" i="5"/>
  <c r="T343" i="5"/>
  <c r="U343" i="5" s="1"/>
  <c r="Q343" i="5"/>
  <c r="R343" i="5" s="1"/>
  <c r="K343" i="5"/>
  <c r="L343" i="5" s="1"/>
  <c r="E343" i="5"/>
  <c r="F343" i="5" s="1"/>
  <c r="C343" i="5"/>
  <c r="B343" i="5"/>
  <c r="N343" i="5" s="1"/>
  <c r="O343" i="5" s="1"/>
  <c r="AC342" i="5"/>
  <c r="AD342" i="5" s="1"/>
  <c r="AA342" i="5"/>
  <c r="Z342" i="5"/>
  <c r="W342" i="5"/>
  <c r="X342" i="5" s="1"/>
  <c r="U342" i="5"/>
  <c r="T342" i="5"/>
  <c r="Q342" i="5"/>
  <c r="R342" i="5" s="1"/>
  <c r="N342" i="5"/>
  <c r="O342" i="5" s="1"/>
  <c r="K342" i="5"/>
  <c r="L342" i="5" s="1"/>
  <c r="E342" i="5"/>
  <c r="F342" i="5" s="1"/>
  <c r="C342" i="5"/>
  <c r="B342" i="5"/>
  <c r="AC341" i="5"/>
  <c r="AD341" i="5" s="1"/>
  <c r="AA341" i="5"/>
  <c r="W341" i="5"/>
  <c r="X341" i="5" s="1"/>
  <c r="U341" i="5"/>
  <c r="R341" i="5"/>
  <c r="O341" i="5"/>
  <c r="N341" i="5"/>
  <c r="L341" i="5"/>
  <c r="I341" i="5"/>
  <c r="H341" i="5"/>
  <c r="F341" i="5"/>
  <c r="C341" i="5"/>
  <c r="AD340" i="5"/>
  <c r="AC340" i="5"/>
  <c r="AA340" i="5"/>
  <c r="X340" i="5"/>
  <c r="W340" i="5"/>
  <c r="U340" i="5"/>
  <c r="R340" i="5"/>
  <c r="O340" i="5"/>
  <c r="N340" i="5"/>
  <c r="L340" i="5"/>
  <c r="H340" i="5"/>
  <c r="I340" i="5" s="1"/>
  <c r="F340" i="5"/>
  <c r="C340" i="5"/>
  <c r="AC339" i="5"/>
  <c r="AD339" i="5" s="1"/>
  <c r="AA339" i="5"/>
  <c r="X339" i="5"/>
  <c r="W339" i="5"/>
  <c r="U339" i="5"/>
  <c r="R339" i="5"/>
  <c r="N339" i="5"/>
  <c r="O339" i="5" s="1"/>
  <c r="L339" i="5"/>
  <c r="H339" i="5"/>
  <c r="I339" i="5" s="1"/>
  <c r="F339" i="5"/>
  <c r="C339" i="5"/>
  <c r="AD338" i="5"/>
  <c r="AC338" i="5"/>
  <c r="AA338" i="5"/>
  <c r="X338" i="5"/>
  <c r="W338" i="5"/>
  <c r="U338" i="5"/>
  <c r="R338" i="5"/>
  <c r="O338" i="5"/>
  <c r="N338" i="5"/>
  <c r="L338" i="5"/>
  <c r="H338" i="5"/>
  <c r="I338" i="5" s="1"/>
  <c r="F338" i="5"/>
  <c r="C338" i="5"/>
  <c r="AC337" i="5"/>
  <c r="AD337" i="5" s="1"/>
  <c r="AA337" i="5"/>
  <c r="W337" i="5"/>
  <c r="X337" i="5" s="1"/>
  <c r="U337" i="5"/>
  <c r="R337" i="5"/>
  <c r="O337" i="5"/>
  <c r="N337" i="5"/>
  <c r="L337" i="5"/>
  <c r="I337" i="5"/>
  <c r="H337" i="5"/>
  <c r="F337" i="5"/>
  <c r="C337" i="5"/>
  <c r="AD335" i="5"/>
  <c r="AC335" i="5"/>
  <c r="AA335" i="5"/>
  <c r="X335" i="5"/>
  <c r="W335" i="5"/>
  <c r="U335" i="5"/>
  <c r="R335" i="5"/>
  <c r="N335" i="5"/>
  <c r="O335" i="5" s="1"/>
  <c r="L335" i="5"/>
  <c r="H335" i="5"/>
  <c r="I335" i="5" s="1"/>
  <c r="F335" i="5"/>
  <c r="C335" i="5"/>
  <c r="AC334" i="5"/>
  <c r="AD334" i="5" s="1"/>
  <c r="AA334" i="5"/>
  <c r="X334" i="5"/>
  <c r="W334" i="5"/>
  <c r="U334" i="5"/>
  <c r="R334" i="5"/>
  <c r="N334" i="5"/>
  <c r="O334" i="5" s="1"/>
  <c r="L334" i="5"/>
  <c r="I334" i="5"/>
  <c r="H334" i="5"/>
  <c r="F334" i="5"/>
  <c r="C334" i="5"/>
  <c r="AD333" i="5"/>
  <c r="AC333" i="5"/>
  <c r="AA333" i="5"/>
  <c r="W333" i="5"/>
  <c r="X333" i="5" s="1"/>
  <c r="U333" i="5"/>
  <c r="R333" i="5"/>
  <c r="O333" i="5"/>
  <c r="N333" i="5"/>
  <c r="L333" i="5"/>
  <c r="H333" i="5"/>
  <c r="I333" i="5" s="1"/>
  <c r="F333" i="5"/>
  <c r="C333" i="5"/>
  <c r="AC332" i="5"/>
  <c r="AD332" i="5" s="1"/>
  <c r="AA332" i="5"/>
  <c r="W332" i="5"/>
  <c r="X332" i="5" s="1"/>
  <c r="U332" i="5"/>
  <c r="R332" i="5"/>
  <c r="O332" i="5"/>
  <c r="N332" i="5"/>
  <c r="L332" i="5"/>
  <c r="I332" i="5"/>
  <c r="H332" i="5"/>
  <c r="F332" i="5"/>
  <c r="C332" i="5"/>
  <c r="AD331" i="5"/>
  <c r="AC331" i="5"/>
  <c r="AA331" i="5"/>
  <c r="X331" i="5"/>
  <c r="W331" i="5"/>
  <c r="U331" i="5"/>
  <c r="R331" i="5"/>
  <c r="N331" i="5"/>
  <c r="O331" i="5" s="1"/>
  <c r="L331" i="5"/>
  <c r="H331" i="5"/>
  <c r="I331" i="5" s="1"/>
  <c r="F331" i="5"/>
  <c r="C331" i="5"/>
  <c r="AC330" i="5"/>
  <c r="AD330" i="5" s="1"/>
  <c r="AA330" i="5"/>
  <c r="X330" i="5"/>
  <c r="W330" i="5"/>
  <c r="U330" i="5"/>
  <c r="R330" i="5"/>
  <c r="N330" i="5"/>
  <c r="O330" i="5" s="1"/>
  <c r="L330" i="5"/>
  <c r="H330" i="5"/>
  <c r="I330" i="5" s="1"/>
  <c r="F330" i="5"/>
  <c r="C330" i="5"/>
  <c r="AD329" i="5"/>
  <c r="AC329" i="5"/>
  <c r="AA329" i="5"/>
  <c r="X329" i="5"/>
  <c r="W329" i="5"/>
  <c r="U329" i="5"/>
  <c r="R329" i="5"/>
  <c r="O329" i="5"/>
  <c r="N329" i="5"/>
  <c r="L329" i="5"/>
  <c r="H329" i="5"/>
  <c r="I329" i="5" s="1"/>
  <c r="F329" i="5"/>
  <c r="C329" i="5"/>
  <c r="AC328" i="5"/>
  <c r="AD328" i="5" s="1"/>
  <c r="AA328" i="5"/>
  <c r="W328" i="5"/>
  <c r="X328" i="5" s="1"/>
  <c r="U328" i="5"/>
  <c r="R328" i="5"/>
  <c r="O328" i="5"/>
  <c r="N328" i="5"/>
  <c r="L328" i="5"/>
  <c r="I328" i="5"/>
  <c r="H328" i="5"/>
  <c r="F328" i="5"/>
  <c r="C328" i="5"/>
  <c r="Z325" i="5"/>
  <c r="AA325" i="5" s="1"/>
  <c r="T325" i="5"/>
  <c r="U325" i="5" s="1"/>
  <c r="R325" i="5"/>
  <c r="Q325" i="5"/>
  <c r="L325" i="5"/>
  <c r="K325" i="5"/>
  <c r="F325" i="5"/>
  <c r="E325" i="5"/>
  <c r="B325" i="5"/>
  <c r="Z324" i="5"/>
  <c r="AA324" i="5" s="1"/>
  <c r="T324" i="5"/>
  <c r="U324" i="5" s="1"/>
  <c r="R324" i="5"/>
  <c r="Q324" i="5"/>
  <c r="AC324" i="5" s="1"/>
  <c r="AD324" i="5" s="1"/>
  <c r="L324" i="5"/>
  <c r="K324" i="5"/>
  <c r="F324" i="5"/>
  <c r="E324" i="5"/>
  <c r="B324" i="5"/>
  <c r="C324" i="5" s="1"/>
  <c r="AD323" i="5"/>
  <c r="AC323" i="5"/>
  <c r="AA323" i="5"/>
  <c r="X323" i="5"/>
  <c r="W323" i="5"/>
  <c r="U323" i="5"/>
  <c r="R323" i="5"/>
  <c r="N323" i="5"/>
  <c r="O323" i="5" s="1"/>
  <c r="L323" i="5"/>
  <c r="H323" i="5"/>
  <c r="I323" i="5" s="1"/>
  <c r="F323" i="5"/>
  <c r="C323" i="5"/>
  <c r="AC322" i="5"/>
  <c r="AD322" i="5" s="1"/>
  <c r="AA322" i="5"/>
  <c r="X322" i="5"/>
  <c r="W322" i="5"/>
  <c r="U322" i="5"/>
  <c r="R322" i="5"/>
  <c r="O322" i="5"/>
  <c r="N322" i="5"/>
  <c r="L322" i="5"/>
  <c r="H322" i="5"/>
  <c r="I322" i="5" s="1"/>
  <c r="F322" i="5"/>
  <c r="C322" i="5"/>
  <c r="AD321" i="5"/>
  <c r="AC321" i="5"/>
  <c r="AA321" i="5"/>
  <c r="W321" i="5"/>
  <c r="X321" i="5" s="1"/>
  <c r="U321" i="5"/>
  <c r="R321" i="5"/>
  <c r="O321" i="5"/>
  <c r="N321" i="5"/>
  <c r="L321" i="5"/>
  <c r="H321" i="5"/>
  <c r="I321" i="5" s="1"/>
  <c r="F321" i="5"/>
  <c r="C321" i="5"/>
  <c r="AC320" i="5"/>
  <c r="AD320" i="5" s="1"/>
  <c r="AA320" i="5"/>
  <c r="X320" i="5"/>
  <c r="W320" i="5"/>
  <c r="U320" i="5"/>
  <c r="R320" i="5"/>
  <c r="O320" i="5"/>
  <c r="N320" i="5"/>
  <c r="L320" i="5"/>
  <c r="I320" i="5"/>
  <c r="H320" i="5"/>
  <c r="F320" i="5"/>
  <c r="C320" i="5"/>
  <c r="AD319" i="5"/>
  <c r="AC319" i="5"/>
  <c r="AA319" i="5"/>
  <c r="X319" i="5"/>
  <c r="W319" i="5"/>
  <c r="U319" i="5"/>
  <c r="R319" i="5"/>
  <c r="N319" i="5"/>
  <c r="O319" i="5" s="1"/>
  <c r="L319" i="5"/>
  <c r="H319" i="5"/>
  <c r="I319" i="5" s="1"/>
  <c r="F319" i="5"/>
  <c r="C319" i="5"/>
  <c r="AC318" i="5"/>
  <c r="AD318" i="5" s="1"/>
  <c r="AA318" i="5"/>
  <c r="X318" i="5"/>
  <c r="W318" i="5"/>
  <c r="U318" i="5"/>
  <c r="R318" i="5"/>
  <c r="O318" i="5"/>
  <c r="N318" i="5"/>
  <c r="L318" i="5"/>
  <c r="I318" i="5"/>
  <c r="H318" i="5"/>
  <c r="F318" i="5"/>
  <c r="C318" i="5"/>
  <c r="AD317" i="5"/>
  <c r="AC317" i="5"/>
  <c r="AA317" i="5"/>
  <c r="W317" i="5"/>
  <c r="X317" i="5" s="1"/>
  <c r="U317" i="5"/>
  <c r="R317" i="5"/>
  <c r="O317" i="5"/>
  <c r="N317" i="5"/>
  <c r="L317" i="5"/>
  <c r="H317" i="5"/>
  <c r="I317" i="5" s="1"/>
  <c r="F317" i="5"/>
  <c r="C317" i="5"/>
  <c r="AC316" i="5"/>
  <c r="AD316" i="5" s="1"/>
  <c r="AA316" i="5"/>
  <c r="X316" i="5"/>
  <c r="W316" i="5"/>
  <c r="U316" i="5"/>
  <c r="R316" i="5"/>
  <c r="O316" i="5"/>
  <c r="N316" i="5"/>
  <c r="L316" i="5"/>
  <c r="I316" i="5"/>
  <c r="H316" i="5"/>
  <c r="F316" i="5"/>
  <c r="C316" i="5"/>
  <c r="AD315" i="5"/>
  <c r="AC315" i="5"/>
  <c r="AA315" i="5"/>
  <c r="X315" i="5"/>
  <c r="W315" i="5"/>
  <c r="U315" i="5"/>
  <c r="R315" i="5"/>
  <c r="N315" i="5"/>
  <c r="O315" i="5" s="1"/>
  <c r="L315" i="5"/>
  <c r="H315" i="5"/>
  <c r="I315" i="5" s="1"/>
  <c r="F315" i="5"/>
  <c r="C315" i="5"/>
  <c r="AC314" i="5"/>
  <c r="AD314" i="5" s="1"/>
  <c r="AA314" i="5"/>
  <c r="X314" i="5"/>
  <c r="W314" i="5"/>
  <c r="U314" i="5"/>
  <c r="R314" i="5"/>
  <c r="O314" i="5"/>
  <c r="N314" i="5"/>
  <c r="L314" i="5"/>
  <c r="H314" i="5"/>
  <c r="I314" i="5" s="1"/>
  <c r="F314" i="5"/>
  <c r="C314" i="5"/>
  <c r="AD313" i="5"/>
  <c r="AC313" i="5"/>
  <c r="AA313" i="5"/>
  <c r="W313" i="5"/>
  <c r="X313" i="5" s="1"/>
  <c r="U313" i="5"/>
  <c r="R313" i="5"/>
  <c r="O313" i="5"/>
  <c r="N313" i="5"/>
  <c r="L313" i="5"/>
  <c r="H313" i="5"/>
  <c r="I313" i="5" s="1"/>
  <c r="F313" i="5"/>
  <c r="C313" i="5"/>
  <c r="AC312" i="5"/>
  <c r="AD312" i="5" s="1"/>
  <c r="AA312" i="5"/>
  <c r="X312" i="5"/>
  <c r="W312" i="5"/>
  <c r="U312" i="5"/>
  <c r="R312" i="5"/>
  <c r="O312" i="5"/>
  <c r="N312" i="5"/>
  <c r="L312" i="5"/>
  <c r="I312" i="5"/>
  <c r="H312" i="5"/>
  <c r="F312" i="5"/>
  <c r="C312" i="5"/>
  <c r="AD311" i="5"/>
  <c r="AC311" i="5"/>
  <c r="AA311" i="5"/>
  <c r="X311" i="5"/>
  <c r="W311" i="5"/>
  <c r="U311" i="5"/>
  <c r="R311" i="5"/>
  <c r="N311" i="5"/>
  <c r="O311" i="5" s="1"/>
  <c r="L311" i="5"/>
  <c r="H311" i="5"/>
  <c r="I311" i="5" s="1"/>
  <c r="F311" i="5"/>
  <c r="C311" i="5"/>
  <c r="AC310" i="5"/>
  <c r="AD310" i="5" s="1"/>
  <c r="AA310" i="5"/>
  <c r="X310" i="5"/>
  <c r="W310" i="5"/>
  <c r="U310" i="5"/>
  <c r="R310" i="5"/>
  <c r="O310" i="5"/>
  <c r="N310" i="5"/>
  <c r="L310" i="5"/>
  <c r="I310" i="5"/>
  <c r="H310" i="5"/>
  <c r="F310" i="5"/>
  <c r="C310" i="5"/>
  <c r="AD309" i="5"/>
  <c r="AC309" i="5"/>
  <c r="AA309" i="5"/>
  <c r="W309" i="5"/>
  <c r="X309" i="5" s="1"/>
  <c r="U309" i="5"/>
  <c r="R309" i="5"/>
  <c r="O309" i="5"/>
  <c r="N309" i="5"/>
  <c r="L309" i="5"/>
  <c r="H309" i="5"/>
  <c r="I309" i="5" s="1"/>
  <c r="F309" i="5"/>
  <c r="C309" i="5"/>
  <c r="AC308" i="5"/>
  <c r="AD308" i="5" s="1"/>
  <c r="AA308" i="5"/>
  <c r="X308" i="5"/>
  <c r="W308" i="5"/>
  <c r="U308" i="5"/>
  <c r="R308" i="5"/>
  <c r="O308" i="5"/>
  <c r="N308" i="5"/>
  <c r="L308" i="5"/>
  <c r="I308" i="5"/>
  <c r="H308" i="5"/>
  <c r="F308" i="5"/>
  <c r="C308" i="5"/>
  <c r="AD307" i="5"/>
  <c r="AC307" i="5"/>
  <c r="AA307" i="5"/>
  <c r="X307" i="5"/>
  <c r="W307" i="5"/>
  <c r="U307" i="5"/>
  <c r="R307" i="5"/>
  <c r="N307" i="5"/>
  <c r="O307" i="5" s="1"/>
  <c r="L307" i="5"/>
  <c r="H307" i="5"/>
  <c r="I307" i="5" s="1"/>
  <c r="F307" i="5"/>
  <c r="C307" i="5"/>
  <c r="AC306" i="5"/>
  <c r="AD306" i="5" s="1"/>
  <c r="AA306" i="5"/>
  <c r="X306" i="5"/>
  <c r="W306" i="5"/>
  <c r="U306" i="5"/>
  <c r="R306" i="5"/>
  <c r="O306" i="5"/>
  <c r="N306" i="5"/>
  <c r="L306" i="5"/>
  <c r="H306" i="5"/>
  <c r="I306" i="5" s="1"/>
  <c r="F306" i="5"/>
  <c r="C306" i="5"/>
  <c r="AD305" i="5"/>
  <c r="AC305" i="5"/>
  <c r="AA305" i="5"/>
  <c r="W305" i="5"/>
  <c r="X305" i="5" s="1"/>
  <c r="U305" i="5"/>
  <c r="R305" i="5"/>
  <c r="O305" i="5"/>
  <c r="N305" i="5"/>
  <c r="L305" i="5"/>
  <c r="H305" i="5"/>
  <c r="I305" i="5" s="1"/>
  <c r="F305" i="5"/>
  <c r="C305" i="5"/>
  <c r="AC304" i="5"/>
  <c r="AD304" i="5" s="1"/>
  <c r="AA304" i="5"/>
  <c r="X304" i="5"/>
  <c r="W304" i="5"/>
  <c r="U304" i="5"/>
  <c r="R304" i="5"/>
  <c r="O304" i="5"/>
  <c r="N304" i="5"/>
  <c r="L304" i="5"/>
  <c r="I304" i="5"/>
  <c r="H304" i="5"/>
  <c r="F304" i="5"/>
  <c r="C304" i="5"/>
  <c r="AD303" i="5"/>
  <c r="AC303" i="5"/>
  <c r="AA303" i="5"/>
  <c r="X303" i="5"/>
  <c r="W303" i="5"/>
  <c r="U303" i="5"/>
  <c r="R303" i="5"/>
  <c r="O303" i="5"/>
  <c r="N303" i="5"/>
  <c r="L303" i="5"/>
  <c r="H303" i="5"/>
  <c r="I303" i="5" s="1"/>
  <c r="F303" i="5"/>
  <c r="C303" i="5"/>
  <c r="AC302" i="5"/>
  <c r="AD302" i="5" s="1"/>
  <c r="AA302" i="5"/>
  <c r="X302" i="5"/>
  <c r="W302" i="5"/>
  <c r="U302" i="5"/>
  <c r="R302" i="5"/>
  <c r="O302" i="5"/>
  <c r="N302" i="5"/>
  <c r="L302" i="5"/>
  <c r="I302" i="5"/>
  <c r="H302" i="5"/>
  <c r="F302" i="5"/>
  <c r="C302" i="5"/>
  <c r="AD301" i="5"/>
  <c r="AC301" i="5"/>
  <c r="AA301" i="5"/>
  <c r="W301" i="5"/>
  <c r="X301" i="5" s="1"/>
  <c r="U301" i="5"/>
  <c r="R301" i="5"/>
  <c r="O301" i="5"/>
  <c r="N301" i="5"/>
  <c r="L301" i="5"/>
  <c r="H301" i="5"/>
  <c r="I301" i="5" s="1"/>
  <c r="F301" i="5"/>
  <c r="C301" i="5"/>
  <c r="AC300" i="5"/>
  <c r="AD300" i="5" s="1"/>
  <c r="AA300" i="5"/>
  <c r="X300" i="5"/>
  <c r="W300" i="5"/>
  <c r="U300" i="5"/>
  <c r="R300" i="5"/>
  <c r="O300" i="5"/>
  <c r="N300" i="5"/>
  <c r="L300" i="5"/>
  <c r="I300" i="5"/>
  <c r="H300" i="5"/>
  <c r="F300" i="5"/>
  <c r="C300" i="5"/>
  <c r="AD299" i="5"/>
  <c r="AC299" i="5"/>
  <c r="AA299" i="5"/>
  <c r="X299" i="5"/>
  <c r="W299" i="5"/>
  <c r="U299" i="5"/>
  <c r="R299" i="5"/>
  <c r="O299" i="5"/>
  <c r="N299" i="5"/>
  <c r="L299" i="5"/>
  <c r="H299" i="5"/>
  <c r="I299" i="5" s="1"/>
  <c r="F299" i="5"/>
  <c r="C299" i="5"/>
  <c r="AC298" i="5"/>
  <c r="AD298" i="5" s="1"/>
  <c r="AA298" i="5"/>
  <c r="X298" i="5"/>
  <c r="W298" i="5"/>
  <c r="U298" i="5"/>
  <c r="R298" i="5"/>
  <c r="O298" i="5"/>
  <c r="N298" i="5"/>
  <c r="L298" i="5"/>
  <c r="H298" i="5"/>
  <c r="I298" i="5" s="1"/>
  <c r="F298" i="5"/>
  <c r="C298" i="5"/>
  <c r="AD297" i="5"/>
  <c r="AC297" i="5"/>
  <c r="AA297" i="5"/>
  <c r="W297" i="5"/>
  <c r="X297" i="5" s="1"/>
  <c r="U297" i="5"/>
  <c r="R297" i="5"/>
  <c r="O297" i="5"/>
  <c r="N297" i="5"/>
  <c r="L297" i="5"/>
  <c r="H297" i="5"/>
  <c r="I297" i="5" s="1"/>
  <c r="F297" i="5"/>
  <c r="C297" i="5"/>
  <c r="AC295" i="5"/>
  <c r="AD295" i="5" s="1"/>
  <c r="AA295" i="5"/>
  <c r="Z295" i="5"/>
  <c r="W295" i="5"/>
  <c r="X295" i="5" s="1"/>
  <c r="U295" i="5"/>
  <c r="T295" i="5"/>
  <c r="Q295" i="5"/>
  <c r="R295" i="5" s="1"/>
  <c r="K295" i="5"/>
  <c r="L295" i="5" s="1"/>
  <c r="I295" i="5"/>
  <c r="H295" i="5"/>
  <c r="E295" i="5"/>
  <c r="F295" i="5" s="1"/>
  <c r="C295" i="5"/>
  <c r="B295" i="5"/>
  <c r="AC294" i="5"/>
  <c r="AD294" i="5" s="1"/>
  <c r="AA294" i="5"/>
  <c r="X294" i="5"/>
  <c r="W294" i="5"/>
  <c r="U294" i="5"/>
  <c r="R294" i="5"/>
  <c r="O294" i="5"/>
  <c r="N294" i="5"/>
  <c r="L294" i="5"/>
  <c r="H294" i="5"/>
  <c r="I294" i="5" s="1"/>
  <c r="F294" i="5"/>
  <c r="C294" i="5"/>
  <c r="AD293" i="5"/>
  <c r="AC293" i="5"/>
  <c r="AA293" i="5"/>
  <c r="X293" i="5"/>
  <c r="W293" i="5"/>
  <c r="U293" i="5"/>
  <c r="R293" i="5"/>
  <c r="O293" i="5"/>
  <c r="N293" i="5"/>
  <c r="L293" i="5"/>
  <c r="H293" i="5"/>
  <c r="I293" i="5" s="1"/>
  <c r="F293" i="5"/>
  <c r="C293" i="5"/>
  <c r="AC292" i="5"/>
  <c r="AD292" i="5" s="1"/>
  <c r="AA292" i="5"/>
  <c r="X292" i="5"/>
  <c r="W292" i="5"/>
  <c r="U292" i="5"/>
  <c r="R292" i="5"/>
  <c r="O292" i="5"/>
  <c r="N292" i="5"/>
  <c r="L292" i="5"/>
  <c r="I292" i="5"/>
  <c r="H292" i="5"/>
  <c r="F292" i="5"/>
  <c r="C292" i="5"/>
  <c r="AD291" i="5"/>
  <c r="AC291" i="5"/>
  <c r="AA291" i="5"/>
  <c r="X291" i="5"/>
  <c r="W291" i="5"/>
  <c r="U291" i="5"/>
  <c r="R291" i="5"/>
  <c r="O291" i="5"/>
  <c r="N291" i="5"/>
  <c r="L291" i="5"/>
  <c r="H291" i="5"/>
  <c r="I291" i="5" s="1"/>
  <c r="F291" i="5"/>
  <c r="C291" i="5"/>
  <c r="AC290" i="5"/>
  <c r="AD290" i="5" s="1"/>
  <c r="AA290" i="5"/>
  <c r="X290" i="5"/>
  <c r="W290" i="5"/>
  <c r="U290" i="5"/>
  <c r="R290" i="5"/>
  <c r="O290" i="5"/>
  <c r="N290" i="5"/>
  <c r="L290" i="5"/>
  <c r="H290" i="5"/>
  <c r="I290" i="5" s="1"/>
  <c r="F290" i="5"/>
  <c r="C290" i="5"/>
  <c r="AD289" i="5"/>
  <c r="AC289" i="5"/>
  <c r="AA289" i="5"/>
  <c r="X289" i="5"/>
  <c r="W289" i="5"/>
  <c r="U289" i="5"/>
  <c r="R289" i="5"/>
  <c r="O289" i="5"/>
  <c r="N289" i="5"/>
  <c r="L289" i="5"/>
  <c r="H289" i="5"/>
  <c r="I289" i="5" s="1"/>
  <c r="F289" i="5"/>
  <c r="C289" i="5"/>
  <c r="AC288" i="5"/>
  <c r="AD288" i="5" s="1"/>
  <c r="AA288" i="5"/>
  <c r="X288" i="5"/>
  <c r="W288" i="5"/>
  <c r="U288" i="5"/>
  <c r="R288" i="5"/>
  <c r="O288" i="5"/>
  <c r="N288" i="5"/>
  <c r="L288" i="5"/>
  <c r="I288" i="5"/>
  <c r="H288" i="5"/>
  <c r="F288" i="5"/>
  <c r="C288" i="5"/>
  <c r="AC287" i="5"/>
  <c r="AD287" i="5" s="1"/>
  <c r="AA287" i="5"/>
  <c r="X287" i="5"/>
  <c r="W287" i="5"/>
  <c r="U287" i="5"/>
  <c r="R287" i="5"/>
  <c r="O287" i="5"/>
  <c r="N287" i="5"/>
  <c r="L287" i="5"/>
  <c r="H287" i="5"/>
  <c r="I287" i="5" s="1"/>
  <c r="F287" i="5"/>
  <c r="C287" i="5"/>
  <c r="AC286" i="5"/>
  <c r="AD286" i="5" s="1"/>
  <c r="AA286" i="5"/>
  <c r="X286" i="5"/>
  <c r="W286" i="5"/>
  <c r="U286" i="5"/>
  <c r="R286" i="5"/>
  <c r="O286" i="5"/>
  <c r="N286" i="5"/>
  <c r="L286" i="5"/>
  <c r="H286" i="5"/>
  <c r="I286" i="5" s="1"/>
  <c r="F286" i="5"/>
  <c r="C286" i="5"/>
  <c r="Z284" i="5"/>
  <c r="AA284" i="5" s="1"/>
  <c r="T284" i="5"/>
  <c r="U284" i="5" s="1"/>
  <c r="R284" i="5"/>
  <c r="Q284" i="5"/>
  <c r="AC284" i="5" s="1"/>
  <c r="AD284" i="5" s="1"/>
  <c r="N284" i="5"/>
  <c r="O284" i="5" s="1"/>
  <c r="L284" i="5"/>
  <c r="K284" i="5"/>
  <c r="H284" i="5"/>
  <c r="I284" i="5" s="1"/>
  <c r="F284" i="5"/>
  <c r="E284" i="5"/>
  <c r="B284" i="5"/>
  <c r="C284" i="5" s="1"/>
  <c r="AD283" i="5"/>
  <c r="AC283" i="5"/>
  <c r="AA283" i="5"/>
  <c r="X283" i="5"/>
  <c r="W283" i="5"/>
  <c r="U283" i="5"/>
  <c r="R283" i="5"/>
  <c r="N283" i="5"/>
  <c r="O283" i="5" s="1"/>
  <c r="L283" i="5"/>
  <c r="H283" i="5"/>
  <c r="I283" i="5" s="1"/>
  <c r="F283" i="5"/>
  <c r="C283" i="5"/>
  <c r="AC282" i="5"/>
  <c r="AD282" i="5" s="1"/>
  <c r="AA282" i="5"/>
  <c r="X282" i="5"/>
  <c r="W282" i="5"/>
  <c r="U282" i="5"/>
  <c r="R282" i="5"/>
  <c r="O282" i="5"/>
  <c r="N282" i="5"/>
  <c r="L282" i="5"/>
  <c r="I282" i="5"/>
  <c r="H282" i="5"/>
  <c r="F282" i="5"/>
  <c r="C282" i="5"/>
  <c r="AD281" i="5"/>
  <c r="AC281" i="5"/>
  <c r="AA281" i="5"/>
  <c r="W281" i="5"/>
  <c r="X281" i="5" s="1"/>
  <c r="U281" i="5"/>
  <c r="R281" i="5"/>
  <c r="O281" i="5"/>
  <c r="N281" i="5"/>
  <c r="L281" i="5"/>
  <c r="H281" i="5"/>
  <c r="I281" i="5" s="1"/>
  <c r="F281" i="5"/>
  <c r="C281" i="5"/>
  <c r="AC280" i="5"/>
  <c r="AD280" i="5" s="1"/>
  <c r="AA280" i="5"/>
  <c r="X280" i="5"/>
  <c r="W280" i="5"/>
  <c r="U280" i="5"/>
  <c r="R280" i="5"/>
  <c r="O280" i="5"/>
  <c r="N280" i="5"/>
  <c r="L280" i="5"/>
  <c r="I280" i="5"/>
  <c r="H280" i="5"/>
  <c r="F280" i="5"/>
  <c r="C280" i="5"/>
  <c r="AD279" i="5"/>
  <c r="AC279" i="5"/>
  <c r="AA279" i="5"/>
  <c r="X279" i="5"/>
  <c r="W279" i="5"/>
  <c r="U279" i="5"/>
  <c r="R279" i="5"/>
  <c r="N279" i="5"/>
  <c r="O279" i="5" s="1"/>
  <c r="L279" i="5"/>
  <c r="H279" i="5"/>
  <c r="I279" i="5" s="1"/>
  <c r="F279" i="5"/>
  <c r="C279" i="5"/>
  <c r="AC278" i="5"/>
  <c r="AD278" i="5" s="1"/>
  <c r="AA278" i="5"/>
  <c r="X278" i="5"/>
  <c r="W278" i="5"/>
  <c r="U278" i="5"/>
  <c r="R278" i="5"/>
  <c r="O278" i="5"/>
  <c r="N278" i="5"/>
  <c r="L278" i="5"/>
  <c r="I278" i="5"/>
  <c r="H278" i="5"/>
  <c r="F278" i="5"/>
  <c r="C278" i="5"/>
  <c r="AD277" i="5"/>
  <c r="AC277" i="5"/>
  <c r="AA277" i="5"/>
  <c r="X277" i="5"/>
  <c r="W277" i="5"/>
  <c r="U277" i="5"/>
  <c r="R277" i="5"/>
  <c r="O277" i="5"/>
  <c r="N277" i="5"/>
  <c r="L277" i="5"/>
  <c r="H277" i="5"/>
  <c r="I277" i="5" s="1"/>
  <c r="F277" i="5"/>
  <c r="C277" i="5"/>
  <c r="AC276" i="5"/>
  <c r="AD276" i="5" s="1"/>
  <c r="AA276" i="5"/>
  <c r="X276" i="5"/>
  <c r="W276" i="5"/>
  <c r="U276" i="5"/>
  <c r="R276" i="5"/>
  <c r="O276" i="5"/>
  <c r="N276" i="5"/>
  <c r="L276" i="5"/>
  <c r="I276" i="5"/>
  <c r="H276" i="5"/>
  <c r="F276" i="5"/>
  <c r="C276" i="5"/>
  <c r="AC275" i="5"/>
  <c r="AD275" i="5" s="1"/>
  <c r="AA275" i="5"/>
  <c r="X275" i="5"/>
  <c r="W275" i="5"/>
  <c r="U275" i="5"/>
  <c r="R275" i="5"/>
  <c r="N275" i="5"/>
  <c r="O275" i="5" s="1"/>
  <c r="L275" i="5"/>
  <c r="H275" i="5"/>
  <c r="I275" i="5" s="1"/>
  <c r="F275" i="5"/>
  <c r="C275" i="5"/>
  <c r="AA273" i="5"/>
  <c r="Z273" i="5"/>
  <c r="W273" i="5"/>
  <c r="X273" i="5" s="1"/>
  <c r="U273" i="5"/>
  <c r="T273" i="5"/>
  <c r="Q273" i="5"/>
  <c r="R273" i="5" s="1"/>
  <c r="K273" i="5"/>
  <c r="L273" i="5" s="1"/>
  <c r="E273" i="5"/>
  <c r="F273" i="5" s="1"/>
  <c r="B273" i="5"/>
  <c r="H273" i="5" s="1"/>
  <c r="I273" i="5" s="1"/>
  <c r="AC272" i="5"/>
  <c r="AD272" i="5" s="1"/>
  <c r="AA272" i="5"/>
  <c r="X272" i="5"/>
  <c r="W272" i="5"/>
  <c r="U272" i="5"/>
  <c r="R272" i="5"/>
  <c r="O272" i="5"/>
  <c r="N272" i="5"/>
  <c r="L272" i="5"/>
  <c r="I272" i="5"/>
  <c r="H272" i="5"/>
  <c r="F272" i="5"/>
  <c r="C272" i="5"/>
  <c r="AC271" i="5"/>
  <c r="AD271" i="5" s="1"/>
  <c r="AA271" i="5"/>
  <c r="X271" i="5"/>
  <c r="W271" i="5"/>
  <c r="U271" i="5"/>
  <c r="R271" i="5"/>
  <c r="O271" i="5"/>
  <c r="N271" i="5"/>
  <c r="L271" i="5"/>
  <c r="H271" i="5"/>
  <c r="I271" i="5" s="1"/>
  <c r="F271" i="5"/>
  <c r="C271" i="5"/>
  <c r="AC270" i="5"/>
  <c r="AD270" i="5" s="1"/>
  <c r="AA270" i="5"/>
  <c r="X270" i="5"/>
  <c r="W270" i="5"/>
  <c r="U270" i="5"/>
  <c r="R270" i="5"/>
  <c r="O270" i="5"/>
  <c r="N270" i="5"/>
  <c r="L270" i="5"/>
  <c r="H270" i="5"/>
  <c r="I270" i="5" s="1"/>
  <c r="F270" i="5"/>
  <c r="C270" i="5"/>
  <c r="AD269" i="5"/>
  <c r="AC269" i="5"/>
  <c r="AA269" i="5"/>
  <c r="X269" i="5"/>
  <c r="W269" i="5"/>
  <c r="U269" i="5"/>
  <c r="R269" i="5"/>
  <c r="O269" i="5"/>
  <c r="N269" i="5"/>
  <c r="L269" i="5"/>
  <c r="H269" i="5"/>
  <c r="I269" i="5" s="1"/>
  <c r="F269" i="5"/>
  <c r="C269" i="5"/>
  <c r="AA267" i="5"/>
  <c r="Z267" i="5"/>
  <c r="U267" i="5"/>
  <c r="T267" i="5"/>
  <c r="Q267" i="5"/>
  <c r="K267" i="5"/>
  <c r="L267" i="5" s="1"/>
  <c r="E267" i="5"/>
  <c r="F267" i="5" s="1"/>
  <c r="C267" i="5"/>
  <c r="B267" i="5"/>
  <c r="N267" i="5" s="1"/>
  <c r="O267" i="5" s="1"/>
  <c r="AC266" i="5"/>
  <c r="AD266" i="5" s="1"/>
  <c r="AA266" i="5"/>
  <c r="X266" i="5"/>
  <c r="W266" i="5"/>
  <c r="U266" i="5"/>
  <c r="R266" i="5"/>
  <c r="O266" i="5"/>
  <c r="N266" i="5"/>
  <c r="L266" i="5"/>
  <c r="I266" i="5"/>
  <c r="H266" i="5"/>
  <c r="F266" i="5"/>
  <c r="C266" i="5"/>
  <c r="AD265" i="5"/>
  <c r="AC265" i="5"/>
  <c r="AA265" i="5"/>
  <c r="W265" i="5"/>
  <c r="X265" i="5" s="1"/>
  <c r="U265" i="5"/>
  <c r="R265" i="5"/>
  <c r="O265" i="5"/>
  <c r="N265" i="5"/>
  <c r="L265" i="5"/>
  <c r="H265" i="5"/>
  <c r="I265" i="5" s="1"/>
  <c r="F265" i="5"/>
  <c r="C265" i="5"/>
  <c r="AA263" i="5"/>
  <c r="Z263" i="5"/>
  <c r="T263" i="5"/>
  <c r="W263" i="5" s="1"/>
  <c r="X263" i="5" s="1"/>
  <c r="Q263" i="5"/>
  <c r="R263" i="5" s="1"/>
  <c r="K263" i="5"/>
  <c r="L263" i="5" s="1"/>
  <c r="I263" i="5"/>
  <c r="H263" i="5"/>
  <c r="E263" i="5"/>
  <c r="F263" i="5" s="1"/>
  <c r="C263" i="5"/>
  <c r="B263" i="5"/>
  <c r="Z262" i="5"/>
  <c r="U262" i="5"/>
  <c r="T262" i="5"/>
  <c r="Q262" i="5"/>
  <c r="R262" i="5" s="1"/>
  <c r="N262" i="5"/>
  <c r="O262" i="5" s="1"/>
  <c r="K262" i="5"/>
  <c r="L262" i="5" s="1"/>
  <c r="E262" i="5"/>
  <c r="F262" i="5" s="1"/>
  <c r="B262" i="5"/>
  <c r="AC261" i="5"/>
  <c r="AD261" i="5" s="1"/>
  <c r="AA261" i="5"/>
  <c r="X261" i="5"/>
  <c r="W261" i="5"/>
  <c r="U261" i="5"/>
  <c r="R261" i="5"/>
  <c r="O261" i="5"/>
  <c r="N261" i="5"/>
  <c r="L261" i="5"/>
  <c r="I261" i="5"/>
  <c r="H261" i="5"/>
  <c r="F261" i="5"/>
  <c r="C261" i="5"/>
  <c r="AD260" i="5"/>
  <c r="AC260" i="5"/>
  <c r="AA260" i="5"/>
  <c r="X260" i="5"/>
  <c r="W260" i="5"/>
  <c r="U260" i="5"/>
  <c r="R260" i="5"/>
  <c r="N260" i="5"/>
  <c r="O260" i="5" s="1"/>
  <c r="L260" i="5"/>
  <c r="H260" i="5"/>
  <c r="I260" i="5" s="1"/>
  <c r="F260" i="5"/>
  <c r="C260" i="5"/>
  <c r="AC259" i="5"/>
  <c r="AD259" i="5" s="1"/>
  <c r="AA259" i="5"/>
  <c r="X259" i="5"/>
  <c r="W259" i="5"/>
  <c r="U259" i="5"/>
  <c r="R259" i="5"/>
  <c r="O259" i="5"/>
  <c r="N259" i="5"/>
  <c r="L259" i="5"/>
  <c r="I259" i="5"/>
  <c r="H259" i="5"/>
  <c r="F259" i="5"/>
  <c r="C259" i="5"/>
  <c r="AD258" i="5"/>
  <c r="AC258" i="5"/>
  <c r="AA258" i="5"/>
  <c r="W258" i="5"/>
  <c r="X258" i="5" s="1"/>
  <c r="U258" i="5"/>
  <c r="R258" i="5"/>
  <c r="O258" i="5"/>
  <c r="N258" i="5"/>
  <c r="L258" i="5"/>
  <c r="H258" i="5"/>
  <c r="I258" i="5" s="1"/>
  <c r="F258" i="5"/>
  <c r="C258" i="5"/>
  <c r="AC257" i="5"/>
  <c r="AD257" i="5" s="1"/>
  <c r="AA257" i="5"/>
  <c r="X257" i="5"/>
  <c r="W257" i="5"/>
  <c r="U257" i="5"/>
  <c r="R257" i="5"/>
  <c r="O257" i="5"/>
  <c r="N257" i="5"/>
  <c r="L257" i="5"/>
  <c r="I257" i="5"/>
  <c r="H257" i="5"/>
  <c r="F257" i="5"/>
  <c r="C257" i="5"/>
  <c r="AC256" i="5"/>
  <c r="AD256" i="5" s="1"/>
  <c r="AA256" i="5"/>
  <c r="X256" i="5"/>
  <c r="W256" i="5"/>
  <c r="U256" i="5"/>
  <c r="R256" i="5"/>
  <c r="N256" i="5"/>
  <c r="O256" i="5" s="1"/>
  <c r="L256" i="5"/>
  <c r="H256" i="5"/>
  <c r="I256" i="5" s="1"/>
  <c r="F256" i="5"/>
  <c r="C256" i="5"/>
  <c r="AC255" i="5"/>
  <c r="AD255" i="5" s="1"/>
  <c r="AA255" i="5"/>
  <c r="X255" i="5"/>
  <c r="W255" i="5"/>
  <c r="U255" i="5"/>
  <c r="R255" i="5"/>
  <c r="O255" i="5"/>
  <c r="N255" i="5"/>
  <c r="L255" i="5"/>
  <c r="I255" i="5"/>
  <c r="H255" i="5"/>
  <c r="F255" i="5"/>
  <c r="C255" i="5"/>
  <c r="AD254" i="5"/>
  <c r="AC254" i="5"/>
  <c r="AA254" i="5"/>
  <c r="W254" i="5"/>
  <c r="X254" i="5" s="1"/>
  <c r="U254" i="5"/>
  <c r="R254" i="5"/>
  <c r="O254" i="5"/>
  <c r="N254" i="5"/>
  <c r="L254" i="5"/>
  <c r="H254" i="5"/>
  <c r="I254" i="5" s="1"/>
  <c r="F254" i="5"/>
  <c r="C254" i="5"/>
  <c r="AC253" i="5"/>
  <c r="AD253" i="5" s="1"/>
  <c r="AA253" i="5"/>
  <c r="X253" i="5"/>
  <c r="W253" i="5"/>
  <c r="U253" i="5"/>
  <c r="R253" i="5"/>
  <c r="O253" i="5"/>
  <c r="N253" i="5"/>
  <c r="L253" i="5"/>
  <c r="I253" i="5"/>
  <c r="H253" i="5"/>
  <c r="F253" i="5"/>
  <c r="C253" i="5"/>
  <c r="AD252" i="5"/>
  <c r="AC252" i="5"/>
  <c r="AA252" i="5"/>
  <c r="X252" i="5"/>
  <c r="W252" i="5"/>
  <c r="U252" i="5"/>
  <c r="R252" i="5"/>
  <c r="N252" i="5"/>
  <c r="O252" i="5" s="1"/>
  <c r="L252" i="5"/>
  <c r="H252" i="5"/>
  <c r="I252" i="5" s="1"/>
  <c r="F252" i="5"/>
  <c r="C252" i="5"/>
  <c r="AC251" i="5"/>
  <c r="AD251" i="5" s="1"/>
  <c r="AA251" i="5"/>
  <c r="X251" i="5"/>
  <c r="W251" i="5"/>
  <c r="U251" i="5"/>
  <c r="R251" i="5"/>
  <c r="O251" i="5"/>
  <c r="N251" i="5"/>
  <c r="L251" i="5"/>
  <c r="I251" i="5"/>
  <c r="H251" i="5"/>
  <c r="F251" i="5"/>
  <c r="C251" i="5"/>
  <c r="AD250" i="5"/>
  <c r="AC250" i="5"/>
  <c r="AA250" i="5"/>
  <c r="W250" i="5"/>
  <c r="X250" i="5" s="1"/>
  <c r="U250" i="5"/>
  <c r="R250" i="5"/>
  <c r="O250" i="5"/>
  <c r="N250" i="5"/>
  <c r="L250" i="5"/>
  <c r="H250" i="5"/>
  <c r="I250" i="5" s="1"/>
  <c r="F250" i="5"/>
  <c r="C250" i="5"/>
  <c r="AC249" i="5"/>
  <c r="AD249" i="5" s="1"/>
  <c r="AA249" i="5"/>
  <c r="X249" i="5"/>
  <c r="W249" i="5"/>
  <c r="U249" i="5"/>
  <c r="R249" i="5"/>
  <c r="O249" i="5"/>
  <c r="N249" i="5"/>
  <c r="L249" i="5"/>
  <c r="I249" i="5"/>
  <c r="H249" i="5"/>
  <c r="F249" i="5"/>
  <c r="C249" i="5"/>
  <c r="AC248" i="5"/>
  <c r="AD248" i="5" s="1"/>
  <c r="AA248" i="5"/>
  <c r="X248" i="5"/>
  <c r="W248" i="5"/>
  <c r="U248" i="5"/>
  <c r="R248" i="5"/>
  <c r="N248" i="5"/>
  <c r="O248" i="5" s="1"/>
  <c r="L248" i="5"/>
  <c r="H248" i="5"/>
  <c r="I248" i="5" s="1"/>
  <c r="F248" i="5"/>
  <c r="C248" i="5"/>
  <c r="AC247" i="5"/>
  <c r="AD247" i="5" s="1"/>
  <c r="AA247" i="5"/>
  <c r="X247" i="5"/>
  <c r="W247" i="5"/>
  <c r="U247" i="5"/>
  <c r="R247" i="5"/>
  <c r="O247" i="5"/>
  <c r="N247" i="5"/>
  <c r="L247" i="5"/>
  <c r="I247" i="5"/>
  <c r="H247" i="5"/>
  <c r="F247" i="5"/>
  <c r="C247" i="5"/>
  <c r="AD246" i="5"/>
  <c r="AC246" i="5"/>
  <c r="AA246" i="5"/>
  <c r="X246" i="5"/>
  <c r="W246" i="5"/>
  <c r="U246" i="5"/>
  <c r="R246" i="5"/>
  <c r="O246" i="5"/>
  <c r="N246" i="5"/>
  <c r="L246" i="5"/>
  <c r="H246" i="5"/>
  <c r="I246" i="5" s="1"/>
  <c r="F246" i="5"/>
  <c r="C246" i="5"/>
  <c r="AC245" i="5"/>
  <c r="AD245" i="5" s="1"/>
  <c r="AA245" i="5"/>
  <c r="X245" i="5"/>
  <c r="W245" i="5"/>
  <c r="U245" i="5"/>
  <c r="R245" i="5"/>
  <c r="O245" i="5"/>
  <c r="N245" i="5"/>
  <c r="L245" i="5"/>
  <c r="H245" i="5"/>
  <c r="I245" i="5" s="1"/>
  <c r="F245" i="5"/>
  <c r="C245" i="5"/>
  <c r="AC244" i="5"/>
  <c r="AD244" i="5" s="1"/>
  <c r="AA244" i="5"/>
  <c r="X244" i="5"/>
  <c r="W244" i="5"/>
  <c r="U244" i="5"/>
  <c r="R244" i="5"/>
  <c r="O244" i="5"/>
  <c r="N244" i="5"/>
  <c r="L244" i="5"/>
  <c r="H244" i="5"/>
  <c r="I244" i="5" s="1"/>
  <c r="F244" i="5"/>
  <c r="C244" i="5"/>
  <c r="AC243" i="5"/>
  <c r="AD243" i="5" s="1"/>
  <c r="AA243" i="5"/>
  <c r="X243" i="5"/>
  <c r="W243" i="5"/>
  <c r="U243" i="5"/>
  <c r="R243" i="5"/>
  <c r="O243" i="5"/>
  <c r="N243" i="5"/>
  <c r="L243" i="5"/>
  <c r="H243" i="5"/>
  <c r="I243" i="5" s="1"/>
  <c r="F243" i="5"/>
  <c r="C243" i="5"/>
  <c r="AC242" i="5"/>
  <c r="AD242" i="5" s="1"/>
  <c r="AA242" i="5"/>
  <c r="W242" i="5"/>
  <c r="X242" i="5" s="1"/>
  <c r="U242" i="5"/>
  <c r="R242" i="5"/>
  <c r="O242" i="5"/>
  <c r="N242" i="5"/>
  <c r="L242" i="5"/>
  <c r="H242" i="5"/>
  <c r="I242" i="5" s="1"/>
  <c r="F242" i="5"/>
  <c r="C242" i="5"/>
  <c r="AC241" i="5"/>
  <c r="AD241" i="5" s="1"/>
  <c r="AA241" i="5"/>
  <c r="X241" i="5"/>
  <c r="W241" i="5"/>
  <c r="U241" i="5"/>
  <c r="R241" i="5"/>
  <c r="O241" i="5"/>
  <c r="N241" i="5"/>
  <c r="L241" i="5"/>
  <c r="H241" i="5"/>
  <c r="I241" i="5" s="1"/>
  <c r="F241" i="5"/>
  <c r="C241" i="5"/>
  <c r="AD240" i="5"/>
  <c r="AC240" i="5"/>
  <c r="AA240" i="5"/>
  <c r="X240" i="5"/>
  <c r="W240" i="5"/>
  <c r="U240" i="5"/>
  <c r="R240" i="5"/>
  <c r="O240" i="5"/>
  <c r="N240" i="5"/>
  <c r="L240" i="5"/>
  <c r="H240" i="5"/>
  <c r="I240" i="5" s="1"/>
  <c r="F240" i="5"/>
  <c r="C240" i="5"/>
  <c r="AC238" i="5"/>
  <c r="AD238" i="5" s="1"/>
  <c r="AA238" i="5"/>
  <c r="X238" i="5"/>
  <c r="W238" i="5"/>
  <c r="U238" i="5"/>
  <c r="R238" i="5"/>
  <c r="O238" i="5"/>
  <c r="N238" i="5"/>
  <c r="L238" i="5"/>
  <c r="H238" i="5"/>
  <c r="I238" i="5" s="1"/>
  <c r="F238" i="5"/>
  <c r="C238" i="5"/>
  <c r="Z236" i="5"/>
  <c r="AA236" i="5" s="1"/>
  <c r="T236" i="5"/>
  <c r="U236" i="5" s="1"/>
  <c r="Q236" i="5"/>
  <c r="R236" i="5" s="1"/>
  <c r="N236" i="5"/>
  <c r="O236" i="5" s="1"/>
  <c r="L236" i="5"/>
  <c r="K236" i="5"/>
  <c r="E236" i="5"/>
  <c r="F236" i="5" s="1"/>
  <c r="B236" i="5"/>
  <c r="C236" i="5" s="1"/>
  <c r="AD235" i="5"/>
  <c r="AC235" i="5"/>
  <c r="AA235" i="5"/>
  <c r="X235" i="5"/>
  <c r="W235" i="5"/>
  <c r="U235" i="5"/>
  <c r="R235" i="5"/>
  <c r="N235" i="5"/>
  <c r="O235" i="5" s="1"/>
  <c r="L235" i="5"/>
  <c r="H235" i="5"/>
  <c r="I235" i="5" s="1"/>
  <c r="F235" i="5"/>
  <c r="C235" i="5"/>
  <c r="AC234" i="5"/>
  <c r="AD234" i="5" s="1"/>
  <c r="AA234" i="5"/>
  <c r="X234" i="5"/>
  <c r="W234" i="5"/>
  <c r="U234" i="5"/>
  <c r="R234" i="5"/>
  <c r="O234" i="5"/>
  <c r="N234" i="5"/>
  <c r="L234" i="5"/>
  <c r="H234" i="5"/>
  <c r="I234" i="5" s="1"/>
  <c r="F234" i="5"/>
  <c r="C234" i="5"/>
  <c r="AC233" i="5"/>
  <c r="AD233" i="5" s="1"/>
  <c r="AA233" i="5"/>
  <c r="X233" i="5"/>
  <c r="W233" i="5"/>
  <c r="U233" i="5"/>
  <c r="R233" i="5"/>
  <c r="O233" i="5"/>
  <c r="N233" i="5"/>
  <c r="L233" i="5"/>
  <c r="H233" i="5"/>
  <c r="I233" i="5" s="1"/>
  <c r="F233" i="5"/>
  <c r="C233" i="5"/>
  <c r="AC232" i="5"/>
  <c r="AD232" i="5" s="1"/>
  <c r="AA232" i="5"/>
  <c r="X232" i="5"/>
  <c r="W232" i="5"/>
  <c r="U232" i="5"/>
  <c r="R232" i="5"/>
  <c r="O232" i="5"/>
  <c r="N232" i="5"/>
  <c r="L232" i="5"/>
  <c r="H232" i="5"/>
  <c r="I232" i="5" s="1"/>
  <c r="F232" i="5"/>
  <c r="C232" i="5"/>
  <c r="AD231" i="5"/>
  <c r="AC231" i="5"/>
  <c r="AA231" i="5"/>
  <c r="W231" i="5"/>
  <c r="X231" i="5" s="1"/>
  <c r="U231" i="5"/>
  <c r="R231" i="5"/>
  <c r="O231" i="5"/>
  <c r="N231" i="5"/>
  <c r="L231" i="5"/>
  <c r="H231" i="5"/>
  <c r="I231" i="5" s="1"/>
  <c r="F231" i="5"/>
  <c r="C231" i="5"/>
  <c r="AC230" i="5"/>
  <c r="AD230" i="5" s="1"/>
  <c r="AA230" i="5"/>
  <c r="X230" i="5"/>
  <c r="W230" i="5"/>
  <c r="U230" i="5"/>
  <c r="R230" i="5"/>
  <c r="O230" i="5"/>
  <c r="N230" i="5"/>
  <c r="L230" i="5"/>
  <c r="H230" i="5"/>
  <c r="I230" i="5" s="1"/>
  <c r="F230" i="5"/>
  <c r="C230" i="5"/>
  <c r="AC229" i="5"/>
  <c r="AD229" i="5" s="1"/>
  <c r="AA229" i="5"/>
  <c r="X229" i="5"/>
  <c r="W229" i="5"/>
  <c r="U229" i="5"/>
  <c r="R229" i="5"/>
  <c r="O229" i="5"/>
  <c r="N229" i="5"/>
  <c r="L229" i="5"/>
  <c r="H229" i="5"/>
  <c r="I229" i="5" s="1"/>
  <c r="F229" i="5"/>
  <c r="C229" i="5"/>
  <c r="AC227" i="5"/>
  <c r="AD227" i="5" s="1"/>
  <c r="AA227" i="5"/>
  <c r="Z227" i="5"/>
  <c r="T227" i="5"/>
  <c r="U227" i="5" s="1"/>
  <c r="Q227" i="5"/>
  <c r="R227" i="5" s="1"/>
  <c r="N227" i="5"/>
  <c r="O227" i="5" s="1"/>
  <c r="K227" i="5"/>
  <c r="L227" i="5" s="1"/>
  <c r="E227" i="5"/>
  <c r="F227" i="5" s="1"/>
  <c r="B227" i="5"/>
  <c r="H227" i="5" s="1"/>
  <c r="I227" i="5" s="1"/>
  <c r="AC226" i="5"/>
  <c r="AD226" i="5" s="1"/>
  <c r="AA226" i="5"/>
  <c r="X226" i="5"/>
  <c r="W226" i="5"/>
  <c r="U226" i="5"/>
  <c r="R226" i="5"/>
  <c r="O226" i="5"/>
  <c r="N226" i="5"/>
  <c r="L226" i="5"/>
  <c r="I226" i="5"/>
  <c r="H226" i="5"/>
  <c r="F226" i="5"/>
  <c r="C226" i="5"/>
  <c r="AC225" i="5"/>
  <c r="AD225" i="5" s="1"/>
  <c r="AA225" i="5"/>
  <c r="W225" i="5"/>
  <c r="X225" i="5" s="1"/>
  <c r="U225" i="5"/>
  <c r="R225" i="5"/>
  <c r="N225" i="5"/>
  <c r="O225" i="5" s="1"/>
  <c r="L225" i="5"/>
  <c r="H225" i="5"/>
  <c r="I225" i="5" s="1"/>
  <c r="F225" i="5"/>
  <c r="C225" i="5"/>
  <c r="AC224" i="5"/>
  <c r="AD224" i="5" s="1"/>
  <c r="AA224" i="5"/>
  <c r="X224" i="5"/>
  <c r="W224" i="5"/>
  <c r="U224" i="5"/>
  <c r="R224" i="5"/>
  <c r="O224" i="5"/>
  <c r="N224" i="5"/>
  <c r="L224" i="5"/>
  <c r="I224" i="5"/>
  <c r="H224" i="5"/>
  <c r="F224" i="5"/>
  <c r="C224" i="5"/>
  <c r="AD223" i="5"/>
  <c r="AC223" i="5"/>
  <c r="AA223" i="5"/>
  <c r="X223" i="5"/>
  <c r="W223" i="5"/>
  <c r="U223" i="5"/>
  <c r="R223" i="5"/>
  <c r="N223" i="5"/>
  <c r="O223" i="5" s="1"/>
  <c r="L223" i="5"/>
  <c r="H223" i="5"/>
  <c r="I223" i="5" s="1"/>
  <c r="F223" i="5"/>
  <c r="C223" i="5"/>
  <c r="AC222" i="5"/>
  <c r="AD222" i="5" s="1"/>
  <c r="AA222" i="5"/>
  <c r="X222" i="5"/>
  <c r="W222" i="5"/>
  <c r="U222" i="5"/>
  <c r="R222" i="5"/>
  <c r="O222" i="5"/>
  <c r="N222" i="5"/>
  <c r="L222" i="5"/>
  <c r="H222" i="5"/>
  <c r="I222" i="5" s="1"/>
  <c r="F222" i="5"/>
  <c r="C222" i="5"/>
  <c r="AD221" i="5"/>
  <c r="AC221" i="5"/>
  <c r="AA221" i="5"/>
  <c r="W221" i="5"/>
  <c r="X221" i="5" s="1"/>
  <c r="U221" i="5"/>
  <c r="R221" i="5"/>
  <c r="N221" i="5"/>
  <c r="O221" i="5" s="1"/>
  <c r="L221" i="5"/>
  <c r="H221" i="5"/>
  <c r="I221" i="5" s="1"/>
  <c r="F221" i="5"/>
  <c r="C221" i="5"/>
  <c r="AC220" i="5"/>
  <c r="AD220" i="5" s="1"/>
  <c r="AA220" i="5"/>
  <c r="X220" i="5"/>
  <c r="W220" i="5"/>
  <c r="U220" i="5"/>
  <c r="R220" i="5"/>
  <c r="O220" i="5"/>
  <c r="N220" i="5"/>
  <c r="L220" i="5"/>
  <c r="I220" i="5"/>
  <c r="H220" i="5"/>
  <c r="F220" i="5"/>
  <c r="C220" i="5"/>
  <c r="AD219" i="5"/>
  <c r="AC219" i="5"/>
  <c r="AA219" i="5"/>
  <c r="W219" i="5"/>
  <c r="X219" i="5" s="1"/>
  <c r="U219" i="5"/>
  <c r="R219" i="5"/>
  <c r="O219" i="5"/>
  <c r="N219" i="5"/>
  <c r="L219" i="5"/>
  <c r="H219" i="5"/>
  <c r="I219" i="5" s="1"/>
  <c r="F219" i="5"/>
  <c r="C219" i="5"/>
  <c r="AA218" i="5"/>
  <c r="Z218" i="5"/>
  <c r="T218" i="5"/>
  <c r="U218" i="5" s="1"/>
  <c r="Q218" i="5"/>
  <c r="R218" i="5" s="1"/>
  <c r="K218" i="5"/>
  <c r="L218" i="5" s="1"/>
  <c r="E218" i="5"/>
  <c r="F218" i="5" s="1"/>
  <c r="B218" i="5"/>
  <c r="H218" i="5" s="1"/>
  <c r="I218" i="5" s="1"/>
  <c r="AC217" i="5"/>
  <c r="AD217" i="5" s="1"/>
  <c r="AA217" i="5"/>
  <c r="X217" i="5"/>
  <c r="W217" i="5"/>
  <c r="U217" i="5"/>
  <c r="R217" i="5"/>
  <c r="O217" i="5"/>
  <c r="N217" i="5"/>
  <c r="L217" i="5"/>
  <c r="H217" i="5"/>
  <c r="I217" i="5" s="1"/>
  <c r="F217" i="5"/>
  <c r="C217" i="5"/>
  <c r="AC216" i="5"/>
  <c r="AD216" i="5" s="1"/>
  <c r="AA216" i="5"/>
  <c r="X216" i="5"/>
  <c r="W216" i="5"/>
  <c r="U216" i="5"/>
  <c r="R216" i="5"/>
  <c r="O216" i="5"/>
  <c r="N216" i="5"/>
  <c r="L216" i="5"/>
  <c r="H216" i="5"/>
  <c r="I216" i="5" s="1"/>
  <c r="F216" i="5"/>
  <c r="C216" i="5"/>
  <c r="AC215" i="5"/>
  <c r="AD215" i="5" s="1"/>
  <c r="AA215" i="5"/>
  <c r="X215" i="5"/>
  <c r="W215" i="5"/>
  <c r="U215" i="5"/>
  <c r="R215" i="5"/>
  <c r="O215" i="5"/>
  <c r="N215" i="5"/>
  <c r="L215" i="5"/>
  <c r="I215" i="5"/>
  <c r="H215" i="5"/>
  <c r="F215" i="5"/>
  <c r="C215" i="5"/>
  <c r="AC214" i="5"/>
  <c r="AD214" i="5" s="1"/>
  <c r="AA214" i="5"/>
  <c r="X214" i="5"/>
  <c r="W214" i="5"/>
  <c r="U214" i="5"/>
  <c r="R214" i="5"/>
  <c r="N214" i="5"/>
  <c r="O214" i="5" s="1"/>
  <c r="L214" i="5"/>
  <c r="H214" i="5"/>
  <c r="I214" i="5" s="1"/>
  <c r="F214" i="5"/>
  <c r="C214" i="5"/>
  <c r="AC213" i="5"/>
  <c r="AD213" i="5" s="1"/>
  <c r="AA213" i="5"/>
  <c r="X213" i="5"/>
  <c r="W213" i="5"/>
  <c r="U213" i="5"/>
  <c r="R213" i="5"/>
  <c r="O213" i="5"/>
  <c r="N213" i="5"/>
  <c r="L213" i="5"/>
  <c r="H213" i="5"/>
  <c r="I213" i="5" s="1"/>
  <c r="F213" i="5"/>
  <c r="C213" i="5"/>
  <c r="AC211" i="5"/>
  <c r="AD211" i="5" s="1"/>
  <c r="AA211" i="5"/>
  <c r="X211" i="5"/>
  <c r="W211" i="5"/>
  <c r="U211" i="5"/>
  <c r="R211" i="5"/>
  <c r="O211" i="5"/>
  <c r="N211" i="5"/>
  <c r="L211" i="5"/>
  <c r="H211" i="5"/>
  <c r="I211" i="5" s="1"/>
  <c r="F211" i="5"/>
  <c r="C211" i="5"/>
  <c r="Z209" i="5"/>
  <c r="AC209" i="5" s="1"/>
  <c r="AD209" i="5" s="1"/>
  <c r="W209" i="5"/>
  <c r="X209" i="5" s="1"/>
  <c r="U209" i="5"/>
  <c r="T209" i="5"/>
  <c r="Q209" i="5"/>
  <c r="R209" i="5" s="1"/>
  <c r="K209" i="5"/>
  <c r="L209" i="5" s="1"/>
  <c r="E209" i="5"/>
  <c r="C209" i="5"/>
  <c r="B209" i="5"/>
  <c r="AC208" i="5"/>
  <c r="AD208" i="5" s="1"/>
  <c r="AA208" i="5"/>
  <c r="X208" i="5"/>
  <c r="W208" i="5"/>
  <c r="U208" i="5"/>
  <c r="R208" i="5"/>
  <c r="O208" i="5"/>
  <c r="N208" i="5"/>
  <c r="L208" i="5"/>
  <c r="H208" i="5"/>
  <c r="I208" i="5" s="1"/>
  <c r="F208" i="5"/>
  <c r="C208" i="5"/>
  <c r="AD207" i="5"/>
  <c r="AC207" i="5"/>
  <c r="AA207" i="5"/>
  <c r="W207" i="5"/>
  <c r="X207" i="5" s="1"/>
  <c r="U207" i="5"/>
  <c r="R207" i="5"/>
  <c r="N207" i="5"/>
  <c r="O207" i="5" s="1"/>
  <c r="L207" i="5"/>
  <c r="H207" i="5"/>
  <c r="I207" i="5" s="1"/>
  <c r="F207" i="5"/>
  <c r="C207" i="5"/>
  <c r="AC206" i="5"/>
  <c r="AD206" i="5" s="1"/>
  <c r="AA206" i="5"/>
  <c r="X206" i="5"/>
  <c r="W206" i="5"/>
  <c r="U206" i="5"/>
  <c r="R206" i="5"/>
  <c r="O206" i="5"/>
  <c r="N206" i="5"/>
  <c r="L206" i="5"/>
  <c r="I206" i="5"/>
  <c r="H206" i="5"/>
  <c r="F206" i="5"/>
  <c r="C206" i="5"/>
  <c r="AD205" i="5"/>
  <c r="AC205" i="5"/>
  <c r="AA205" i="5"/>
  <c r="W205" i="5"/>
  <c r="X205" i="5" s="1"/>
  <c r="U205" i="5"/>
  <c r="R205" i="5"/>
  <c r="O205" i="5"/>
  <c r="N205" i="5"/>
  <c r="L205" i="5"/>
  <c r="H205" i="5"/>
  <c r="I205" i="5" s="1"/>
  <c r="F205" i="5"/>
  <c r="C205" i="5"/>
  <c r="AC204" i="5"/>
  <c r="AD204" i="5" s="1"/>
  <c r="AA204" i="5"/>
  <c r="X204" i="5"/>
  <c r="W204" i="5"/>
  <c r="U204" i="5"/>
  <c r="R204" i="5"/>
  <c r="O204" i="5"/>
  <c r="N204" i="5"/>
  <c r="L204" i="5"/>
  <c r="I204" i="5"/>
  <c r="H204" i="5"/>
  <c r="F204" i="5"/>
  <c r="C204" i="5"/>
  <c r="AC203" i="5"/>
  <c r="AD203" i="5" s="1"/>
  <c r="AA203" i="5"/>
  <c r="W203" i="5"/>
  <c r="X203" i="5" s="1"/>
  <c r="U203" i="5"/>
  <c r="R203" i="5"/>
  <c r="N203" i="5"/>
  <c r="O203" i="5" s="1"/>
  <c r="L203" i="5"/>
  <c r="H203" i="5"/>
  <c r="I203" i="5" s="1"/>
  <c r="F203" i="5"/>
  <c r="C203" i="5"/>
  <c r="AC202" i="5"/>
  <c r="AD202" i="5" s="1"/>
  <c r="AA202" i="5"/>
  <c r="X202" i="5"/>
  <c r="W202" i="5"/>
  <c r="U202" i="5"/>
  <c r="R202" i="5"/>
  <c r="O202" i="5"/>
  <c r="N202" i="5"/>
  <c r="L202" i="5"/>
  <c r="I202" i="5"/>
  <c r="H202" i="5"/>
  <c r="F202" i="5"/>
  <c r="C202" i="5"/>
  <c r="AD201" i="5"/>
  <c r="AC201" i="5"/>
  <c r="AA201" i="5"/>
  <c r="X201" i="5"/>
  <c r="W201" i="5"/>
  <c r="U201" i="5"/>
  <c r="R201" i="5"/>
  <c r="N201" i="5"/>
  <c r="O201" i="5" s="1"/>
  <c r="L201" i="5"/>
  <c r="H201" i="5"/>
  <c r="I201" i="5" s="1"/>
  <c r="F201" i="5"/>
  <c r="C201" i="5"/>
  <c r="Z197" i="5"/>
  <c r="AA197" i="5" s="1"/>
  <c r="U197" i="5"/>
  <c r="T197" i="5"/>
  <c r="Q197" i="5"/>
  <c r="K197" i="5"/>
  <c r="L197" i="5" s="1"/>
  <c r="E197" i="5"/>
  <c r="F197" i="5" s="1"/>
  <c r="B197" i="5"/>
  <c r="AA196" i="5"/>
  <c r="Z196" i="5"/>
  <c r="T196" i="5"/>
  <c r="U196" i="5" s="1"/>
  <c r="Q196" i="5"/>
  <c r="K196" i="5"/>
  <c r="L196" i="5" s="1"/>
  <c r="H196" i="5"/>
  <c r="I196" i="5" s="1"/>
  <c r="F196" i="5"/>
  <c r="E196" i="5"/>
  <c r="C196" i="5"/>
  <c r="B196" i="5"/>
  <c r="N196" i="5" s="1"/>
  <c r="O196" i="5" s="1"/>
  <c r="AD195" i="5"/>
  <c r="AC195" i="5"/>
  <c r="AA195" i="5"/>
  <c r="W195" i="5"/>
  <c r="X195" i="5" s="1"/>
  <c r="U195" i="5"/>
  <c r="R195" i="5"/>
  <c r="O195" i="5"/>
  <c r="N195" i="5"/>
  <c r="L195" i="5"/>
  <c r="H195" i="5"/>
  <c r="I195" i="5" s="1"/>
  <c r="F195" i="5"/>
  <c r="C195" i="5"/>
  <c r="AD194" i="5"/>
  <c r="AC194" i="5"/>
  <c r="AA194" i="5"/>
  <c r="W194" i="5"/>
  <c r="X194" i="5" s="1"/>
  <c r="U194" i="5"/>
  <c r="R194" i="5"/>
  <c r="N194" i="5"/>
  <c r="O194" i="5" s="1"/>
  <c r="L194" i="5"/>
  <c r="I194" i="5"/>
  <c r="H194" i="5"/>
  <c r="F194" i="5"/>
  <c r="C194" i="5"/>
  <c r="AA193" i="5"/>
  <c r="Z193" i="5"/>
  <c r="T193" i="5"/>
  <c r="U193" i="5" s="1"/>
  <c r="R193" i="5"/>
  <c r="Q193" i="5"/>
  <c r="W193" i="5" s="1"/>
  <c r="X193" i="5" s="1"/>
  <c r="L193" i="5"/>
  <c r="K193" i="5"/>
  <c r="H193" i="5"/>
  <c r="I193" i="5" s="1"/>
  <c r="F193" i="5"/>
  <c r="E193" i="5"/>
  <c r="C193" i="5"/>
  <c r="B193" i="5"/>
  <c r="N193" i="5" s="1"/>
  <c r="O193" i="5" s="1"/>
  <c r="AD192" i="5"/>
  <c r="AC192" i="5"/>
  <c r="AA192" i="5"/>
  <c r="W192" i="5"/>
  <c r="X192" i="5" s="1"/>
  <c r="U192" i="5"/>
  <c r="R192" i="5"/>
  <c r="O192" i="5"/>
  <c r="N192" i="5"/>
  <c r="L192" i="5"/>
  <c r="H192" i="5"/>
  <c r="I192" i="5" s="1"/>
  <c r="F192" i="5"/>
  <c r="C192" i="5"/>
  <c r="AD191" i="5"/>
  <c r="AC191" i="5"/>
  <c r="AA191" i="5"/>
  <c r="W191" i="5"/>
  <c r="X191" i="5" s="1"/>
  <c r="U191" i="5"/>
  <c r="R191" i="5"/>
  <c r="N191" i="5"/>
  <c r="O191" i="5" s="1"/>
  <c r="L191" i="5"/>
  <c r="I191" i="5"/>
  <c r="H191" i="5"/>
  <c r="F191" i="5"/>
  <c r="C191" i="5"/>
  <c r="AD190" i="5"/>
  <c r="AC190" i="5"/>
  <c r="AA190" i="5"/>
  <c r="X190" i="5"/>
  <c r="W190" i="5"/>
  <c r="U190" i="5"/>
  <c r="R190" i="5"/>
  <c r="N190" i="5"/>
  <c r="O190" i="5" s="1"/>
  <c r="L190" i="5"/>
  <c r="I190" i="5"/>
  <c r="H190" i="5"/>
  <c r="F190" i="5"/>
  <c r="C190" i="5"/>
  <c r="AC189" i="5"/>
  <c r="AD189" i="5" s="1"/>
  <c r="AA189" i="5"/>
  <c r="W189" i="5"/>
  <c r="X189" i="5" s="1"/>
  <c r="U189" i="5"/>
  <c r="R189" i="5"/>
  <c r="N189" i="5"/>
  <c r="O189" i="5" s="1"/>
  <c r="L189" i="5"/>
  <c r="I189" i="5"/>
  <c r="H189" i="5"/>
  <c r="F189" i="5"/>
  <c r="C189" i="5"/>
  <c r="AD188" i="5"/>
  <c r="AC188" i="5"/>
  <c r="AA188" i="5"/>
  <c r="W188" i="5"/>
  <c r="X188" i="5" s="1"/>
  <c r="U188" i="5"/>
  <c r="R188" i="5"/>
  <c r="O188" i="5"/>
  <c r="N188" i="5"/>
  <c r="L188" i="5"/>
  <c r="H188" i="5"/>
  <c r="I188" i="5" s="1"/>
  <c r="F188" i="5"/>
  <c r="C188" i="5"/>
  <c r="AD187" i="5"/>
  <c r="AC187" i="5"/>
  <c r="AA187" i="5"/>
  <c r="W187" i="5"/>
  <c r="X187" i="5" s="1"/>
  <c r="U187" i="5"/>
  <c r="R187" i="5"/>
  <c r="N187" i="5"/>
  <c r="O187" i="5" s="1"/>
  <c r="L187" i="5"/>
  <c r="I187" i="5"/>
  <c r="H187" i="5"/>
  <c r="F187" i="5"/>
  <c r="C187" i="5"/>
  <c r="AD186" i="5"/>
  <c r="AC186" i="5"/>
  <c r="AA186" i="5"/>
  <c r="X186" i="5"/>
  <c r="W186" i="5"/>
  <c r="U186" i="5"/>
  <c r="R186" i="5"/>
  <c r="N186" i="5"/>
  <c r="O186" i="5" s="1"/>
  <c r="L186" i="5"/>
  <c r="I186" i="5"/>
  <c r="H186" i="5"/>
  <c r="F186" i="5"/>
  <c r="C186" i="5"/>
  <c r="AC184" i="5"/>
  <c r="AD184" i="5" s="1"/>
  <c r="AA184" i="5"/>
  <c r="W184" i="5"/>
  <c r="X184" i="5" s="1"/>
  <c r="U184" i="5"/>
  <c r="R184" i="5"/>
  <c r="N184" i="5"/>
  <c r="O184" i="5" s="1"/>
  <c r="L184" i="5"/>
  <c r="I184" i="5"/>
  <c r="H184" i="5"/>
  <c r="F184" i="5"/>
  <c r="C184" i="5"/>
  <c r="AD183" i="5"/>
  <c r="AC183" i="5"/>
  <c r="AA183" i="5"/>
  <c r="W183" i="5"/>
  <c r="X183" i="5" s="1"/>
  <c r="U183" i="5"/>
  <c r="R183" i="5"/>
  <c r="O183" i="5"/>
  <c r="N183" i="5"/>
  <c r="L183" i="5"/>
  <c r="H183" i="5"/>
  <c r="I183" i="5" s="1"/>
  <c r="F183" i="5"/>
  <c r="C183" i="5"/>
  <c r="AA182" i="5"/>
  <c r="Z182" i="5"/>
  <c r="W182" i="5"/>
  <c r="X182" i="5" s="1"/>
  <c r="U182" i="5"/>
  <c r="T182" i="5"/>
  <c r="R182" i="5"/>
  <c r="Q182" i="5"/>
  <c r="AC182" i="5" s="1"/>
  <c r="AD182" i="5" s="1"/>
  <c r="K182" i="5"/>
  <c r="L182" i="5" s="1"/>
  <c r="F182" i="5"/>
  <c r="E182" i="5"/>
  <c r="H182" i="5" s="1"/>
  <c r="I182" i="5" s="1"/>
  <c r="C182" i="5"/>
  <c r="B182" i="5"/>
  <c r="N182" i="5" s="1"/>
  <c r="O182" i="5" s="1"/>
  <c r="AC181" i="5"/>
  <c r="AD181" i="5" s="1"/>
  <c r="AA181" i="5"/>
  <c r="W181" i="5"/>
  <c r="X181" i="5" s="1"/>
  <c r="U181" i="5"/>
  <c r="R181" i="5"/>
  <c r="N181" i="5"/>
  <c r="O181" i="5" s="1"/>
  <c r="L181" i="5"/>
  <c r="I181" i="5"/>
  <c r="H181" i="5"/>
  <c r="F181" i="5"/>
  <c r="C181" i="5"/>
  <c r="AD180" i="5"/>
  <c r="AC180" i="5"/>
  <c r="AA180" i="5"/>
  <c r="W180" i="5"/>
  <c r="X180" i="5" s="1"/>
  <c r="U180" i="5"/>
  <c r="R180" i="5"/>
  <c r="O180" i="5"/>
  <c r="N180" i="5"/>
  <c r="L180" i="5"/>
  <c r="H180" i="5"/>
  <c r="I180" i="5" s="1"/>
  <c r="F180" i="5"/>
  <c r="C180" i="5"/>
  <c r="AD179" i="5"/>
  <c r="AC179" i="5"/>
  <c r="AA179" i="5"/>
  <c r="W179" i="5"/>
  <c r="X179" i="5" s="1"/>
  <c r="U179" i="5"/>
  <c r="R179" i="5"/>
  <c r="N179" i="5"/>
  <c r="O179" i="5" s="1"/>
  <c r="L179" i="5"/>
  <c r="I179" i="5"/>
  <c r="H179" i="5"/>
  <c r="F179" i="5"/>
  <c r="C179" i="5"/>
  <c r="AD178" i="5"/>
  <c r="AC178" i="5"/>
  <c r="AA178" i="5"/>
  <c r="X178" i="5"/>
  <c r="W178" i="5"/>
  <c r="U178" i="5"/>
  <c r="R178" i="5"/>
  <c r="N178" i="5"/>
  <c r="O178" i="5" s="1"/>
  <c r="L178" i="5"/>
  <c r="I178" i="5"/>
  <c r="H178" i="5"/>
  <c r="F178" i="5"/>
  <c r="C178" i="5"/>
  <c r="AC177" i="5"/>
  <c r="AD177" i="5" s="1"/>
  <c r="AA177" i="5"/>
  <c r="W177" i="5"/>
  <c r="X177" i="5" s="1"/>
  <c r="U177" i="5"/>
  <c r="R177" i="5"/>
  <c r="N177" i="5"/>
  <c r="O177" i="5" s="1"/>
  <c r="L177" i="5"/>
  <c r="I177" i="5"/>
  <c r="H177" i="5"/>
  <c r="F177" i="5"/>
  <c r="C177" i="5"/>
  <c r="AD175" i="5"/>
  <c r="AC175" i="5"/>
  <c r="AA175" i="5"/>
  <c r="W175" i="5"/>
  <c r="X175" i="5" s="1"/>
  <c r="U175" i="5"/>
  <c r="R175" i="5"/>
  <c r="O175" i="5"/>
  <c r="N175" i="5"/>
  <c r="L175" i="5"/>
  <c r="H175" i="5"/>
  <c r="I175" i="5" s="1"/>
  <c r="F175" i="5"/>
  <c r="C175" i="5"/>
  <c r="K172" i="5"/>
  <c r="K198" i="5" s="1"/>
  <c r="F172" i="5"/>
  <c r="AA171" i="5"/>
  <c r="Z171" i="5"/>
  <c r="X171" i="5"/>
  <c r="U171" i="5"/>
  <c r="T171" i="5"/>
  <c r="Q171" i="5"/>
  <c r="W171" i="5" s="1"/>
  <c r="L171" i="5"/>
  <c r="K171" i="5"/>
  <c r="E171" i="5"/>
  <c r="F171" i="5" s="1"/>
  <c r="C171" i="5"/>
  <c r="B171" i="5"/>
  <c r="H171" i="5" s="1"/>
  <c r="I171" i="5" s="1"/>
  <c r="AA170" i="5"/>
  <c r="Z170" i="5"/>
  <c r="W170" i="5"/>
  <c r="X170" i="5" s="1"/>
  <c r="U170" i="5"/>
  <c r="T170" i="5"/>
  <c r="R170" i="5"/>
  <c r="Q170" i="5"/>
  <c r="AC170" i="5" s="1"/>
  <c r="AD170" i="5" s="1"/>
  <c r="K170" i="5"/>
  <c r="L170" i="5" s="1"/>
  <c r="I170" i="5"/>
  <c r="H170" i="5"/>
  <c r="F170" i="5"/>
  <c r="E170" i="5"/>
  <c r="C170" i="5"/>
  <c r="B170" i="5"/>
  <c r="N170" i="5" s="1"/>
  <c r="O170" i="5" s="1"/>
  <c r="AC169" i="5"/>
  <c r="AD169" i="5" s="1"/>
  <c r="AA169" i="5"/>
  <c r="W169" i="5"/>
  <c r="X169" i="5" s="1"/>
  <c r="U169" i="5"/>
  <c r="R169" i="5"/>
  <c r="N169" i="5"/>
  <c r="O169" i="5" s="1"/>
  <c r="L169" i="5"/>
  <c r="I169" i="5"/>
  <c r="H169" i="5"/>
  <c r="F169" i="5"/>
  <c r="C169" i="5"/>
  <c r="AD168" i="5"/>
  <c r="AC168" i="5"/>
  <c r="AA168" i="5"/>
  <c r="X168" i="5"/>
  <c r="W168" i="5"/>
  <c r="U168" i="5"/>
  <c r="R168" i="5"/>
  <c r="O168" i="5"/>
  <c r="N168" i="5"/>
  <c r="L168" i="5"/>
  <c r="H168" i="5"/>
  <c r="I168" i="5" s="1"/>
  <c r="F168" i="5"/>
  <c r="C168" i="5"/>
  <c r="AD167" i="5"/>
  <c r="AC167" i="5"/>
  <c r="AA167" i="5"/>
  <c r="W167" i="5"/>
  <c r="X167" i="5" s="1"/>
  <c r="U167" i="5"/>
  <c r="R167" i="5"/>
  <c r="N167" i="5"/>
  <c r="O167" i="5" s="1"/>
  <c r="L167" i="5"/>
  <c r="I167" i="5"/>
  <c r="H167" i="5"/>
  <c r="F167" i="5"/>
  <c r="C167" i="5"/>
  <c r="AA166" i="5"/>
  <c r="Z166" i="5"/>
  <c r="T166" i="5"/>
  <c r="U166" i="5" s="1"/>
  <c r="R166" i="5"/>
  <c r="Q166" i="5"/>
  <c r="W166" i="5" s="1"/>
  <c r="X166" i="5" s="1"/>
  <c r="L166" i="5"/>
  <c r="K166" i="5"/>
  <c r="H166" i="5"/>
  <c r="I166" i="5" s="1"/>
  <c r="F166" i="5"/>
  <c r="E166" i="5"/>
  <c r="C166" i="5"/>
  <c r="B166" i="5"/>
  <c r="N166" i="5" s="1"/>
  <c r="O166" i="5" s="1"/>
  <c r="AD165" i="5"/>
  <c r="AC165" i="5"/>
  <c r="AA165" i="5"/>
  <c r="X165" i="5"/>
  <c r="W165" i="5"/>
  <c r="U165" i="5"/>
  <c r="R165" i="5"/>
  <c r="O165" i="5"/>
  <c r="N165" i="5"/>
  <c r="L165" i="5"/>
  <c r="H165" i="5"/>
  <c r="I165" i="5" s="1"/>
  <c r="F165" i="5"/>
  <c r="C165" i="5"/>
  <c r="AD164" i="5"/>
  <c r="AC164" i="5"/>
  <c r="AA164" i="5"/>
  <c r="W164" i="5"/>
  <c r="X164" i="5" s="1"/>
  <c r="U164" i="5"/>
  <c r="R164" i="5"/>
  <c r="N164" i="5"/>
  <c r="O164" i="5" s="1"/>
  <c r="L164" i="5"/>
  <c r="I164" i="5"/>
  <c r="H164" i="5"/>
  <c r="F164" i="5"/>
  <c r="C164" i="5"/>
  <c r="AD163" i="5"/>
  <c r="AC163" i="5"/>
  <c r="AA163" i="5"/>
  <c r="X163" i="5"/>
  <c r="W163" i="5"/>
  <c r="U163" i="5"/>
  <c r="R163" i="5"/>
  <c r="O163" i="5"/>
  <c r="N163" i="5"/>
  <c r="L163" i="5"/>
  <c r="I163" i="5"/>
  <c r="H163" i="5"/>
  <c r="F163" i="5"/>
  <c r="C163" i="5"/>
  <c r="AC162" i="5"/>
  <c r="AD162" i="5" s="1"/>
  <c r="AA162" i="5"/>
  <c r="W162" i="5"/>
  <c r="X162" i="5" s="1"/>
  <c r="U162" i="5"/>
  <c r="R162" i="5"/>
  <c r="N162" i="5"/>
  <c r="O162" i="5" s="1"/>
  <c r="L162" i="5"/>
  <c r="I162" i="5"/>
  <c r="H162" i="5"/>
  <c r="F162" i="5"/>
  <c r="C162" i="5"/>
  <c r="AD161" i="5"/>
  <c r="AC161" i="5"/>
  <c r="AA161" i="5"/>
  <c r="X161" i="5"/>
  <c r="W161" i="5"/>
  <c r="U161" i="5"/>
  <c r="R161" i="5"/>
  <c r="O161" i="5"/>
  <c r="N161" i="5"/>
  <c r="L161" i="5"/>
  <c r="H161" i="5"/>
  <c r="I161" i="5" s="1"/>
  <c r="F161" i="5"/>
  <c r="C161" i="5"/>
  <c r="AD160" i="5"/>
  <c r="AC160" i="5"/>
  <c r="AA160" i="5"/>
  <c r="W160" i="5"/>
  <c r="X160" i="5" s="1"/>
  <c r="U160" i="5"/>
  <c r="R160" i="5"/>
  <c r="N160" i="5"/>
  <c r="O160" i="5" s="1"/>
  <c r="L160" i="5"/>
  <c r="I160" i="5"/>
  <c r="H160" i="5"/>
  <c r="F160" i="5"/>
  <c r="C160" i="5"/>
  <c r="AA158" i="5"/>
  <c r="Z158" i="5"/>
  <c r="T158" i="5"/>
  <c r="U158" i="5" s="1"/>
  <c r="R158" i="5"/>
  <c r="Q158" i="5"/>
  <c r="W158" i="5" s="1"/>
  <c r="X158" i="5" s="1"/>
  <c r="L158" i="5"/>
  <c r="K158" i="5"/>
  <c r="H158" i="5"/>
  <c r="I158" i="5" s="1"/>
  <c r="F158" i="5"/>
  <c r="E158" i="5"/>
  <c r="C158" i="5"/>
  <c r="B158" i="5"/>
  <c r="N158" i="5" s="1"/>
  <c r="O158" i="5" s="1"/>
  <c r="AD157" i="5"/>
  <c r="AC157" i="5"/>
  <c r="AA157" i="5"/>
  <c r="X157" i="5"/>
  <c r="W157" i="5"/>
  <c r="U157" i="5"/>
  <c r="R157" i="5"/>
  <c r="O157" i="5"/>
  <c r="N157" i="5"/>
  <c r="L157" i="5"/>
  <c r="H157" i="5"/>
  <c r="I157" i="5" s="1"/>
  <c r="F157" i="5"/>
  <c r="C157" i="5"/>
  <c r="AD156" i="5"/>
  <c r="AC156" i="5"/>
  <c r="AA156" i="5"/>
  <c r="W156" i="5"/>
  <c r="X156" i="5" s="1"/>
  <c r="U156" i="5"/>
  <c r="R156" i="5"/>
  <c r="N156" i="5"/>
  <c r="O156" i="5" s="1"/>
  <c r="L156" i="5"/>
  <c r="I156" i="5"/>
  <c r="H156" i="5"/>
  <c r="F156" i="5"/>
  <c r="C156" i="5"/>
  <c r="AD155" i="5"/>
  <c r="AC155" i="5"/>
  <c r="AA155" i="5"/>
  <c r="X155" i="5"/>
  <c r="W155" i="5"/>
  <c r="U155" i="5"/>
  <c r="R155" i="5"/>
  <c r="O155" i="5"/>
  <c r="N155" i="5"/>
  <c r="L155" i="5"/>
  <c r="I155" i="5"/>
  <c r="H155" i="5"/>
  <c r="F155" i="5"/>
  <c r="C155" i="5"/>
  <c r="AC154" i="5"/>
  <c r="AD154" i="5" s="1"/>
  <c r="AA154" i="5"/>
  <c r="W154" i="5"/>
  <c r="X154" i="5" s="1"/>
  <c r="U154" i="5"/>
  <c r="R154" i="5"/>
  <c r="N154" i="5"/>
  <c r="O154" i="5" s="1"/>
  <c r="L154" i="5"/>
  <c r="I154" i="5"/>
  <c r="H154" i="5"/>
  <c r="F154" i="5"/>
  <c r="C154" i="5"/>
  <c r="AD153" i="5"/>
  <c r="AC153" i="5"/>
  <c r="AA153" i="5"/>
  <c r="X153" i="5"/>
  <c r="W153" i="5"/>
  <c r="U153" i="5"/>
  <c r="R153" i="5"/>
  <c r="O153" i="5"/>
  <c r="N153" i="5"/>
  <c r="L153" i="5"/>
  <c r="H153" i="5"/>
  <c r="I153" i="5" s="1"/>
  <c r="F153" i="5"/>
  <c r="C153" i="5"/>
  <c r="AD151" i="5"/>
  <c r="AC151" i="5"/>
  <c r="AA151" i="5"/>
  <c r="W151" i="5"/>
  <c r="X151" i="5" s="1"/>
  <c r="U151" i="5"/>
  <c r="R151" i="5"/>
  <c r="N151" i="5"/>
  <c r="O151" i="5" s="1"/>
  <c r="L151" i="5"/>
  <c r="I151" i="5"/>
  <c r="H151" i="5"/>
  <c r="F151" i="5"/>
  <c r="C151" i="5"/>
  <c r="AA149" i="5"/>
  <c r="Z149" i="5"/>
  <c r="T149" i="5"/>
  <c r="U149" i="5" s="1"/>
  <c r="R149" i="5"/>
  <c r="Q149" i="5"/>
  <c r="W149" i="5" s="1"/>
  <c r="X149" i="5" s="1"/>
  <c r="L149" i="5"/>
  <c r="K149" i="5"/>
  <c r="H149" i="5"/>
  <c r="I149" i="5" s="1"/>
  <c r="F149" i="5"/>
  <c r="E149" i="5"/>
  <c r="C149" i="5"/>
  <c r="B149" i="5"/>
  <c r="N149" i="5" s="1"/>
  <c r="O149" i="5" s="1"/>
  <c r="Z148" i="5"/>
  <c r="AA148" i="5" s="1"/>
  <c r="U148" i="5"/>
  <c r="T148" i="5"/>
  <c r="W148" i="5" s="1"/>
  <c r="X148" i="5" s="1"/>
  <c r="R148" i="5"/>
  <c r="Q148" i="5"/>
  <c r="AC148" i="5" s="1"/>
  <c r="AD148" i="5" s="1"/>
  <c r="L148" i="5"/>
  <c r="K148" i="5"/>
  <c r="I148" i="5"/>
  <c r="F148" i="5"/>
  <c r="E148" i="5"/>
  <c r="B148" i="5"/>
  <c r="H148" i="5" s="1"/>
  <c r="AD147" i="5"/>
  <c r="AC147" i="5"/>
  <c r="AA147" i="5"/>
  <c r="X147" i="5"/>
  <c r="W147" i="5"/>
  <c r="U147" i="5"/>
  <c r="R147" i="5"/>
  <c r="O147" i="5"/>
  <c r="N147" i="5"/>
  <c r="L147" i="5"/>
  <c r="I147" i="5"/>
  <c r="H147" i="5"/>
  <c r="F147" i="5"/>
  <c r="C147" i="5"/>
  <c r="AC146" i="5"/>
  <c r="AD146" i="5" s="1"/>
  <c r="AA146" i="5"/>
  <c r="W146" i="5"/>
  <c r="X146" i="5" s="1"/>
  <c r="U146" i="5"/>
  <c r="R146" i="5"/>
  <c r="N146" i="5"/>
  <c r="O146" i="5" s="1"/>
  <c r="L146" i="5"/>
  <c r="I146" i="5"/>
  <c r="H146" i="5"/>
  <c r="F146" i="5"/>
  <c r="C146" i="5"/>
  <c r="AD145" i="5"/>
  <c r="AC145" i="5"/>
  <c r="AA145" i="5"/>
  <c r="X145" i="5"/>
  <c r="W145" i="5"/>
  <c r="U145" i="5"/>
  <c r="R145" i="5"/>
  <c r="O145" i="5"/>
  <c r="N145" i="5"/>
  <c r="L145" i="5"/>
  <c r="H145" i="5"/>
  <c r="I145" i="5" s="1"/>
  <c r="F145" i="5"/>
  <c r="C145" i="5"/>
  <c r="AD144" i="5"/>
  <c r="AC144" i="5"/>
  <c r="AA144" i="5"/>
  <c r="W144" i="5"/>
  <c r="X144" i="5" s="1"/>
  <c r="U144" i="5"/>
  <c r="R144" i="5"/>
  <c r="N144" i="5"/>
  <c r="O144" i="5" s="1"/>
  <c r="L144" i="5"/>
  <c r="I144" i="5"/>
  <c r="H144" i="5"/>
  <c r="F144" i="5"/>
  <c r="C144" i="5"/>
  <c r="AD143" i="5"/>
  <c r="AC143" i="5"/>
  <c r="AA143" i="5"/>
  <c r="X143" i="5"/>
  <c r="W143" i="5"/>
  <c r="U143" i="5"/>
  <c r="R143" i="5"/>
  <c r="O143" i="5"/>
  <c r="N143" i="5"/>
  <c r="L143" i="5"/>
  <c r="I143" i="5"/>
  <c r="H143" i="5"/>
  <c r="F143" i="5"/>
  <c r="C143" i="5"/>
  <c r="AA141" i="5"/>
  <c r="Z141" i="5"/>
  <c r="X141" i="5"/>
  <c r="U141" i="5"/>
  <c r="T141" i="5"/>
  <c r="Q141" i="5"/>
  <c r="W141" i="5" s="1"/>
  <c r="L141" i="5"/>
  <c r="K141" i="5"/>
  <c r="E141" i="5"/>
  <c r="F141" i="5" s="1"/>
  <c r="C141" i="5"/>
  <c r="B141" i="5"/>
  <c r="H141" i="5" s="1"/>
  <c r="I141" i="5" s="1"/>
  <c r="AD140" i="5"/>
  <c r="AC140" i="5"/>
  <c r="AA140" i="5"/>
  <c r="W140" i="5"/>
  <c r="X140" i="5" s="1"/>
  <c r="U140" i="5"/>
  <c r="R140" i="5"/>
  <c r="N140" i="5"/>
  <c r="O140" i="5" s="1"/>
  <c r="L140" i="5"/>
  <c r="I140" i="5"/>
  <c r="H140" i="5"/>
  <c r="F140" i="5"/>
  <c r="C140" i="5"/>
  <c r="AD139" i="5"/>
  <c r="AC139" i="5"/>
  <c r="AA139" i="5"/>
  <c r="X139" i="5"/>
  <c r="W139" i="5"/>
  <c r="U139" i="5"/>
  <c r="R139" i="5"/>
  <c r="O139" i="5"/>
  <c r="N139" i="5"/>
  <c r="L139" i="5"/>
  <c r="I139" i="5"/>
  <c r="H139" i="5"/>
  <c r="F139" i="5"/>
  <c r="C139" i="5"/>
  <c r="AC138" i="5"/>
  <c r="AD138" i="5" s="1"/>
  <c r="AA138" i="5"/>
  <c r="W138" i="5"/>
  <c r="X138" i="5" s="1"/>
  <c r="U138" i="5"/>
  <c r="R138" i="5"/>
  <c r="N138" i="5"/>
  <c r="O138" i="5" s="1"/>
  <c r="L138" i="5"/>
  <c r="I138" i="5"/>
  <c r="H138" i="5"/>
  <c r="F138" i="5"/>
  <c r="C138" i="5"/>
  <c r="AD137" i="5"/>
  <c r="AC137" i="5"/>
  <c r="AA137" i="5"/>
  <c r="X137" i="5"/>
  <c r="W137" i="5"/>
  <c r="U137" i="5"/>
  <c r="R137" i="5"/>
  <c r="O137" i="5"/>
  <c r="N137" i="5"/>
  <c r="L137" i="5"/>
  <c r="H137" i="5"/>
  <c r="I137" i="5" s="1"/>
  <c r="F137" i="5"/>
  <c r="C137" i="5"/>
  <c r="AD136" i="5"/>
  <c r="AC136" i="5"/>
  <c r="AA136" i="5"/>
  <c r="W136" i="5"/>
  <c r="X136" i="5" s="1"/>
  <c r="U136" i="5"/>
  <c r="R136" i="5"/>
  <c r="N136" i="5"/>
  <c r="O136" i="5" s="1"/>
  <c r="L136" i="5"/>
  <c r="I136" i="5"/>
  <c r="H136" i="5"/>
  <c r="F136" i="5"/>
  <c r="C136" i="5"/>
  <c r="AD135" i="5"/>
  <c r="AC135" i="5"/>
  <c r="AA135" i="5"/>
  <c r="X135" i="5"/>
  <c r="W135" i="5"/>
  <c r="U135" i="5"/>
  <c r="R135" i="5"/>
  <c r="O135" i="5"/>
  <c r="N135" i="5"/>
  <c r="L135" i="5"/>
  <c r="I135" i="5"/>
  <c r="H135" i="5"/>
  <c r="F135" i="5"/>
  <c r="C135" i="5"/>
  <c r="AC134" i="5"/>
  <c r="AD134" i="5" s="1"/>
  <c r="AA134" i="5"/>
  <c r="W134" i="5"/>
  <c r="X134" i="5" s="1"/>
  <c r="U134" i="5"/>
  <c r="R134" i="5"/>
  <c r="N134" i="5"/>
  <c r="O134" i="5" s="1"/>
  <c r="L134" i="5"/>
  <c r="I134" i="5"/>
  <c r="H134" i="5"/>
  <c r="F134" i="5"/>
  <c r="C134" i="5"/>
  <c r="AD133" i="5"/>
  <c r="AC133" i="5"/>
  <c r="AA133" i="5"/>
  <c r="X133" i="5"/>
  <c r="W133" i="5"/>
  <c r="U133" i="5"/>
  <c r="R133" i="5"/>
  <c r="O133" i="5"/>
  <c r="N133" i="5"/>
  <c r="L133" i="5"/>
  <c r="H133" i="5"/>
  <c r="I133" i="5" s="1"/>
  <c r="F133" i="5"/>
  <c r="C133" i="5"/>
  <c r="AD132" i="5"/>
  <c r="AC132" i="5"/>
  <c r="AA132" i="5"/>
  <c r="W132" i="5"/>
  <c r="X132" i="5" s="1"/>
  <c r="U132" i="5"/>
  <c r="R132" i="5"/>
  <c r="N132" i="5"/>
  <c r="O132" i="5" s="1"/>
  <c r="L132" i="5"/>
  <c r="I132" i="5"/>
  <c r="H132" i="5"/>
  <c r="F132" i="5"/>
  <c r="C132" i="5"/>
  <c r="AD131" i="5"/>
  <c r="AC131" i="5"/>
  <c r="AA131" i="5"/>
  <c r="X131" i="5"/>
  <c r="W131" i="5"/>
  <c r="U131" i="5"/>
  <c r="R131" i="5"/>
  <c r="O131" i="5"/>
  <c r="N131" i="5"/>
  <c r="L131" i="5"/>
  <c r="I131" i="5"/>
  <c r="H131" i="5"/>
  <c r="F131" i="5"/>
  <c r="C131" i="5"/>
  <c r="AC130" i="5"/>
  <c r="AD130" i="5" s="1"/>
  <c r="AA130" i="5"/>
  <c r="W130" i="5"/>
  <c r="X130" i="5" s="1"/>
  <c r="U130" i="5"/>
  <c r="R130" i="5"/>
  <c r="N130" i="5"/>
  <c r="O130" i="5" s="1"/>
  <c r="L130" i="5"/>
  <c r="I130" i="5"/>
  <c r="H130" i="5"/>
  <c r="F130" i="5"/>
  <c r="C130" i="5"/>
  <c r="AD129" i="5"/>
  <c r="AC129" i="5"/>
  <c r="AA129" i="5"/>
  <c r="X129" i="5"/>
  <c r="W129" i="5"/>
  <c r="U129" i="5"/>
  <c r="R129" i="5"/>
  <c r="O129" i="5"/>
  <c r="N129" i="5"/>
  <c r="L129" i="5"/>
  <c r="H129" i="5"/>
  <c r="I129" i="5" s="1"/>
  <c r="F129" i="5"/>
  <c r="C129" i="5"/>
  <c r="AD127" i="5"/>
  <c r="AC127" i="5"/>
  <c r="AA127" i="5"/>
  <c r="W127" i="5"/>
  <c r="X127" i="5" s="1"/>
  <c r="U127" i="5"/>
  <c r="R127" i="5"/>
  <c r="N127" i="5"/>
  <c r="O127" i="5" s="1"/>
  <c r="L127" i="5"/>
  <c r="I127" i="5"/>
  <c r="H127" i="5"/>
  <c r="F127" i="5"/>
  <c r="C127" i="5"/>
  <c r="AA124" i="5"/>
  <c r="Z124" i="5"/>
  <c r="Z172" i="5" s="1"/>
  <c r="T124" i="5"/>
  <c r="U124" i="5" s="1"/>
  <c r="R124" i="5"/>
  <c r="Q124" i="5"/>
  <c r="Q172" i="5" s="1"/>
  <c r="L124" i="5"/>
  <c r="K124" i="5"/>
  <c r="H124" i="5"/>
  <c r="I124" i="5" s="1"/>
  <c r="F124" i="5"/>
  <c r="E124" i="5"/>
  <c r="E172" i="5" s="1"/>
  <c r="E198" i="5" s="1"/>
  <c r="C124" i="5"/>
  <c r="B124" i="5"/>
  <c r="N124" i="5" s="1"/>
  <c r="O124" i="5" s="1"/>
  <c r="AD123" i="5"/>
  <c r="AC123" i="5"/>
  <c r="AA123" i="5"/>
  <c r="X123" i="5"/>
  <c r="W123" i="5"/>
  <c r="U123" i="5"/>
  <c r="R123" i="5"/>
  <c r="O123" i="5"/>
  <c r="N123" i="5"/>
  <c r="L123" i="5"/>
  <c r="H123" i="5"/>
  <c r="I123" i="5" s="1"/>
  <c r="F123" i="5"/>
  <c r="C123" i="5"/>
  <c r="AD122" i="5"/>
  <c r="AA122" i="5"/>
  <c r="Z122" i="5"/>
  <c r="W122" i="5"/>
  <c r="X122" i="5" s="1"/>
  <c r="U122" i="5"/>
  <c r="T122" i="5"/>
  <c r="R122" i="5"/>
  <c r="Q122" i="5"/>
  <c r="AC122" i="5" s="1"/>
  <c r="K122" i="5"/>
  <c r="L122" i="5" s="1"/>
  <c r="F122" i="5"/>
  <c r="E122" i="5"/>
  <c r="H122" i="5" s="1"/>
  <c r="I122" i="5" s="1"/>
  <c r="C122" i="5"/>
  <c r="B122" i="5"/>
  <c r="N122" i="5" s="1"/>
  <c r="O122" i="5" s="1"/>
  <c r="AC121" i="5"/>
  <c r="AD121" i="5" s="1"/>
  <c r="AA121" i="5"/>
  <c r="W121" i="5"/>
  <c r="X121" i="5" s="1"/>
  <c r="U121" i="5"/>
  <c r="R121" i="5"/>
  <c r="N121" i="5"/>
  <c r="O121" i="5" s="1"/>
  <c r="L121" i="5"/>
  <c r="I121" i="5"/>
  <c r="H121" i="5"/>
  <c r="F121" i="5"/>
  <c r="C121" i="5"/>
  <c r="AD120" i="5"/>
  <c r="AC120" i="5"/>
  <c r="AA120" i="5"/>
  <c r="X120" i="5"/>
  <c r="W120" i="5"/>
  <c r="U120" i="5"/>
  <c r="R120" i="5"/>
  <c r="O120" i="5"/>
  <c r="N120" i="5"/>
  <c r="L120" i="5"/>
  <c r="H120" i="5"/>
  <c r="I120" i="5" s="1"/>
  <c r="F120" i="5"/>
  <c r="C120" i="5"/>
  <c r="AD119" i="5"/>
  <c r="AC119" i="5"/>
  <c r="AA119" i="5"/>
  <c r="W119" i="5"/>
  <c r="X119" i="5" s="1"/>
  <c r="U119" i="5"/>
  <c r="R119" i="5"/>
  <c r="N119" i="5"/>
  <c r="O119" i="5" s="1"/>
  <c r="L119" i="5"/>
  <c r="I119" i="5"/>
  <c r="H119" i="5"/>
  <c r="F119" i="5"/>
  <c r="C119" i="5"/>
  <c r="AA118" i="5"/>
  <c r="Z118" i="5"/>
  <c r="T118" i="5"/>
  <c r="U118" i="5" s="1"/>
  <c r="R118" i="5"/>
  <c r="Q118" i="5"/>
  <c r="W118" i="5" s="1"/>
  <c r="X118" i="5" s="1"/>
  <c r="L118" i="5"/>
  <c r="K118" i="5"/>
  <c r="H118" i="5"/>
  <c r="I118" i="5" s="1"/>
  <c r="F118" i="5"/>
  <c r="E118" i="5"/>
  <c r="C118" i="5"/>
  <c r="B118" i="5"/>
  <c r="N118" i="5" s="1"/>
  <c r="O118" i="5" s="1"/>
  <c r="AD117" i="5"/>
  <c r="AC117" i="5"/>
  <c r="AA117" i="5"/>
  <c r="X117" i="5"/>
  <c r="W117" i="5"/>
  <c r="U117" i="5"/>
  <c r="R117" i="5"/>
  <c r="O117" i="5"/>
  <c r="N117" i="5"/>
  <c r="L117" i="5"/>
  <c r="H117" i="5"/>
  <c r="I117" i="5" s="1"/>
  <c r="F117" i="5"/>
  <c r="C117" i="5"/>
  <c r="AD116" i="5"/>
  <c r="AC116" i="5"/>
  <c r="AA116" i="5"/>
  <c r="W116" i="5"/>
  <c r="X116" i="5" s="1"/>
  <c r="U116" i="5"/>
  <c r="R116" i="5"/>
  <c r="N116" i="5"/>
  <c r="O116" i="5" s="1"/>
  <c r="L116" i="5"/>
  <c r="I116" i="5"/>
  <c r="H116" i="5"/>
  <c r="F116" i="5"/>
  <c r="C116" i="5"/>
  <c r="AD115" i="5"/>
  <c r="AC115" i="5"/>
  <c r="AA115" i="5"/>
  <c r="X115" i="5"/>
  <c r="W115" i="5"/>
  <c r="U115" i="5"/>
  <c r="R115" i="5"/>
  <c r="O115" i="5"/>
  <c r="N115" i="5"/>
  <c r="L115" i="5"/>
  <c r="I115" i="5"/>
  <c r="H115" i="5"/>
  <c r="F115" i="5"/>
  <c r="C115" i="5"/>
  <c r="AC114" i="5"/>
  <c r="AD114" i="5" s="1"/>
  <c r="AA114" i="5"/>
  <c r="W114" i="5"/>
  <c r="X114" i="5" s="1"/>
  <c r="U114" i="5"/>
  <c r="R114" i="5"/>
  <c r="N114" i="5"/>
  <c r="O114" i="5" s="1"/>
  <c r="L114" i="5"/>
  <c r="I114" i="5"/>
  <c r="H114" i="5"/>
  <c r="F114" i="5"/>
  <c r="C114" i="5"/>
  <c r="AD113" i="5"/>
  <c r="AC113" i="5"/>
  <c r="AA113" i="5"/>
  <c r="X113" i="5"/>
  <c r="W113" i="5"/>
  <c r="U113" i="5"/>
  <c r="R113" i="5"/>
  <c r="O113" i="5"/>
  <c r="N113" i="5"/>
  <c r="L113" i="5"/>
  <c r="H113" i="5"/>
  <c r="I113" i="5" s="1"/>
  <c r="F113" i="5"/>
  <c r="C113" i="5"/>
  <c r="AD112" i="5"/>
  <c r="AC112" i="5"/>
  <c r="AA112" i="5"/>
  <c r="W112" i="5"/>
  <c r="X112" i="5" s="1"/>
  <c r="U112" i="5"/>
  <c r="R112" i="5"/>
  <c r="N112" i="5"/>
  <c r="O112" i="5" s="1"/>
  <c r="L112" i="5"/>
  <c r="I112" i="5"/>
  <c r="H112" i="5"/>
  <c r="F112" i="5"/>
  <c r="C112" i="5"/>
  <c r="AD111" i="5"/>
  <c r="AC111" i="5"/>
  <c r="AA111" i="5"/>
  <c r="X111" i="5"/>
  <c r="W111" i="5"/>
  <c r="U111" i="5"/>
  <c r="R111" i="5"/>
  <c r="O111" i="5"/>
  <c r="N111" i="5"/>
  <c r="L111" i="5"/>
  <c r="I111" i="5"/>
  <c r="H111" i="5"/>
  <c r="F111" i="5"/>
  <c r="C111" i="5"/>
  <c r="AC110" i="5"/>
  <c r="AD110" i="5" s="1"/>
  <c r="AA110" i="5"/>
  <c r="W110" i="5"/>
  <c r="X110" i="5" s="1"/>
  <c r="U110" i="5"/>
  <c r="R110" i="5"/>
  <c r="N110" i="5"/>
  <c r="O110" i="5" s="1"/>
  <c r="L110" i="5"/>
  <c r="I110" i="5"/>
  <c r="H110" i="5"/>
  <c r="F110" i="5"/>
  <c r="C110" i="5"/>
  <c r="AD109" i="5"/>
  <c r="AC109" i="5"/>
  <c r="AA109" i="5"/>
  <c r="X109" i="5"/>
  <c r="W109" i="5"/>
  <c r="U109" i="5"/>
  <c r="R109" i="5"/>
  <c r="O109" i="5"/>
  <c r="N109" i="5"/>
  <c r="L109" i="5"/>
  <c r="H109" i="5"/>
  <c r="I109" i="5" s="1"/>
  <c r="F109" i="5"/>
  <c r="C109" i="5"/>
  <c r="AD108" i="5"/>
  <c r="AC108" i="5"/>
  <c r="AA108" i="5"/>
  <c r="W108" i="5"/>
  <c r="X108" i="5" s="1"/>
  <c r="U108" i="5"/>
  <c r="R108" i="5"/>
  <c r="N108" i="5"/>
  <c r="O108" i="5" s="1"/>
  <c r="L108" i="5"/>
  <c r="I108" i="5"/>
  <c r="H108" i="5"/>
  <c r="F108" i="5"/>
  <c r="C108" i="5"/>
  <c r="AD107" i="5"/>
  <c r="AC107" i="5"/>
  <c r="AA107" i="5"/>
  <c r="X107" i="5"/>
  <c r="W107" i="5"/>
  <c r="U107" i="5"/>
  <c r="R107" i="5"/>
  <c r="O107" i="5"/>
  <c r="N107" i="5"/>
  <c r="L107" i="5"/>
  <c r="I107" i="5"/>
  <c r="H107" i="5"/>
  <c r="F107" i="5"/>
  <c r="C107" i="5"/>
  <c r="AC106" i="5"/>
  <c r="AD106" i="5" s="1"/>
  <c r="AA106" i="5"/>
  <c r="W106" i="5"/>
  <c r="X106" i="5" s="1"/>
  <c r="U106" i="5"/>
  <c r="R106" i="5"/>
  <c r="N106" i="5"/>
  <c r="O106" i="5" s="1"/>
  <c r="L106" i="5"/>
  <c r="I106" i="5"/>
  <c r="H106" i="5"/>
  <c r="F106" i="5"/>
  <c r="C106" i="5"/>
  <c r="AD105" i="5"/>
  <c r="AC105" i="5"/>
  <c r="AA105" i="5"/>
  <c r="X105" i="5"/>
  <c r="W105" i="5"/>
  <c r="U105" i="5"/>
  <c r="R105" i="5"/>
  <c r="O105" i="5"/>
  <c r="N105" i="5"/>
  <c r="L105" i="5"/>
  <c r="H105" i="5"/>
  <c r="I105" i="5" s="1"/>
  <c r="F105" i="5"/>
  <c r="C105" i="5"/>
  <c r="AD104" i="5"/>
  <c r="AC104" i="5"/>
  <c r="AA104" i="5"/>
  <c r="W104" i="5"/>
  <c r="X104" i="5" s="1"/>
  <c r="U104" i="5"/>
  <c r="R104" i="5"/>
  <c r="N104" i="5"/>
  <c r="O104" i="5" s="1"/>
  <c r="L104" i="5"/>
  <c r="I104" i="5"/>
  <c r="H104" i="5"/>
  <c r="F104" i="5"/>
  <c r="C104" i="5"/>
  <c r="AD103" i="5"/>
  <c r="AC103" i="5"/>
  <c r="AA103" i="5"/>
  <c r="X103" i="5"/>
  <c r="W103" i="5"/>
  <c r="U103" i="5"/>
  <c r="R103" i="5"/>
  <c r="O103" i="5"/>
  <c r="N103" i="5"/>
  <c r="L103" i="5"/>
  <c r="I103" i="5"/>
  <c r="H103" i="5"/>
  <c r="F103" i="5"/>
  <c r="C103" i="5"/>
  <c r="AC102" i="5"/>
  <c r="AD102" i="5" s="1"/>
  <c r="AA102" i="5"/>
  <c r="W102" i="5"/>
  <c r="X102" i="5" s="1"/>
  <c r="U102" i="5"/>
  <c r="R102" i="5"/>
  <c r="N102" i="5"/>
  <c r="O102" i="5" s="1"/>
  <c r="L102" i="5"/>
  <c r="I102" i="5"/>
  <c r="H102" i="5"/>
  <c r="F102" i="5"/>
  <c r="C102" i="5"/>
  <c r="AD101" i="5"/>
  <c r="AC101" i="5"/>
  <c r="AA101" i="5"/>
  <c r="X101" i="5"/>
  <c r="W101" i="5"/>
  <c r="U101" i="5"/>
  <c r="R101" i="5"/>
  <c r="O101" i="5"/>
  <c r="N101" i="5"/>
  <c r="L101" i="5"/>
  <c r="H101" i="5"/>
  <c r="I101" i="5" s="1"/>
  <c r="F101" i="5"/>
  <c r="C101" i="5"/>
  <c r="AD100" i="5"/>
  <c r="AC100" i="5"/>
  <c r="AA100" i="5"/>
  <c r="W100" i="5"/>
  <c r="X100" i="5" s="1"/>
  <c r="U100" i="5"/>
  <c r="R100" i="5"/>
  <c r="N100" i="5"/>
  <c r="O100" i="5" s="1"/>
  <c r="L100" i="5"/>
  <c r="I100" i="5"/>
  <c r="H100" i="5"/>
  <c r="F100" i="5"/>
  <c r="C100" i="5"/>
  <c r="AD99" i="5"/>
  <c r="AC99" i="5"/>
  <c r="AA99" i="5"/>
  <c r="X99" i="5"/>
  <c r="W99" i="5"/>
  <c r="U99" i="5"/>
  <c r="R99" i="5"/>
  <c r="O99" i="5"/>
  <c r="N99" i="5"/>
  <c r="L99" i="5"/>
  <c r="I99" i="5"/>
  <c r="H99" i="5"/>
  <c r="F99" i="5"/>
  <c r="C99" i="5"/>
  <c r="AC98" i="5"/>
  <c r="AD98" i="5" s="1"/>
  <c r="AA98" i="5"/>
  <c r="W98" i="5"/>
  <c r="X98" i="5" s="1"/>
  <c r="U98" i="5"/>
  <c r="R98" i="5"/>
  <c r="N98" i="5"/>
  <c r="O98" i="5" s="1"/>
  <c r="L98" i="5"/>
  <c r="I98" i="5"/>
  <c r="H98" i="5"/>
  <c r="F98" i="5"/>
  <c r="C98" i="5"/>
  <c r="AD97" i="5"/>
  <c r="AC97" i="5"/>
  <c r="AA97" i="5"/>
  <c r="X97" i="5"/>
  <c r="W97" i="5"/>
  <c r="U97" i="5"/>
  <c r="R97" i="5"/>
  <c r="O97" i="5"/>
  <c r="N97" i="5"/>
  <c r="L97" i="5"/>
  <c r="H97" i="5"/>
  <c r="I97" i="5" s="1"/>
  <c r="F97" i="5"/>
  <c r="C97" i="5"/>
  <c r="AD96" i="5"/>
  <c r="AC96" i="5"/>
  <c r="AA96" i="5"/>
  <c r="W96" i="5"/>
  <c r="X96" i="5" s="1"/>
  <c r="U96" i="5"/>
  <c r="R96" i="5"/>
  <c r="N96" i="5"/>
  <c r="O96" i="5" s="1"/>
  <c r="L96" i="5"/>
  <c r="I96" i="5"/>
  <c r="H96" i="5"/>
  <c r="F96" i="5"/>
  <c r="C96" i="5"/>
  <c r="AD95" i="5"/>
  <c r="AC95" i="5"/>
  <c r="AA95" i="5"/>
  <c r="X95" i="5"/>
  <c r="W95" i="5"/>
  <c r="U95" i="5"/>
  <c r="R95" i="5"/>
  <c r="O95" i="5"/>
  <c r="N95" i="5"/>
  <c r="L95" i="5"/>
  <c r="I95" i="5"/>
  <c r="H95" i="5"/>
  <c r="F95" i="5"/>
  <c r="C95" i="5"/>
  <c r="AC94" i="5"/>
  <c r="AD94" i="5" s="1"/>
  <c r="AA94" i="5"/>
  <c r="W94" i="5"/>
  <c r="X94" i="5" s="1"/>
  <c r="U94" i="5"/>
  <c r="R94" i="5"/>
  <c r="N94" i="5"/>
  <c r="O94" i="5" s="1"/>
  <c r="L94" i="5"/>
  <c r="I94" i="5"/>
  <c r="H94" i="5"/>
  <c r="F94" i="5"/>
  <c r="C94" i="5"/>
  <c r="AD92" i="5"/>
  <c r="AC92" i="5"/>
  <c r="AA92" i="5"/>
  <c r="X92" i="5"/>
  <c r="W92" i="5"/>
  <c r="U92" i="5"/>
  <c r="R92" i="5"/>
  <c r="O92" i="5"/>
  <c r="N92" i="5"/>
  <c r="L92" i="5"/>
  <c r="H92" i="5"/>
  <c r="I92" i="5" s="1"/>
  <c r="F92" i="5"/>
  <c r="C92" i="5"/>
  <c r="AD91" i="5"/>
  <c r="AC91" i="5"/>
  <c r="AA91" i="5"/>
  <c r="W91" i="5"/>
  <c r="X91" i="5" s="1"/>
  <c r="U91" i="5"/>
  <c r="R91" i="5"/>
  <c r="N91" i="5"/>
  <c r="O91" i="5" s="1"/>
  <c r="L91" i="5"/>
  <c r="I91" i="5"/>
  <c r="H91" i="5"/>
  <c r="F91" i="5"/>
  <c r="C91" i="5"/>
  <c r="AD90" i="5"/>
  <c r="AC90" i="5"/>
  <c r="AA90" i="5"/>
  <c r="X90" i="5"/>
  <c r="W90" i="5"/>
  <c r="U90" i="5"/>
  <c r="R90" i="5"/>
  <c r="O90" i="5"/>
  <c r="N90" i="5"/>
  <c r="L90" i="5"/>
  <c r="I90" i="5"/>
  <c r="H90" i="5"/>
  <c r="F90" i="5"/>
  <c r="C90" i="5"/>
  <c r="AC89" i="5"/>
  <c r="AD89" i="5" s="1"/>
  <c r="AA89" i="5"/>
  <c r="W89" i="5"/>
  <c r="X89" i="5" s="1"/>
  <c r="U89" i="5"/>
  <c r="R89" i="5"/>
  <c r="N89" i="5"/>
  <c r="O89" i="5" s="1"/>
  <c r="L89" i="5"/>
  <c r="I89" i="5"/>
  <c r="H89" i="5"/>
  <c r="F89" i="5"/>
  <c r="C89" i="5"/>
  <c r="Z88" i="5"/>
  <c r="AA88" i="5" s="1"/>
  <c r="U88" i="5"/>
  <c r="T88" i="5"/>
  <c r="W88" i="5" s="1"/>
  <c r="X88" i="5" s="1"/>
  <c r="R88" i="5"/>
  <c r="Q88" i="5"/>
  <c r="AC88" i="5" s="1"/>
  <c r="AD88" i="5" s="1"/>
  <c r="L88" i="5"/>
  <c r="K88" i="5"/>
  <c r="I88" i="5"/>
  <c r="F88" i="5"/>
  <c r="E88" i="5"/>
  <c r="B88" i="5"/>
  <c r="H88" i="5" s="1"/>
  <c r="AD87" i="5"/>
  <c r="AC87" i="5"/>
  <c r="AA87" i="5"/>
  <c r="X87" i="5"/>
  <c r="W87" i="5"/>
  <c r="U87" i="5"/>
  <c r="R87" i="5"/>
  <c r="O87" i="5"/>
  <c r="N87" i="5"/>
  <c r="L87" i="5"/>
  <c r="I87" i="5"/>
  <c r="H87" i="5"/>
  <c r="F87" i="5"/>
  <c r="C87" i="5"/>
  <c r="AC86" i="5"/>
  <c r="AD86" i="5" s="1"/>
  <c r="AA86" i="5"/>
  <c r="W86" i="5"/>
  <c r="X86" i="5" s="1"/>
  <c r="U86" i="5"/>
  <c r="R86" i="5"/>
  <c r="N86" i="5"/>
  <c r="O86" i="5" s="1"/>
  <c r="L86" i="5"/>
  <c r="I86" i="5"/>
  <c r="H86" i="5"/>
  <c r="F86" i="5"/>
  <c r="C86" i="5"/>
  <c r="AD85" i="5"/>
  <c r="AC85" i="5"/>
  <c r="AA85" i="5"/>
  <c r="X85" i="5"/>
  <c r="W85" i="5"/>
  <c r="U85" i="5"/>
  <c r="R85" i="5"/>
  <c r="O85" i="5"/>
  <c r="N85" i="5"/>
  <c r="L85" i="5"/>
  <c r="H85" i="5"/>
  <c r="I85" i="5" s="1"/>
  <c r="F85" i="5"/>
  <c r="C85" i="5"/>
  <c r="AD84" i="5"/>
  <c r="AC84" i="5"/>
  <c r="AA84" i="5"/>
  <c r="W84" i="5"/>
  <c r="X84" i="5" s="1"/>
  <c r="U84" i="5"/>
  <c r="R84" i="5"/>
  <c r="N84" i="5"/>
  <c r="O84" i="5" s="1"/>
  <c r="L84" i="5"/>
  <c r="I84" i="5"/>
  <c r="H84" i="5"/>
  <c r="F84" i="5"/>
  <c r="C84" i="5"/>
  <c r="AD83" i="5"/>
  <c r="AC83" i="5"/>
  <c r="AA83" i="5"/>
  <c r="X83" i="5"/>
  <c r="W83" i="5"/>
  <c r="U83" i="5"/>
  <c r="R83" i="5"/>
  <c r="O83" i="5"/>
  <c r="N83" i="5"/>
  <c r="L83" i="5"/>
  <c r="I83" i="5"/>
  <c r="H83" i="5"/>
  <c r="F83" i="5"/>
  <c r="C83" i="5"/>
  <c r="AC82" i="5"/>
  <c r="AD82" i="5" s="1"/>
  <c r="AA82" i="5"/>
  <c r="W82" i="5"/>
  <c r="X82" i="5" s="1"/>
  <c r="U82" i="5"/>
  <c r="R82" i="5"/>
  <c r="N82" i="5"/>
  <c r="O82" i="5" s="1"/>
  <c r="L82" i="5"/>
  <c r="I82" i="5"/>
  <c r="H82" i="5"/>
  <c r="F82" i="5"/>
  <c r="C82" i="5"/>
  <c r="AD81" i="5"/>
  <c r="AC81" i="5"/>
  <c r="AA81" i="5"/>
  <c r="X81" i="5"/>
  <c r="W81" i="5"/>
  <c r="U81" i="5"/>
  <c r="R81" i="5"/>
  <c r="O81" i="5"/>
  <c r="N81" i="5"/>
  <c r="L81" i="5"/>
  <c r="H81" i="5"/>
  <c r="I81" i="5" s="1"/>
  <c r="F81" i="5"/>
  <c r="C81" i="5"/>
  <c r="AD80" i="5"/>
  <c r="AC80" i="5"/>
  <c r="AA80" i="5"/>
  <c r="W80" i="5"/>
  <c r="X80" i="5" s="1"/>
  <c r="U80" i="5"/>
  <c r="R80" i="5"/>
  <c r="N80" i="5"/>
  <c r="O80" i="5" s="1"/>
  <c r="L80" i="5"/>
  <c r="I80" i="5"/>
  <c r="H80" i="5"/>
  <c r="F80" i="5"/>
  <c r="C80" i="5"/>
  <c r="AD79" i="5"/>
  <c r="AC79" i="5"/>
  <c r="AA79" i="5"/>
  <c r="X79" i="5"/>
  <c r="W79" i="5"/>
  <c r="U79" i="5"/>
  <c r="R79" i="5"/>
  <c r="O79" i="5"/>
  <c r="N79" i="5"/>
  <c r="L79" i="5"/>
  <c r="I79" i="5"/>
  <c r="H79" i="5"/>
  <c r="F79" i="5"/>
  <c r="C79" i="5"/>
  <c r="AC78" i="5"/>
  <c r="AD78" i="5" s="1"/>
  <c r="AA78" i="5"/>
  <c r="W78" i="5"/>
  <c r="X78" i="5" s="1"/>
  <c r="U78" i="5"/>
  <c r="R78" i="5"/>
  <c r="N78" i="5"/>
  <c r="O78" i="5" s="1"/>
  <c r="L78" i="5"/>
  <c r="I78" i="5"/>
  <c r="H78" i="5"/>
  <c r="F78" i="5"/>
  <c r="C78" i="5"/>
  <c r="AD77" i="5"/>
  <c r="AC77" i="5"/>
  <c r="AA77" i="5"/>
  <c r="X77" i="5"/>
  <c r="W77" i="5"/>
  <c r="U77" i="5"/>
  <c r="R77" i="5"/>
  <c r="O77" i="5"/>
  <c r="N77" i="5"/>
  <c r="L77" i="5"/>
  <c r="H77" i="5"/>
  <c r="I77" i="5" s="1"/>
  <c r="F77" i="5"/>
  <c r="C77" i="5"/>
  <c r="AD76" i="5"/>
  <c r="AC76" i="5"/>
  <c r="AA76" i="5"/>
  <c r="W76" i="5"/>
  <c r="X76" i="5" s="1"/>
  <c r="U76" i="5"/>
  <c r="R76" i="5"/>
  <c r="N76" i="5"/>
  <c r="O76" i="5" s="1"/>
  <c r="L76" i="5"/>
  <c r="I76" i="5"/>
  <c r="H76" i="5"/>
  <c r="F76" i="5"/>
  <c r="C76" i="5"/>
  <c r="AD75" i="5"/>
  <c r="AC75" i="5"/>
  <c r="AA75" i="5"/>
  <c r="X75" i="5"/>
  <c r="W75" i="5"/>
  <c r="U75" i="5"/>
  <c r="R75" i="5"/>
  <c r="O75" i="5"/>
  <c r="N75" i="5"/>
  <c r="L75" i="5"/>
  <c r="I75" i="5"/>
  <c r="H75" i="5"/>
  <c r="F75" i="5"/>
  <c r="C75" i="5"/>
  <c r="AA73" i="5"/>
  <c r="Z73" i="5"/>
  <c r="U73" i="5"/>
  <c r="T73" i="5"/>
  <c r="Q73" i="5"/>
  <c r="AC73" i="5" s="1"/>
  <c r="AD73" i="5" s="1"/>
  <c r="L73" i="5"/>
  <c r="K73" i="5"/>
  <c r="E73" i="5"/>
  <c r="F73" i="5" s="1"/>
  <c r="C73" i="5"/>
  <c r="B73" i="5"/>
  <c r="H73" i="5" s="1"/>
  <c r="I73" i="5" s="1"/>
  <c r="AD72" i="5"/>
  <c r="AC72" i="5"/>
  <c r="AA72" i="5"/>
  <c r="W72" i="5"/>
  <c r="X72" i="5" s="1"/>
  <c r="U72" i="5"/>
  <c r="R72" i="5"/>
  <c r="N72" i="5"/>
  <c r="O72" i="5" s="1"/>
  <c r="L72" i="5"/>
  <c r="I72" i="5"/>
  <c r="H72" i="5"/>
  <c r="F72" i="5"/>
  <c r="C72" i="5"/>
  <c r="AD71" i="5"/>
  <c r="AC71" i="5"/>
  <c r="AA71" i="5"/>
  <c r="X71" i="5"/>
  <c r="W71" i="5"/>
  <c r="U71" i="5"/>
  <c r="R71" i="5"/>
  <c r="O71" i="5"/>
  <c r="N71" i="5"/>
  <c r="L71" i="5"/>
  <c r="I71" i="5"/>
  <c r="H71" i="5"/>
  <c r="F71" i="5"/>
  <c r="C71" i="5"/>
  <c r="AC70" i="5"/>
  <c r="AD70" i="5" s="1"/>
  <c r="AA70" i="5"/>
  <c r="W70" i="5"/>
  <c r="X70" i="5" s="1"/>
  <c r="U70" i="5"/>
  <c r="R70" i="5"/>
  <c r="N70" i="5"/>
  <c r="O70" i="5" s="1"/>
  <c r="L70" i="5"/>
  <c r="I70" i="5"/>
  <c r="H70" i="5"/>
  <c r="F70" i="5"/>
  <c r="C70" i="5"/>
  <c r="AD69" i="5"/>
  <c r="AC69" i="5"/>
  <c r="AA69" i="5"/>
  <c r="W69" i="5"/>
  <c r="X69" i="5" s="1"/>
  <c r="U69" i="5"/>
  <c r="R69" i="5"/>
  <c r="O69" i="5"/>
  <c r="N69" i="5"/>
  <c r="L69" i="5"/>
  <c r="I69" i="5"/>
  <c r="H69" i="5"/>
  <c r="F69" i="5"/>
  <c r="C69" i="5"/>
  <c r="AD68" i="5"/>
  <c r="AC68" i="5"/>
  <c r="AA68" i="5"/>
  <c r="W68" i="5"/>
  <c r="X68" i="5" s="1"/>
  <c r="U68" i="5"/>
  <c r="R68" i="5"/>
  <c r="N68" i="5"/>
  <c r="O68" i="5" s="1"/>
  <c r="L68" i="5"/>
  <c r="I68" i="5"/>
  <c r="H68" i="5"/>
  <c r="F68" i="5"/>
  <c r="C68" i="5"/>
  <c r="AD67" i="5"/>
  <c r="AC67" i="5"/>
  <c r="AA67" i="5"/>
  <c r="X67" i="5"/>
  <c r="W67" i="5"/>
  <c r="U67" i="5"/>
  <c r="R67" i="5"/>
  <c r="O67" i="5"/>
  <c r="N67" i="5"/>
  <c r="L67" i="5"/>
  <c r="I67" i="5"/>
  <c r="H67" i="5"/>
  <c r="F67" i="5"/>
  <c r="C67" i="5"/>
  <c r="AC66" i="5"/>
  <c r="AD66" i="5" s="1"/>
  <c r="AA66" i="5"/>
  <c r="W66" i="5"/>
  <c r="X66" i="5" s="1"/>
  <c r="U66" i="5"/>
  <c r="R66" i="5"/>
  <c r="N66" i="5"/>
  <c r="O66" i="5" s="1"/>
  <c r="L66" i="5"/>
  <c r="I66" i="5"/>
  <c r="H66" i="5"/>
  <c r="F66" i="5"/>
  <c r="C66" i="5"/>
  <c r="AD65" i="5"/>
  <c r="AC65" i="5"/>
  <c r="AA65" i="5"/>
  <c r="X65" i="5"/>
  <c r="W65" i="5"/>
  <c r="U65" i="5"/>
  <c r="R65" i="5"/>
  <c r="O65" i="5"/>
  <c r="N65" i="5"/>
  <c r="L65" i="5"/>
  <c r="I65" i="5"/>
  <c r="H65" i="5"/>
  <c r="F65" i="5"/>
  <c r="C65" i="5"/>
  <c r="AD64" i="5"/>
  <c r="AC64" i="5"/>
  <c r="AA64" i="5"/>
  <c r="W64" i="5"/>
  <c r="X64" i="5" s="1"/>
  <c r="U64" i="5"/>
  <c r="R64" i="5"/>
  <c r="N64" i="5"/>
  <c r="O64" i="5" s="1"/>
  <c r="L64" i="5"/>
  <c r="I64" i="5"/>
  <c r="H64" i="5"/>
  <c r="F64" i="5"/>
  <c r="C64" i="5"/>
  <c r="AA62" i="5"/>
  <c r="Z62" i="5"/>
  <c r="U62" i="5"/>
  <c r="T62" i="5"/>
  <c r="R62" i="5"/>
  <c r="Q62" i="5"/>
  <c r="L62" i="5"/>
  <c r="K62" i="5"/>
  <c r="H62" i="5"/>
  <c r="I62" i="5" s="1"/>
  <c r="F62" i="5"/>
  <c r="E62" i="5"/>
  <c r="C62" i="5"/>
  <c r="B62" i="5"/>
  <c r="N62" i="5" s="1"/>
  <c r="O62" i="5" s="1"/>
  <c r="Z61" i="5"/>
  <c r="AA61" i="5" s="1"/>
  <c r="U61" i="5"/>
  <c r="T61" i="5"/>
  <c r="W61" i="5" s="1"/>
  <c r="X61" i="5" s="1"/>
  <c r="R61" i="5"/>
  <c r="Q61" i="5"/>
  <c r="L61" i="5"/>
  <c r="K61" i="5"/>
  <c r="I61" i="5"/>
  <c r="F61" i="5"/>
  <c r="E61" i="5"/>
  <c r="B61" i="5"/>
  <c r="H61" i="5" s="1"/>
  <c r="AD60" i="5"/>
  <c r="AC60" i="5"/>
  <c r="AA60" i="5"/>
  <c r="X60" i="5"/>
  <c r="W60" i="5"/>
  <c r="U60" i="5"/>
  <c r="R60" i="5"/>
  <c r="O60" i="5"/>
  <c r="N60" i="5"/>
  <c r="L60" i="5"/>
  <c r="I60" i="5"/>
  <c r="H60" i="5"/>
  <c r="F60" i="5"/>
  <c r="C60" i="5"/>
  <c r="AC59" i="5"/>
  <c r="AD59" i="5" s="1"/>
  <c r="AA59" i="5"/>
  <c r="W59" i="5"/>
  <c r="X59" i="5" s="1"/>
  <c r="U59" i="5"/>
  <c r="R59" i="5"/>
  <c r="N59" i="5"/>
  <c r="O59" i="5" s="1"/>
  <c r="L59" i="5"/>
  <c r="I59" i="5"/>
  <c r="H59" i="5"/>
  <c r="F59" i="5"/>
  <c r="C59" i="5"/>
  <c r="AD58" i="5"/>
  <c r="AC58" i="5"/>
  <c r="AA58" i="5"/>
  <c r="W58" i="5"/>
  <c r="X58" i="5" s="1"/>
  <c r="U58" i="5"/>
  <c r="R58" i="5"/>
  <c r="O58" i="5"/>
  <c r="N58" i="5"/>
  <c r="L58" i="5"/>
  <c r="I58" i="5"/>
  <c r="H58" i="5"/>
  <c r="F58" i="5"/>
  <c r="C58" i="5"/>
  <c r="AD57" i="5"/>
  <c r="AC57" i="5"/>
  <c r="AA57" i="5"/>
  <c r="W57" i="5"/>
  <c r="X57" i="5" s="1"/>
  <c r="U57" i="5"/>
  <c r="R57" i="5"/>
  <c r="N57" i="5"/>
  <c r="O57" i="5" s="1"/>
  <c r="L57" i="5"/>
  <c r="I57" i="5"/>
  <c r="H57" i="5"/>
  <c r="F57" i="5"/>
  <c r="C57" i="5"/>
  <c r="AD56" i="5"/>
  <c r="AC56" i="5"/>
  <c r="AA56" i="5"/>
  <c r="X56" i="5"/>
  <c r="W56" i="5"/>
  <c r="U56" i="5"/>
  <c r="R56" i="5"/>
  <c r="O56" i="5"/>
  <c r="N56" i="5"/>
  <c r="L56" i="5"/>
  <c r="I56" i="5"/>
  <c r="H56" i="5"/>
  <c r="F56" i="5"/>
  <c r="C56" i="5"/>
  <c r="AC55" i="5"/>
  <c r="AD55" i="5" s="1"/>
  <c r="AA55" i="5"/>
  <c r="W55" i="5"/>
  <c r="X55" i="5" s="1"/>
  <c r="U55" i="5"/>
  <c r="R55" i="5"/>
  <c r="N55" i="5"/>
  <c r="O55" i="5" s="1"/>
  <c r="L55" i="5"/>
  <c r="I55" i="5"/>
  <c r="H55" i="5"/>
  <c r="F55" i="5"/>
  <c r="C55" i="5"/>
  <c r="AD54" i="5"/>
  <c r="AC54" i="5"/>
  <c r="AA54" i="5"/>
  <c r="X54" i="5"/>
  <c r="W54" i="5"/>
  <c r="U54" i="5"/>
  <c r="R54" i="5"/>
  <c r="O54" i="5"/>
  <c r="N54" i="5"/>
  <c r="L54" i="5"/>
  <c r="I54" i="5"/>
  <c r="H54" i="5"/>
  <c r="F54" i="5"/>
  <c r="C54" i="5"/>
  <c r="AD53" i="5"/>
  <c r="AC53" i="5"/>
  <c r="AA53" i="5"/>
  <c r="W53" i="5"/>
  <c r="X53" i="5" s="1"/>
  <c r="U53" i="5"/>
  <c r="R53" i="5"/>
  <c r="N53" i="5"/>
  <c r="O53" i="5" s="1"/>
  <c r="L53" i="5"/>
  <c r="I53" i="5"/>
  <c r="H53" i="5"/>
  <c r="F53" i="5"/>
  <c r="C53" i="5"/>
  <c r="AD52" i="5"/>
  <c r="AC52" i="5"/>
  <c r="AA52" i="5"/>
  <c r="X52" i="5"/>
  <c r="W52" i="5"/>
  <c r="U52" i="5"/>
  <c r="R52" i="5"/>
  <c r="N52" i="5"/>
  <c r="O52" i="5" s="1"/>
  <c r="L52" i="5"/>
  <c r="I52" i="5"/>
  <c r="H52" i="5"/>
  <c r="F52" i="5"/>
  <c r="C52" i="5"/>
  <c r="AC51" i="5"/>
  <c r="AD51" i="5" s="1"/>
  <c r="AA51" i="5"/>
  <c r="W51" i="5"/>
  <c r="X51" i="5" s="1"/>
  <c r="U51" i="5"/>
  <c r="R51" i="5"/>
  <c r="N51" i="5"/>
  <c r="O51" i="5" s="1"/>
  <c r="L51" i="5"/>
  <c r="I51" i="5"/>
  <c r="H51" i="5"/>
  <c r="F51" i="5"/>
  <c r="C51" i="5"/>
  <c r="AD50" i="5"/>
  <c r="AC50" i="5"/>
  <c r="AA50" i="5"/>
  <c r="W50" i="5"/>
  <c r="X50" i="5" s="1"/>
  <c r="U50" i="5"/>
  <c r="R50" i="5"/>
  <c r="O50" i="5"/>
  <c r="N50" i="5"/>
  <c r="L50" i="5"/>
  <c r="I50" i="5"/>
  <c r="H50" i="5"/>
  <c r="F50" i="5"/>
  <c r="C50" i="5"/>
  <c r="AD49" i="5"/>
  <c r="AC49" i="5"/>
  <c r="AA49" i="5"/>
  <c r="W49" i="5"/>
  <c r="X49" i="5" s="1"/>
  <c r="U49" i="5"/>
  <c r="R49" i="5"/>
  <c r="N49" i="5"/>
  <c r="O49" i="5" s="1"/>
  <c r="L49" i="5"/>
  <c r="I49" i="5"/>
  <c r="H49" i="5"/>
  <c r="F49" i="5"/>
  <c r="C49" i="5"/>
  <c r="AD48" i="5"/>
  <c r="AC48" i="5"/>
  <c r="AA48" i="5"/>
  <c r="X48" i="5"/>
  <c r="W48" i="5"/>
  <c r="U48" i="5"/>
  <c r="R48" i="5"/>
  <c r="O48" i="5"/>
  <c r="N48" i="5"/>
  <c r="L48" i="5"/>
  <c r="I48" i="5"/>
  <c r="H48" i="5"/>
  <c r="F48" i="5"/>
  <c r="C48" i="5"/>
  <c r="AC47" i="5"/>
  <c r="AD47" i="5" s="1"/>
  <c r="AA47" i="5"/>
  <c r="W47" i="5"/>
  <c r="X47" i="5" s="1"/>
  <c r="U47" i="5"/>
  <c r="R47" i="5"/>
  <c r="N47" i="5"/>
  <c r="O47" i="5" s="1"/>
  <c r="L47" i="5"/>
  <c r="I47" i="5"/>
  <c r="H47" i="5"/>
  <c r="F47" i="5"/>
  <c r="C47" i="5"/>
  <c r="AD46" i="5"/>
  <c r="AC46" i="5"/>
  <c r="AA46" i="5"/>
  <c r="X46" i="5"/>
  <c r="W46" i="5"/>
  <c r="U46" i="5"/>
  <c r="R46" i="5"/>
  <c r="O46" i="5"/>
  <c r="N46" i="5"/>
  <c r="L46" i="5"/>
  <c r="I46" i="5"/>
  <c r="H46" i="5"/>
  <c r="F46" i="5"/>
  <c r="C46" i="5"/>
  <c r="AD44" i="5"/>
  <c r="AC44" i="5"/>
  <c r="AA44" i="5"/>
  <c r="W44" i="5"/>
  <c r="X44" i="5" s="1"/>
  <c r="U44" i="5"/>
  <c r="R44" i="5"/>
  <c r="N44" i="5"/>
  <c r="O44" i="5" s="1"/>
  <c r="L44" i="5"/>
  <c r="I44" i="5"/>
  <c r="H44" i="5"/>
  <c r="F44" i="5"/>
  <c r="C44" i="5"/>
  <c r="AD43" i="5"/>
  <c r="AC43" i="5"/>
  <c r="AA43" i="5"/>
  <c r="X43" i="5"/>
  <c r="W43" i="5"/>
  <c r="U43" i="5"/>
  <c r="R43" i="5"/>
  <c r="N43" i="5"/>
  <c r="O43" i="5" s="1"/>
  <c r="L43" i="5"/>
  <c r="I43" i="5"/>
  <c r="H43" i="5"/>
  <c r="F43" i="5"/>
  <c r="C43" i="5"/>
  <c r="AC42" i="5"/>
  <c r="AD42" i="5" s="1"/>
  <c r="AA42" i="5"/>
  <c r="W42" i="5"/>
  <c r="X42" i="5" s="1"/>
  <c r="U42" i="5"/>
  <c r="R42" i="5"/>
  <c r="N42" i="5"/>
  <c r="O42" i="5" s="1"/>
  <c r="L42" i="5"/>
  <c r="I42" i="5"/>
  <c r="H42" i="5"/>
  <c r="F42" i="5"/>
  <c r="C42" i="5"/>
  <c r="Z40" i="5"/>
  <c r="AA40" i="5" s="1"/>
  <c r="X40" i="5"/>
  <c r="U40" i="5"/>
  <c r="T40" i="5"/>
  <c r="W40" i="5" s="1"/>
  <c r="R40" i="5"/>
  <c r="Q40" i="5"/>
  <c r="L40" i="5"/>
  <c r="K40" i="5"/>
  <c r="F40" i="5"/>
  <c r="E40" i="5"/>
  <c r="C40" i="5"/>
  <c r="B40" i="5"/>
  <c r="H40" i="5" s="1"/>
  <c r="I40" i="5" s="1"/>
  <c r="AD39" i="5"/>
  <c r="AC39" i="5"/>
  <c r="AA39" i="5"/>
  <c r="X39" i="5"/>
  <c r="W39" i="5"/>
  <c r="U39" i="5"/>
  <c r="R39" i="5"/>
  <c r="O39" i="5"/>
  <c r="N39" i="5"/>
  <c r="L39" i="5"/>
  <c r="I39" i="5"/>
  <c r="H39" i="5"/>
  <c r="F39" i="5"/>
  <c r="C39" i="5"/>
  <c r="AD38" i="5"/>
  <c r="AC38" i="5"/>
  <c r="AA38" i="5"/>
  <c r="W38" i="5"/>
  <c r="X38" i="5" s="1"/>
  <c r="U38" i="5"/>
  <c r="R38" i="5"/>
  <c r="N38" i="5"/>
  <c r="O38" i="5" s="1"/>
  <c r="L38" i="5"/>
  <c r="I38" i="5"/>
  <c r="H38" i="5"/>
  <c r="F38" i="5"/>
  <c r="C38" i="5"/>
  <c r="AD37" i="5"/>
  <c r="AC37" i="5"/>
  <c r="AA37" i="5"/>
  <c r="W37" i="5"/>
  <c r="X37" i="5" s="1"/>
  <c r="U37" i="5"/>
  <c r="R37" i="5"/>
  <c r="O37" i="5"/>
  <c r="N37" i="5"/>
  <c r="L37" i="5"/>
  <c r="H37" i="5"/>
  <c r="I37" i="5" s="1"/>
  <c r="F37" i="5"/>
  <c r="C37" i="5"/>
  <c r="AD36" i="5"/>
  <c r="AC36" i="5"/>
  <c r="AA36" i="5"/>
  <c r="W36" i="5"/>
  <c r="X36" i="5" s="1"/>
  <c r="U36" i="5"/>
  <c r="R36" i="5"/>
  <c r="N36" i="5"/>
  <c r="O36" i="5" s="1"/>
  <c r="L36" i="5"/>
  <c r="I36" i="5"/>
  <c r="H36" i="5"/>
  <c r="F36" i="5"/>
  <c r="C36" i="5"/>
  <c r="AD35" i="5"/>
  <c r="AC35" i="5"/>
  <c r="AA35" i="5"/>
  <c r="X35" i="5"/>
  <c r="W35" i="5"/>
  <c r="U35" i="5"/>
  <c r="R35" i="5"/>
  <c r="N35" i="5"/>
  <c r="O35" i="5" s="1"/>
  <c r="L35" i="5"/>
  <c r="I35" i="5"/>
  <c r="H35" i="5"/>
  <c r="F35" i="5"/>
  <c r="C35" i="5"/>
  <c r="AD34" i="5"/>
  <c r="AC34" i="5"/>
  <c r="AA34" i="5"/>
  <c r="W34" i="5"/>
  <c r="X34" i="5" s="1"/>
  <c r="U34" i="5"/>
  <c r="R34" i="5"/>
  <c r="N34" i="5"/>
  <c r="O34" i="5" s="1"/>
  <c r="L34" i="5"/>
  <c r="I34" i="5"/>
  <c r="H34" i="5"/>
  <c r="F34" i="5"/>
  <c r="C34" i="5"/>
  <c r="AD33" i="5"/>
  <c r="AC33" i="5"/>
  <c r="AA33" i="5"/>
  <c r="X33" i="5"/>
  <c r="W33" i="5"/>
  <c r="U33" i="5"/>
  <c r="R33" i="5"/>
  <c r="O33" i="5"/>
  <c r="N33" i="5"/>
  <c r="L33" i="5"/>
  <c r="H33" i="5"/>
  <c r="I33" i="5" s="1"/>
  <c r="F33" i="5"/>
  <c r="C33" i="5"/>
  <c r="AD32" i="5"/>
  <c r="AC32" i="5"/>
  <c r="AA32" i="5"/>
  <c r="W32" i="5"/>
  <c r="X32" i="5" s="1"/>
  <c r="U32" i="5"/>
  <c r="R32" i="5"/>
  <c r="N32" i="5"/>
  <c r="O32" i="5" s="1"/>
  <c r="L32" i="5"/>
  <c r="I32" i="5"/>
  <c r="H32" i="5"/>
  <c r="F32" i="5"/>
  <c r="C32" i="5"/>
  <c r="AD31" i="5"/>
  <c r="AC31" i="5"/>
  <c r="AA31" i="5"/>
  <c r="X31" i="5"/>
  <c r="W31" i="5"/>
  <c r="U31" i="5"/>
  <c r="R31" i="5"/>
  <c r="O31" i="5"/>
  <c r="N31" i="5"/>
  <c r="L31" i="5"/>
  <c r="I31" i="5"/>
  <c r="H31" i="5"/>
  <c r="F31" i="5"/>
  <c r="C31" i="5"/>
  <c r="AA29" i="5"/>
  <c r="Z29" i="5"/>
  <c r="U29" i="5"/>
  <c r="T29" i="5"/>
  <c r="Q29" i="5"/>
  <c r="W29" i="5" s="1"/>
  <c r="X29" i="5" s="1"/>
  <c r="L29" i="5"/>
  <c r="K29" i="5"/>
  <c r="F29" i="5"/>
  <c r="E29" i="5"/>
  <c r="C29" i="5"/>
  <c r="B29" i="5"/>
  <c r="H29" i="5" s="1"/>
  <c r="I29" i="5" s="1"/>
  <c r="AD28" i="5"/>
  <c r="AC28" i="5"/>
  <c r="AA28" i="5"/>
  <c r="W28" i="5"/>
  <c r="X28" i="5" s="1"/>
  <c r="U28" i="5"/>
  <c r="R28" i="5"/>
  <c r="N28" i="5"/>
  <c r="O28" i="5" s="1"/>
  <c r="L28" i="5"/>
  <c r="I28" i="5"/>
  <c r="H28" i="5"/>
  <c r="F28" i="5"/>
  <c r="C28" i="5"/>
  <c r="AD27" i="5"/>
  <c r="AC27" i="5"/>
  <c r="AA27" i="5"/>
  <c r="X27" i="5"/>
  <c r="W27" i="5"/>
  <c r="U27" i="5"/>
  <c r="R27" i="5"/>
  <c r="O27" i="5"/>
  <c r="N27" i="5"/>
  <c r="L27" i="5"/>
  <c r="I27" i="5"/>
  <c r="H27" i="5"/>
  <c r="F27" i="5"/>
  <c r="C27" i="5"/>
  <c r="AC26" i="5"/>
  <c r="AD26" i="5" s="1"/>
  <c r="AA26" i="5"/>
  <c r="W26" i="5"/>
  <c r="X26" i="5" s="1"/>
  <c r="U26" i="5"/>
  <c r="R26" i="5"/>
  <c r="N26" i="5"/>
  <c r="O26" i="5" s="1"/>
  <c r="L26" i="5"/>
  <c r="I26" i="5"/>
  <c r="H26" i="5"/>
  <c r="F26" i="5"/>
  <c r="C26" i="5"/>
  <c r="AD25" i="5"/>
  <c r="AC25" i="5"/>
  <c r="AA25" i="5"/>
  <c r="X25" i="5"/>
  <c r="W25" i="5"/>
  <c r="U25" i="5"/>
  <c r="R25" i="5"/>
  <c r="O25" i="5"/>
  <c r="N25" i="5"/>
  <c r="L25" i="5"/>
  <c r="I25" i="5"/>
  <c r="H25" i="5"/>
  <c r="F25" i="5"/>
  <c r="C25" i="5"/>
  <c r="AD24" i="5"/>
  <c r="AC24" i="5"/>
  <c r="AA24" i="5"/>
  <c r="W24" i="5"/>
  <c r="X24" i="5" s="1"/>
  <c r="U24" i="5"/>
  <c r="R24" i="5"/>
  <c r="N24" i="5"/>
  <c r="O24" i="5" s="1"/>
  <c r="L24" i="5"/>
  <c r="I24" i="5"/>
  <c r="H24" i="5"/>
  <c r="F24" i="5"/>
  <c r="C24" i="5"/>
  <c r="AD23" i="5"/>
  <c r="AC23" i="5"/>
  <c r="AA23" i="5"/>
  <c r="X23" i="5"/>
  <c r="W23" i="5"/>
  <c r="U23" i="5"/>
  <c r="R23" i="5"/>
  <c r="N23" i="5"/>
  <c r="O23" i="5" s="1"/>
  <c r="L23" i="5"/>
  <c r="I23" i="5"/>
  <c r="H23" i="5"/>
  <c r="F23" i="5"/>
  <c r="C23" i="5"/>
  <c r="AC22" i="5"/>
  <c r="AD22" i="5" s="1"/>
  <c r="AA22" i="5"/>
  <c r="W22" i="5"/>
  <c r="X22" i="5" s="1"/>
  <c r="U22" i="5"/>
  <c r="R22" i="5"/>
  <c r="N22" i="5"/>
  <c r="O22" i="5" s="1"/>
  <c r="L22" i="5"/>
  <c r="I22" i="5"/>
  <c r="H22" i="5"/>
  <c r="F22" i="5"/>
  <c r="C22" i="5"/>
  <c r="AD21" i="5"/>
  <c r="AC21" i="5"/>
  <c r="AA21" i="5"/>
  <c r="W21" i="5"/>
  <c r="X21" i="5" s="1"/>
  <c r="U21" i="5"/>
  <c r="R21" i="5"/>
  <c r="O21" i="5"/>
  <c r="N21" i="5"/>
  <c r="L21" i="5"/>
  <c r="I21" i="5"/>
  <c r="H21" i="5"/>
  <c r="F21" i="5"/>
  <c r="C21" i="5"/>
  <c r="AD19" i="5"/>
  <c r="AC19" i="5"/>
  <c r="AA19" i="5"/>
  <c r="W19" i="5"/>
  <c r="X19" i="5" s="1"/>
  <c r="U19" i="5"/>
  <c r="R19" i="5"/>
  <c r="N19" i="5"/>
  <c r="O19" i="5" s="1"/>
  <c r="L19" i="5"/>
  <c r="I19" i="5"/>
  <c r="H19" i="5"/>
  <c r="F19" i="5"/>
  <c r="C19" i="5"/>
  <c r="AA18" i="5"/>
  <c r="Z18" i="5"/>
  <c r="T18" i="5"/>
  <c r="U18" i="5" s="1"/>
  <c r="R18" i="5"/>
  <c r="Q18" i="5"/>
  <c r="L18" i="5"/>
  <c r="K18" i="5"/>
  <c r="H18" i="5"/>
  <c r="I18" i="5" s="1"/>
  <c r="F18" i="5"/>
  <c r="E18" i="5"/>
  <c r="C18" i="5"/>
  <c r="B18" i="5"/>
  <c r="N18" i="5" s="1"/>
  <c r="O18" i="5" s="1"/>
  <c r="AD17" i="5"/>
  <c r="AC17" i="5"/>
  <c r="AA17" i="5"/>
  <c r="W17" i="5"/>
  <c r="X17" i="5" s="1"/>
  <c r="U17" i="5"/>
  <c r="R17" i="5"/>
  <c r="O17" i="5"/>
  <c r="N17" i="5"/>
  <c r="L17" i="5"/>
  <c r="H17" i="5"/>
  <c r="I17" i="5" s="1"/>
  <c r="F17" i="5"/>
  <c r="C17" i="5"/>
  <c r="AD16" i="5"/>
  <c r="AC16" i="5"/>
  <c r="AA16" i="5"/>
  <c r="W16" i="5"/>
  <c r="X16" i="5" s="1"/>
  <c r="U16" i="5"/>
  <c r="R16" i="5"/>
  <c r="N16" i="5"/>
  <c r="O16" i="5" s="1"/>
  <c r="L16" i="5"/>
  <c r="I16" i="5"/>
  <c r="H16" i="5"/>
  <c r="F16" i="5"/>
  <c r="C16" i="5"/>
  <c r="AD15" i="5"/>
  <c r="AC15" i="5"/>
  <c r="AA15" i="5"/>
  <c r="X15" i="5"/>
  <c r="W15" i="5"/>
  <c r="U15" i="5"/>
  <c r="R15" i="5"/>
  <c r="N15" i="5"/>
  <c r="O15" i="5" s="1"/>
  <c r="L15" i="5"/>
  <c r="I15" i="5"/>
  <c r="H15" i="5"/>
  <c r="F15" i="5"/>
  <c r="C15" i="5"/>
  <c r="AD14" i="5"/>
  <c r="AC14" i="5"/>
  <c r="AA14" i="5"/>
  <c r="W14" i="5"/>
  <c r="X14" i="5" s="1"/>
  <c r="U14" i="5"/>
  <c r="R14" i="5"/>
  <c r="N14" i="5"/>
  <c r="O14" i="5" s="1"/>
  <c r="L14" i="5"/>
  <c r="I14" i="5"/>
  <c r="H14" i="5"/>
  <c r="F14" i="5"/>
  <c r="C14" i="5"/>
  <c r="AD13" i="5"/>
  <c r="AC13" i="5"/>
  <c r="AA13" i="5"/>
  <c r="X13" i="5"/>
  <c r="W13" i="5"/>
  <c r="U13" i="5"/>
  <c r="R13" i="5"/>
  <c r="O13" i="5"/>
  <c r="N13" i="5"/>
  <c r="L13" i="5"/>
  <c r="H13" i="5"/>
  <c r="I13" i="5" s="1"/>
  <c r="F13" i="5"/>
  <c r="C13" i="5"/>
  <c r="AD12" i="5"/>
  <c r="AC12" i="5"/>
  <c r="AA12" i="5"/>
  <c r="W12" i="5"/>
  <c r="X12" i="5" s="1"/>
  <c r="U12" i="5"/>
  <c r="R12" i="5"/>
  <c r="N12" i="5"/>
  <c r="O12" i="5" s="1"/>
  <c r="L12" i="5"/>
  <c r="I12" i="5"/>
  <c r="H12" i="5"/>
  <c r="F12" i="5"/>
  <c r="C12" i="5"/>
  <c r="AD11" i="5"/>
  <c r="AC11" i="5"/>
  <c r="AA11" i="5"/>
  <c r="X11" i="5"/>
  <c r="W11" i="5"/>
  <c r="U11" i="5"/>
  <c r="R11" i="5"/>
  <c r="O11" i="5"/>
  <c r="N11" i="5"/>
  <c r="L11" i="5"/>
  <c r="I11" i="5"/>
  <c r="H11" i="5"/>
  <c r="F11" i="5"/>
  <c r="C11" i="5"/>
  <c r="AD10" i="5"/>
  <c r="AC10" i="5"/>
  <c r="AA10" i="5"/>
  <c r="W10" i="5"/>
  <c r="X10" i="5" s="1"/>
  <c r="U10" i="5"/>
  <c r="R10" i="5"/>
  <c r="N10" i="5"/>
  <c r="O10" i="5" s="1"/>
  <c r="L10" i="5"/>
  <c r="I10" i="5"/>
  <c r="H10" i="5"/>
  <c r="F10" i="5"/>
  <c r="C10" i="5"/>
  <c r="AD8" i="5"/>
  <c r="AC8" i="5"/>
  <c r="AA8" i="5"/>
  <c r="W8" i="5"/>
  <c r="X8" i="5" s="1"/>
  <c r="U8" i="5"/>
  <c r="R8" i="5"/>
  <c r="O8" i="5"/>
  <c r="N8" i="5"/>
  <c r="L8" i="5"/>
  <c r="H8" i="5"/>
  <c r="I8" i="5" s="1"/>
  <c r="F8" i="5"/>
  <c r="C8" i="5"/>
  <c r="AC444" i="4"/>
  <c r="W444" i="4"/>
  <c r="N444" i="4"/>
  <c r="H444" i="4"/>
  <c r="AA442" i="4"/>
  <c r="Z442" i="4"/>
  <c r="X442" i="4"/>
  <c r="W442" i="4"/>
  <c r="U442" i="4"/>
  <c r="T442" i="4"/>
  <c r="R442" i="4"/>
  <c r="Q442" i="4"/>
  <c r="AC442" i="4" s="1"/>
  <c r="AD442" i="4" s="1"/>
  <c r="K442" i="4"/>
  <c r="L442" i="4" s="1"/>
  <c r="I442" i="4"/>
  <c r="F442" i="4"/>
  <c r="E442" i="4"/>
  <c r="H442" i="4" s="1"/>
  <c r="C442" i="4"/>
  <c r="B442" i="4"/>
  <c r="AA441" i="4"/>
  <c r="Z441" i="4"/>
  <c r="U441" i="4"/>
  <c r="T441" i="4"/>
  <c r="R441" i="4"/>
  <c r="Q441" i="4"/>
  <c r="W441" i="4" s="1"/>
  <c r="X441" i="4" s="1"/>
  <c r="L441" i="4"/>
  <c r="K441" i="4"/>
  <c r="E441" i="4"/>
  <c r="F441" i="4" s="1"/>
  <c r="C441" i="4"/>
  <c r="B441" i="4"/>
  <c r="H441" i="4" s="1"/>
  <c r="I441" i="4" s="1"/>
  <c r="AD440" i="4"/>
  <c r="AC440" i="4"/>
  <c r="AA440" i="4"/>
  <c r="W440" i="4"/>
  <c r="X440" i="4" s="1"/>
  <c r="U440" i="4"/>
  <c r="R440" i="4"/>
  <c r="N440" i="4"/>
  <c r="O440" i="4" s="1"/>
  <c r="L440" i="4"/>
  <c r="I440" i="4"/>
  <c r="H440" i="4"/>
  <c r="F440" i="4"/>
  <c r="C440" i="4"/>
  <c r="AC439" i="4"/>
  <c r="AA439" i="4"/>
  <c r="X439" i="4"/>
  <c r="W439" i="4"/>
  <c r="U439" i="4"/>
  <c r="R439" i="4"/>
  <c r="O439" i="4"/>
  <c r="N439" i="4"/>
  <c r="L439" i="4"/>
  <c r="I439" i="4"/>
  <c r="H439" i="4"/>
  <c r="F439" i="4"/>
  <c r="C439" i="4"/>
  <c r="AD438" i="4"/>
  <c r="AC438" i="4"/>
  <c r="AA438" i="4"/>
  <c r="W438" i="4"/>
  <c r="X438" i="4" s="1"/>
  <c r="U438" i="4"/>
  <c r="R438" i="4"/>
  <c r="N438" i="4"/>
  <c r="O438" i="4" s="1"/>
  <c r="L438" i="4"/>
  <c r="I438" i="4"/>
  <c r="H438" i="4"/>
  <c r="F438" i="4"/>
  <c r="C438" i="4"/>
  <c r="AC437" i="4"/>
  <c r="AA437" i="4"/>
  <c r="X437" i="4"/>
  <c r="W437" i="4"/>
  <c r="U437" i="4"/>
  <c r="R437" i="4"/>
  <c r="O437" i="4"/>
  <c r="N437" i="4"/>
  <c r="L437" i="4"/>
  <c r="I437" i="4"/>
  <c r="H437" i="4"/>
  <c r="F437" i="4"/>
  <c r="C437" i="4"/>
  <c r="AD436" i="4"/>
  <c r="AC436" i="4"/>
  <c r="AA436" i="4"/>
  <c r="W436" i="4"/>
  <c r="X436" i="4" s="1"/>
  <c r="U436" i="4"/>
  <c r="R436" i="4"/>
  <c r="N436" i="4"/>
  <c r="O436" i="4" s="1"/>
  <c r="L436" i="4"/>
  <c r="I436" i="4"/>
  <c r="H436" i="4"/>
  <c r="F436" i="4"/>
  <c r="C436" i="4"/>
  <c r="AD435" i="4"/>
  <c r="AC435" i="4"/>
  <c r="AA435" i="4"/>
  <c r="X435" i="4"/>
  <c r="W435" i="4"/>
  <c r="U435" i="4"/>
  <c r="R435" i="4"/>
  <c r="N435" i="4"/>
  <c r="O435" i="4" s="1"/>
  <c r="L435" i="4"/>
  <c r="I435" i="4"/>
  <c r="H435" i="4"/>
  <c r="F435" i="4"/>
  <c r="C435" i="4"/>
  <c r="AC434" i="4"/>
  <c r="AD434" i="4" s="1"/>
  <c r="AA434" i="4"/>
  <c r="W434" i="4"/>
  <c r="X434" i="4" s="1"/>
  <c r="U434" i="4"/>
  <c r="R434" i="4"/>
  <c r="N434" i="4"/>
  <c r="O434" i="4" s="1"/>
  <c r="L434" i="4"/>
  <c r="I434" i="4"/>
  <c r="H434" i="4"/>
  <c r="F434" i="4"/>
  <c r="C434" i="4"/>
  <c r="AC433" i="4"/>
  <c r="AA433" i="4"/>
  <c r="X433" i="4"/>
  <c r="W433" i="4"/>
  <c r="U433" i="4"/>
  <c r="R433" i="4"/>
  <c r="O433" i="4"/>
  <c r="N433" i="4"/>
  <c r="L433" i="4"/>
  <c r="I433" i="4"/>
  <c r="H433" i="4"/>
  <c r="F433" i="4"/>
  <c r="C433" i="4"/>
  <c r="AD432" i="4"/>
  <c r="AC432" i="4"/>
  <c r="AA432" i="4"/>
  <c r="W432" i="4"/>
  <c r="X432" i="4" s="1"/>
  <c r="U432" i="4"/>
  <c r="R432" i="4"/>
  <c r="N432" i="4"/>
  <c r="O432" i="4" s="1"/>
  <c r="L432" i="4"/>
  <c r="I432" i="4"/>
  <c r="H432" i="4"/>
  <c r="F432" i="4"/>
  <c r="C432" i="4"/>
  <c r="AA429" i="4"/>
  <c r="Z429" i="4"/>
  <c r="T429" i="4"/>
  <c r="U429" i="4" s="1"/>
  <c r="R429" i="4"/>
  <c r="Q429" i="4"/>
  <c r="L429" i="4"/>
  <c r="K429" i="4"/>
  <c r="H429" i="4"/>
  <c r="I429" i="4" s="1"/>
  <c r="F429" i="4"/>
  <c r="E429" i="4"/>
  <c r="C429" i="4"/>
  <c r="B429" i="4"/>
  <c r="N429" i="4" s="1"/>
  <c r="O429" i="4" s="1"/>
  <c r="AA428" i="4"/>
  <c r="Z428" i="4"/>
  <c r="U428" i="4"/>
  <c r="T428" i="4"/>
  <c r="W428" i="4" s="1"/>
  <c r="X428" i="4" s="1"/>
  <c r="R428" i="4"/>
  <c r="Q428" i="4"/>
  <c r="AC428" i="4" s="1"/>
  <c r="AD428" i="4" s="1"/>
  <c r="N428" i="4"/>
  <c r="O428" i="4" s="1"/>
  <c r="L428" i="4"/>
  <c r="K428" i="4"/>
  <c r="F428" i="4"/>
  <c r="E428" i="4"/>
  <c r="C428" i="4"/>
  <c r="B428" i="4"/>
  <c r="H428" i="4" s="1"/>
  <c r="I428" i="4" s="1"/>
  <c r="AD427" i="4"/>
  <c r="AC427" i="4"/>
  <c r="AA427" i="4"/>
  <c r="X427" i="4"/>
  <c r="W427" i="4"/>
  <c r="U427" i="4"/>
  <c r="R427" i="4"/>
  <c r="N427" i="4"/>
  <c r="O427" i="4" s="1"/>
  <c r="L427" i="4"/>
  <c r="I427" i="4"/>
  <c r="H427" i="4"/>
  <c r="F427" i="4"/>
  <c r="C427" i="4"/>
  <c r="AD426" i="4"/>
  <c r="AC426" i="4"/>
  <c r="AA426" i="4"/>
  <c r="W426" i="4"/>
  <c r="X426" i="4" s="1"/>
  <c r="U426" i="4"/>
  <c r="R426" i="4"/>
  <c r="N426" i="4"/>
  <c r="O426" i="4" s="1"/>
  <c r="L426" i="4"/>
  <c r="I426" i="4"/>
  <c r="H426" i="4"/>
  <c r="F426" i="4"/>
  <c r="C426" i="4"/>
  <c r="AC425" i="4"/>
  <c r="AA425" i="4"/>
  <c r="X425" i="4"/>
  <c r="W425" i="4"/>
  <c r="U425" i="4"/>
  <c r="R425" i="4"/>
  <c r="O425" i="4"/>
  <c r="N425" i="4"/>
  <c r="L425" i="4"/>
  <c r="H425" i="4"/>
  <c r="I425" i="4" s="1"/>
  <c r="F425" i="4"/>
  <c r="C425" i="4"/>
  <c r="AD424" i="4"/>
  <c r="AC424" i="4"/>
  <c r="AA424" i="4"/>
  <c r="W424" i="4"/>
  <c r="X424" i="4" s="1"/>
  <c r="U424" i="4"/>
  <c r="R424" i="4"/>
  <c r="N424" i="4"/>
  <c r="O424" i="4" s="1"/>
  <c r="L424" i="4"/>
  <c r="I424" i="4"/>
  <c r="H424" i="4"/>
  <c r="F424" i="4"/>
  <c r="C424" i="4"/>
  <c r="AD423" i="4"/>
  <c r="AC423" i="4"/>
  <c r="AA423" i="4"/>
  <c r="X423" i="4"/>
  <c r="W423" i="4"/>
  <c r="U423" i="4"/>
  <c r="R423" i="4"/>
  <c r="N423" i="4"/>
  <c r="O423" i="4" s="1"/>
  <c r="L423" i="4"/>
  <c r="I423" i="4"/>
  <c r="H423" i="4"/>
  <c r="F423" i="4"/>
  <c r="C423" i="4"/>
  <c r="AD422" i="4"/>
  <c r="AC422" i="4"/>
  <c r="AA422" i="4"/>
  <c r="W422" i="4"/>
  <c r="X422" i="4" s="1"/>
  <c r="U422" i="4"/>
  <c r="R422" i="4"/>
  <c r="N422" i="4"/>
  <c r="O422" i="4" s="1"/>
  <c r="L422" i="4"/>
  <c r="I422" i="4"/>
  <c r="H422" i="4"/>
  <c r="F422" i="4"/>
  <c r="C422" i="4"/>
  <c r="AC421" i="4"/>
  <c r="AA421" i="4"/>
  <c r="W421" i="4"/>
  <c r="X421" i="4" s="1"/>
  <c r="U421" i="4"/>
  <c r="R421" i="4"/>
  <c r="O421" i="4"/>
  <c r="N421" i="4"/>
  <c r="L421" i="4"/>
  <c r="I421" i="4"/>
  <c r="H421" i="4"/>
  <c r="F421" i="4"/>
  <c r="C421" i="4"/>
  <c r="AC420" i="4"/>
  <c r="AA420" i="4"/>
  <c r="W420" i="4"/>
  <c r="X420" i="4" s="1"/>
  <c r="U420" i="4"/>
  <c r="R420" i="4"/>
  <c r="N420" i="4"/>
  <c r="O420" i="4" s="1"/>
  <c r="L420" i="4"/>
  <c r="I420" i="4"/>
  <c r="H420" i="4"/>
  <c r="F420" i="4"/>
  <c r="C420" i="4"/>
  <c r="AD419" i="4"/>
  <c r="AC419" i="4"/>
  <c r="AA419" i="4"/>
  <c r="X419" i="4"/>
  <c r="W419" i="4"/>
  <c r="U419" i="4"/>
  <c r="R419" i="4"/>
  <c r="N419" i="4"/>
  <c r="O419" i="4" s="1"/>
  <c r="L419" i="4"/>
  <c r="I419" i="4"/>
  <c r="H419" i="4"/>
  <c r="F419" i="4"/>
  <c r="C419" i="4"/>
  <c r="AC418" i="4"/>
  <c r="AD418" i="4" s="1"/>
  <c r="AA418" i="4"/>
  <c r="W418" i="4"/>
  <c r="X418" i="4" s="1"/>
  <c r="U418" i="4"/>
  <c r="R418" i="4"/>
  <c r="N418" i="4"/>
  <c r="O418" i="4" s="1"/>
  <c r="L418" i="4"/>
  <c r="I418" i="4"/>
  <c r="H418" i="4"/>
  <c r="F418" i="4"/>
  <c r="C418" i="4"/>
  <c r="AC417" i="4"/>
  <c r="AA417" i="4"/>
  <c r="W417" i="4"/>
  <c r="X417" i="4" s="1"/>
  <c r="U417" i="4"/>
  <c r="R417" i="4"/>
  <c r="O417" i="4"/>
  <c r="N417" i="4"/>
  <c r="L417" i="4"/>
  <c r="I417" i="4"/>
  <c r="H417" i="4"/>
  <c r="F417" i="4"/>
  <c r="C417" i="4"/>
  <c r="AD416" i="4"/>
  <c r="AC416" i="4"/>
  <c r="AA416" i="4"/>
  <c r="W416" i="4"/>
  <c r="X416" i="4" s="1"/>
  <c r="U416" i="4"/>
  <c r="R416" i="4"/>
  <c r="N416" i="4"/>
  <c r="O416" i="4" s="1"/>
  <c r="L416" i="4"/>
  <c r="I416" i="4"/>
  <c r="H416" i="4"/>
  <c r="F416" i="4"/>
  <c r="C416" i="4"/>
  <c r="AD415" i="4"/>
  <c r="AC415" i="4"/>
  <c r="AA415" i="4"/>
  <c r="X415" i="4"/>
  <c r="W415" i="4"/>
  <c r="U415" i="4"/>
  <c r="R415" i="4"/>
  <c r="O415" i="4"/>
  <c r="N415" i="4"/>
  <c r="L415" i="4"/>
  <c r="I415" i="4"/>
  <c r="H415" i="4"/>
  <c r="F415" i="4"/>
  <c r="C415" i="4"/>
  <c r="AC414" i="4"/>
  <c r="AD414" i="4" s="1"/>
  <c r="AA414" i="4"/>
  <c r="W414" i="4"/>
  <c r="X414" i="4" s="1"/>
  <c r="U414" i="4"/>
  <c r="R414" i="4"/>
  <c r="N414" i="4"/>
  <c r="O414" i="4" s="1"/>
  <c r="L414" i="4"/>
  <c r="I414" i="4"/>
  <c r="H414" i="4"/>
  <c r="F414" i="4"/>
  <c r="C414" i="4"/>
  <c r="AC413" i="4"/>
  <c r="AA413" i="4"/>
  <c r="W413" i="4"/>
  <c r="X413" i="4" s="1"/>
  <c r="U413" i="4"/>
  <c r="R413" i="4"/>
  <c r="O413" i="4"/>
  <c r="N413" i="4"/>
  <c r="L413" i="4"/>
  <c r="H413" i="4"/>
  <c r="I413" i="4" s="1"/>
  <c r="F413" i="4"/>
  <c r="C413" i="4"/>
  <c r="AD412" i="4"/>
  <c r="AC412" i="4"/>
  <c r="AA412" i="4"/>
  <c r="W412" i="4"/>
  <c r="X412" i="4" s="1"/>
  <c r="U412" i="4"/>
  <c r="R412" i="4"/>
  <c r="N412" i="4"/>
  <c r="O412" i="4" s="1"/>
  <c r="L412" i="4"/>
  <c r="I412" i="4"/>
  <c r="H412" i="4"/>
  <c r="F412" i="4"/>
  <c r="C412" i="4"/>
  <c r="AD411" i="4"/>
  <c r="AC411" i="4"/>
  <c r="AA411" i="4"/>
  <c r="X411" i="4"/>
  <c r="W411" i="4"/>
  <c r="U411" i="4"/>
  <c r="R411" i="4"/>
  <c r="N411" i="4"/>
  <c r="O411" i="4" s="1"/>
  <c r="L411" i="4"/>
  <c r="I411" i="4"/>
  <c r="H411" i="4"/>
  <c r="F411" i="4"/>
  <c r="C411" i="4"/>
  <c r="AC410" i="4"/>
  <c r="AD410" i="4" s="1"/>
  <c r="AA410" i="4"/>
  <c r="W410" i="4"/>
  <c r="X410" i="4" s="1"/>
  <c r="U410" i="4"/>
  <c r="R410" i="4"/>
  <c r="N410" i="4"/>
  <c r="O410" i="4" s="1"/>
  <c r="L410" i="4"/>
  <c r="I410" i="4"/>
  <c r="H410" i="4"/>
  <c r="F410" i="4"/>
  <c r="C410" i="4"/>
  <c r="AC409" i="4"/>
  <c r="AA409" i="4"/>
  <c r="X409" i="4"/>
  <c r="W409" i="4"/>
  <c r="U409" i="4"/>
  <c r="R409" i="4"/>
  <c r="O409" i="4"/>
  <c r="N409" i="4"/>
  <c r="L409" i="4"/>
  <c r="H409" i="4"/>
  <c r="I409" i="4" s="1"/>
  <c r="F409" i="4"/>
  <c r="C409" i="4"/>
  <c r="AD408" i="4"/>
  <c r="AC408" i="4"/>
  <c r="AA408" i="4"/>
  <c r="W408" i="4"/>
  <c r="X408" i="4" s="1"/>
  <c r="U408" i="4"/>
  <c r="R408" i="4"/>
  <c r="N408" i="4"/>
  <c r="O408" i="4" s="1"/>
  <c r="L408" i="4"/>
  <c r="I408" i="4"/>
  <c r="H408" i="4"/>
  <c r="F408" i="4"/>
  <c r="C408" i="4"/>
  <c r="AD407" i="4"/>
  <c r="AC407" i="4"/>
  <c r="AA407" i="4"/>
  <c r="X407" i="4"/>
  <c r="W407" i="4"/>
  <c r="U407" i="4"/>
  <c r="R407" i="4"/>
  <c r="O407" i="4"/>
  <c r="N407" i="4"/>
  <c r="L407" i="4"/>
  <c r="I407" i="4"/>
  <c r="H407" i="4"/>
  <c r="F407" i="4"/>
  <c r="C407" i="4"/>
  <c r="AD403" i="4"/>
  <c r="AA403" i="4"/>
  <c r="Z403" i="4"/>
  <c r="W403" i="4"/>
  <c r="X403" i="4" s="1"/>
  <c r="U403" i="4"/>
  <c r="T403" i="4"/>
  <c r="R403" i="4"/>
  <c r="Q403" i="4"/>
  <c r="AC403" i="4" s="1"/>
  <c r="L403" i="4"/>
  <c r="K403" i="4"/>
  <c r="F403" i="4"/>
  <c r="E403" i="4"/>
  <c r="H403" i="4" s="1"/>
  <c r="I403" i="4" s="1"/>
  <c r="C403" i="4"/>
  <c r="B403" i="4"/>
  <c r="N403" i="4" s="1"/>
  <c r="O403" i="4" s="1"/>
  <c r="AD402" i="4"/>
  <c r="AC402" i="4"/>
  <c r="AA402" i="4"/>
  <c r="W402" i="4"/>
  <c r="X402" i="4" s="1"/>
  <c r="U402" i="4"/>
  <c r="R402" i="4"/>
  <c r="N402" i="4"/>
  <c r="O402" i="4" s="1"/>
  <c r="L402" i="4"/>
  <c r="I402" i="4"/>
  <c r="H402" i="4"/>
  <c r="F402" i="4"/>
  <c r="C402" i="4"/>
  <c r="AC401" i="4"/>
  <c r="AA401" i="4"/>
  <c r="X401" i="4"/>
  <c r="W401" i="4"/>
  <c r="U401" i="4"/>
  <c r="R401" i="4"/>
  <c r="O401" i="4"/>
  <c r="N401" i="4"/>
  <c r="L401" i="4"/>
  <c r="H401" i="4"/>
  <c r="I401" i="4" s="1"/>
  <c r="F401" i="4"/>
  <c r="C401" i="4"/>
  <c r="AD400" i="4"/>
  <c r="AC400" i="4"/>
  <c r="AA400" i="4"/>
  <c r="W400" i="4"/>
  <c r="X400" i="4" s="1"/>
  <c r="U400" i="4"/>
  <c r="R400" i="4"/>
  <c r="N400" i="4"/>
  <c r="O400" i="4" s="1"/>
  <c r="L400" i="4"/>
  <c r="I400" i="4"/>
  <c r="H400" i="4"/>
  <c r="F400" i="4"/>
  <c r="C400" i="4"/>
  <c r="AD399" i="4"/>
  <c r="AC399" i="4"/>
  <c r="AA399" i="4"/>
  <c r="X399" i="4"/>
  <c r="W399" i="4"/>
  <c r="U399" i="4"/>
  <c r="R399" i="4"/>
  <c r="N399" i="4"/>
  <c r="O399" i="4" s="1"/>
  <c r="L399" i="4"/>
  <c r="I399" i="4"/>
  <c r="H399" i="4"/>
  <c r="F399" i="4"/>
  <c r="C399" i="4"/>
  <c r="AC398" i="4"/>
  <c r="AD398" i="4" s="1"/>
  <c r="AA398" i="4"/>
  <c r="W398" i="4"/>
  <c r="X398" i="4" s="1"/>
  <c r="U398" i="4"/>
  <c r="R398" i="4"/>
  <c r="N398" i="4"/>
  <c r="O398" i="4" s="1"/>
  <c r="L398" i="4"/>
  <c r="I398" i="4"/>
  <c r="H398" i="4"/>
  <c r="F398" i="4"/>
  <c r="C398" i="4"/>
  <c r="AC397" i="4"/>
  <c r="AA397" i="4"/>
  <c r="X397" i="4"/>
  <c r="W397" i="4"/>
  <c r="U397" i="4"/>
  <c r="R397" i="4"/>
  <c r="O397" i="4"/>
  <c r="N397" i="4"/>
  <c r="L397" i="4"/>
  <c r="I397" i="4"/>
  <c r="H397" i="4"/>
  <c r="F397" i="4"/>
  <c r="C397" i="4"/>
  <c r="AA396" i="4"/>
  <c r="Z396" i="4"/>
  <c r="W396" i="4"/>
  <c r="X396" i="4" s="1"/>
  <c r="U396" i="4"/>
  <c r="T396" i="4"/>
  <c r="R396" i="4"/>
  <c r="Q396" i="4"/>
  <c r="AC396" i="4" s="1"/>
  <c r="AD396" i="4" s="1"/>
  <c r="K396" i="4"/>
  <c r="L396" i="4" s="1"/>
  <c r="I396" i="4"/>
  <c r="F396" i="4"/>
  <c r="E396" i="4"/>
  <c r="H396" i="4" s="1"/>
  <c r="C396" i="4"/>
  <c r="B396" i="4"/>
  <c r="AD395" i="4"/>
  <c r="AC395" i="4"/>
  <c r="AA395" i="4"/>
  <c r="W395" i="4"/>
  <c r="X395" i="4" s="1"/>
  <c r="U395" i="4"/>
  <c r="R395" i="4"/>
  <c r="N395" i="4"/>
  <c r="O395" i="4" s="1"/>
  <c r="L395" i="4"/>
  <c r="I395" i="4"/>
  <c r="H395" i="4"/>
  <c r="F395" i="4"/>
  <c r="C395" i="4"/>
  <c r="AC394" i="4"/>
  <c r="AA394" i="4"/>
  <c r="W394" i="4"/>
  <c r="X394" i="4" s="1"/>
  <c r="U394" i="4"/>
  <c r="R394" i="4"/>
  <c r="O394" i="4"/>
  <c r="N394" i="4"/>
  <c r="L394" i="4"/>
  <c r="I394" i="4"/>
  <c r="H394" i="4"/>
  <c r="F394" i="4"/>
  <c r="C394" i="4"/>
  <c r="AA393" i="4"/>
  <c r="Z393" i="4"/>
  <c r="X393" i="4"/>
  <c r="W393" i="4"/>
  <c r="U393" i="4"/>
  <c r="T393" i="4"/>
  <c r="R393" i="4"/>
  <c r="Q393" i="4"/>
  <c r="AC393" i="4" s="1"/>
  <c r="AD393" i="4" s="1"/>
  <c r="L393" i="4"/>
  <c r="K393" i="4"/>
  <c r="I393" i="4"/>
  <c r="F393" i="4"/>
  <c r="E393" i="4"/>
  <c r="H393" i="4" s="1"/>
  <c r="C393" i="4"/>
  <c r="B393" i="4"/>
  <c r="N393" i="4" s="1"/>
  <c r="O393" i="4" s="1"/>
  <c r="AC392" i="4"/>
  <c r="AD392" i="4" s="1"/>
  <c r="AA392" i="4"/>
  <c r="W392" i="4"/>
  <c r="X392" i="4" s="1"/>
  <c r="U392" i="4"/>
  <c r="R392" i="4"/>
  <c r="N392" i="4"/>
  <c r="O392" i="4" s="1"/>
  <c r="L392" i="4"/>
  <c r="I392" i="4"/>
  <c r="H392" i="4"/>
  <c r="F392" i="4"/>
  <c r="C392" i="4"/>
  <c r="AC391" i="4"/>
  <c r="AA391" i="4"/>
  <c r="W391" i="4"/>
  <c r="X391" i="4" s="1"/>
  <c r="U391" i="4"/>
  <c r="R391" i="4"/>
  <c r="O391" i="4"/>
  <c r="N391" i="4"/>
  <c r="L391" i="4"/>
  <c r="H391" i="4"/>
  <c r="I391" i="4" s="1"/>
  <c r="F391" i="4"/>
  <c r="C391" i="4"/>
  <c r="AD390" i="4"/>
  <c r="AC390" i="4"/>
  <c r="AA390" i="4"/>
  <c r="W390" i="4"/>
  <c r="X390" i="4" s="1"/>
  <c r="U390" i="4"/>
  <c r="R390" i="4"/>
  <c r="N390" i="4"/>
  <c r="O390" i="4" s="1"/>
  <c r="L390" i="4"/>
  <c r="I390" i="4"/>
  <c r="H390" i="4"/>
  <c r="F390" i="4"/>
  <c r="C390" i="4"/>
  <c r="AC389" i="4"/>
  <c r="AA389" i="4"/>
  <c r="X389" i="4"/>
  <c r="W389" i="4"/>
  <c r="U389" i="4"/>
  <c r="R389" i="4"/>
  <c r="O389" i="4"/>
  <c r="N389" i="4"/>
  <c r="L389" i="4"/>
  <c r="I389" i="4"/>
  <c r="H389" i="4"/>
  <c r="F389" i="4"/>
  <c r="C389" i="4"/>
  <c r="AD388" i="4"/>
  <c r="AC388" i="4"/>
  <c r="AA388" i="4"/>
  <c r="W388" i="4"/>
  <c r="X388" i="4" s="1"/>
  <c r="U388" i="4"/>
  <c r="R388" i="4"/>
  <c r="N388" i="4"/>
  <c r="O388" i="4" s="1"/>
  <c r="L388" i="4"/>
  <c r="I388" i="4"/>
  <c r="H388" i="4"/>
  <c r="F388" i="4"/>
  <c r="C388" i="4"/>
  <c r="AC386" i="4"/>
  <c r="AA386" i="4"/>
  <c r="X386" i="4"/>
  <c r="W386" i="4"/>
  <c r="U386" i="4"/>
  <c r="R386" i="4"/>
  <c r="O386" i="4"/>
  <c r="N386" i="4"/>
  <c r="L386" i="4"/>
  <c r="H386" i="4"/>
  <c r="I386" i="4" s="1"/>
  <c r="F386" i="4"/>
  <c r="C386" i="4"/>
  <c r="AD385" i="4"/>
  <c r="AC385" i="4"/>
  <c r="AA385" i="4"/>
  <c r="W385" i="4"/>
  <c r="X385" i="4" s="1"/>
  <c r="U385" i="4"/>
  <c r="R385" i="4"/>
  <c r="N385" i="4"/>
  <c r="O385" i="4" s="1"/>
  <c r="L385" i="4"/>
  <c r="I385" i="4"/>
  <c r="H385" i="4"/>
  <c r="F385" i="4"/>
  <c r="C385" i="4"/>
  <c r="AD383" i="4"/>
  <c r="AC383" i="4"/>
  <c r="AA383" i="4"/>
  <c r="X383" i="4"/>
  <c r="W383" i="4"/>
  <c r="U383" i="4"/>
  <c r="R383" i="4"/>
  <c r="N383" i="4"/>
  <c r="O383" i="4" s="1"/>
  <c r="L383" i="4"/>
  <c r="I383" i="4"/>
  <c r="H383" i="4"/>
  <c r="F383" i="4"/>
  <c r="C383" i="4"/>
  <c r="AC382" i="4"/>
  <c r="AD382" i="4" s="1"/>
  <c r="AA382" i="4"/>
  <c r="W382" i="4"/>
  <c r="X382" i="4" s="1"/>
  <c r="U382" i="4"/>
  <c r="R382" i="4"/>
  <c r="N382" i="4"/>
  <c r="O382" i="4" s="1"/>
  <c r="L382" i="4"/>
  <c r="I382" i="4"/>
  <c r="H382" i="4"/>
  <c r="F382" i="4"/>
  <c r="C382" i="4"/>
  <c r="AC381" i="4"/>
  <c r="AA381" i="4"/>
  <c r="X381" i="4"/>
  <c r="W381" i="4"/>
  <c r="U381" i="4"/>
  <c r="R381" i="4"/>
  <c r="O381" i="4"/>
  <c r="N381" i="4"/>
  <c r="L381" i="4"/>
  <c r="I381" i="4"/>
  <c r="H381" i="4"/>
  <c r="F381" i="4"/>
  <c r="C381" i="4"/>
  <c r="AD380" i="4"/>
  <c r="AC380" i="4"/>
  <c r="AA380" i="4"/>
  <c r="W380" i="4"/>
  <c r="X380" i="4" s="1"/>
  <c r="U380" i="4"/>
  <c r="R380" i="4"/>
  <c r="N380" i="4"/>
  <c r="O380" i="4" s="1"/>
  <c r="L380" i="4"/>
  <c r="I380" i="4"/>
  <c r="H380" i="4"/>
  <c r="F380" i="4"/>
  <c r="C380" i="4"/>
  <c r="AD379" i="4"/>
  <c r="AC379" i="4"/>
  <c r="AA379" i="4"/>
  <c r="X379" i="4"/>
  <c r="W379" i="4"/>
  <c r="U379" i="4"/>
  <c r="R379" i="4"/>
  <c r="N379" i="4"/>
  <c r="O379" i="4" s="1"/>
  <c r="L379" i="4"/>
  <c r="I379" i="4"/>
  <c r="H379" i="4"/>
  <c r="F379" i="4"/>
  <c r="C379" i="4"/>
  <c r="AD378" i="4"/>
  <c r="AC378" i="4"/>
  <c r="AA378" i="4"/>
  <c r="W378" i="4"/>
  <c r="X378" i="4" s="1"/>
  <c r="U378" i="4"/>
  <c r="R378" i="4"/>
  <c r="N378" i="4"/>
  <c r="O378" i="4" s="1"/>
  <c r="L378" i="4"/>
  <c r="I378" i="4"/>
  <c r="H378" i="4"/>
  <c r="F378" i="4"/>
  <c r="C378" i="4"/>
  <c r="AC377" i="4"/>
  <c r="AA377" i="4"/>
  <c r="W377" i="4"/>
  <c r="X377" i="4" s="1"/>
  <c r="U377" i="4"/>
  <c r="R377" i="4"/>
  <c r="O377" i="4"/>
  <c r="N377" i="4"/>
  <c r="L377" i="4"/>
  <c r="H377" i="4"/>
  <c r="I377" i="4" s="1"/>
  <c r="F377" i="4"/>
  <c r="C377" i="4"/>
  <c r="AD376" i="4"/>
  <c r="AC376" i="4"/>
  <c r="AA376" i="4"/>
  <c r="W376" i="4"/>
  <c r="X376" i="4" s="1"/>
  <c r="U376" i="4"/>
  <c r="R376" i="4"/>
  <c r="N376" i="4"/>
  <c r="O376" i="4" s="1"/>
  <c r="L376" i="4"/>
  <c r="I376" i="4"/>
  <c r="H376" i="4"/>
  <c r="F376" i="4"/>
  <c r="C376" i="4"/>
  <c r="AD375" i="4"/>
  <c r="AC375" i="4"/>
  <c r="AA375" i="4"/>
  <c r="X375" i="4"/>
  <c r="W375" i="4"/>
  <c r="U375" i="4"/>
  <c r="R375" i="4"/>
  <c r="N375" i="4"/>
  <c r="O375" i="4" s="1"/>
  <c r="L375" i="4"/>
  <c r="I375" i="4"/>
  <c r="H375" i="4"/>
  <c r="F375" i="4"/>
  <c r="C375" i="4"/>
  <c r="AD374" i="4"/>
  <c r="AC374" i="4"/>
  <c r="AA374" i="4"/>
  <c r="W374" i="4"/>
  <c r="X374" i="4" s="1"/>
  <c r="U374" i="4"/>
  <c r="R374" i="4"/>
  <c r="N374" i="4"/>
  <c r="O374" i="4" s="1"/>
  <c r="L374" i="4"/>
  <c r="I374" i="4"/>
  <c r="H374" i="4"/>
  <c r="F374" i="4"/>
  <c r="C374" i="4"/>
  <c r="AC373" i="4"/>
  <c r="AA373" i="4"/>
  <c r="W373" i="4"/>
  <c r="X373" i="4" s="1"/>
  <c r="U373" i="4"/>
  <c r="R373" i="4"/>
  <c r="O373" i="4"/>
  <c r="N373" i="4"/>
  <c r="L373" i="4"/>
  <c r="I373" i="4"/>
  <c r="H373" i="4"/>
  <c r="F373" i="4"/>
  <c r="C373" i="4"/>
  <c r="AD372" i="4"/>
  <c r="AC372" i="4"/>
  <c r="AA372" i="4"/>
  <c r="W372" i="4"/>
  <c r="X372" i="4" s="1"/>
  <c r="U372" i="4"/>
  <c r="R372" i="4"/>
  <c r="N372" i="4"/>
  <c r="O372" i="4" s="1"/>
  <c r="L372" i="4"/>
  <c r="I372" i="4"/>
  <c r="H372" i="4"/>
  <c r="F372" i="4"/>
  <c r="C372" i="4"/>
  <c r="AD371" i="4"/>
  <c r="AC371" i="4"/>
  <c r="AA371" i="4"/>
  <c r="X371" i="4"/>
  <c r="W371" i="4"/>
  <c r="U371" i="4"/>
  <c r="R371" i="4"/>
  <c r="O371" i="4"/>
  <c r="N371" i="4"/>
  <c r="L371" i="4"/>
  <c r="I371" i="4"/>
  <c r="H371" i="4"/>
  <c r="F371" i="4"/>
  <c r="C371" i="4"/>
  <c r="AC370" i="4"/>
  <c r="AD370" i="4" s="1"/>
  <c r="AA370" i="4"/>
  <c r="W370" i="4"/>
  <c r="X370" i="4" s="1"/>
  <c r="U370" i="4"/>
  <c r="R370" i="4"/>
  <c r="N370" i="4"/>
  <c r="O370" i="4" s="1"/>
  <c r="L370" i="4"/>
  <c r="I370" i="4"/>
  <c r="H370" i="4"/>
  <c r="F370" i="4"/>
  <c r="C370" i="4"/>
  <c r="AC369" i="4"/>
  <c r="AA369" i="4"/>
  <c r="W369" i="4"/>
  <c r="X369" i="4" s="1"/>
  <c r="U369" i="4"/>
  <c r="R369" i="4"/>
  <c r="O369" i="4"/>
  <c r="N369" i="4"/>
  <c r="L369" i="4"/>
  <c r="I369" i="4"/>
  <c r="H369" i="4"/>
  <c r="F369" i="4"/>
  <c r="C369" i="4"/>
  <c r="AA368" i="4"/>
  <c r="Z368" i="4"/>
  <c r="X368" i="4"/>
  <c r="W368" i="4"/>
  <c r="U368" i="4"/>
  <c r="T368" i="4"/>
  <c r="R368" i="4"/>
  <c r="Q368" i="4"/>
  <c r="AC368" i="4" s="1"/>
  <c r="AD368" i="4" s="1"/>
  <c r="L368" i="4"/>
  <c r="K368" i="4"/>
  <c r="I368" i="4"/>
  <c r="F368" i="4"/>
  <c r="E368" i="4"/>
  <c r="H368" i="4" s="1"/>
  <c r="C368" i="4"/>
  <c r="B368" i="4"/>
  <c r="N368" i="4" s="1"/>
  <c r="O368" i="4" s="1"/>
  <c r="AD367" i="4"/>
  <c r="AC367" i="4"/>
  <c r="AA367" i="4"/>
  <c r="W367" i="4"/>
  <c r="X367" i="4" s="1"/>
  <c r="U367" i="4"/>
  <c r="R367" i="4"/>
  <c r="N367" i="4"/>
  <c r="O367" i="4" s="1"/>
  <c r="L367" i="4"/>
  <c r="I367" i="4"/>
  <c r="H367" i="4"/>
  <c r="F367" i="4"/>
  <c r="C367" i="4"/>
  <c r="AC366" i="4"/>
  <c r="AA366" i="4"/>
  <c r="W366" i="4"/>
  <c r="X366" i="4" s="1"/>
  <c r="U366" i="4"/>
  <c r="R366" i="4"/>
  <c r="O366" i="4"/>
  <c r="N366" i="4"/>
  <c r="L366" i="4"/>
  <c r="H366" i="4"/>
  <c r="I366" i="4" s="1"/>
  <c r="F366" i="4"/>
  <c r="C366" i="4"/>
  <c r="AD365" i="4"/>
  <c r="AC365" i="4"/>
  <c r="AA365" i="4"/>
  <c r="W365" i="4"/>
  <c r="X365" i="4" s="1"/>
  <c r="U365" i="4"/>
  <c r="R365" i="4"/>
  <c r="N365" i="4"/>
  <c r="O365" i="4" s="1"/>
  <c r="L365" i="4"/>
  <c r="I365" i="4"/>
  <c r="H365" i="4"/>
  <c r="F365" i="4"/>
  <c r="C365" i="4"/>
  <c r="AD364" i="4"/>
  <c r="AC364" i="4"/>
  <c r="AA364" i="4"/>
  <c r="X364" i="4"/>
  <c r="W364" i="4"/>
  <c r="U364" i="4"/>
  <c r="R364" i="4"/>
  <c r="O364" i="4"/>
  <c r="N364" i="4"/>
  <c r="L364" i="4"/>
  <c r="I364" i="4"/>
  <c r="H364" i="4"/>
  <c r="F364" i="4"/>
  <c r="C364" i="4"/>
  <c r="AD363" i="4"/>
  <c r="AC363" i="4"/>
  <c r="AA363" i="4"/>
  <c r="W363" i="4"/>
  <c r="X363" i="4" s="1"/>
  <c r="U363" i="4"/>
  <c r="R363" i="4"/>
  <c r="N363" i="4"/>
  <c r="O363" i="4" s="1"/>
  <c r="L363" i="4"/>
  <c r="I363" i="4"/>
  <c r="H363" i="4"/>
  <c r="F363" i="4"/>
  <c r="C363" i="4"/>
  <c r="AC362" i="4"/>
  <c r="AA362" i="4"/>
  <c r="X362" i="4"/>
  <c r="W362" i="4"/>
  <c r="U362" i="4"/>
  <c r="R362" i="4"/>
  <c r="O362" i="4"/>
  <c r="N362" i="4"/>
  <c r="L362" i="4"/>
  <c r="H362" i="4"/>
  <c r="I362" i="4" s="1"/>
  <c r="F362" i="4"/>
  <c r="C362" i="4"/>
  <c r="AD361" i="4"/>
  <c r="AC361" i="4"/>
  <c r="AA361" i="4"/>
  <c r="W361" i="4"/>
  <c r="X361" i="4" s="1"/>
  <c r="U361" i="4"/>
  <c r="R361" i="4"/>
  <c r="N361" i="4"/>
  <c r="O361" i="4" s="1"/>
  <c r="L361" i="4"/>
  <c r="I361" i="4"/>
  <c r="H361" i="4"/>
  <c r="F361" i="4"/>
  <c r="C361" i="4"/>
  <c r="AD360" i="4"/>
  <c r="AC360" i="4"/>
  <c r="AA360" i="4"/>
  <c r="X360" i="4"/>
  <c r="W360" i="4"/>
  <c r="U360" i="4"/>
  <c r="R360" i="4"/>
  <c r="O360" i="4"/>
  <c r="N360" i="4"/>
  <c r="L360" i="4"/>
  <c r="I360" i="4"/>
  <c r="H360" i="4"/>
  <c r="F360" i="4"/>
  <c r="C360" i="4"/>
  <c r="AC358" i="4"/>
  <c r="AD358" i="4" s="1"/>
  <c r="AA358" i="4"/>
  <c r="Z358" i="4"/>
  <c r="X358" i="4"/>
  <c r="U358" i="4"/>
  <c r="T358" i="4"/>
  <c r="Q358" i="4"/>
  <c r="W358" i="4" s="1"/>
  <c r="L358" i="4"/>
  <c r="K358" i="4"/>
  <c r="E358" i="4"/>
  <c r="F358" i="4" s="1"/>
  <c r="C358" i="4"/>
  <c r="B358" i="4"/>
  <c r="AD357" i="4"/>
  <c r="AC357" i="4"/>
  <c r="AA357" i="4"/>
  <c r="W357" i="4"/>
  <c r="X357" i="4" s="1"/>
  <c r="U357" i="4"/>
  <c r="R357" i="4"/>
  <c r="N357" i="4"/>
  <c r="O357" i="4" s="1"/>
  <c r="L357" i="4"/>
  <c r="I357" i="4"/>
  <c r="H357" i="4"/>
  <c r="F357" i="4"/>
  <c r="C357" i="4"/>
  <c r="AD356" i="4"/>
  <c r="AC356" i="4"/>
  <c r="AA356" i="4"/>
  <c r="X356" i="4"/>
  <c r="W356" i="4"/>
  <c r="U356" i="4"/>
  <c r="R356" i="4"/>
  <c r="O356" i="4"/>
  <c r="N356" i="4"/>
  <c r="L356" i="4"/>
  <c r="I356" i="4"/>
  <c r="H356" i="4"/>
  <c r="F356" i="4"/>
  <c r="C356" i="4"/>
  <c r="AC355" i="4"/>
  <c r="AD355" i="4" s="1"/>
  <c r="AA355" i="4"/>
  <c r="W355" i="4"/>
  <c r="X355" i="4" s="1"/>
  <c r="U355" i="4"/>
  <c r="R355" i="4"/>
  <c r="N355" i="4"/>
  <c r="O355" i="4" s="1"/>
  <c r="L355" i="4"/>
  <c r="I355" i="4"/>
  <c r="H355" i="4"/>
  <c r="F355" i="4"/>
  <c r="C355" i="4"/>
  <c r="AC354" i="4"/>
  <c r="AA354" i="4"/>
  <c r="W354" i="4"/>
  <c r="X354" i="4" s="1"/>
  <c r="U354" i="4"/>
  <c r="R354" i="4"/>
  <c r="O354" i="4"/>
  <c r="N354" i="4"/>
  <c r="L354" i="4"/>
  <c r="H354" i="4"/>
  <c r="I354" i="4" s="1"/>
  <c r="F354" i="4"/>
  <c r="C354" i="4"/>
  <c r="AD353" i="4"/>
  <c r="AC353" i="4"/>
  <c r="AA353" i="4"/>
  <c r="W353" i="4"/>
  <c r="X353" i="4" s="1"/>
  <c r="U353" i="4"/>
  <c r="R353" i="4"/>
  <c r="N353" i="4"/>
  <c r="O353" i="4" s="1"/>
  <c r="L353" i="4"/>
  <c r="I353" i="4"/>
  <c r="H353" i="4"/>
  <c r="F353" i="4"/>
  <c r="C353" i="4"/>
  <c r="AD352" i="4"/>
  <c r="AC352" i="4"/>
  <c r="AA352" i="4"/>
  <c r="X352" i="4"/>
  <c r="W352" i="4"/>
  <c r="U352" i="4"/>
  <c r="R352" i="4"/>
  <c r="O352" i="4"/>
  <c r="N352" i="4"/>
  <c r="L352" i="4"/>
  <c r="I352" i="4"/>
  <c r="H352" i="4"/>
  <c r="F352" i="4"/>
  <c r="C352" i="4"/>
  <c r="AD351" i="4"/>
  <c r="AC351" i="4"/>
  <c r="AA351" i="4"/>
  <c r="W351" i="4"/>
  <c r="X351" i="4" s="1"/>
  <c r="U351" i="4"/>
  <c r="R351" i="4"/>
  <c r="N351" i="4"/>
  <c r="O351" i="4" s="1"/>
  <c r="L351" i="4"/>
  <c r="I351" i="4"/>
  <c r="H351" i="4"/>
  <c r="F351" i="4"/>
  <c r="C351" i="4"/>
  <c r="AC350" i="4"/>
  <c r="AA350" i="4"/>
  <c r="X350" i="4"/>
  <c r="W350" i="4"/>
  <c r="U350" i="4"/>
  <c r="R350" i="4"/>
  <c r="O350" i="4"/>
  <c r="N350" i="4"/>
  <c r="L350" i="4"/>
  <c r="H350" i="4"/>
  <c r="I350" i="4" s="1"/>
  <c r="F350" i="4"/>
  <c r="C350" i="4"/>
  <c r="AD349" i="4"/>
  <c r="AC349" i="4"/>
  <c r="AA349" i="4"/>
  <c r="W349" i="4"/>
  <c r="X349" i="4" s="1"/>
  <c r="U349" i="4"/>
  <c r="R349" i="4"/>
  <c r="N349" i="4"/>
  <c r="O349" i="4" s="1"/>
  <c r="L349" i="4"/>
  <c r="I349" i="4"/>
  <c r="H349" i="4"/>
  <c r="F349" i="4"/>
  <c r="C349" i="4"/>
  <c r="AD347" i="4"/>
  <c r="AC347" i="4"/>
  <c r="AA347" i="4"/>
  <c r="X347" i="4"/>
  <c r="W347" i="4"/>
  <c r="U347" i="4"/>
  <c r="R347" i="4"/>
  <c r="N347" i="4"/>
  <c r="O347" i="4" s="1"/>
  <c r="L347" i="4"/>
  <c r="I347" i="4"/>
  <c r="H347" i="4"/>
  <c r="F347" i="4"/>
  <c r="C347" i="4"/>
  <c r="AA344" i="4"/>
  <c r="Z344" i="4"/>
  <c r="X344" i="4"/>
  <c r="W344" i="4"/>
  <c r="U344" i="4"/>
  <c r="T344" i="4"/>
  <c r="R344" i="4"/>
  <c r="Q344" i="4"/>
  <c r="AC344" i="4" s="1"/>
  <c r="AD344" i="4" s="1"/>
  <c r="K344" i="4"/>
  <c r="L344" i="4" s="1"/>
  <c r="I344" i="4"/>
  <c r="F344" i="4"/>
  <c r="E344" i="4"/>
  <c r="H344" i="4" s="1"/>
  <c r="C344" i="4"/>
  <c r="B344" i="4"/>
  <c r="AA343" i="4"/>
  <c r="Z343" i="4"/>
  <c r="U343" i="4"/>
  <c r="T343" i="4"/>
  <c r="Q343" i="4"/>
  <c r="W343" i="4" s="1"/>
  <c r="X343" i="4" s="1"/>
  <c r="L343" i="4"/>
  <c r="K343" i="4"/>
  <c r="E343" i="4"/>
  <c r="F343" i="4" s="1"/>
  <c r="C343" i="4"/>
  <c r="B343" i="4"/>
  <c r="H343" i="4" s="1"/>
  <c r="I343" i="4" s="1"/>
  <c r="AA342" i="4"/>
  <c r="Z342" i="4"/>
  <c r="X342" i="4"/>
  <c r="W342" i="4"/>
  <c r="U342" i="4"/>
  <c r="T342" i="4"/>
  <c r="R342" i="4"/>
  <c r="Q342" i="4"/>
  <c r="AC342" i="4" s="1"/>
  <c r="AD342" i="4" s="1"/>
  <c r="K342" i="4"/>
  <c r="L342" i="4" s="1"/>
  <c r="I342" i="4"/>
  <c r="F342" i="4"/>
  <c r="E342" i="4"/>
  <c r="H342" i="4" s="1"/>
  <c r="C342" i="4"/>
  <c r="B342" i="4"/>
  <c r="AD341" i="4"/>
  <c r="AC341" i="4"/>
  <c r="AA341" i="4"/>
  <c r="W341" i="4"/>
  <c r="X341" i="4" s="1"/>
  <c r="U341" i="4"/>
  <c r="R341" i="4"/>
  <c r="N341" i="4"/>
  <c r="O341" i="4" s="1"/>
  <c r="L341" i="4"/>
  <c r="I341" i="4"/>
  <c r="H341" i="4"/>
  <c r="F341" i="4"/>
  <c r="C341" i="4"/>
  <c r="AC340" i="4"/>
  <c r="AA340" i="4"/>
  <c r="W340" i="4"/>
  <c r="X340" i="4" s="1"/>
  <c r="U340" i="4"/>
  <c r="R340" i="4"/>
  <c r="O340" i="4"/>
  <c r="N340" i="4"/>
  <c r="L340" i="4"/>
  <c r="H340" i="4"/>
  <c r="I340" i="4" s="1"/>
  <c r="F340" i="4"/>
  <c r="C340" i="4"/>
  <c r="AD339" i="4"/>
  <c r="AC339" i="4"/>
  <c r="AA339" i="4"/>
  <c r="W339" i="4"/>
  <c r="X339" i="4" s="1"/>
  <c r="U339" i="4"/>
  <c r="R339" i="4"/>
  <c r="N339" i="4"/>
  <c r="O339" i="4" s="1"/>
  <c r="L339" i="4"/>
  <c r="I339" i="4"/>
  <c r="H339" i="4"/>
  <c r="F339" i="4"/>
  <c r="C339" i="4"/>
  <c r="AD338" i="4"/>
  <c r="AC338" i="4"/>
  <c r="AA338" i="4"/>
  <c r="X338" i="4"/>
  <c r="W338" i="4"/>
  <c r="U338" i="4"/>
  <c r="R338" i="4"/>
  <c r="N338" i="4"/>
  <c r="O338" i="4" s="1"/>
  <c r="L338" i="4"/>
  <c r="I338" i="4"/>
  <c r="H338" i="4"/>
  <c r="F338" i="4"/>
  <c r="C338" i="4"/>
  <c r="AD337" i="4"/>
  <c r="AC337" i="4"/>
  <c r="AA337" i="4"/>
  <c r="W337" i="4"/>
  <c r="X337" i="4" s="1"/>
  <c r="U337" i="4"/>
  <c r="R337" i="4"/>
  <c r="N337" i="4"/>
  <c r="O337" i="4" s="1"/>
  <c r="L337" i="4"/>
  <c r="I337" i="4"/>
  <c r="H337" i="4"/>
  <c r="F337" i="4"/>
  <c r="C337" i="4"/>
  <c r="AC335" i="4"/>
  <c r="AA335" i="4"/>
  <c r="W335" i="4"/>
  <c r="X335" i="4" s="1"/>
  <c r="U335" i="4"/>
  <c r="R335" i="4"/>
  <c r="O335" i="4"/>
  <c r="N335" i="4"/>
  <c r="L335" i="4"/>
  <c r="I335" i="4"/>
  <c r="H335" i="4"/>
  <c r="F335" i="4"/>
  <c r="C335" i="4"/>
  <c r="AD334" i="4"/>
  <c r="AC334" i="4"/>
  <c r="AA334" i="4"/>
  <c r="W334" i="4"/>
  <c r="X334" i="4" s="1"/>
  <c r="U334" i="4"/>
  <c r="R334" i="4"/>
  <c r="N334" i="4"/>
  <c r="O334" i="4" s="1"/>
  <c r="L334" i="4"/>
  <c r="I334" i="4"/>
  <c r="H334" i="4"/>
  <c r="F334" i="4"/>
  <c r="C334" i="4"/>
  <c r="AD333" i="4"/>
  <c r="AC333" i="4"/>
  <c r="AA333" i="4"/>
  <c r="X333" i="4"/>
  <c r="W333" i="4"/>
  <c r="U333" i="4"/>
  <c r="R333" i="4"/>
  <c r="O333" i="4"/>
  <c r="N333" i="4"/>
  <c r="L333" i="4"/>
  <c r="I333" i="4"/>
  <c r="H333" i="4"/>
  <c r="F333" i="4"/>
  <c r="C333" i="4"/>
  <c r="AC332" i="4"/>
  <c r="AD332" i="4" s="1"/>
  <c r="AA332" i="4"/>
  <c r="W332" i="4"/>
  <c r="X332" i="4" s="1"/>
  <c r="U332" i="4"/>
  <c r="R332" i="4"/>
  <c r="N332" i="4"/>
  <c r="O332" i="4" s="1"/>
  <c r="L332" i="4"/>
  <c r="I332" i="4"/>
  <c r="H332" i="4"/>
  <c r="F332" i="4"/>
  <c r="C332" i="4"/>
  <c r="AC331" i="4"/>
  <c r="AA331" i="4"/>
  <c r="W331" i="4"/>
  <c r="X331" i="4" s="1"/>
  <c r="U331" i="4"/>
  <c r="R331" i="4"/>
  <c r="O331" i="4"/>
  <c r="N331" i="4"/>
  <c r="L331" i="4"/>
  <c r="I331" i="4"/>
  <c r="H331" i="4"/>
  <c r="F331" i="4"/>
  <c r="C331" i="4"/>
  <c r="AD330" i="4"/>
  <c r="AC330" i="4"/>
  <c r="AA330" i="4"/>
  <c r="W330" i="4"/>
  <c r="X330" i="4" s="1"/>
  <c r="U330" i="4"/>
  <c r="R330" i="4"/>
  <c r="N330" i="4"/>
  <c r="O330" i="4" s="1"/>
  <c r="L330" i="4"/>
  <c r="I330" i="4"/>
  <c r="H330" i="4"/>
  <c r="F330" i="4"/>
  <c r="C330" i="4"/>
  <c r="AD329" i="4"/>
  <c r="AC329" i="4"/>
  <c r="AA329" i="4"/>
  <c r="X329" i="4"/>
  <c r="W329" i="4"/>
  <c r="U329" i="4"/>
  <c r="R329" i="4"/>
  <c r="O329" i="4"/>
  <c r="N329" i="4"/>
  <c r="L329" i="4"/>
  <c r="I329" i="4"/>
  <c r="H329" i="4"/>
  <c r="F329" i="4"/>
  <c r="C329" i="4"/>
  <c r="AC328" i="4"/>
  <c r="AD328" i="4" s="1"/>
  <c r="AA328" i="4"/>
  <c r="W328" i="4"/>
  <c r="X328" i="4" s="1"/>
  <c r="U328" i="4"/>
  <c r="R328" i="4"/>
  <c r="N328" i="4"/>
  <c r="O328" i="4" s="1"/>
  <c r="L328" i="4"/>
  <c r="I328" i="4"/>
  <c r="H328" i="4"/>
  <c r="F328" i="4"/>
  <c r="C328" i="4"/>
  <c r="Z325" i="4"/>
  <c r="AA325" i="4" s="1"/>
  <c r="X325" i="4"/>
  <c r="U325" i="4"/>
  <c r="T325" i="4"/>
  <c r="W325" i="4" s="1"/>
  <c r="R325" i="4"/>
  <c r="Q325" i="4"/>
  <c r="N325" i="4"/>
  <c r="O325" i="4" s="1"/>
  <c r="L325" i="4"/>
  <c r="K325" i="4"/>
  <c r="I325" i="4"/>
  <c r="F325" i="4"/>
  <c r="E325" i="4"/>
  <c r="C325" i="4"/>
  <c r="B325" i="4"/>
  <c r="H325" i="4" s="1"/>
  <c r="AA324" i="4"/>
  <c r="Z324" i="4"/>
  <c r="U324" i="4"/>
  <c r="T324" i="4"/>
  <c r="R324" i="4"/>
  <c r="Q324" i="4"/>
  <c r="L324" i="4"/>
  <c r="K324" i="4"/>
  <c r="H324" i="4"/>
  <c r="I324" i="4" s="1"/>
  <c r="F324" i="4"/>
  <c r="E324" i="4"/>
  <c r="C324" i="4"/>
  <c r="B324" i="4"/>
  <c r="N324" i="4" s="1"/>
  <c r="O324" i="4" s="1"/>
  <c r="AC323" i="4"/>
  <c r="AA323" i="4"/>
  <c r="W323" i="4"/>
  <c r="X323" i="4" s="1"/>
  <c r="U323" i="4"/>
  <c r="R323" i="4"/>
  <c r="O323" i="4"/>
  <c r="N323" i="4"/>
  <c r="L323" i="4"/>
  <c r="I323" i="4"/>
  <c r="H323" i="4"/>
  <c r="F323" i="4"/>
  <c r="C323" i="4"/>
  <c r="AD322" i="4"/>
  <c r="AC322" i="4"/>
  <c r="AA322" i="4"/>
  <c r="W322" i="4"/>
  <c r="X322" i="4" s="1"/>
  <c r="U322" i="4"/>
  <c r="R322" i="4"/>
  <c r="N322" i="4"/>
  <c r="O322" i="4" s="1"/>
  <c r="L322" i="4"/>
  <c r="I322" i="4"/>
  <c r="H322" i="4"/>
  <c r="F322" i="4"/>
  <c r="C322" i="4"/>
  <c r="AD321" i="4"/>
  <c r="AC321" i="4"/>
  <c r="AA321" i="4"/>
  <c r="X321" i="4"/>
  <c r="W321" i="4"/>
  <c r="U321" i="4"/>
  <c r="R321" i="4"/>
  <c r="N321" i="4"/>
  <c r="O321" i="4" s="1"/>
  <c r="L321" i="4"/>
  <c r="I321" i="4"/>
  <c r="H321" i="4"/>
  <c r="F321" i="4"/>
  <c r="C321" i="4"/>
  <c r="AC320" i="4"/>
  <c r="AD320" i="4" s="1"/>
  <c r="AA320" i="4"/>
  <c r="W320" i="4"/>
  <c r="X320" i="4" s="1"/>
  <c r="U320" i="4"/>
  <c r="R320" i="4"/>
  <c r="N320" i="4"/>
  <c r="O320" i="4" s="1"/>
  <c r="L320" i="4"/>
  <c r="I320" i="4"/>
  <c r="H320" i="4"/>
  <c r="F320" i="4"/>
  <c r="C320" i="4"/>
  <c r="AC319" i="4"/>
  <c r="AA319" i="4"/>
  <c r="X319" i="4"/>
  <c r="W319" i="4"/>
  <c r="U319" i="4"/>
  <c r="R319" i="4"/>
  <c r="O319" i="4"/>
  <c r="N319" i="4"/>
  <c r="L319" i="4"/>
  <c r="H319" i="4"/>
  <c r="I319" i="4" s="1"/>
  <c r="F319" i="4"/>
  <c r="C319" i="4"/>
  <c r="AD318" i="4"/>
  <c r="AC318" i="4"/>
  <c r="AA318" i="4"/>
  <c r="W318" i="4"/>
  <c r="X318" i="4" s="1"/>
  <c r="U318" i="4"/>
  <c r="R318" i="4"/>
  <c r="N318" i="4"/>
  <c r="O318" i="4" s="1"/>
  <c r="L318" i="4"/>
  <c r="I318" i="4"/>
  <c r="H318" i="4"/>
  <c r="F318" i="4"/>
  <c r="C318" i="4"/>
  <c r="AD317" i="4"/>
  <c r="AC317" i="4"/>
  <c r="AA317" i="4"/>
  <c r="X317" i="4"/>
  <c r="W317" i="4"/>
  <c r="U317" i="4"/>
  <c r="R317" i="4"/>
  <c r="O317" i="4"/>
  <c r="N317" i="4"/>
  <c r="L317" i="4"/>
  <c r="I317" i="4"/>
  <c r="H317" i="4"/>
  <c r="F317" i="4"/>
  <c r="C317" i="4"/>
  <c r="AC316" i="4"/>
  <c r="AD316" i="4" s="1"/>
  <c r="AA316" i="4"/>
  <c r="W316" i="4"/>
  <c r="X316" i="4" s="1"/>
  <c r="U316" i="4"/>
  <c r="R316" i="4"/>
  <c r="N316" i="4"/>
  <c r="O316" i="4" s="1"/>
  <c r="L316" i="4"/>
  <c r="I316" i="4"/>
  <c r="H316" i="4"/>
  <c r="F316" i="4"/>
  <c r="C316" i="4"/>
  <c r="AC315" i="4"/>
  <c r="AA315" i="4"/>
  <c r="W315" i="4"/>
  <c r="X315" i="4" s="1"/>
  <c r="U315" i="4"/>
  <c r="R315" i="4"/>
  <c r="O315" i="4"/>
  <c r="N315" i="4"/>
  <c r="L315" i="4"/>
  <c r="H315" i="4"/>
  <c r="I315" i="4" s="1"/>
  <c r="F315" i="4"/>
  <c r="C315" i="4"/>
  <c r="AD314" i="4"/>
  <c r="AC314" i="4"/>
  <c r="AA314" i="4"/>
  <c r="W314" i="4"/>
  <c r="X314" i="4" s="1"/>
  <c r="U314" i="4"/>
  <c r="R314" i="4"/>
  <c r="N314" i="4"/>
  <c r="O314" i="4" s="1"/>
  <c r="L314" i="4"/>
  <c r="I314" i="4"/>
  <c r="H314" i="4"/>
  <c r="F314" i="4"/>
  <c r="C314" i="4"/>
  <c r="AD313" i="4"/>
  <c r="AC313" i="4"/>
  <c r="AA313" i="4"/>
  <c r="X313" i="4"/>
  <c r="W313" i="4"/>
  <c r="U313" i="4"/>
  <c r="R313" i="4"/>
  <c r="O313" i="4"/>
  <c r="N313" i="4"/>
  <c r="L313" i="4"/>
  <c r="I313" i="4"/>
  <c r="H313" i="4"/>
  <c r="F313" i="4"/>
  <c r="C313" i="4"/>
  <c r="AD312" i="4"/>
  <c r="AC312" i="4"/>
  <c r="AA312" i="4"/>
  <c r="W312" i="4"/>
  <c r="X312" i="4" s="1"/>
  <c r="U312" i="4"/>
  <c r="R312" i="4"/>
  <c r="N312" i="4"/>
  <c r="O312" i="4" s="1"/>
  <c r="L312" i="4"/>
  <c r="I312" i="4"/>
  <c r="H312" i="4"/>
  <c r="F312" i="4"/>
  <c r="C312" i="4"/>
  <c r="AC311" i="4"/>
  <c r="AA311" i="4"/>
  <c r="X311" i="4"/>
  <c r="W311" i="4"/>
  <c r="U311" i="4"/>
  <c r="R311" i="4"/>
  <c r="O311" i="4"/>
  <c r="N311" i="4"/>
  <c r="L311" i="4"/>
  <c r="H311" i="4"/>
  <c r="I311" i="4" s="1"/>
  <c r="F311" i="4"/>
  <c r="C311" i="4"/>
  <c r="AD310" i="4"/>
  <c r="AC310" i="4"/>
  <c r="AA310" i="4"/>
  <c r="W310" i="4"/>
  <c r="X310" i="4" s="1"/>
  <c r="U310" i="4"/>
  <c r="R310" i="4"/>
  <c r="N310" i="4"/>
  <c r="O310" i="4" s="1"/>
  <c r="L310" i="4"/>
  <c r="I310" i="4"/>
  <c r="H310" i="4"/>
  <c r="F310" i="4"/>
  <c r="C310" i="4"/>
  <c r="AD309" i="4"/>
  <c r="AC309" i="4"/>
  <c r="AA309" i="4"/>
  <c r="X309" i="4"/>
  <c r="W309" i="4"/>
  <c r="U309" i="4"/>
  <c r="R309" i="4"/>
  <c r="O309" i="4"/>
  <c r="N309" i="4"/>
  <c r="L309" i="4"/>
  <c r="I309" i="4"/>
  <c r="H309" i="4"/>
  <c r="F309" i="4"/>
  <c r="C309" i="4"/>
  <c r="AC308" i="4"/>
  <c r="AD308" i="4" s="1"/>
  <c r="AA308" i="4"/>
  <c r="W308" i="4"/>
  <c r="X308" i="4" s="1"/>
  <c r="U308" i="4"/>
  <c r="R308" i="4"/>
  <c r="N308" i="4"/>
  <c r="O308" i="4" s="1"/>
  <c r="L308" i="4"/>
  <c r="I308" i="4"/>
  <c r="H308" i="4"/>
  <c r="F308" i="4"/>
  <c r="C308" i="4"/>
  <c r="AC307" i="4"/>
  <c r="AA307" i="4"/>
  <c r="X307" i="4"/>
  <c r="W307" i="4"/>
  <c r="U307" i="4"/>
  <c r="R307" i="4"/>
  <c r="O307" i="4"/>
  <c r="N307" i="4"/>
  <c r="L307" i="4"/>
  <c r="I307" i="4"/>
  <c r="H307" i="4"/>
  <c r="F307" i="4"/>
  <c r="C307" i="4"/>
  <c r="AD306" i="4"/>
  <c r="AC306" i="4"/>
  <c r="AA306" i="4"/>
  <c r="W306" i="4"/>
  <c r="X306" i="4" s="1"/>
  <c r="U306" i="4"/>
  <c r="R306" i="4"/>
  <c r="N306" i="4"/>
  <c r="O306" i="4" s="1"/>
  <c r="L306" i="4"/>
  <c r="I306" i="4"/>
  <c r="H306" i="4"/>
  <c r="F306" i="4"/>
  <c r="C306" i="4"/>
  <c r="AD305" i="4"/>
  <c r="AC305" i="4"/>
  <c r="AA305" i="4"/>
  <c r="X305" i="4"/>
  <c r="W305" i="4"/>
  <c r="U305" i="4"/>
  <c r="R305" i="4"/>
  <c r="N305" i="4"/>
  <c r="O305" i="4" s="1"/>
  <c r="L305" i="4"/>
  <c r="I305" i="4"/>
  <c r="H305" i="4"/>
  <c r="F305" i="4"/>
  <c r="C305" i="4"/>
  <c r="AD304" i="4"/>
  <c r="AC304" i="4"/>
  <c r="AA304" i="4"/>
  <c r="W304" i="4"/>
  <c r="X304" i="4" s="1"/>
  <c r="U304" i="4"/>
  <c r="R304" i="4"/>
  <c r="N304" i="4"/>
  <c r="O304" i="4" s="1"/>
  <c r="L304" i="4"/>
  <c r="I304" i="4"/>
  <c r="H304" i="4"/>
  <c r="F304" i="4"/>
  <c r="C304" i="4"/>
  <c r="AC303" i="4"/>
  <c r="AA303" i="4"/>
  <c r="X303" i="4"/>
  <c r="W303" i="4"/>
  <c r="U303" i="4"/>
  <c r="R303" i="4"/>
  <c r="O303" i="4"/>
  <c r="N303" i="4"/>
  <c r="L303" i="4"/>
  <c r="H303" i="4"/>
  <c r="I303" i="4" s="1"/>
  <c r="F303" i="4"/>
  <c r="C303" i="4"/>
  <c r="AD302" i="4"/>
  <c r="AC302" i="4"/>
  <c r="AA302" i="4"/>
  <c r="W302" i="4"/>
  <c r="X302" i="4" s="1"/>
  <c r="U302" i="4"/>
  <c r="R302" i="4"/>
  <c r="N302" i="4"/>
  <c r="O302" i="4" s="1"/>
  <c r="L302" i="4"/>
  <c r="I302" i="4"/>
  <c r="H302" i="4"/>
  <c r="F302" i="4"/>
  <c r="C302" i="4"/>
  <c r="AD301" i="4"/>
  <c r="AC301" i="4"/>
  <c r="AA301" i="4"/>
  <c r="X301" i="4"/>
  <c r="W301" i="4"/>
  <c r="U301" i="4"/>
  <c r="R301" i="4"/>
  <c r="N301" i="4"/>
  <c r="O301" i="4" s="1"/>
  <c r="L301" i="4"/>
  <c r="I301" i="4"/>
  <c r="H301" i="4"/>
  <c r="F301" i="4"/>
  <c r="C301" i="4"/>
  <c r="AD300" i="4"/>
  <c r="AC300" i="4"/>
  <c r="AA300" i="4"/>
  <c r="W300" i="4"/>
  <c r="X300" i="4" s="1"/>
  <c r="U300" i="4"/>
  <c r="R300" i="4"/>
  <c r="N300" i="4"/>
  <c r="O300" i="4" s="1"/>
  <c r="L300" i="4"/>
  <c r="I300" i="4"/>
  <c r="H300" i="4"/>
  <c r="F300" i="4"/>
  <c r="C300" i="4"/>
  <c r="AC299" i="4"/>
  <c r="AA299" i="4"/>
  <c r="W299" i="4"/>
  <c r="X299" i="4" s="1"/>
  <c r="U299" i="4"/>
  <c r="R299" i="4"/>
  <c r="O299" i="4"/>
  <c r="N299" i="4"/>
  <c r="L299" i="4"/>
  <c r="I299" i="4"/>
  <c r="H299" i="4"/>
  <c r="F299" i="4"/>
  <c r="C299" i="4"/>
  <c r="AC298" i="4"/>
  <c r="AD298" i="4" s="1"/>
  <c r="AA298" i="4"/>
  <c r="W298" i="4"/>
  <c r="X298" i="4" s="1"/>
  <c r="U298" i="4"/>
  <c r="R298" i="4"/>
  <c r="N298" i="4"/>
  <c r="O298" i="4" s="1"/>
  <c r="L298" i="4"/>
  <c r="I298" i="4"/>
  <c r="H298" i="4"/>
  <c r="F298" i="4"/>
  <c r="C298" i="4"/>
  <c r="AD297" i="4"/>
  <c r="AC297" i="4"/>
  <c r="AA297" i="4"/>
  <c r="X297" i="4"/>
  <c r="W297" i="4"/>
  <c r="U297" i="4"/>
  <c r="R297" i="4"/>
  <c r="O297" i="4"/>
  <c r="N297" i="4"/>
  <c r="L297" i="4"/>
  <c r="I297" i="4"/>
  <c r="H297" i="4"/>
  <c r="F297" i="4"/>
  <c r="C297" i="4"/>
  <c r="AA295" i="4"/>
  <c r="Z295" i="4"/>
  <c r="U295" i="4"/>
  <c r="T295" i="4"/>
  <c r="R295" i="4"/>
  <c r="Q295" i="4"/>
  <c r="W295" i="4" s="1"/>
  <c r="X295" i="4" s="1"/>
  <c r="K295" i="4"/>
  <c r="L295" i="4" s="1"/>
  <c r="F295" i="4"/>
  <c r="E295" i="4"/>
  <c r="C295" i="4"/>
  <c r="B295" i="4"/>
  <c r="H295" i="4" s="1"/>
  <c r="I295" i="4" s="1"/>
  <c r="AD294" i="4"/>
  <c r="AC294" i="4"/>
  <c r="AA294" i="4"/>
  <c r="W294" i="4"/>
  <c r="X294" i="4" s="1"/>
  <c r="U294" i="4"/>
  <c r="R294" i="4"/>
  <c r="N294" i="4"/>
  <c r="O294" i="4" s="1"/>
  <c r="L294" i="4"/>
  <c r="I294" i="4"/>
  <c r="H294" i="4"/>
  <c r="F294" i="4"/>
  <c r="C294" i="4"/>
  <c r="AD293" i="4"/>
  <c r="AC293" i="4"/>
  <c r="AA293" i="4"/>
  <c r="X293" i="4"/>
  <c r="W293" i="4"/>
  <c r="U293" i="4"/>
  <c r="R293" i="4"/>
  <c r="O293" i="4"/>
  <c r="N293" i="4"/>
  <c r="L293" i="4"/>
  <c r="H293" i="4"/>
  <c r="I293" i="4" s="1"/>
  <c r="F293" i="4"/>
  <c r="C293" i="4"/>
  <c r="AC292" i="4"/>
  <c r="AD292" i="4" s="1"/>
  <c r="AA292" i="4"/>
  <c r="W292" i="4"/>
  <c r="X292" i="4" s="1"/>
  <c r="U292" i="4"/>
  <c r="R292" i="4"/>
  <c r="N292" i="4"/>
  <c r="O292" i="4" s="1"/>
  <c r="L292" i="4"/>
  <c r="I292" i="4"/>
  <c r="H292" i="4"/>
  <c r="F292" i="4"/>
  <c r="C292" i="4"/>
  <c r="AC291" i="4"/>
  <c r="AA291" i="4"/>
  <c r="X291" i="4"/>
  <c r="W291" i="4"/>
  <c r="U291" i="4"/>
  <c r="R291" i="4"/>
  <c r="O291" i="4"/>
  <c r="N291" i="4"/>
  <c r="L291" i="4"/>
  <c r="I291" i="4"/>
  <c r="H291" i="4"/>
  <c r="F291" i="4"/>
  <c r="C291" i="4"/>
  <c r="AD290" i="4"/>
  <c r="AC290" i="4"/>
  <c r="AA290" i="4"/>
  <c r="W290" i="4"/>
  <c r="X290" i="4" s="1"/>
  <c r="U290" i="4"/>
  <c r="R290" i="4"/>
  <c r="N290" i="4"/>
  <c r="O290" i="4" s="1"/>
  <c r="L290" i="4"/>
  <c r="I290" i="4"/>
  <c r="H290" i="4"/>
  <c r="F290" i="4"/>
  <c r="C290" i="4"/>
  <c r="AD289" i="4"/>
  <c r="AC289" i="4"/>
  <c r="AA289" i="4"/>
  <c r="X289" i="4"/>
  <c r="W289" i="4"/>
  <c r="U289" i="4"/>
  <c r="R289" i="4"/>
  <c r="N289" i="4"/>
  <c r="O289" i="4" s="1"/>
  <c r="L289" i="4"/>
  <c r="I289" i="4"/>
  <c r="H289" i="4"/>
  <c r="F289" i="4"/>
  <c r="C289" i="4"/>
  <c r="AC288" i="4"/>
  <c r="AD288" i="4" s="1"/>
  <c r="AA288" i="4"/>
  <c r="W288" i="4"/>
  <c r="X288" i="4" s="1"/>
  <c r="U288" i="4"/>
  <c r="R288" i="4"/>
  <c r="N288" i="4"/>
  <c r="O288" i="4" s="1"/>
  <c r="L288" i="4"/>
  <c r="I288" i="4"/>
  <c r="H288" i="4"/>
  <c r="F288" i="4"/>
  <c r="C288" i="4"/>
  <c r="AC287" i="4"/>
  <c r="AD287" i="4" s="1"/>
  <c r="AA287" i="4"/>
  <c r="X287" i="4"/>
  <c r="W287" i="4"/>
  <c r="U287" i="4"/>
  <c r="R287" i="4"/>
  <c r="O287" i="4"/>
  <c r="N287" i="4"/>
  <c r="L287" i="4"/>
  <c r="H287" i="4"/>
  <c r="I287" i="4" s="1"/>
  <c r="F287" i="4"/>
  <c r="C287" i="4"/>
  <c r="AC286" i="4"/>
  <c r="AD286" i="4" s="1"/>
  <c r="AA286" i="4"/>
  <c r="W286" i="4"/>
  <c r="X286" i="4" s="1"/>
  <c r="U286" i="4"/>
  <c r="R286" i="4"/>
  <c r="N286" i="4"/>
  <c r="O286" i="4" s="1"/>
  <c r="L286" i="4"/>
  <c r="H286" i="4"/>
  <c r="I286" i="4" s="1"/>
  <c r="F286" i="4"/>
  <c r="C286" i="4"/>
  <c r="Z284" i="4"/>
  <c r="AA284" i="4" s="1"/>
  <c r="U284" i="4"/>
  <c r="T284" i="4"/>
  <c r="R284" i="4"/>
  <c r="Q284" i="4"/>
  <c r="W284" i="4" s="1"/>
  <c r="X284" i="4" s="1"/>
  <c r="N284" i="4"/>
  <c r="O284" i="4" s="1"/>
  <c r="K284" i="4"/>
  <c r="L284" i="4" s="1"/>
  <c r="F284" i="4"/>
  <c r="E284" i="4"/>
  <c r="C284" i="4"/>
  <c r="B284" i="4"/>
  <c r="H284" i="4" s="1"/>
  <c r="I284" i="4" s="1"/>
  <c r="AC283" i="4"/>
  <c r="AD283" i="4" s="1"/>
  <c r="AA283" i="4"/>
  <c r="X283" i="4"/>
  <c r="W283" i="4"/>
  <c r="U283" i="4"/>
  <c r="R283" i="4"/>
  <c r="O283" i="4"/>
  <c r="N283" i="4"/>
  <c r="L283" i="4"/>
  <c r="H283" i="4"/>
  <c r="I283" i="4" s="1"/>
  <c r="F283" i="4"/>
  <c r="C283" i="4"/>
  <c r="AC282" i="4"/>
  <c r="AD282" i="4" s="1"/>
  <c r="AA282" i="4"/>
  <c r="W282" i="4"/>
  <c r="X282" i="4" s="1"/>
  <c r="U282" i="4"/>
  <c r="R282" i="4"/>
  <c r="N282" i="4"/>
  <c r="O282" i="4" s="1"/>
  <c r="L282" i="4"/>
  <c r="H282" i="4"/>
  <c r="I282" i="4" s="1"/>
  <c r="F282" i="4"/>
  <c r="C282" i="4"/>
  <c r="AD281" i="4"/>
  <c r="AC281" i="4"/>
  <c r="AA281" i="4"/>
  <c r="X281" i="4"/>
  <c r="W281" i="4"/>
  <c r="U281" i="4"/>
  <c r="R281" i="4"/>
  <c r="N281" i="4"/>
  <c r="O281" i="4" s="1"/>
  <c r="L281" i="4"/>
  <c r="I281" i="4"/>
  <c r="H281" i="4"/>
  <c r="F281" i="4"/>
  <c r="C281" i="4"/>
  <c r="AD280" i="4"/>
  <c r="AC280" i="4"/>
  <c r="AA280" i="4"/>
  <c r="W280" i="4"/>
  <c r="X280" i="4" s="1"/>
  <c r="U280" i="4"/>
  <c r="R280" i="4"/>
  <c r="N280" i="4"/>
  <c r="O280" i="4" s="1"/>
  <c r="L280" i="4"/>
  <c r="H280" i="4"/>
  <c r="I280" i="4" s="1"/>
  <c r="F280" i="4"/>
  <c r="C280" i="4"/>
  <c r="AC279" i="4"/>
  <c r="AD279" i="4" s="1"/>
  <c r="AA279" i="4"/>
  <c r="W279" i="4"/>
  <c r="X279" i="4" s="1"/>
  <c r="U279" i="4"/>
  <c r="R279" i="4"/>
  <c r="O279" i="4"/>
  <c r="N279" i="4"/>
  <c r="L279" i="4"/>
  <c r="H279" i="4"/>
  <c r="I279" i="4" s="1"/>
  <c r="F279" i="4"/>
  <c r="C279" i="4"/>
  <c r="AD278" i="4"/>
  <c r="AC278" i="4"/>
  <c r="AA278" i="4"/>
  <c r="W278" i="4"/>
  <c r="X278" i="4" s="1"/>
  <c r="U278" i="4"/>
  <c r="R278" i="4"/>
  <c r="O278" i="4"/>
  <c r="N278" i="4"/>
  <c r="L278" i="4"/>
  <c r="H278" i="4"/>
  <c r="I278" i="4" s="1"/>
  <c r="F278" i="4"/>
  <c r="C278" i="4"/>
  <c r="AC277" i="4"/>
  <c r="AD277" i="4" s="1"/>
  <c r="AA277" i="4"/>
  <c r="X277" i="4"/>
  <c r="W277" i="4"/>
  <c r="U277" i="4"/>
  <c r="R277" i="4"/>
  <c r="O277" i="4"/>
  <c r="N277" i="4"/>
  <c r="L277" i="4"/>
  <c r="I277" i="4"/>
  <c r="H277" i="4"/>
  <c r="F277" i="4"/>
  <c r="C277" i="4"/>
  <c r="AD276" i="4"/>
  <c r="AC276" i="4"/>
  <c r="AA276" i="4"/>
  <c r="W276" i="4"/>
  <c r="X276" i="4" s="1"/>
  <c r="U276" i="4"/>
  <c r="R276" i="4"/>
  <c r="N276" i="4"/>
  <c r="O276" i="4" s="1"/>
  <c r="L276" i="4"/>
  <c r="I276" i="4"/>
  <c r="H276" i="4"/>
  <c r="F276" i="4"/>
  <c r="C276" i="4"/>
  <c r="AC275" i="4"/>
  <c r="AD275" i="4" s="1"/>
  <c r="AA275" i="4"/>
  <c r="W275" i="4"/>
  <c r="X275" i="4" s="1"/>
  <c r="U275" i="4"/>
  <c r="R275" i="4"/>
  <c r="O275" i="4"/>
  <c r="N275" i="4"/>
  <c r="L275" i="4"/>
  <c r="I275" i="4"/>
  <c r="H275" i="4"/>
  <c r="F275" i="4"/>
  <c r="C275" i="4"/>
  <c r="AC273" i="4"/>
  <c r="AD273" i="4" s="1"/>
  <c r="Z273" i="4"/>
  <c r="AA273" i="4" s="1"/>
  <c r="T273" i="4"/>
  <c r="R273" i="4"/>
  <c r="Q273" i="4"/>
  <c r="K273" i="4"/>
  <c r="L273" i="4" s="1"/>
  <c r="E273" i="4"/>
  <c r="B273" i="4"/>
  <c r="C273" i="4" s="1"/>
  <c r="AC272" i="4"/>
  <c r="AD272" i="4" s="1"/>
  <c r="AA272" i="4"/>
  <c r="W272" i="4"/>
  <c r="X272" i="4" s="1"/>
  <c r="U272" i="4"/>
  <c r="R272" i="4"/>
  <c r="N272" i="4"/>
  <c r="O272" i="4" s="1"/>
  <c r="L272" i="4"/>
  <c r="H272" i="4"/>
  <c r="I272" i="4" s="1"/>
  <c r="F272" i="4"/>
  <c r="C272" i="4"/>
  <c r="AC271" i="4"/>
  <c r="AD271" i="4" s="1"/>
  <c r="AA271" i="4"/>
  <c r="X271" i="4"/>
  <c r="W271" i="4"/>
  <c r="U271" i="4"/>
  <c r="R271" i="4"/>
  <c r="O271" i="4"/>
  <c r="N271" i="4"/>
  <c r="L271" i="4"/>
  <c r="I271" i="4"/>
  <c r="H271" i="4"/>
  <c r="F271" i="4"/>
  <c r="C271" i="4"/>
  <c r="AD270" i="4"/>
  <c r="AC270" i="4"/>
  <c r="AA270" i="4"/>
  <c r="W270" i="4"/>
  <c r="X270" i="4" s="1"/>
  <c r="U270" i="4"/>
  <c r="R270" i="4"/>
  <c r="N270" i="4"/>
  <c r="O270" i="4" s="1"/>
  <c r="L270" i="4"/>
  <c r="H270" i="4"/>
  <c r="I270" i="4" s="1"/>
  <c r="F270" i="4"/>
  <c r="C270" i="4"/>
  <c r="AD269" i="4"/>
  <c r="AC269" i="4"/>
  <c r="AA269" i="4"/>
  <c r="X269" i="4"/>
  <c r="W269" i="4"/>
  <c r="U269" i="4"/>
  <c r="R269" i="4"/>
  <c r="N269" i="4"/>
  <c r="O269" i="4" s="1"/>
  <c r="L269" i="4"/>
  <c r="H269" i="4"/>
  <c r="I269" i="4" s="1"/>
  <c r="F269" i="4"/>
  <c r="C269" i="4"/>
  <c r="AA267" i="4"/>
  <c r="Z267" i="4"/>
  <c r="T267" i="4"/>
  <c r="U267" i="4" s="1"/>
  <c r="Q267" i="4"/>
  <c r="W267" i="4" s="1"/>
  <c r="X267" i="4" s="1"/>
  <c r="N267" i="4"/>
  <c r="O267" i="4" s="1"/>
  <c r="L267" i="4"/>
  <c r="K267" i="4"/>
  <c r="E267" i="4"/>
  <c r="F267" i="4" s="1"/>
  <c r="B267" i="4"/>
  <c r="AC266" i="4"/>
  <c r="AD266" i="4" s="1"/>
  <c r="AA266" i="4"/>
  <c r="W266" i="4"/>
  <c r="X266" i="4" s="1"/>
  <c r="U266" i="4"/>
  <c r="R266" i="4"/>
  <c r="N266" i="4"/>
  <c r="O266" i="4" s="1"/>
  <c r="L266" i="4"/>
  <c r="H266" i="4"/>
  <c r="I266" i="4" s="1"/>
  <c r="F266" i="4"/>
  <c r="C266" i="4"/>
  <c r="AC265" i="4"/>
  <c r="AD265" i="4" s="1"/>
  <c r="AA265" i="4"/>
  <c r="X265" i="4"/>
  <c r="W265" i="4"/>
  <c r="U265" i="4"/>
  <c r="R265" i="4"/>
  <c r="N265" i="4"/>
  <c r="O265" i="4" s="1"/>
  <c r="L265" i="4"/>
  <c r="H265" i="4"/>
  <c r="I265" i="4" s="1"/>
  <c r="F265" i="4"/>
  <c r="C265" i="4"/>
  <c r="Z263" i="4"/>
  <c r="AA263" i="4" s="1"/>
  <c r="W263" i="4"/>
  <c r="X263" i="4" s="1"/>
  <c r="T263" i="4"/>
  <c r="U263" i="4" s="1"/>
  <c r="R263" i="4"/>
  <c r="Q263" i="4"/>
  <c r="AC263" i="4" s="1"/>
  <c r="AD263" i="4" s="1"/>
  <c r="L263" i="4"/>
  <c r="K263" i="4"/>
  <c r="F263" i="4"/>
  <c r="E263" i="4"/>
  <c r="C263" i="4"/>
  <c r="B263" i="4"/>
  <c r="H263" i="4" s="1"/>
  <c r="I263" i="4" s="1"/>
  <c r="AC262" i="4"/>
  <c r="AD262" i="4" s="1"/>
  <c r="Z262" i="4"/>
  <c r="AA262" i="4" s="1"/>
  <c r="T262" i="4"/>
  <c r="R262" i="4"/>
  <c r="Q262" i="4"/>
  <c r="K262" i="4"/>
  <c r="L262" i="4" s="1"/>
  <c r="E262" i="4"/>
  <c r="B262" i="4"/>
  <c r="C262" i="4" s="1"/>
  <c r="AC261" i="4"/>
  <c r="AD261" i="4" s="1"/>
  <c r="AA261" i="4"/>
  <c r="W261" i="4"/>
  <c r="X261" i="4" s="1"/>
  <c r="U261" i="4"/>
  <c r="R261" i="4"/>
  <c r="N261" i="4"/>
  <c r="O261" i="4" s="1"/>
  <c r="L261" i="4"/>
  <c r="H261" i="4"/>
  <c r="I261" i="4" s="1"/>
  <c r="F261" i="4"/>
  <c r="C261" i="4"/>
  <c r="AC260" i="4"/>
  <c r="AD260" i="4" s="1"/>
  <c r="AA260" i="4"/>
  <c r="X260" i="4"/>
  <c r="W260" i="4"/>
  <c r="U260" i="4"/>
  <c r="R260" i="4"/>
  <c r="O260" i="4"/>
  <c r="N260" i="4"/>
  <c r="L260" i="4"/>
  <c r="I260" i="4"/>
  <c r="H260" i="4"/>
  <c r="F260" i="4"/>
  <c r="C260" i="4"/>
  <c r="AD259" i="4"/>
  <c r="AC259" i="4"/>
  <c r="AA259" i="4"/>
  <c r="W259" i="4"/>
  <c r="X259" i="4" s="1"/>
  <c r="U259" i="4"/>
  <c r="R259" i="4"/>
  <c r="N259" i="4"/>
  <c r="O259" i="4" s="1"/>
  <c r="L259" i="4"/>
  <c r="H259" i="4"/>
  <c r="I259" i="4" s="1"/>
  <c r="F259" i="4"/>
  <c r="C259" i="4"/>
  <c r="AD258" i="4"/>
  <c r="AC258" i="4"/>
  <c r="AA258" i="4"/>
  <c r="X258" i="4"/>
  <c r="W258" i="4"/>
  <c r="U258" i="4"/>
  <c r="R258" i="4"/>
  <c r="N258" i="4"/>
  <c r="O258" i="4" s="1"/>
  <c r="L258" i="4"/>
  <c r="H258" i="4"/>
  <c r="I258" i="4" s="1"/>
  <c r="F258" i="4"/>
  <c r="C258" i="4"/>
  <c r="AD257" i="4"/>
  <c r="AC257" i="4"/>
  <c r="AA257" i="4"/>
  <c r="X257" i="4"/>
  <c r="W257" i="4"/>
  <c r="U257" i="4"/>
  <c r="R257" i="4"/>
  <c r="N257" i="4"/>
  <c r="O257" i="4" s="1"/>
  <c r="L257" i="4"/>
  <c r="H257" i="4"/>
  <c r="I257" i="4" s="1"/>
  <c r="F257" i="4"/>
  <c r="C257" i="4"/>
  <c r="AC256" i="4"/>
  <c r="AD256" i="4" s="1"/>
  <c r="AA256" i="4"/>
  <c r="X256" i="4"/>
  <c r="W256" i="4"/>
  <c r="U256" i="4"/>
  <c r="R256" i="4"/>
  <c r="O256" i="4"/>
  <c r="N256" i="4"/>
  <c r="L256" i="4"/>
  <c r="I256" i="4"/>
  <c r="H256" i="4"/>
  <c r="F256" i="4"/>
  <c r="C256" i="4"/>
  <c r="AD255" i="4"/>
  <c r="AC255" i="4"/>
  <c r="AA255" i="4"/>
  <c r="W255" i="4"/>
  <c r="X255" i="4" s="1"/>
  <c r="U255" i="4"/>
  <c r="R255" i="4"/>
  <c r="O255" i="4"/>
  <c r="N255" i="4"/>
  <c r="L255" i="4"/>
  <c r="I255" i="4"/>
  <c r="H255" i="4"/>
  <c r="F255" i="4"/>
  <c r="C255" i="4"/>
  <c r="AD254" i="4"/>
  <c r="AC254" i="4"/>
  <c r="AA254" i="4"/>
  <c r="X254" i="4"/>
  <c r="W254" i="4"/>
  <c r="U254" i="4"/>
  <c r="R254" i="4"/>
  <c r="O254" i="4"/>
  <c r="N254" i="4"/>
  <c r="L254" i="4"/>
  <c r="H254" i="4"/>
  <c r="I254" i="4" s="1"/>
  <c r="F254" i="4"/>
  <c r="C254" i="4"/>
  <c r="AC253" i="4"/>
  <c r="AD253" i="4" s="1"/>
  <c r="AA253" i="4"/>
  <c r="X253" i="4"/>
  <c r="W253" i="4"/>
  <c r="U253" i="4"/>
  <c r="R253" i="4"/>
  <c r="N253" i="4"/>
  <c r="O253" i="4" s="1"/>
  <c r="L253" i="4"/>
  <c r="I253" i="4"/>
  <c r="H253" i="4"/>
  <c r="F253" i="4"/>
  <c r="C253" i="4"/>
  <c r="AC252" i="4"/>
  <c r="AA252" i="4"/>
  <c r="W252" i="4"/>
  <c r="X252" i="4" s="1"/>
  <c r="U252" i="4"/>
  <c r="R252" i="4"/>
  <c r="O252" i="4"/>
  <c r="N252" i="4"/>
  <c r="L252" i="4"/>
  <c r="I252" i="4"/>
  <c r="H252" i="4"/>
  <c r="F252" i="4"/>
  <c r="C252" i="4"/>
  <c r="AC251" i="4"/>
  <c r="AD251" i="4" s="1"/>
  <c r="AA251" i="4"/>
  <c r="W251" i="4"/>
  <c r="X251" i="4" s="1"/>
  <c r="U251" i="4"/>
  <c r="R251" i="4"/>
  <c r="N251" i="4"/>
  <c r="O251" i="4" s="1"/>
  <c r="L251" i="4"/>
  <c r="I251" i="4"/>
  <c r="H251" i="4"/>
  <c r="F251" i="4"/>
  <c r="C251" i="4"/>
  <c r="AC250" i="4"/>
  <c r="AD250" i="4" s="1"/>
  <c r="AA250" i="4"/>
  <c r="X250" i="4"/>
  <c r="W250" i="4"/>
  <c r="U250" i="4"/>
  <c r="R250" i="4"/>
  <c r="O250" i="4"/>
  <c r="N250" i="4"/>
  <c r="L250" i="4"/>
  <c r="I250" i="4"/>
  <c r="H250" i="4"/>
  <c r="F250" i="4"/>
  <c r="C250" i="4"/>
  <c r="AD249" i="4"/>
  <c r="AC249" i="4"/>
  <c r="AA249" i="4"/>
  <c r="W249" i="4"/>
  <c r="X249" i="4" s="1"/>
  <c r="U249" i="4"/>
  <c r="R249" i="4"/>
  <c r="N249" i="4"/>
  <c r="O249" i="4" s="1"/>
  <c r="L249" i="4"/>
  <c r="I249" i="4"/>
  <c r="H249" i="4"/>
  <c r="F249" i="4"/>
  <c r="C249" i="4"/>
  <c r="AC248" i="4"/>
  <c r="AD248" i="4" s="1"/>
  <c r="AA248" i="4"/>
  <c r="W248" i="4"/>
  <c r="X248" i="4" s="1"/>
  <c r="U248" i="4"/>
  <c r="R248" i="4"/>
  <c r="O248" i="4"/>
  <c r="N248" i="4"/>
  <c r="L248" i="4"/>
  <c r="I248" i="4"/>
  <c r="H248" i="4"/>
  <c r="F248" i="4"/>
  <c r="C248" i="4"/>
  <c r="AC247" i="4"/>
  <c r="AD247" i="4" s="1"/>
  <c r="AA247" i="4"/>
  <c r="W247" i="4"/>
  <c r="X247" i="4" s="1"/>
  <c r="U247" i="4"/>
  <c r="R247" i="4"/>
  <c r="O247" i="4"/>
  <c r="N247" i="4"/>
  <c r="L247" i="4"/>
  <c r="I247" i="4"/>
  <c r="H247" i="4"/>
  <c r="F247" i="4"/>
  <c r="C247" i="4"/>
  <c r="AC246" i="4"/>
  <c r="AD246" i="4" s="1"/>
  <c r="AA246" i="4"/>
  <c r="X246" i="4"/>
  <c r="W246" i="4"/>
  <c r="U246" i="4"/>
  <c r="R246" i="4"/>
  <c r="O246" i="4"/>
  <c r="N246" i="4"/>
  <c r="L246" i="4"/>
  <c r="I246" i="4"/>
  <c r="H246" i="4"/>
  <c r="F246" i="4"/>
  <c r="C246" i="4"/>
  <c r="AD245" i="4"/>
  <c r="AC245" i="4"/>
  <c r="AA245" i="4"/>
  <c r="X245" i="4"/>
  <c r="W245" i="4"/>
  <c r="U245" i="4"/>
  <c r="R245" i="4"/>
  <c r="N245" i="4"/>
  <c r="O245" i="4" s="1"/>
  <c r="L245" i="4"/>
  <c r="I245" i="4"/>
  <c r="H245" i="4"/>
  <c r="F245" i="4"/>
  <c r="C245" i="4"/>
  <c r="AC244" i="4"/>
  <c r="AD244" i="4" s="1"/>
  <c r="AA244" i="4"/>
  <c r="W244" i="4"/>
  <c r="X244" i="4" s="1"/>
  <c r="U244" i="4"/>
  <c r="R244" i="4"/>
  <c r="O244" i="4"/>
  <c r="N244" i="4"/>
  <c r="L244" i="4"/>
  <c r="H244" i="4"/>
  <c r="I244" i="4" s="1"/>
  <c r="F244" i="4"/>
  <c r="C244" i="4"/>
  <c r="AC243" i="4"/>
  <c r="AD243" i="4" s="1"/>
  <c r="AA243" i="4"/>
  <c r="W243" i="4"/>
  <c r="X243" i="4" s="1"/>
  <c r="U243" i="4"/>
  <c r="R243" i="4"/>
  <c r="O243" i="4"/>
  <c r="N243" i="4"/>
  <c r="L243" i="4"/>
  <c r="H243" i="4"/>
  <c r="I243" i="4" s="1"/>
  <c r="F243" i="4"/>
  <c r="C243" i="4"/>
  <c r="AC242" i="4"/>
  <c r="AD242" i="4" s="1"/>
  <c r="AA242" i="4"/>
  <c r="X242" i="4"/>
  <c r="W242" i="4"/>
  <c r="U242" i="4"/>
  <c r="R242" i="4"/>
  <c r="N242" i="4"/>
  <c r="O242" i="4" s="1"/>
  <c r="L242" i="4"/>
  <c r="H242" i="4"/>
  <c r="I242" i="4" s="1"/>
  <c r="F242" i="4"/>
  <c r="C242" i="4"/>
  <c r="AD241" i="4"/>
  <c r="AC241" i="4"/>
  <c r="AA241" i="4"/>
  <c r="W241" i="4"/>
  <c r="X241" i="4" s="1"/>
  <c r="U241" i="4"/>
  <c r="R241" i="4"/>
  <c r="N241" i="4"/>
  <c r="O241" i="4" s="1"/>
  <c r="L241" i="4"/>
  <c r="H241" i="4"/>
  <c r="I241" i="4" s="1"/>
  <c r="F241" i="4"/>
  <c r="C241" i="4"/>
  <c r="AC240" i="4"/>
  <c r="AD240" i="4" s="1"/>
  <c r="AA240" i="4"/>
  <c r="X240" i="4"/>
  <c r="W240" i="4"/>
  <c r="U240" i="4"/>
  <c r="R240" i="4"/>
  <c r="O240" i="4"/>
  <c r="N240" i="4"/>
  <c r="L240" i="4"/>
  <c r="H240" i="4"/>
  <c r="I240" i="4" s="1"/>
  <c r="F240" i="4"/>
  <c r="C240" i="4"/>
  <c r="AC238" i="4"/>
  <c r="AD238" i="4" s="1"/>
  <c r="AA238" i="4"/>
  <c r="W238" i="4"/>
  <c r="X238" i="4" s="1"/>
  <c r="U238" i="4"/>
  <c r="R238" i="4"/>
  <c r="O238" i="4"/>
  <c r="N238" i="4"/>
  <c r="L238" i="4"/>
  <c r="H238" i="4"/>
  <c r="I238" i="4" s="1"/>
  <c r="F238" i="4"/>
  <c r="C238" i="4"/>
  <c r="AA236" i="4"/>
  <c r="Z236" i="4"/>
  <c r="T236" i="4"/>
  <c r="U236" i="4" s="1"/>
  <c r="Q236" i="4"/>
  <c r="W236" i="4" s="1"/>
  <c r="X236" i="4" s="1"/>
  <c r="N236" i="4"/>
  <c r="O236" i="4" s="1"/>
  <c r="K236" i="4"/>
  <c r="L236" i="4" s="1"/>
  <c r="E236" i="4"/>
  <c r="F236" i="4" s="1"/>
  <c r="C236" i="4"/>
  <c r="B236" i="4"/>
  <c r="AC235" i="4"/>
  <c r="AD235" i="4" s="1"/>
  <c r="AA235" i="4"/>
  <c r="W235" i="4"/>
  <c r="X235" i="4" s="1"/>
  <c r="U235" i="4"/>
  <c r="R235" i="4"/>
  <c r="O235" i="4"/>
  <c r="N235" i="4"/>
  <c r="L235" i="4"/>
  <c r="I235" i="4"/>
  <c r="H235" i="4"/>
  <c r="F235" i="4"/>
  <c r="C235" i="4"/>
  <c r="AC234" i="4"/>
  <c r="AD234" i="4" s="1"/>
  <c r="AA234" i="4"/>
  <c r="W234" i="4"/>
  <c r="X234" i="4" s="1"/>
  <c r="U234" i="4"/>
  <c r="R234" i="4"/>
  <c r="N234" i="4"/>
  <c r="O234" i="4" s="1"/>
  <c r="L234" i="4"/>
  <c r="H234" i="4"/>
  <c r="I234" i="4" s="1"/>
  <c r="F234" i="4"/>
  <c r="C234" i="4"/>
  <c r="AD233" i="4"/>
  <c r="AC233" i="4"/>
  <c r="AA233" i="4"/>
  <c r="X233" i="4"/>
  <c r="W233" i="4"/>
  <c r="U233" i="4"/>
  <c r="R233" i="4"/>
  <c r="O233" i="4"/>
  <c r="N233" i="4"/>
  <c r="L233" i="4"/>
  <c r="H233" i="4"/>
  <c r="I233" i="4" s="1"/>
  <c r="F233" i="4"/>
  <c r="C233" i="4"/>
  <c r="AC232" i="4"/>
  <c r="AD232" i="4" s="1"/>
  <c r="AA232" i="4"/>
  <c r="W232" i="4"/>
  <c r="X232" i="4" s="1"/>
  <c r="U232" i="4"/>
  <c r="R232" i="4"/>
  <c r="N232" i="4"/>
  <c r="O232" i="4" s="1"/>
  <c r="L232" i="4"/>
  <c r="I232" i="4"/>
  <c r="H232" i="4"/>
  <c r="F232" i="4"/>
  <c r="C232" i="4"/>
  <c r="AC231" i="4"/>
  <c r="AD231" i="4" s="1"/>
  <c r="AA231" i="4"/>
  <c r="X231" i="4"/>
  <c r="W231" i="4"/>
  <c r="U231" i="4"/>
  <c r="R231" i="4"/>
  <c r="O231" i="4"/>
  <c r="N231" i="4"/>
  <c r="L231" i="4"/>
  <c r="H231" i="4"/>
  <c r="I231" i="4" s="1"/>
  <c r="F231" i="4"/>
  <c r="C231" i="4"/>
  <c r="AD230" i="4"/>
  <c r="AC230" i="4"/>
  <c r="AA230" i="4"/>
  <c r="W230" i="4"/>
  <c r="X230" i="4" s="1"/>
  <c r="U230" i="4"/>
  <c r="R230" i="4"/>
  <c r="N230" i="4"/>
  <c r="O230" i="4" s="1"/>
  <c r="L230" i="4"/>
  <c r="H230" i="4"/>
  <c r="I230" i="4" s="1"/>
  <c r="F230" i="4"/>
  <c r="C230" i="4"/>
  <c r="AD229" i="4"/>
  <c r="AC229" i="4"/>
  <c r="AA229" i="4"/>
  <c r="X229" i="4"/>
  <c r="W229" i="4"/>
  <c r="U229" i="4"/>
  <c r="R229" i="4"/>
  <c r="N229" i="4"/>
  <c r="O229" i="4" s="1"/>
  <c r="L229" i="4"/>
  <c r="H229" i="4"/>
  <c r="I229" i="4" s="1"/>
  <c r="F229" i="4"/>
  <c r="C229" i="4"/>
  <c r="AA227" i="4"/>
  <c r="Z227" i="4"/>
  <c r="AC227" i="4" s="1"/>
  <c r="AD227" i="4" s="1"/>
  <c r="W227" i="4"/>
  <c r="X227" i="4" s="1"/>
  <c r="T227" i="4"/>
  <c r="U227" i="4" s="1"/>
  <c r="Q227" i="4"/>
  <c r="R227" i="4" s="1"/>
  <c r="N227" i="4"/>
  <c r="O227" i="4" s="1"/>
  <c r="L227" i="4"/>
  <c r="K227" i="4"/>
  <c r="F227" i="4"/>
  <c r="E227" i="4"/>
  <c r="B227" i="4"/>
  <c r="AD226" i="4"/>
  <c r="AC226" i="4"/>
  <c r="AA226" i="4"/>
  <c r="W226" i="4"/>
  <c r="X226" i="4" s="1"/>
  <c r="U226" i="4"/>
  <c r="R226" i="4"/>
  <c r="N226" i="4"/>
  <c r="O226" i="4" s="1"/>
  <c r="L226" i="4"/>
  <c r="H226" i="4"/>
  <c r="I226" i="4" s="1"/>
  <c r="F226" i="4"/>
  <c r="C226" i="4"/>
  <c r="AD225" i="4"/>
  <c r="AC225" i="4"/>
  <c r="AA225" i="4"/>
  <c r="X225" i="4"/>
  <c r="W225" i="4"/>
  <c r="U225" i="4"/>
  <c r="R225" i="4"/>
  <c r="N225" i="4"/>
  <c r="O225" i="4" s="1"/>
  <c r="L225" i="4"/>
  <c r="H225" i="4"/>
  <c r="I225" i="4" s="1"/>
  <c r="F225" i="4"/>
  <c r="C225" i="4"/>
  <c r="AD224" i="4"/>
  <c r="AC224" i="4"/>
  <c r="AA224" i="4"/>
  <c r="X224" i="4"/>
  <c r="W224" i="4"/>
  <c r="U224" i="4"/>
  <c r="R224" i="4"/>
  <c r="N224" i="4"/>
  <c r="O224" i="4" s="1"/>
  <c r="L224" i="4"/>
  <c r="H224" i="4"/>
  <c r="I224" i="4" s="1"/>
  <c r="F224" i="4"/>
  <c r="C224" i="4"/>
  <c r="AC223" i="4"/>
  <c r="AD223" i="4" s="1"/>
  <c r="AA223" i="4"/>
  <c r="W223" i="4"/>
  <c r="X223" i="4" s="1"/>
  <c r="U223" i="4"/>
  <c r="R223" i="4"/>
  <c r="O223" i="4"/>
  <c r="N223" i="4"/>
  <c r="L223" i="4"/>
  <c r="I223" i="4"/>
  <c r="H223" i="4"/>
  <c r="F223" i="4"/>
  <c r="C223" i="4"/>
  <c r="AD222" i="4"/>
  <c r="AC222" i="4"/>
  <c r="AA222" i="4"/>
  <c r="W222" i="4"/>
  <c r="X222" i="4" s="1"/>
  <c r="U222" i="4"/>
  <c r="R222" i="4"/>
  <c r="O222" i="4"/>
  <c r="N222" i="4"/>
  <c r="L222" i="4"/>
  <c r="H222" i="4"/>
  <c r="I222" i="4" s="1"/>
  <c r="F222" i="4"/>
  <c r="C222" i="4"/>
  <c r="AD221" i="4"/>
  <c r="AC221" i="4"/>
  <c r="AA221" i="4"/>
  <c r="X221" i="4"/>
  <c r="W221" i="4"/>
  <c r="U221" i="4"/>
  <c r="R221" i="4"/>
  <c r="N221" i="4"/>
  <c r="O221" i="4" s="1"/>
  <c r="L221" i="4"/>
  <c r="I221" i="4"/>
  <c r="H221" i="4"/>
  <c r="F221" i="4"/>
  <c r="C221" i="4"/>
  <c r="AC220" i="4"/>
  <c r="AD220" i="4" s="1"/>
  <c r="AA220" i="4"/>
  <c r="W220" i="4"/>
  <c r="X220" i="4" s="1"/>
  <c r="U220" i="4"/>
  <c r="R220" i="4"/>
  <c r="N220" i="4"/>
  <c r="O220" i="4" s="1"/>
  <c r="L220" i="4"/>
  <c r="H220" i="4"/>
  <c r="I220" i="4" s="1"/>
  <c r="F220" i="4"/>
  <c r="C220" i="4"/>
  <c r="AC219" i="4"/>
  <c r="AD219" i="4" s="1"/>
  <c r="AA219" i="4"/>
  <c r="X219" i="4"/>
  <c r="W219" i="4"/>
  <c r="U219" i="4"/>
  <c r="R219" i="4"/>
  <c r="O219" i="4"/>
  <c r="N219" i="4"/>
  <c r="L219" i="4"/>
  <c r="I219" i="4"/>
  <c r="H219" i="4"/>
  <c r="F219" i="4"/>
  <c r="C219" i="4"/>
  <c r="AA218" i="4"/>
  <c r="Z218" i="4"/>
  <c r="T218" i="4"/>
  <c r="U218" i="4" s="1"/>
  <c r="Q218" i="4"/>
  <c r="W218" i="4" s="1"/>
  <c r="X218" i="4" s="1"/>
  <c r="L218" i="4"/>
  <c r="K218" i="4"/>
  <c r="I218" i="4"/>
  <c r="H218" i="4"/>
  <c r="E218" i="4"/>
  <c r="F218" i="4" s="1"/>
  <c r="C218" i="4"/>
  <c r="B218" i="4"/>
  <c r="N218" i="4" s="1"/>
  <c r="O218" i="4" s="1"/>
  <c r="AD217" i="4"/>
  <c r="AC217" i="4"/>
  <c r="AA217" i="4"/>
  <c r="X217" i="4"/>
  <c r="W217" i="4"/>
  <c r="U217" i="4"/>
  <c r="R217" i="4"/>
  <c r="N217" i="4"/>
  <c r="O217" i="4" s="1"/>
  <c r="L217" i="4"/>
  <c r="H217" i="4"/>
  <c r="I217" i="4" s="1"/>
  <c r="F217" i="4"/>
  <c r="C217" i="4"/>
  <c r="AC216" i="4"/>
  <c r="AA216" i="4"/>
  <c r="X216" i="4"/>
  <c r="W216" i="4"/>
  <c r="U216" i="4"/>
  <c r="R216" i="4"/>
  <c r="O216" i="4"/>
  <c r="N216" i="4"/>
  <c r="L216" i="4"/>
  <c r="H216" i="4"/>
  <c r="I216" i="4" s="1"/>
  <c r="F216" i="4"/>
  <c r="C216" i="4"/>
  <c r="AD215" i="4"/>
  <c r="AC215" i="4"/>
  <c r="AA215" i="4"/>
  <c r="W215" i="4"/>
  <c r="X215" i="4" s="1"/>
  <c r="U215" i="4"/>
  <c r="R215" i="4"/>
  <c r="O215" i="4"/>
  <c r="N215" i="4"/>
  <c r="L215" i="4"/>
  <c r="I215" i="4"/>
  <c r="H215" i="4"/>
  <c r="F215" i="4"/>
  <c r="C215" i="4"/>
  <c r="AC214" i="4"/>
  <c r="AD214" i="4" s="1"/>
  <c r="AA214" i="4"/>
  <c r="X214" i="4"/>
  <c r="W214" i="4"/>
  <c r="U214" i="4"/>
  <c r="R214" i="4"/>
  <c r="N214" i="4"/>
  <c r="O214" i="4" s="1"/>
  <c r="L214" i="4"/>
  <c r="H214" i="4"/>
  <c r="I214" i="4" s="1"/>
  <c r="F214" i="4"/>
  <c r="C214" i="4"/>
  <c r="AC213" i="4"/>
  <c r="AD213" i="4" s="1"/>
  <c r="AA213" i="4"/>
  <c r="X213" i="4"/>
  <c r="W213" i="4"/>
  <c r="U213" i="4"/>
  <c r="R213" i="4"/>
  <c r="N213" i="4"/>
  <c r="O213" i="4" s="1"/>
  <c r="L213" i="4"/>
  <c r="H213" i="4"/>
  <c r="I213" i="4" s="1"/>
  <c r="F213" i="4"/>
  <c r="C213" i="4"/>
  <c r="AC211" i="4"/>
  <c r="AA211" i="4"/>
  <c r="W211" i="4"/>
  <c r="X211" i="4" s="1"/>
  <c r="U211" i="4"/>
  <c r="R211" i="4"/>
  <c r="O211" i="4"/>
  <c r="N211" i="4"/>
  <c r="L211" i="4"/>
  <c r="I211" i="4"/>
  <c r="H211" i="4"/>
  <c r="F211" i="4"/>
  <c r="C211" i="4"/>
  <c r="AC209" i="4"/>
  <c r="AD209" i="4" s="1"/>
  <c r="AA209" i="4"/>
  <c r="Z209" i="4"/>
  <c r="T209" i="4"/>
  <c r="U209" i="4" s="1"/>
  <c r="Q209" i="4"/>
  <c r="W209" i="4" s="1"/>
  <c r="X209" i="4" s="1"/>
  <c r="K209" i="4"/>
  <c r="L209" i="4" s="1"/>
  <c r="E209" i="4"/>
  <c r="B209" i="4"/>
  <c r="C209" i="4" s="1"/>
  <c r="AD208" i="4"/>
  <c r="AC208" i="4"/>
  <c r="AA208" i="4"/>
  <c r="X208" i="4"/>
  <c r="W208" i="4"/>
  <c r="U208" i="4"/>
  <c r="R208" i="4"/>
  <c r="N208" i="4"/>
  <c r="O208" i="4" s="1"/>
  <c r="L208" i="4"/>
  <c r="H208" i="4"/>
  <c r="I208" i="4" s="1"/>
  <c r="F208" i="4"/>
  <c r="C208" i="4"/>
  <c r="AC207" i="4"/>
  <c r="AD207" i="4" s="1"/>
  <c r="AA207" i="4"/>
  <c r="W207" i="4"/>
  <c r="X207" i="4" s="1"/>
  <c r="U207" i="4"/>
  <c r="R207" i="4"/>
  <c r="O207" i="4"/>
  <c r="N207" i="4"/>
  <c r="L207" i="4"/>
  <c r="I207" i="4"/>
  <c r="H207" i="4"/>
  <c r="F207" i="4"/>
  <c r="C207" i="4"/>
  <c r="AD206" i="4"/>
  <c r="AC206" i="4"/>
  <c r="AA206" i="4"/>
  <c r="W206" i="4"/>
  <c r="X206" i="4" s="1"/>
  <c r="U206" i="4"/>
  <c r="R206" i="4"/>
  <c r="O206" i="4"/>
  <c r="N206" i="4"/>
  <c r="L206" i="4"/>
  <c r="H206" i="4"/>
  <c r="I206" i="4" s="1"/>
  <c r="F206" i="4"/>
  <c r="C206" i="4"/>
  <c r="AD205" i="4"/>
  <c r="AC205" i="4"/>
  <c r="AA205" i="4"/>
  <c r="X205" i="4"/>
  <c r="W205" i="4"/>
  <c r="U205" i="4"/>
  <c r="R205" i="4"/>
  <c r="N205" i="4"/>
  <c r="O205" i="4" s="1"/>
  <c r="L205" i="4"/>
  <c r="I205" i="4"/>
  <c r="H205" i="4"/>
  <c r="F205" i="4"/>
  <c r="C205" i="4"/>
  <c r="AC204" i="4"/>
  <c r="AD204" i="4" s="1"/>
  <c r="AA204" i="4"/>
  <c r="X204" i="4"/>
  <c r="W204" i="4"/>
  <c r="U204" i="4"/>
  <c r="R204" i="4"/>
  <c r="N204" i="4"/>
  <c r="O204" i="4" s="1"/>
  <c r="L204" i="4"/>
  <c r="H204" i="4"/>
  <c r="I204" i="4" s="1"/>
  <c r="F204" i="4"/>
  <c r="C204" i="4"/>
  <c r="AC203" i="4"/>
  <c r="AD203" i="4" s="1"/>
  <c r="AA203" i="4"/>
  <c r="X203" i="4"/>
  <c r="W203" i="4"/>
  <c r="U203" i="4"/>
  <c r="R203" i="4"/>
  <c r="O203" i="4"/>
  <c r="N203" i="4"/>
  <c r="L203" i="4"/>
  <c r="I203" i="4"/>
  <c r="H203" i="4"/>
  <c r="F203" i="4"/>
  <c r="C203" i="4"/>
  <c r="AC202" i="4"/>
  <c r="AD202" i="4" s="1"/>
  <c r="AA202" i="4"/>
  <c r="W202" i="4"/>
  <c r="X202" i="4" s="1"/>
  <c r="U202" i="4"/>
  <c r="R202" i="4"/>
  <c r="N202" i="4"/>
  <c r="O202" i="4" s="1"/>
  <c r="L202" i="4"/>
  <c r="H202" i="4"/>
  <c r="I202" i="4" s="1"/>
  <c r="F202" i="4"/>
  <c r="C202" i="4"/>
  <c r="AD201" i="4"/>
  <c r="AC201" i="4"/>
  <c r="AA201" i="4"/>
  <c r="X201" i="4"/>
  <c r="W201" i="4"/>
  <c r="U201" i="4"/>
  <c r="R201" i="4"/>
  <c r="N201" i="4"/>
  <c r="O201" i="4" s="1"/>
  <c r="L201" i="4"/>
  <c r="H201" i="4"/>
  <c r="I201" i="4" s="1"/>
  <c r="F201" i="4"/>
  <c r="C201" i="4"/>
  <c r="Z197" i="4"/>
  <c r="AA197" i="4" s="1"/>
  <c r="T197" i="4"/>
  <c r="U197" i="4" s="1"/>
  <c r="R197" i="4"/>
  <c r="Q197" i="4"/>
  <c r="K197" i="4"/>
  <c r="L197" i="4" s="1"/>
  <c r="E197" i="4"/>
  <c r="B197" i="4"/>
  <c r="C197" i="4" s="1"/>
  <c r="AA196" i="4"/>
  <c r="Z196" i="4"/>
  <c r="T196" i="4"/>
  <c r="U196" i="4" s="1"/>
  <c r="R196" i="4"/>
  <c r="Q196" i="4"/>
  <c r="N196" i="4"/>
  <c r="O196" i="4" s="1"/>
  <c r="L196" i="4"/>
  <c r="K196" i="4"/>
  <c r="E196" i="4"/>
  <c r="F196" i="4" s="1"/>
  <c r="B196" i="4"/>
  <c r="H196" i="4" s="1"/>
  <c r="I196" i="4" s="1"/>
  <c r="AC195" i="4"/>
  <c r="AD195" i="4" s="1"/>
  <c r="AA195" i="4"/>
  <c r="W195" i="4"/>
  <c r="X195" i="4" s="1"/>
  <c r="U195" i="4"/>
  <c r="R195" i="4"/>
  <c r="N195" i="4"/>
  <c r="O195" i="4" s="1"/>
  <c r="L195" i="4"/>
  <c r="H195" i="4"/>
  <c r="I195" i="4" s="1"/>
  <c r="F195" i="4"/>
  <c r="C195" i="4"/>
  <c r="AC194" i="4"/>
  <c r="AD194" i="4" s="1"/>
  <c r="AA194" i="4"/>
  <c r="X194" i="4"/>
  <c r="W194" i="4"/>
  <c r="U194" i="4"/>
  <c r="R194" i="4"/>
  <c r="N194" i="4"/>
  <c r="O194" i="4" s="1"/>
  <c r="L194" i="4"/>
  <c r="H194" i="4"/>
  <c r="I194" i="4" s="1"/>
  <c r="F194" i="4"/>
  <c r="C194" i="4"/>
  <c r="Z193" i="4"/>
  <c r="AA193" i="4" s="1"/>
  <c r="X193" i="4"/>
  <c r="W193" i="4"/>
  <c r="T193" i="4"/>
  <c r="U193" i="4" s="1"/>
  <c r="R193" i="4"/>
  <c r="Q193" i="4"/>
  <c r="K193" i="4"/>
  <c r="L193" i="4" s="1"/>
  <c r="F193" i="4"/>
  <c r="E193" i="4"/>
  <c r="C193" i="4"/>
  <c r="B193" i="4"/>
  <c r="H193" i="4" s="1"/>
  <c r="I193" i="4" s="1"/>
  <c r="AC192" i="4"/>
  <c r="AD192" i="4" s="1"/>
  <c r="AA192" i="4"/>
  <c r="W192" i="4"/>
  <c r="X192" i="4" s="1"/>
  <c r="U192" i="4"/>
  <c r="R192" i="4"/>
  <c r="O192" i="4"/>
  <c r="N192" i="4"/>
  <c r="L192" i="4"/>
  <c r="H192" i="4"/>
  <c r="I192" i="4" s="1"/>
  <c r="F192" i="4"/>
  <c r="C192" i="4"/>
  <c r="AD191" i="4"/>
  <c r="AC191" i="4"/>
  <c r="AA191" i="4"/>
  <c r="X191" i="4"/>
  <c r="W191" i="4"/>
  <c r="U191" i="4"/>
  <c r="R191" i="4"/>
  <c r="N191" i="4"/>
  <c r="O191" i="4" s="1"/>
  <c r="L191" i="4"/>
  <c r="I191" i="4"/>
  <c r="H191" i="4"/>
  <c r="F191" i="4"/>
  <c r="C191" i="4"/>
  <c r="AC190" i="4"/>
  <c r="AD190" i="4" s="1"/>
  <c r="AA190" i="4"/>
  <c r="W190" i="4"/>
  <c r="X190" i="4" s="1"/>
  <c r="U190" i="4"/>
  <c r="R190" i="4"/>
  <c r="N190" i="4"/>
  <c r="O190" i="4" s="1"/>
  <c r="L190" i="4"/>
  <c r="H190" i="4"/>
  <c r="I190" i="4" s="1"/>
  <c r="F190" i="4"/>
  <c r="C190" i="4"/>
  <c r="AC189" i="4"/>
  <c r="AD189" i="4" s="1"/>
  <c r="AA189" i="4"/>
  <c r="W189" i="4"/>
  <c r="X189" i="4" s="1"/>
  <c r="U189" i="4"/>
  <c r="R189" i="4"/>
  <c r="O189" i="4"/>
  <c r="N189" i="4"/>
  <c r="L189" i="4"/>
  <c r="H189" i="4"/>
  <c r="I189" i="4" s="1"/>
  <c r="F189" i="4"/>
  <c r="C189" i="4"/>
  <c r="AD188" i="4"/>
  <c r="AC188" i="4"/>
  <c r="AA188" i="4"/>
  <c r="W188" i="4"/>
  <c r="X188" i="4" s="1"/>
  <c r="U188" i="4"/>
  <c r="R188" i="4"/>
  <c r="N188" i="4"/>
  <c r="O188" i="4" s="1"/>
  <c r="L188" i="4"/>
  <c r="H188" i="4"/>
  <c r="I188" i="4" s="1"/>
  <c r="F188" i="4"/>
  <c r="C188" i="4"/>
  <c r="AC187" i="4"/>
  <c r="AD187" i="4" s="1"/>
  <c r="AA187" i="4"/>
  <c r="X187" i="4"/>
  <c r="W187" i="4"/>
  <c r="U187" i="4"/>
  <c r="R187" i="4"/>
  <c r="O187" i="4"/>
  <c r="N187" i="4"/>
  <c r="L187" i="4"/>
  <c r="I187" i="4"/>
  <c r="H187" i="4"/>
  <c r="F187" i="4"/>
  <c r="C187" i="4"/>
  <c r="AD186" i="4"/>
  <c r="AC186" i="4"/>
  <c r="AA186" i="4"/>
  <c r="W186" i="4"/>
  <c r="X186" i="4" s="1"/>
  <c r="U186" i="4"/>
  <c r="R186" i="4"/>
  <c r="N186" i="4"/>
  <c r="O186" i="4" s="1"/>
  <c r="L186" i="4"/>
  <c r="I186" i="4"/>
  <c r="H186" i="4"/>
  <c r="F186" i="4"/>
  <c r="C186" i="4"/>
  <c r="AC184" i="4"/>
  <c r="AD184" i="4" s="1"/>
  <c r="AA184" i="4"/>
  <c r="W184" i="4"/>
  <c r="X184" i="4" s="1"/>
  <c r="U184" i="4"/>
  <c r="R184" i="4"/>
  <c r="O184" i="4"/>
  <c r="N184" i="4"/>
  <c r="L184" i="4"/>
  <c r="I184" i="4"/>
  <c r="H184" i="4"/>
  <c r="F184" i="4"/>
  <c r="C184" i="4"/>
  <c r="AC183" i="4"/>
  <c r="AD183" i="4" s="1"/>
  <c r="AA183" i="4"/>
  <c r="W183" i="4"/>
  <c r="X183" i="4" s="1"/>
  <c r="U183" i="4"/>
  <c r="R183" i="4"/>
  <c r="O183" i="4"/>
  <c r="N183" i="4"/>
  <c r="L183" i="4"/>
  <c r="H183" i="4"/>
  <c r="I183" i="4" s="1"/>
  <c r="F183" i="4"/>
  <c r="C183" i="4"/>
  <c r="AA182" i="4"/>
  <c r="Z182" i="4"/>
  <c r="T182" i="4"/>
  <c r="U182" i="4" s="1"/>
  <c r="Q182" i="4"/>
  <c r="K182" i="4"/>
  <c r="L182" i="4" s="1"/>
  <c r="E182" i="4"/>
  <c r="F182" i="4" s="1"/>
  <c r="C182" i="4"/>
  <c r="B182" i="4"/>
  <c r="AC181" i="4"/>
  <c r="AD181" i="4" s="1"/>
  <c r="AA181" i="4"/>
  <c r="X181" i="4"/>
  <c r="W181" i="4"/>
  <c r="U181" i="4"/>
  <c r="R181" i="4"/>
  <c r="O181" i="4"/>
  <c r="N181" i="4"/>
  <c r="L181" i="4"/>
  <c r="I181" i="4"/>
  <c r="H181" i="4"/>
  <c r="F181" i="4"/>
  <c r="C181" i="4"/>
  <c r="AD180" i="4"/>
  <c r="AC180" i="4"/>
  <c r="AA180" i="4"/>
  <c r="W180" i="4"/>
  <c r="X180" i="4" s="1"/>
  <c r="U180" i="4"/>
  <c r="R180" i="4"/>
  <c r="N180" i="4"/>
  <c r="O180" i="4" s="1"/>
  <c r="L180" i="4"/>
  <c r="H180" i="4"/>
  <c r="I180" i="4" s="1"/>
  <c r="F180" i="4"/>
  <c r="C180" i="4"/>
  <c r="AD179" i="4"/>
  <c r="AC179" i="4"/>
  <c r="AA179" i="4"/>
  <c r="X179" i="4"/>
  <c r="W179" i="4"/>
  <c r="U179" i="4"/>
  <c r="R179" i="4"/>
  <c r="N179" i="4"/>
  <c r="O179" i="4" s="1"/>
  <c r="L179" i="4"/>
  <c r="H179" i="4"/>
  <c r="I179" i="4" s="1"/>
  <c r="F179" i="4"/>
  <c r="C179" i="4"/>
  <c r="AD178" i="4"/>
  <c r="AC178" i="4"/>
  <c r="AA178" i="4"/>
  <c r="X178" i="4"/>
  <c r="W178" i="4"/>
  <c r="U178" i="4"/>
  <c r="R178" i="4"/>
  <c r="N178" i="4"/>
  <c r="O178" i="4" s="1"/>
  <c r="L178" i="4"/>
  <c r="H178" i="4"/>
  <c r="I178" i="4" s="1"/>
  <c r="F178" i="4"/>
  <c r="C178" i="4"/>
  <c r="AC177" i="4"/>
  <c r="AD177" i="4" s="1"/>
  <c r="AA177" i="4"/>
  <c r="W177" i="4"/>
  <c r="X177" i="4" s="1"/>
  <c r="U177" i="4"/>
  <c r="R177" i="4"/>
  <c r="O177" i="4"/>
  <c r="N177" i="4"/>
  <c r="L177" i="4"/>
  <c r="H177" i="4"/>
  <c r="I177" i="4" s="1"/>
  <c r="F177" i="4"/>
  <c r="C177" i="4"/>
  <c r="AD175" i="4"/>
  <c r="AC175" i="4"/>
  <c r="AA175" i="4"/>
  <c r="W175" i="4"/>
  <c r="X175" i="4" s="1"/>
  <c r="U175" i="4"/>
  <c r="R175" i="4"/>
  <c r="O175" i="4"/>
  <c r="N175" i="4"/>
  <c r="L175" i="4"/>
  <c r="H175" i="4"/>
  <c r="I175" i="4" s="1"/>
  <c r="F175" i="4"/>
  <c r="C175" i="4"/>
  <c r="F172" i="4"/>
  <c r="Z171" i="4"/>
  <c r="AA171" i="4" s="1"/>
  <c r="U171" i="4"/>
  <c r="T171" i="4"/>
  <c r="W171" i="4" s="1"/>
  <c r="X171" i="4" s="1"/>
  <c r="Q171" i="4"/>
  <c r="R171" i="4" s="1"/>
  <c r="L171" i="4"/>
  <c r="K171" i="4"/>
  <c r="N171" i="4" s="1"/>
  <c r="O171" i="4" s="1"/>
  <c r="H171" i="4"/>
  <c r="I171" i="4" s="1"/>
  <c r="E171" i="4"/>
  <c r="F171" i="4" s="1"/>
  <c r="B171" i="4"/>
  <c r="C171" i="4" s="1"/>
  <c r="AA170" i="4"/>
  <c r="Z170" i="4"/>
  <c r="U170" i="4"/>
  <c r="T170" i="4"/>
  <c r="Q170" i="4"/>
  <c r="R170" i="4" s="1"/>
  <c r="O170" i="4"/>
  <c r="N170" i="4"/>
  <c r="K170" i="4"/>
  <c r="L170" i="4" s="1"/>
  <c r="I170" i="4"/>
  <c r="E170" i="4"/>
  <c r="F170" i="4" s="1"/>
  <c r="B170" i="4"/>
  <c r="H170" i="4" s="1"/>
  <c r="AD169" i="4"/>
  <c r="AC169" i="4"/>
  <c r="AA169" i="4"/>
  <c r="X169" i="4"/>
  <c r="W169" i="4"/>
  <c r="U169" i="4"/>
  <c r="R169" i="4"/>
  <c r="N169" i="4"/>
  <c r="O169" i="4" s="1"/>
  <c r="L169" i="4"/>
  <c r="I169" i="4"/>
  <c r="H169" i="4"/>
  <c r="F169" i="4"/>
  <c r="C169" i="4"/>
  <c r="AC168" i="4"/>
  <c r="AD168" i="4" s="1"/>
  <c r="AA168" i="4"/>
  <c r="W168" i="4"/>
  <c r="X168" i="4" s="1"/>
  <c r="U168" i="4"/>
  <c r="R168" i="4"/>
  <c r="N168" i="4"/>
  <c r="O168" i="4" s="1"/>
  <c r="L168" i="4"/>
  <c r="I168" i="4"/>
  <c r="H168" i="4"/>
  <c r="F168" i="4"/>
  <c r="C168" i="4"/>
  <c r="AC167" i="4"/>
  <c r="AD167" i="4" s="1"/>
  <c r="AA167" i="4"/>
  <c r="X167" i="4"/>
  <c r="W167" i="4"/>
  <c r="U167" i="4"/>
  <c r="R167" i="4"/>
  <c r="O167" i="4"/>
  <c r="N167" i="4"/>
  <c r="L167" i="4"/>
  <c r="H167" i="4"/>
  <c r="I167" i="4" s="1"/>
  <c r="F167" i="4"/>
  <c r="C167" i="4"/>
  <c r="Z166" i="4"/>
  <c r="AA166" i="4" s="1"/>
  <c r="X166" i="4"/>
  <c r="W166" i="4"/>
  <c r="U166" i="4"/>
  <c r="T166" i="4"/>
  <c r="R166" i="4"/>
  <c r="Q166" i="4"/>
  <c r="AC166" i="4" s="1"/>
  <c r="AD166" i="4" s="1"/>
  <c r="K166" i="4"/>
  <c r="L166" i="4" s="1"/>
  <c r="I166" i="4"/>
  <c r="F166" i="4"/>
  <c r="E166" i="4"/>
  <c r="H166" i="4" s="1"/>
  <c r="B166" i="4"/>
  <c r="C166" i="4" s="1"/>
  <c r="AC165" i="4"/>
  <c r="AD165" i="4" s="1"/>
  <c r="AA165" i="4"/>
  <c r="W165" i="4"/>
  <c r="X165" i="4" s="1"/>
  <c r="U165" i="4"/>
  <c r="R165" i="4"/>
  <c r="N165" i="4"/>
  <c r="O165" i="4" s="1"/>
  <c r="L165" i="4"/>
  <c r="I165" i="4"/>
  <c r="H165" i="4"/>
  <c r="F165" i="4"/>
  <c r="C165" i="4"/>
  <c r="AC164" i="4"/>
  <c r="AD164" i="4" s="1"/>
  <c r="AA164" i="4"/>
  <c r="W164" i="4"/>
  <c r="X164" i="4" s="1"/>
  <c r="U164" i="4"/>
  <c r="R164" i="4"/>
  <c r="O164" i="4"/>
  <c r="N164" i="4"/>
  <c r="L164" i="4"/>
  <c r="I164" i="4"/>
  <c r="H164" i="4"/>
  <c r="F164" i="4"/>
  <c r="C164" i="4"/>
  <c r="AD163" i="4"/>
  <c r="AC163" i="4"/>
  <c r="AA163" i="4"/>
  <c r="W163" i="4"/>
  <c r="X163" i="4" s="1"/>
  <c r="U163" i="4"/>
  <c r="R163" i="4"/>
  <c r="N163" i="4"/>
  <c r="O163" i="4" s="1"/>
  <c r="L163" i="4"/>
  <c r="H163" i="4"/>
  <c r="I163" i="4" s="1"/>
  <c r="F163" i="4"/>
  <c r="C163" i="4"/>
  <c r="AD162" i="4"/>
  <c r="AC162" i="4"/>
  <c r="AA162" i="4"/>
  <c r="X162" i="4"/>
  <c r="W162" i="4"/>
  <c r="U162" i="4"/>
  <c r="R162" i="4"/>
  <c r="O162" i="4"/>
  <c r="N162" i="4"/>
  <c r="L162" i="4"/>
  <c r="I162" i="4"/>
  <c r="H162" i="4"/>
  <c r="F162" i="4"/>
  <c r="C162" i="4"/>
  <c r="AC161" i="4"/>
  <c r="AD161" i="4" s="1"/>
  <c r="AA161" i="4"/>
  <c r="W161" i="4"/>
  <c r="X161" i="4" s="1"/>
  <c r="U161" i="4"/>
  <c r="R161" i="4"/>
  <c r="N161" i="4"/>
  <c r="O161" i="4" s="1"/>
  <c r="L161" i="4"/>
  <c r="I161" i="4"/>
  <c r="H161" i="4"/>
  <c r="F161" i="4"/>
  <c r="C161" i="4"/>
  <c r="AC160" i="4"/>
  <c r="AD160" i="4" s="1"/>
  <c r="AA160" i="4"/>
  <c r="W160" i="4"/>
  <c r="X160" i="4" s="1"/>
  <c r="U160" i="4"/>
  <c r="R160" i="4"/>
  <c r="O160" i="4"/>
  <c r="N160" i="4"/>
  <c r="L160" i="4"/>
  <c r="I160" i="4"/>
  <c r="H160" i="4"/>
  <c r="F160" i="4"/>
  <c r="C160" i="4"/>
  <c r="AD158" i="4"/>
  <c r="Z158" i="4"/>
  <c r="AA158" i="4" s="1"/>
  <c r="X158" i="4"/>
  <c r="W158" i="4"/>
  <c r="U158" i="4"/>
  <c r="T158" i="4"/>
  <c r="R158" i="4"/>
  <c r="Q158" i="4"/>
  <c r="AC158" i="4" s="1"/>
  <c r="K158" i="4"/>
  <c r="L158" i="4" s="1"/>
  <c r="F158" i="4"/>
  <c r="E158" i="4"/>
  <c r="H158" i="4" s="1"/>
  <c r="I158" i="4" s="1"/>
  <c r="B158" i="4"/>
  <c r="C158" i="4" s="1"/>
  <c r="AD157" i="4"/>
  <c r="AC157" i="4"/>
  <c r="AA157" i="4"/>
  <c r="W157" i="4"/>
  <c r="X157" i="4" s="1"/>
  <c r="U157" i="4"/>
  <c r="R157" i="4"/>
  <c r="N157" i="4"/>
  <c r="O157" i="4" s="1"/>
  <c r="L157" i="4"/>
  <c r="I157" i="4"/>
  <c r="H157" i="4"/>
  <c r="F157" i="4"/>
  <c r="C157" i="4"/>
  <c r="AC156" i="4"/>
  <c r="AD156" i="4" s="1"/>
  <c r="AA156" i="4"/>
  <c r="X156" i="4"/>
  <c r="W156" i="4"/>
  <c r="U156" i="4"/>
  <c r="R156" i="4"/>
  <c r="O156" i="4"/>
  <c r="N156" i="4"/>
  <c r="L156" i="4"/>
  <c r="H156" i="4"/>
  <c r="I156" i="4" s="1"/>
  <c r="F156" i="4"/>
  <c r="C156" i="4"/>
  <c r="AD155" i="4"/>
  <c r="AC155" i="4"/>
  <c r="AA155" i="4"/>
  <c r="W155" i="4"/>
  <c r="X155" i="4" s="1"/>
  <c r="U155" i="4"/>
  <c r="R155" i="4"/>
  <c r="N155" i="4"/>
  <c r="O155" i="4" s="1"/>
  <c r="L155" i="4"/>
  <c r="H155" i="4"/>
  <c r="I155" i="4" s="1"/>
  <c r="F155" i="4"/>
  <c r="C155" i="4"/>
  <c r="AD154" i="4"/>
  <c r="AC154" i="4"/>
  <c r="AA154" i="4"/>
  <c r="X154" i="4"/>
  <c r="W154" i="4"/>
  <c r="U154" i="4"/>
  <c r="R154" i="4"/>
  <c r="N154" i="4"/>
  <c r="O154" i="4" s="1"/>
  <c r="L154" i="4"/>
  <c r="I154" i="4"/>
  <c r="H154" i="4"/>
  <c r="F154" i="4"/>
  <c r="C154" i="4"/>
  <c r="AC153" i="4"/>
  <c r="AD153" i="4" s="1"/>
  <c r="AA153" i="4"/>
  <c r="W153" i="4"/>
  <c r="X153" i="4" s="1"/>
  <c r="U153" i="4"/>
  <c r="R153" i="4"/>
  <c r="N153" i="4"/>
  <c r="O153" i="4" s="1"/>
  <c r="L153" i="4"/>
  <c r="I153" i="4"/>
  <c r="H153" i="4"/>
  <c r="F153" i="4"/>
  <c r="C153" i="4"/>
  <c r="AC151" i="4"/>
  <c r="AD151" i="4" s="1"/>
  <c r="AA151" i="4"/>
  <c r="X151" i="4"/>
  <c r="W151" i="4"/>
  <c r="U151" i="4"/>
  <c r="R151" i="4"/>
  <c r="O151" i="4"/>
  <c r="N151" i="4"/>
  <c r="L151" i="4"/>
  <c r="H151" i="4"/>
  <c r="I151" i="4" s="1"/>
  <c r="F151" i="4"/>
  <c r="C151" i="4"/>
  <c r="Z149" i="4"/>
  <c r="AA149" i="4" s="1"/>
  <c r="W149" i="4"/>
  <c r="X149" i="4" s="1"/>
  <c r="U149" i="4"/>
  <c r="T149" i="4"/>
  <c r="R149" i="4"/>
  <c r="Q149" i="4"/>
  <c r="AC149" i="4" s="1"/>
  <c r="AD149" i="4" s="1"/>
  <c r="K149" i="4"/>
  <c r="L149" i="4" s="1"/>
  <c r="F149" i="4"/>
  <c r="E149" i="4"/>
  <c r="H149" i="4" s="1"/>
  <c r="I149" i="4" s="1"/>
  <c r="B149" i="4"/>
  <c r="C149" i="4" s="1"/>
  <c r="AC148" i="4"/>
  <c r="AD148" i="4" s="1"/>
  <c r="AA148" i="4"/>
  <c r="Z148" i="4"/>
  <c r="T148" i="4"/>
  <c r="U148" i="4" s="1"/>
  <c r="Q148" i="4"/>
  <c r="W148" i="4" s="1"/>
  <c r="X148" i="4" s="1"/>
  <c r="L148" i="4"/>
  <c r="K148" i="4"/>
  <c r="F148" i="4"/>
  <c r="E148" i="4"/>
  <c r="C148" i="4"/>
  <c r="B148" i="4"/>
  <c r="H148" i="4" s="1"/>
  <c r="I148" i="4" s="1"/>
  <c r="AD147" i="4"/>
  <c r="AC147" i="4"/>
  <c r="AA147" i="4"/>
  <c r="W147" i="4"/>
  <c r="X147" i="4" s="1"/>
  <c r="U147" i="4"/>
  <c r="R147" i="4"/>
  <c r="N147" i="4"/>
  <c r="O147" i="4" s="1"/>
  <c r="L147" i="4"/>
  <c r="H147" i="4"/>
  <c r="I147" i="4" s="1"/>
  <c r="F147" i="4"/>
  <c r="C147" i="4"/>
  <c r="AD146" i="4"/>
  <c r="AC146" i="4"/>
  <c r="AA146" i="4"/>
  <c r="X146" i="4"/>
  <c r="W146" i="4"/>
  <c r="U146" i="4"/>
  <c r="R146" i="4"/>
  <c r="N146" i="4"/>
  <c r="O146" i="4" s="1"/>
  <c r="L146" i="4"/>
  <c r="I146" i="4"/>
  <c r="H146" i="4"/>
  <c r="F146" i="4"/>
  <c r="C146" i="4"/>
  <c r="AC145" i="4"/>
  <c r="AD145" i="4" s="1"/>
  <c r="AA145" i="4"/>
  <c r="W145" i="4"/>
  <c r="X145" i="4" s="1"/>
  <c r="U145" i="4"/>
  <c r="R145" i="4"/>
  <c r="N145" i="4"/>
  <c r="O145" i="4" s="1"/>
  <c r="L145" i="4"/>
  <c r="I145" i="4"/>
  <c r="H145" i="4"/>
  <c r="F145" i="4"/>
  <c r="C145" i="4"/>
  <c r="AC144" i="4"/>
  <c r="AD144" i="4" s="1"/>
  <c r="AA144" i="4"/>
  <c r="W144" i="4"/>
  <c r="X144" i="4" s="1"/>
  <c r="U144" i="4"/>
  <c r="R144" i="4"/>
  <c r="O144" i="4"/>
  <c r="N144" i="4"/>
  <c r="L144" i="4"/>
  <c r="I144" i="4"/>
  <c r="H144" i="4"/>
  <c r="F144" i="4"/>
  <c r="C144" i="4"/>
  <c r="AD143" i="4"/>
  <c r="AC143" i="4"/>
  <c r="AA143" i="4"/>
  <c r="W143" i="4"/>
  <c r="X143" i="4" s="1"/>
  <c r="U143" i="4"/>
  <c r="R143" i="4"/>
  <c r="N143" i="4"/>
  <c r="O143" i="4" s="1"/>
  <c r="L143" i="4"/>
  <c r="H143" i="4"/>
  <c r="I143" i="4" s="1"/>
  <c r="F143" i="4"/>
  <c r="C143" i="4"/>
  <c r="AA141" i="4"/>
  <c r="Z141" i="4"/>
  <c r="U141" i="4"/>
  <c r="T141" i="4"/>
  <c r="R141" i="4"/>
  <c r="Q141" i="4"/>
  <c r="W141" i="4" s="1"/>
  <c r="X141" i="4" s="1"/>
  <c r="K141" i="4"/>
  <c r="L141" i="4" s="1"/>
  <c r="I141" i="4"/>
  <c r="H141" i="4"/>
  <c r="F141" i="4"/>
  <c r="E141" i="4"/>
  <c r="C141" i="4"/>
  <c r="B141" i="4"/>
  <c r="N141" i="4" s="1"/>
  <c r="O141" i="4" s="1"/>
  <c r="AC140" i="4"/>
  <c r="AD140" i="4" s="1"/>
  <c r="AA140" i="4"/>
  <c r="X140" i="4"/>
  <c r="W140" i="4"/>
  <c r="U140" i="4"/>
  <c r="R140" i="4"/>
  <c r="O140" i="4"/>
  <c r="N140" i="4"/>
  <c r="L140" i="4"/>
  <c r="H140" i="4"/>
  <c r="I140" i="4" s="1"/>
  <c r="F140" i="4"/>
  <c r="C140" i="4"/>
  <c r="AD139" i="4"/>
  <c r="AC139" i="4"/>
  <c r="AA139" i="4"/>
  <c r="W139" i="4"/>
  <c r="X139" i="4" s="1"/>
  <c r="U139" i="4"/>
  <c r="R139" i="4"/>
  <c r="N139" i="4"/>
  <c r="O139" i="4" s="1"/>
  <c r="L139" i="4"/>
  <c r="H139" i="4"/>
  <c r="I139" i="4" s="1"/>
  <c r="F139" i="4"/>
  <c r="C139" i="4"/>
  <c r="AD138" i="4"/>
  <c r="AC138" i="4"/>
  <c r="AA138" i="4"/>
  <c r="X138" i="4"/>
  <c r="W138" i="4"/>
  <c r="U138" i="4"/>
  <c r="R138" i="4"/>
  <c r="N138" i="4"/>
  <c r="O138" i="4" s="1"/>
  <c r="L138" i="4"/>
  <c r="I138" i="4"/>
  <c r="H138" i="4"/>
  <c r="F138" i="4"/>
  <c r="C138" i="4"/>
  <c r="AC137" i="4"/>
  <c r="AD137" i="4" s="1"/>
  <c r="AA137" i="4"/>
  <c r="W137" i="4"/>
  <c r="X137" i="4" s="1"/>
  <c r="U137" i="4"/>
  <c r="R137" i="4"/>
  <c r="N137" i="4"/>
  <c r="O137" i="4" s="1"/>
  <c r="L137" i="4"/>
  <c r="I137" i="4"/>
  <c r="H137" i="4"/>
  <c r="F137" i="4"/>
  <c r="C137" i="4"/>
  <c r="AC136" i="4"/>
  <c r="AD136" i="4" s="1"/>
  <c r="AA136" i="4"/>
  <c r="X136" i="4"/>
  <c r="W136" i="4"/>
  <c r="U136" i="4"/>
  <c r="R136" i="4"/>
  <c r="O136" i="4"/>
  <c r="N136" i="4"/>
  <c r="L136" i="4"/>
  <c r="H136" i="4"/>
  <c r="I136" i="4" s="1"/>
  <c r="F136" i="4"/>
  <c r="C136" i="4"/>
  <c r="AD135" i="4"/>
  <c r="AC135" i="4"/>
  <c r="AA135" i="4"/>
  <c r="W135" i="4"/>
  <c r="X135" i="4" s="1"/>
  <c r="U135" i="4"/>
  <c r="R135" i="4"/>
  <c r="N135" i="4"/>
  <c r="O135" i="4" s="1"/>
  <c r="L135" i="4"/>
  <c r="H135" i="4"/>
  <c r="I135" i="4" s="1"/>
  <c r="F135" i="4"/>
  <c r="C135" i="4"/>
  <c r="AD134" i="4"/>
  <c r="AC134" i="4"/>
  <c r="AA134" i="4"/>
  <c r="X134" i="4"/>
  <c r="W134" i="4"/>
  <c r="U134" i="4"/>
  <c r="R134" i="4"/>
  <c r="N134" i="4"/>
  <c r="O134" i="4" s="1"/>
  <c r="L134" i="4"/>
  <c r="I134" i="4"/>
  <c r="H134" i="4"/>
  <c r="F134" i="4"/>
  <c r="C134" i="4"/>
  <c r="AD133" i="4"/>
  <c r="AC133" i="4"/>
  <c r="AA133" i="4"/>
  <c r="W133" i="4"/>
  <c r="X133" i="4" s="1"/>
  <c r="U133" i="4"/>
  <c r="R133" i="4"/>
  <c r="N133" i="4"/>
  <c r="O133" i="4" s="1"/>
  <c r="L133" i="4"/>
  <c r="I133" i="4"/>
  <c r="H133" i="4"/>
  <c r="F133" i="4"/>
  <c r="C133" i="4"/>
  <c r="AC132" i="4"/>
  <c r="AD132" i="4" s="1"/>
  <c r="AA132" i="4"/>
  <c r="W132" i="4"/>
  <c r="X132" i="4" s="1"/>
  <c r="U132" i="4"/>
  <c r="R132" i="4"/>
  <c r="O132" i="4"/>
  <c r="N132" i="4"/>
  <c r="L132" i="4"/>
  <c r="H132" i="4"/>
  <c r="I132" i="4" s="1"/>
  <c r="F132" i="4"/>
  <c r="C132" i="4"/>
  <c r="AD131" i="4"/>
  <c r="AC131" i="4"/>
  <c r="AA131" i="4"/>
  <c r="W131" i="4"/>
  <c r="X131" i="4" s="1"/>
  <c r="U131" i="4"/>
  <c r="R131" i="4"/>
  <c r="N131" i="4"/>
  <c r="O131" i="4" s="1"/>
  <c r="L131" i="4"/>
  <c r="H131" i="4"/>
  <c r="I131" i="4" s="1"/>
  <c r="F131" i="4"/>
  <c r="C131" i="4"/>
  <c r="AD130" i="4"/>
  <c r="AC130" i="4"/>
  <c r="AA130" i="4"/>
  <c r="X130" i="4"/>
  <c r="W130" i="4"/>
  <c r="U130" i="4"/>
  <c r="R130" i="4"/>
  <c r="N130" i="4"/>
  <c r="O130" i="4" s="1"/>
  <c r="L130" i="4"/>
  <c r="I130" i="4"/>
  <c r="H130" i="4"/>
  <c r="F130" i="4"/>
  <c r="C130" i="4"/>
  <c r="AD129" i="4"/>
  <c r="AC129" i="4"/>
  <c r="AA129" i="4"/>
  <c r="W129" i="4"/>
  <c r="X129" i="4" s="1"/>
  <c r="U129" i="4"/>
  <c r="R129" i="4"/>
  <c r="N129" i="4"/>
  <c r="O129" i="4" s="1"/>
  <c r="L129" i="4"/>
  <c r="I129" i="4"/>
  <c r="H129" i="4"/>
  <c r="F129" i="4"/>
  <c r="C129" i="4"/>
  <c r="AC127" i="4"/>
  <c r="AD127" i="4" s="1"/>
  <c r="AA127" i="4"/>
  <c r="X127" i="4"/>
  <c r="W127" i="4"/>
  <c r="U127" i="4"/>
  <c r="R127" i="4"/>
  <c r="O127" i="4"/>
  <c r="N127" i="4"/>
  <c r="L127" i="4"/>
  <c r="H127" i="4"/>
  <c r="I127" i="4" s="1"/>
  <c r="F127" i="4"/>
  <c r="C127" i="4"/>
  <c r="Z124" i="4"/>
  <c r="AA124" i="4" s="1"/>
  <c r="W124" i="4"/>
  <c r="X124" i="4" s="1"/>
  <c r="U124" i="4"/>
  <c r="T124" i="4"/>
  <c r="T172" i="4" s="1"/>
  <c r="T198" i="4" s="1"/>
  <c r="R124" i="4"/>
  <c r="Q124" i="4"/>
  <c r="AC124" i="4" s="1"/>
  <c r="AD124" i="4" s="1"/>
  <c r="K124" i="4"/>
  <c r="K172" i="4" s="1"/>
  <c r="F124" i="4"/>
  <c r="E124" i="4"/>
  <c r="E172" i="4" s="1"/>
  <c r="B124" i="4"/>
  <c r="C124" i="4" s="1"/>
  <c r="AC123" i="4"/>
  <c r="AD123" i="4" s="1"/>
  <c r="AA123" i="4"/>
  <c r="W123" i="4"/>
  <c r="X123" i="4" s="1"/>
  <c r="U123" i="4"/>
  <c r="R123" i="4"/>
  <c r="N123" i="4"/>
  <c r="O123" i="4" s="1"/>
  <c r="L123" i="4"/>
  <c r="I123" i="4"/>
  <c r="H123" i="4"/>
  <c r="F123" i="4"/>
  <c r="C123" i="4"/>
  <c r="Z122" i="4"/>
  <c r="AA122" i="4" s="1"/>
  <c r="X122" i="4"/>
  <c r="U122" i="4"/>
  <c r="T122" i="4"/>
  <c r="W122" i="4" s="1"/>
  <c r="Q122" i="4"/>
  <c r="R122" i="4" s="1"/>
  <c r="L122" i="4"/>
  <c r="K122" i="4"/>
  <c r="E122" i="4"/>
  <c r="F122" i="4" s="1"/>
  <c r="B122" i="4"/>
  <c r="AD121" i="4"/>
  <c r="AC121" i="4"/>
  <c r="AA121" i="4"/>
  <c r="X121" i="4"/>
  <c r="W121" i="4"/>
  <c r="U121" i="4"/>
  <c r="R121" i="4"/>
  <c r="O121" i="4"/>
  <c r="N121" i="4"/>
  <c r="L121" i="4"/>
  <c r="I121" i="4"/>
  <c r="H121" i="4"/>
  <c r="F121" i="4"/>
  <c r="C121" i="4"/>
  <c r="AC120" i="4"/>
  <c r="AD120" i="4" s="1"/>
  <c r="AA120" i="4"/>
  <c r="W120" i="4"/>
  <c r="X120" i="4" s="1"/>
  <c r="U120" i="4"/>
  <c r="R120" i="4"/>
  <c r="N120" i="4"/>
  <c r="O120" i="4" s="1"/>
  <c r="L120" i="4"/>
  <c r="I120" i="4"/>
  <c r="H120" i="4"/>
  <c r="F120" i="4"/>
  <c r="C120" i="4"/>
  <c r="AC119" i="4"/>
  <c r="AD119" i="4" s="1"/>
  <c r="AA119" i="4"/>
  <c r="W119" i="4"/>
  <c r="X119" i="4" s="1"/>
  <c r="U119" i="4"/>
  <c r="R119" i="4"/>
  <c r="O119" i="4"/>
  <c r="N119" i="4"/>
  <c r="L119" i="4"/>
  <c r="I119" i="4"/>
  <c r="H119" i="4"/>
  <c r="F119" i="4"/>
  <c r="C119" i="4"/>
  <c r="AD118" i="4"/>
  <c r="Z118" i="4"/>
  <c r="AA118" i="4" s="1"/>
  <c r="X118" i="4"/>
  <c r="W118" i="4"/>
  <c r="U118" i="4"/>
  <c r="T118" i="4"/>
  <c r="R118" i="4"/>
  <c r="Q118" i="4"/>
  <c r="AC118" i="4" s="1"/>
  <c r="L118" i="4"/>
  <c r="K118" i="4"/>
  <c r="F118" i="4"/>
  <c r="E118" i="4"/>
  <c r="H118" i="4" s="1"/>
  <c r="I118" i="4" s="1"/>
  <c r="B118" i="4"/>
  <c r="C118" i="4" s="1"/>
  <c r="AD117" i="4"/>
  <c r="AC117" i="4"/>
  <c r="AA117" i="4"/>
  <c r="W117" i="4"/>
  <c r="X117" i="4" s="1"/>
  <c r="U117" i="4"/>
  <c r="R117" i="4"/>
  <c r="N117" i="4"/>
  <c r="O117" i="4" s="1"/>
  <c r="L117" i="4"/>
  <c r="I117" i="4"/>
  <c r="H117" i="4"/>
  <c r="F117" i="4"/>
  <c r="C117" i="4"/>
  <c r="AC116" i="4"/>
  <c r="AD116" i="4" s="1"/>
  <c r="AA116" i="4"/>
  <c r="X116" i="4"/>
  <c r="W116" i="4"/>
  <c r="U116" i="4"/>
  <c r="R116" i="4"/>
  <c r="O116" i="4"/>
  <c r="N116" i="4"/>
  <c r="L116" i="4"/>
  <c r="H116" i="4"/>
  <c r="I116" i="4" s="1"/>
  <c r="F116" i="4"/>
  <c r="C116" i="4"/>
  <c r="AD115" i="4"/>
  <c r="AC115" i="4"/>
  <c r="AA115" i="4"/>
  <c r="W115" i="4"/>
  <c r="X115" i="4" s="1"/>
  <c r="U115" i="4"/>
  <c r="R115" i="4"/>
  <c r="N115" i="4"/>
  <c r="O115" i="4" s="1"/>
  <c r="L115" i="4"/>
  <c r="H115" i="4"/>
  <c r="I115" i="4" s="1"/>
  <c r="F115" i="4"/>
  <c r="C115" i="4"/>
  <c r="AD114" i="4"/>
  <c r="AC114" i="4"/>
  <c r="AA114" i="4"/>
  <c r="X114" i="4"/>
  <c r="W114" i="4"/>
  <c r="U114" i="4"/>
  <c r="R114" i="4"/>
  <c r="N114" i="4"/>
  <c r="O114" i="4" s="1"/>
  <c r="L114" i="4"/>
  <c r="I114" i="4"/>
  <c r="H114" i="4"/>
  <c r="F114" i="4"/>
  <c r="C114" i="4"/>
  <c r="AD113" i="4"/>
  <c r="AC113" i="4"/>
  <c r="AA113" i="4"/>
  <c r="W113" i="4"/>
  <c r="X113" i="4" s="1"/>
  <c r="U113" i="4"/>
  <c r="R113" i="4"/>
  <c r="N113" i="4"/>
  <c r="O113" i="4" s="1"/>
  <c r="L113" i="4"/>
  <c r="I113" i="4"/>
  <c r="H113" i="4"/>
  <c r="F113" i="4"/>
  <c r="C113" i="4"/>
  <c r="AC112" i="4"/>
  <c r="AD112" i="4" s="1"/>
  <c r="AA112" i="4"/>
  <c r="X112" i="4"/>
  <c r="W112" i="4"/>
  <c r="U112" i="4"/>
  <c r="R112" i="4"/>
  <c r="O112" i="4"/>
  <c r="N112" i="4"/>
  <c r="L112" i="4"/>
  <c r="H112" i="4"/>
  <c r="I112" i="4" s="1"/>
  <c r="F112" i="4"/>
  <c r="C112" i="4"/>
  <c r="AD111" i="4"/>
  <c r="AC111" i="4"/>
  <c r="AA111" i="4"/>
  <c r="W111" i="4"/>
  <c r="X111" i="4" s="1"/>
  <c r="U111" i="4"/>
  <c r="R111" i="4"/>
  <c r="N111" i="4"/>
  <c r="O111" i="4" s="1"/>
  <c r="L111" i="4"/>
  <c r="H111" i="4"/>
  <c r="I111" i="4" s="1"/>
  <c r="F111" i="4"/>
  <c r="C111" i="4"/>
  <c r="AD110" i="4"/>
  <c r="AC110" i="4"/>
  <c r="AA110" i="4"/>
  <c r="X110" i="4"/>
  <c r="W110" i="4"/>
  <c r="U110" i="4"/>
  <c r="R110" i="4"/>
  <c r="N110" i="4"/>
  <c r="O110" i="4" s="1"/>
  <c r="L110" i="4"/>
  <c r="I110" i="4"/>
  <c r="H110" i="4"/>
  <c r="F110" i="4"/>
  <c r="C110" i="4"/>
  <c r="AD109" i="4"/>
  <c r="AC109" i="4"/>
  <c r="AA109" i="4"/>
  <c r="W109" i="4"/>
  <c r="X109" i="4" s="1"/>
  <c r="U109" i="4"/>
  <c r="R109" i="4"/>
  <c r="N109" i="4"/>
  <c r="O109" i="4" s="1"/>
  <c r="L109" i="4"/>
  <c r="I109" i="4"/>
  <c r="H109" i="4"/>
  <c r="F109" i="4"/>
  <c r="C109" i="4"/>
  <c r="AC108" i="4"/>
  <c r="AD108" i="4" s="1"/>
  <c r="AA108" i="4"/>
  <c r="X108" i="4"/>
  <c r="W108" i="4"/>
  <c r="U108" i="4"/>
  <c r="R108" i="4"/>
  <c r="O108" i="4"/>
  <c r="N108" i="4"/>
  <c r="L108" i="4"/>
  <c r="H108" i="4"/>
  <c r="I108" i="4" s="1"/>
  <c r="F108" i="4"/>
  <c r="C108" i="4"/>
  <c r="AD107" i="4"/>
  <c r="AC107" i="4"/>
  <c r="AA107" i="4"/>
  <c r="W107" i="4"/>
  <c r="X107" i="4" s="1"/>
  <c r="U107" i="4"/>
  <c r="R107" i="4"/>
  <c r="N107" i="4"/>
  <c r="O107" i="4" s="1"/>
  <c r="L107" i="4"/>
  <c r="H107" i="4"/>
  <c r="I107" i="4" s="1"/>
  <c r="F107" i="4"/>
  <c r="C107" i="4"/>
  <c r="AD106" i="4"/>
  <c r="AC106" i="4"/>
  <c r="AA106" i="4"/>
  <c r="X106" i="4"/>
  <c r="W106" i="4"/>
  <c r="U106" i="4"/>
  <c r="R106" i="4"/>
  <c r="N106" i="4"/>
  <c r="O106" i="4" s="1"/>
  <c r="L106" i="4"/>
  <c r="I106" i="4"/>
  <c r="H106" i="4"/>
  <c r="F106" i="4"/>
  <c r="C106" i="4"/>
  <c r="AD105" i="4"/>
  <c r="AC105" i="4"/>
  <c r="AA105" i="4"/>
  <c r="W105" i="4"/>
  <c r="X105" i="4" s="1"/>
  <c r="U105" i="4"/>
  <c r="R105" i="4"/>
  <c r="N105" i="4"/>
  <c r="O105" i="4" s="1"/>
  <c r="L105" i="4"/>
  <c r="I105" i="4"/>
  <c r="H105" i="4"/>
  <c r="F105" i="4"/>
  <c r="C105" i="4"/>
  <c r="AC104" i="4"/>
  <c r="AD104" i="4" s="1"/>
  <c r="AA104" i="4"/>
  <c r="X104" i="4"/>
  <c r="W104" i="4"/>
  <c r="U104" i="4"/>
  <c r="R104" i="4"/>
  <c r="O104" i="4"/>
  <c r="N104" i="4"/>
  <c r="L104" i="4"/>
  <c r="H104" i="4"/>
  <c r="I104" i="4" s="1"/>
  <c r="F104" i="4"/>
  <c r="C104" i="4"/>
  <c r="AD103" i="4"/>
  <c r="AC103" i="4"/>
  <c r="AA103" i="4"/>
  <c r="W103" i="4"/>
  <c r="X103" i="4" s="1"/>
  <c r="U103" i="4"/>
  <c r="R103" i="4"/>
  <c r="N103" i="4"/>
  <c r="O103" i="4" s="1"/>
  <c r="L103" i="4"/>
  <c r="H103" i="4"/>
  <c r="I103" i="4" s="1"/>
  <c r="F103" i="4"/>
  <c r="C103" i="4"/>
  <c r="AD102" i="4"/>
  <c r="AC102" i="4"/>
  <c r="AA102" i="4"/>
  <c r="X102" i="4"/>
  <c r="W102" i="4"/>
  <c r="U102" i="4"/>
  <c r="R102" i="4"/>
  <c r="N102" i="4"/>
  <c r="O102" i="4" s="1"/>
  <c r="L102" i="4"/>
  <c r="I102" i="4"/>
  <c r="H102" i="4"/>
  <c r="F102" i="4"/>
  <c r="C102" i="4"/>
  <c r="AD101" i="4"/>
  <c r="AC101" i="4"/>
  <c r="AA101" i="4"/>
  <c r="W101" i="4"/>
  <c r="X101" i="4" s="1"/>
  <c r="U101" i="4"/>
  <c r="R101" i="4"/>
  <c r="N101" i="4"/>
  <c r="O101" i="4" s="1"/>
  <c r="L101" i="4"/>
  <c r="I101" i="4"/>
  <c r="H101" i="4"/>
  <c r="F101" i="4"/>
  <c r="C101" i="4"/>
  <c r="AC100" i="4"/>
  <c r="AD100" i="4" s="1"/>
  <c r="AA100" i="4"/>
  <c r="X100" i="4"/>
  <c r="W100" i="4"/>
  <c r="U100" i="4"/>
  <c r="R100" i="4"/>
  <c r="O100" i="4"/>
  <c r="N100" i="4"/>
  <c r="L100" i="4"/>
  <c r="H100" i="4"/>
  <c r="I100" i="4" s="1"/>
  <c r="F100" i="4"/>
  <c r="C100" i="4"/>
  <c r="AD99" i="4"/>
  <c r="AC99" i="4"/>
  <c r="AA99" i="4"/>
  <c r="W99" i="4"/>
  <c r="X99" i="4" s="1"/>
  <c r="U99" i="4"/>
  <c r="R99" i="4"/>
  <c r="N99" i="4"/>
  <c r="O99" i="4" s="1"/>
  <c r="L99" i="4"/>
  <c r="H99" i="4"/>
  <c r="I99" i="4" s="1"/>
  <c r="F99" i="4"/>
  <c r="C99" i="4"/>
  <c r="AD98" i="4"/>
  <c r="AC98" i="4"/>
  <c r="AA98" i="4"/>
  <c r="X98" i="4"/>
  <c r="W98" i="4"/>
  <c r="U98" i="4"/>
  <c r="R98" i="4"/>
  <c r="N98" i="4"/>
  <c r="O98" i="4" s="1"/>
  <c r="L98" i="4"/>
  <c r="I98" i="4"/>
  <c r="H98" i="4"/>
  <c r="F98" i="4"/>
  <c r="C98" i="4"/>
  <c r="AD97" i="4"/>
  <c r="AC97" i="4"/>
  <c r="AA97" i="4"/>
  <c r="W97" i="4"/>
  <c r="X97" i="4" s="1"/>
  <c r="U97" i="4"/>
  <c r="R97" i="4"/>
  <c r="N97" i="4"/>
  <c r="O97" i="4" s="1"/>
  <c r="L97" i="4"/>
  <c r="I97" i="4"/>
  <c r="H97" i="4"/>
  <c r="F97" i="4"/>
  <c r="C97" i="4"/>
  <c r="AC96" i="4"/>
  <c r="AD96" i="4" s="1"/>
  <c r="AA96" i="4"/>
  <c r="X96" i="4"/>
  <c r="W96" i="4"/>
  <c r="U96" i="4"/>
  <c r="R96" i="4"/>
  <c r="O96" i="4"/>
  <c r="N96" i="4"/>
  <c r="L96" i="4"/>
  <c r="H96" i="4"/>
  <c r="I96" i="4" s="1"/>
  <c r="F96" i="4"/>
  <c r="C96" i="4"/>
  <c r="AD95" i="4"/>
  <c r="AC95" i="4"/>
  <c r="AA95" i="4"/>
  <c r="W95" i="4"/>
  <c r="X95" i="4" s="1"/>
  <c r="U95" i="4"/>
  <c r="R95" i="4"/>
  <c r="N95" i="4"/>
  <c r="O95" i="4" s="1"/>
  <c r="L95" i="4"/>
  <c r="H95" i="4"/>
  <c r="I95" i="4" s="1"/>
  <c r="F95" i="4"/>
  <c r="C95" i="4"/>
  <c r="AD94" i="4"/>
  <c r="AC94" i="4"/>
  <c r="AA94" i="4"/>
  <c r="X94" i="4"/>
  <c r="W94" i="4"/>
  <c r="U94" i="4"/>
  <c r="R94" i="4"/>
  <c r="N94" i="4"/>
  <c r="O94" i="4" s="1"/>
  <c r="L94" i="4"/>
  <c r="I94" i="4"/>
  <c r="H94" i="4"/>
  <c r="F94" i="4"/>
  <c r="C94" i="4"/>
  <c r="AD92" i="4"/>
  <c r="AC92" i="4"/>
  <c r="AA92" i="4"/>
  <c r="W92" i="4"/>
  <c r="X92" i="4" s="1"/>
  <c r="U92" i="4"/>
  <c r="R92" i="4"/>
  <c r="N92" i="4"/>
  <c r="O92" i="4" s="1"/>
  <c r="L92" i="4"/>
  <c r="I92" i="4"/>
  <c r="H92" i="4"/>
  <c r="F92" i="4"/>
  <c r="C92" i="4"/>
  <c r="AC91" i="4"/>
  <c r="AD91" i="4" s="1"/>
  <c r="AA91" i="4"/>
  <c r="X91" i="4"/>
  <c r="W91" i="4"/>
  <c r="U91" i="4"/>
  <c r="R91" i="4"/>
  <c r="O91" i="4"/>
  <c r="N91" i="4"/>
  <c r="L91" i="4"/>
  <c r="H91" i="4"/>
  <c r="I91" i="4" s="1"/>
  <c r="F91" i="4"/>
  <c r="C91" i="4"/>
  <c r="AD90" i="4"/>
  <c r="AC90" i="4"/>
  <c r="AA90" i="4"/>
  <c r="W90" i="4"/>
  <c r="X90" i="4" s="1"/>
  <c r="U90" i="4"/>
  <c r="R90" i="4"/>
  <c r="N90" i="4"/>
  <c r="O90" i="4" s="1"/>
  <c r="L90" i="4"/>
  <c r="H90" i="4"/>
  <c r="I90" i="4" s="1"/>
  <c r="F90" i="4"/>
  <c r="C90" i="4"/>
  <c r="AD89" i="4"/>
  <c r="AC89" i="4"/>
  <c r="AA89" i="4"/>
  <c r="X89" i="4"/>
  <c r="W89" i="4"/>
  <c r="U89" i="4"/>
  <c r="R89" i="4"/>
  <c r="N89" i="4"/>
  <c r="O89" i="4" s="1"/>
  <c r="L89" i="4"/>
  <c r="I89" i="4"/>
  <c r="H89" i="4"/>
  <c r="F89" i="4"/>
  <c r="C89" i="4"/>
  <c r="AD88" i="4"/>
  <c r="AC88" i="4"/>
  <c r="AA88" i="4"/>
  <c r="Z88" i="4"/>
  <c r="X88" i="4"/>
  <c r="T88" i="4"/>
  <c r="U88" i="4" s="1"/>
  <c r="R88" i="4"/>
  <c r="Q88" i="4"/>
  <c r="W88" i="4" s="1"/>
  <c r="L88" i="4"/>
  <c r="K88" i="4"/>
  <c r="E88" i="4"/>
  <c r="F88" i="4" s="1"/>
  <c r="C88" i="4"/>
  <c r="B88" i="4"/>
  <c r="AD87" i="4"/>
  <c r="AC87" i="4"/>
  <c r="AA87" i="4"/>
  <c r="W87" i="4"/>
  <c r="X87" i="4" s="1"/>
  <c r="U87" i="4"/>
  <c r="R87" i="4"/>
  <c r="N87" i="4"/>
  <c r="O87" i="4" s="1"/>
  <c r="L87" i="4"/>
  <c r="H87" i="4"/>
  <c r="I87" i="4" s="1"/>
  <c r="F87" i="4"/>
  <c r="C87" i="4"/>
  <c r="AD86" i="4"/>
  <c r="AC86" i="4"/>
  <c r="AA86" i="4"/>
  <c r="X86" i="4"/>
  <c r="W86" i="4"/>
  <c r="U86" i="4"/>
  <c r="R86" i="4"/>
  <c r="N86" i="4"/>
  <c r="O86" i="4" s="1"/>
  <c r="L86" i="4"/>
  <c r="I86" i="4"/>
  <c r="H86" i="4"/>
  <c r="F86" i="4"/>
  <c r="C86" i="4"/>
  <c r="AD85" i="4"/>
  <c r="AC85" i="4"/>
  <c r="AA85" i="4"/>
  <c r="W85" i="4"/>
  <c r="X85" i="4" s="1"/>
  <c r="U85" i="4"/>
  <c r="R85" i="4"/>
  <c r="N85" i="4"/>
  <c r="O85" i="4" s="1"/>
  <c r="L85" i="4"/>
  <c r="I85" i="4"/>
  <c r="H85" i="4"/>
  <c r="F85" i="4"/>
  <c r="C85" i="4"/>
  <c r="AC84" i="4"/>
  <c r="AD84" i="4" s="1"/>
  <c r="AA84" i="4"/>
  <c r="X84" i="4"/>
  <c r="W84" i="4"/>
  <c r="U84" i="4"/>
  <c r="R84" i="4"/>
  <c r="O84" i="4"/>
  <c r="N84" i="4"/>
  <c r="L84" i="4"/>
  <c r="H84" i="4"/>
  <c r="I84" i="4" s="1"/>
  <c r="F84" i="4"/>
  <c r="C84" i="4"/>
  <c r="AD83" i="4"/>
  <c r="AC83" i="4"/>
  <c r="AA83" i="4"/>
  <c r="W83" i="4"/>
  <c r="X83" i="4" s="1"/>
  <c r="U83" i="4"/>
  <c r="R83" i="4"/>
  <c r="N83" i="4"/>
  <c r="O83" i="4" s="1"/>
  <c r="L83" i="4"/>
  <c r="H83" i="4"/>
  <c r="I83" i="4" s="1"/>
  <c r="F83" i="4"/>
  <c r="C83" i="4"/>
  <c r="AD82" i="4"/>
  <c r="AC82" i="4"/>
  <c r="AA82" i="4"/>
  <c r="X82" i="4"/>
  <c r="W82" i="4"/>
  <c r="U82" i="4"/>
  <c r="R82" i="4"/>
  <c r="N82" i="4"/>
  <c r="O82" i="4" s="1"/>
  <c r="L82" i="4"/>
  <c r="I82" i="4"/>
  <c r="H82" i="4"/>
  <c r="F82" i="4"/>
  <c r="C82" i="4"/>
  <c r="AD81" i="4"/>
  <c r="AC81" i="4"/>
  <c r="AA81" i="4"/>
  <c r="W81" i="4"/>
  <c r="X81" i="4" s="1"/>
  <c r="U81" i="4"/>
  <c r="R81" i="4"/>
  <c r="N81" i="4"/>
  <c r="O81" i="4" s="1"/>
  <c r="L81" i="4"/>
  <c r="I81" i="4"/>
  <c r="H81" i="4"/>
  <c r="F81" i="4"/>
  <c r="C81" i="4"/>
  <c r="AC80" i="4"/>
  <c r="AD80" i="4" s="1"/>
  <c r="AA80" i="4"/>
  <c r="W80" i="4"/>
  <c r="X80" i="4" s="1"/>
  <c r="U80" i="4"/>
  <c r="R80" i="4"/>
  <c r="O80" i="4"/>
  <c r="N80" i="4"/>
  <c r="L80" i="4"/>
  <c r="H80" i="4"/>
  <c r="I80" i="4" s="1"/>
  <c r="F80" i="4"/>
  <c r="C80" i="4"/>
  <c r="AD79" i="4"/>
  <c r="AC79" i="4"/>
  <c r="AA79" i="4"/>
  <c r="W79" i="4"/>
  <c r="X79" i="4" s="1"/>
  <c r="U79" i="4"/>
  <c r="R79" i="4"/>
  <c r="N79" i="4"/>
  <c r="O79" i="4" s="1"/>
  <c r="L79" i="4"/>
  <c r="H79" i="4"/>
  <c r="I79" i="4" s="1"/>
  <c r="F79" i="4"/>
  <c r="C79" i="4"/>
  <c r="AD78" i="4"/>
  <c r="AC78" i="4"/>
  <c r="AA78" i="4"/>
  <c r="X78" i="4"/>
  <c r="W78" i="4"/>
  <c r="U78" i="4"/>
  <c r="R78" i="4"/>
  <c r="N78" i="4"/>
  <c r="O78" i="4" s="1"/>
  <c r="L78" i="4"/>
  <c r="I78" i="4"/>
  <c r="H78" i="4"/>
  <c r="F78" i="4"/>
  <c r="C78" i="4"/>
  <c r="AD77" i="4"/>
  <c r="AC77" i="4"/>
  <c r="AA77" i="4"/>
  <c r="W77" i="4"/>
  <c r="X77" i="4" s="1"/>
  <c r="U77" i="4"/>
  <c r="R77" i="4"/>
  <c r="N77" i="4"/>
  <c r="O77" i="4" s="1"/>
  <c r="L77" i="4"/>
  <c r="I77" i="4"/>
  <c r="H77" i="4"/>
  <c r="F77" i="4"/>
  <c r="C77" i="4"/>
  <c r="AC76" i="4"/>
  <c r="AD76" i="4" s="1"/>
  <c r="AA76" i="4"/>
  <c r="X76" i="4"/>
  <c r="W76" i="4"/>
  <c r="U76" i="4"/>
  <c r="R76" i="4"/>
  <c r="O76" i="4"/>
  <c r="N76" i="4"/>
  <c r="L76" i="4"/>
  <c r="H76" i="4"/>
  <c r="I76" i="4" s="1"/>
  <c r="F76" i="4"/>
  <c r="C76" i="4"/>
  <c r="AD75" i="4"/>
  <c r="AC75" i="4"/>
  <c r="AA75" i="4"/>
  <c r="W75" i="4"/>
  <c r="X75" i="4" s="1"/>
  <c r="U75" i="4"/>
  <c r="R75" i="4"/>
  <c r="N75" i="4"/>
  <c r="O75" i="4" s="1"/>
  <c r="L75" i="4"/>
  <c r="H75" i="4"/>
  <c r="I75" i="4" s="1"/>
  <c r="F75" i="4"/>
  <c r="C75" i="4"/>
  <c r="AA73" i="4"/>
  <c r="Z73" i="4"/>
  <c r="T73" i="4"/>
  <c r="U73" i="4" s="1"/>
  <c r="R73" i="4"/>
  <c r="Q73" i="4"/>
  <c r="K73" i="4"/>
  <c r="L73" i="4" s="1"/>
  <c r="H73" i="4"/>
  <c r="I73" i="4" s="1"/>
  <c r="F73" i="4"/>
  <c r="E73" i="4"/>
  <c r="C73" i="4"/>
  <c r="B73" i="4"/>
  <c r="N73" i="4" s="1"/>
  <c r="O73" i="4" s="1"/>
  <c r="AC72" i="4"/>
  <c r="AD72" i="4" s="1"/>
  <c r="AA72" i="4"/>
  <c r="W72" i="4"/>
  <c r="X72" i="4" s="1"/>
  <c r="U72" i="4"/>
  <c r="R72" i="4"/>
  <c r="O72" i="4"/>
  <c r="N72" i="4"/>
  <c r="L72" i="4"/>
  <c r="H72" i="4"/>
  <c r="I72" i="4" s="1"/>
  <c r="F72" i="4"/>
  <c r="C72" i="4"/>
  <c r="AD71" i="4"/>
  <c r="AC71" i="4"/>
  <c r="AA71" i="4"/>
  <c r="W71" i="4"/>
  <c r="X71" i="4" s="1"/>
  <c r="U71" i="4"/>
  <c r="R71" i="4"/>
  <c r="N71" i="4"/>
  <c r="O71" i="4" s="1"/>
  <c r="L71" i="4"/>
  <c r="H71" i="4"/>
  <c r="I71" i="4" s="1"/>
  <c r="F71" i="4"/>
  <c r="C71" i="4"/>
  <c r="AD70" i="4"/>
  <c r="AC70" i="4"/>
  <c r="AA70" i="4"/>
  <c r="X70" i="4"/>
  <c r="W70" i="4"/>
  <c r="U70" i="4"/>
  <c r="R70" i="4"/>
  <c r="O70" i="4"/>
  <c r="N70" i="4"/>
  <c r="L70" i="4"/>
  <c r="I70" i="4"/>
  <c r="H70" i="4"/>
  <c r="F70" i="4"/>
  <c r="C70" i="4"/>
  <c r="AC69" i="4"/>
  <c r="AD69" i="4" s="1"/>
  <c r="AA69" i="4"/>
  <c r="W69" i="4"/>
  <c r="X69" i="4" s="1"/>
  <c r="U69" i="4"/>
  <c r="R69" i="4"/>
  <c r="N69" i="4"/>
  <c r="O69" i="4" s="1"/>
  <c r="L69" i="4"/>
  <c r="I69" i="4"/>
  <c r="H69" i="4"/>
  <c r="F69" i="4"/>
  <c r="C69" i="4"/>
  <c r="AC68" i="4"/>
  <c r="AD68" i="4" s="1"/>
  <c r="AA68" i="4"/>
  <c r="W68" i="4"/>
  <c r="X68" i="4" s="1"/>
  <c r="U68" i="4"/>
  <c r="R68" i="4"/>
  <c r="O68" i="4"/>
  <c r="N68" i="4"/>
  <c r="L68" i="4"/>
  <c r="I68" i="4"/>
  <c r="H68" i="4"/>
  <c r="F68" i="4"/>
  <c r="C68" i="4"/>
  <c r="AD67" i="4"/>
  <c r="AC67" i="4"/>
  <c r="AA67" i="4"/>
  <c r="W67" i="4"/>
  <c r="X67" i="4" s="1"/>
  <c r="U67" i="4"/>
  <c r="R67" i="4"/>
  <c r="N67" i="4"/>
  <c r="O67" i="4" s="1"/>
  <c r="L67" i="4"/>
  <c r="H67" i="4"/>
  <c r="I67" i="4" s="1"/>
  <c r="F67" i="4"/>
  <c r="C67" i="4"/>
  <c r="AD66" i="4"/>
  <c r="AC66" i="4"/>
  <c r="AA66" i="4"/>
  <c r="X66" i="4"/>
  <c r="W66" i="4"/>
  <c r="U66" i="4"/>
  <c r="R66" i="4"/>
  <c r="N66" i="4"/>
  <c r="O66" i="4" s="1"/>
  <c r="L66" i="4"/>
  <c r="I66" i="4"/>
  <c r="H66" i="4"/>
  <c r="F66" i="4"/>
  <c r="C66" i="4"/>
  <c r="AC65" i="4"/>
  <c r="AD65" i="4" s="1"/>
  <c r="AA65" i="4"/>
  <c r="W65" i="4"/>
  <c r="X65" i="4" s="1"/>
  <c r="U65" i="4"/>
  <c r="R65" i="4"/>
  <c r="N65" i="4"/>
  <c r="O65" i="4" s="1"/>
  <c r="L65" i="4"/>
  <c r="I65" i="4"/>
  <c r="H65" i="4"/>
  <c r="F65" i="4"/>
  <c r="C65" i="4"/>
  <c r="AC64" i="4"/>
  <c r="AD64" i="4" s="1"/>
  <c r="AA64" i="4"/>
  <c r="W64" i="4"/>
  <c r="X64" i="4" s="1"/>
  <c r="U64" i="4"/>
  <c r="R64" i="4"/>
  <c r="O64" i="4"/>
  <c r="N64" i="4"/>
  <c r="L64" i="4"/>
  <c r="I64" i="4"/>
  <c r="H64" i="4"/>
  <c r="F64" i="4"/>
  <c r="C64" i="4"/>
  <c r="AD62" i="4"/>
  <c r="Z62" i="4"/>
  <c r="AA62" i="4" s="1"/>
  <c r="X62" i="4"/>
  <c r="W62" i="4"/>
  <c r="U62" i="4"/>
  <c r="T62" i="4"/>
  <c r="R62" i="4"/>
  <c r="Q62" i="4"/>
  <c r="AC62" i="4" s="1"/>
  <c r="K62" i="4"/>
  <c r="L62" i="4" s="1"/>
  <c r="F62" i="4"/>
  <c r="E62" i="4"/>
  <c r="H62" i="4" s="1"/>
  <c r="I62" i="4" s="1"/>
  <c r="B62" i="4"/>
  <c r="C62" i="4" s="1"/>
  <c r="AA61" i="4"/>
  <c r="Z61" i="4"/>
  <c r="X61" i="4"/>
  <c r="T61" i="4"/>
  <c r="U61" i="4" s="1"/>
  <c r="R61" i="4"/>
  <c r="Q61" i="4"/>
  <c r="W61" i="4" s="1"/>
  <c r="L61" i="4"/>
  <c r="K61" i="4"/>
  <c r="E61" i="4"/>
  <c r="F61" i="4" s="1"/>
  <c r="C61" i="4"/>
  <c r="B61" i="4"/>
  <c r="H61" i="4" s="1"/>
  <c r="I61" i="4" s="1"/>
  <c r="AD60" i="4"/>
  <c r="AC60" i="4"/>
  <c r="AA60" i="4"/>
  <c r="W60" i="4"/>
  <c r="X60" i="4" s="1"/>
  <c r="U60" i="4"/>
  <c r="R60" i="4"/>
  <c r="N60" i="4"/>
  <c r="O60" i="4" s="1"/>
  <c r="L60" i="4"/>
  <c r="H60" i="4"/>
  <c r="I60" i="4" s="1"/>
  <c r="F60" i="4"/>
  <c r="C60" i="4"/>
  <c r="AD59" i="4"/>
  <c r="AC59" i="4"/>
  <c r="AA59" i="4"/>
  <c r="X59" i="4"/>
  <c r="W59" i="4"/>
  <c r="U59" i="4"/>
  <c r="R59" i="4"/>
  <c r="N59" i="4"/>
  <c r="O59" i="4" s="1"/>
  <c r="L59" i="4"/>
  <c r="I59" i="4"/>
  <c r="H59" i="4"/>
  <c r="F59" i="4"/>
  <c r="C59" i="4"/>
  <c r="AD58" i="4"/>
  <c r="AC58" i="4"/>
  <c r="AA58" i="4"/>
  <c r="W58" i="4"/>
  <c r="X58" i="4" s="1"/>
  <c r="U58" i="4"/>
  <c r="R58" i="4"/>
  <c r="N58" i="4"/>
  <c r="O58" i="4" s="1"/>
  <c r="L58" i="4"/>
  <c r="I58" i="4"/>
  <c r="H58" i="4"/>
  <c r="F58" i="4"/>
  <c r="C58" i="4"/>
  <c r="AC57" i="4"/>
  <c r="AD57" i="4" s="1"/>
  <c r="AA57" i="4"/>
  <c r="X57" i="4"/>
  <c r="W57" i="4"/>
  <c r="U57" i="4"/>
  <c r="R57" i="4"/>
  <c r="O57" i="4"/>
  <c r="N57" i="4"/>
  <c r="L57" i="4"/>
  <c r="H57" i="4"/>
  <c r="I57" i="4" s="1"/>
  <c r="F57" i="4"/>
  <c r="C57" i="4"/>
  <c r="AD56" i="4"/>
  <c r="AC56" i="4"/>
  <c r="AA56" i="4"/>
  <c r="W56" i="4"/>
  <c r="X56" i="4" s="1"/>
  <c r="U56" i="4"/>
  <c r="R56" i="4"/>
  <c r="N56" i="4"/>
  <c r="O56" i="4" s="1"/>
  <c r="L56" i="4"/>
  <c r="H56" i="4"/>
  <c r="I56" i="4" s="1"/>
  <c r="F56" i="4"/>
  <c r="C56" i="4"/>
  <c r="AD55" i="4"/>
  <c r="AC55" i="4"/>
  <c r="AA55" i="4"/>
  <c r="X55" i="4"/>
  <c r="W55" i="4"/>
  <c r="U55" i="4"/>
  <c r="R55" i="4"/>
  <c r="N55" i="4"/>
  <c r="O55" i="4" s="1"/>
  <c r="L55" i="4"/>
  <c r="I55" i="4"/>
  <c r="H55" i="4"/>
  <c r="F55" i="4"/>
  <c r="C55" i="4"/>
  <c r="AC54" i="4"/>
  <c r="AD54" i="4" s="1"/>
  <c r="AA54" i="4"/>
  <c r="W54" i="4"/>
  <c r="X54" i="4" s="1"/>
  <c r="U54" i="4"/>
  <c r="R54" i="4"/>
  <c r="N54" i="4"/>
  <c r="O54" i="4" s="1"/>
  <c r="L54" i="4"/>
  <c r="I54" i="4"/>
  <c r="H54" i="4"/>
  <c r="F54" i="4"/>
  <c r="C54" i="4"/>
  <c r="AC53" i="4"/>
  <c r="AD53" i="4" s="1"/>
  <c r="AA53" i="4"/>
  <c r="X53" i="4"/>
  <c r="W53" i="4"/>
  <c r="U53" i="4"/>
  <c r="R53" i="4"/>
  <c r="O53" i="4"/>
  <c r="N53" i="4"/>
  <c r="L53" i="4"/>
  <c r="H53" i="4"/>
  <c r="I53" i="4" s="1"/>
  <c r="F53" i="4"/>
  <c r="C53" i="4"/>
  <c r="AD52" i="4"/>
  <c r="AC52" i="4"/>
  <c r="AA52" i="4"/>
  <c r="W52" i="4"/>
  <c r="X52" i="4" s="1"/>
  <c r="U52" i="4"/>
  <c r="R52" i="4"/>
  <c r="N52" i="4"/>
  <c r="O52" i="4" s="1"/>
  <c r="L52" i="4"/>
  <c r="H52" i="4"/>
  <c r="I52" i="4" s="1"/>
  <c r="F52" i="4"/>
  <c r="C52" i="4"/>
  <c r="AD51" i="4"/>
  <c r="AC51" i="4"/>
  <c r="AA51" i="4"/>
  <c r="X51" i="4"/>
  <c r="W51" i="4"/>
  <c r="U51" i="4"/>
  <c r="R51" i="4"/>
  <c r="N51" i="4"/>
  <c r="O51" i="4" s="1"/>
  <c r="L51" i="4"/>
  <c r="I51" i="4"/>
  <c r="H51" i="4"/>
  <c r="F51" i="4"/>
  <c r="C51" i="4"/>
  <c r="AD50" i="4"/>
  <c r="AC50" i="4"/>
  <c r="AA50" i="4"/>
  <c r="W50" i="4"/>
  <c r="X50" i="4" s="1"/>
  <c r="U50" i="4"/>
  <c r="R50" i="4"/>
  <c r="N50" i="4"/>
  <c r="O50" i="4" s="1"/>
  <c r="L50" i="4"/>
  <c r="I50" i="4"/>
  <c r="H50" i="4"/>
  <c r="F50" i="4"/>
  <c r="C50" i="4"/>
  <c r="AC49" i="4"/>
  <c r="AD49" i="4" s="1"/>
  <c r="AA49" i="4"/>
  <c r="W49" i="4"/>
  <c r="X49" i="4" s="1"/>
  <c r="U49" i="4"/>
  <c r="R49" i="4"/>
  <c r="O49" i="4"/>
  <c r="N49" i="4"/>
  <c r="L49" i="4"/>
  <c r="H49" i="4"/>
  <c r="I49" i="4" s="1"/>
  <c r="F49" i="4"/>
  <c r="C49" i="4"/>
  <c r="AD48" i="4"/>
  <c r="AC48" i="4"/>
  <c r="AA48" i="4"/>
  <c r="W48" i="4"/>
  <c r="X48" i="4" s="1"/>
  <c r="U48" i="4"/>
  <c r="R48" i="4"/>
  <c r="N48" i="4"/>
  <c r="O48" i="4" s="1"/>
  <c r="L48" i="4"/>
  <c r="H48" i="4"/>
  <c r="I48" i="4" s="1"/>
  <c r="F48" i="4"/>
  <c r="C48" i="4"/>
  <c r="AD47" i="4"/>
  <c r="AC47" i="4"/>
  <c r="AA47" i="4"/>
  <c r="X47" i="4"/>
  <c r="W47" i="4"/>
  <c r="U47" i="4"/>
  <c r="R47" i="4"/>
  <c r="N47" i="4"/>
  <c r="O47" i="4" s="1"/>
  <c r="L47" i="4"/>
  <c r="I47" i="4"/>
  <c r="H47" i="4"/>
  <c r="F47" i="4"/>
  <c r="C47" i="4"/>
  <c r="AD46" i="4"/>
  <c r="AC46" i="4"/>
  <c r="AA46" i="4"/>
  <c r="W46" i="4"/>
  <c r="X46" i="4" s="1"/>
  <c r="U46" i="4"/>
  <c r="R46" i="4"/>
  <c r="N46" i="4"/>
  <c r="O46" i="4" s="1"/>
  <c r="L46" i="4"/>
  <c r="I46" i="4"/>
  <c r="H46" i="4"/>
  <c r="F46" i="4"/>
  <c r="C46" i="4"/>
  <c r="AC44" i="4"/>
  <c r="AD44" i="4" s="1"/>
  <c r="AA44" i="4"/>
  <c r="X44" i="4"/>
  <c r="W44" i="4"/>
  <c r="U44" i="4"/>
  <c r="R44" i="4"/>
  <c r="O44" i="4"/>
  <c r="N44" i="4"/>
  <c r="L44" i="4"/>
  <c r="H44" i="4"/>
  <c r="I44" i="4" s="1"/>
  <c r="F44" i="4"/>
  <c r="C44" i="4"/>
  <c r="AD43" i="4"/>
  <c r="AC43" i="4"/>
  <c r="AA43" i="4"/>
  <c r="W43" i="4"/>
  <c r="X43" i="4" s="1"/>
  <c r="U43" i="4"/>
  <c r="R43" i="4"/>
  <c r="N43" i="4"/>
  <c r="O43" i="4" s="1"/>
  <c r="L43" i="4"/>
  <c r="H43" i="4"/>
  <c r="I43" i="4" s="1"/>
  <c r="F43" i="4"/>
  <c r="C43" i="4"/>
  <c r="AD42" i="4"/>
  <c r="AC42" i="4"/>
  <c r="AA42" i="4"/>
  <c r="X42" i="4"/>
  <c r="W42" i="4"/>
  <c r="U42" i="4"/>
  <c r="R42" i="4"/>
  <c r="N42" i="4"/>
  <c r="O42" i="4" s="1"/>
  <c r="L42" i="4"/>
  <c r="I42" i="4"/>
  <c r="H42" i="4"/>
  <c r="F42" i="4"/>
  <c r="C42" i="4"/>
  <c r="AA40" i="4"/>
  <c r="Z40" i="4"/>
  <c r="X40" i="4"/>
  <c r="T40" i="4"/>
  <c r="U40" i="4" s="1"/>
  <c r="R40" i="4"/>
  <c r="Q40" i="4"/>
  <c r="W40" i="4" s="1"/>
  <c r="L40" i="4"/>
  <c r="K40" i="4"/>
  <c r="E40" i="4"/>
  <c r="F40" i="4" s="1"/>
  <c r="C40" i="4"/>
  <c r="B40" i="4"/>
  <c r="H40" i="4" s="1"/>
  <c r="I40" i="4" s="1"/>
  <c r="AD39" i="4"/>
  <c r="AC39" i="4"/>
  <c r="AA39" i="4"/>
  <c r="W39" i="4"/>
  <c r="X39" i="4" s="1"/>
  <c r="U39" i="4"/>
  <c r="R39" i="4"/>
  <c r="N39" i="4"/>
  <c r="O39" i="4" s="1"/>
  <c r="L39" i="4"/>
  <c r="H39" i="4"/>
  <c r="I39" i="4" s="1"/>
  <c r="F39" i="4"/>
  <c r="C39" i="4"/>
  <c r="AD38" i="4"/>
  <c r="AC38" i="4"/>
  <c r="AA38" i="4"/>
  <c r="X38" i="4"/>
  <c r="W38" i="4"/>
  <c r="U38" i="4"/>
  <c r="R38" i="4"/>
  <c r="N38" i="4"/>
  <c r="O38" i="4" s="1"/>
  <c r="L38" i="4"/>
  <c r="I38" i="4"/>
  <c r="H38" i="4"/>
  <c r="F38" i="4"/>
  <c r="C38" i="4"/>
  <c r="AD37" i="4"/>
  <c r="AC37" i="4"/>
  <c r="AA37" i="4"/>
  <c r="W37" i="4"/>
  <c r="X37" i="4" s="1"/>
  <c r="U37" i="4"/>
  <c r="R37" i="4"/>
  <c r="N37" i="4"/>
  <c r="O37" i="4" s="1"/>
  <c r="L37" i="4"/>
  <c r="I37" i="4"/>
  <c r="H37" i="4"/>
  <c r="F37" i="4"/>
  <c r="C37" i="4"/>
  <c r="AC36" i="4"/>
  <c r="AD36" i="4" s="1"/>
  <c r="AA36" i="4"/>
  <c r="X36" i="4"/>
  <c r="W36" i="4"/>
  <c r="U36" i="4"/>
  <c r="R36" i="4"/>
  <c r="O36" i="4"/>
  <c r="N36" i="4"/>
  <c r="L36" i="4"/>
  <c r="H36" i="4"/>
  <c r="I36" i="4" s="1"/>
  <c r="F36" i="4"/>
  <c r="C36" i="4"/>
  <c r="AD35" i="4"/>
  <c r="AC35" i="4"/>
  <c r="AA35" i="4"/>
  <c r="W35" i="4"/>
  <c r="X35" i="4" s="1"/>
  <c r="U35" i="4"/>
  <c r="R35" i="4"/>
  <c r="N35" i="4"/>
  <c r="O35" i="4" s="1"/>
  <c r="L35" i="4"/>
  <c r="H35" i="4"/>
  <c r="I35" i="4" s="1"/>
  <c r="F35" i="4"/>
  <c r="C35" i="4"/>
  <c r="AD34" i="4"/>
  <c r="AC34" i="4"/>
  <c r="AA34" i="4"/>
  <c r="X34" i="4"/>
  <c r="W34" i="4"/>
  <c r="U34" i="4"/>
  <c r="R34" i="4"/>
  <c r="N34" i="4"/>
  <c r="O34" i="4" s="1"/>
  <c r="L34" i="4"/>
  <c r="I34" i="4"/>
  <c r="H34" i="4"/>
  <c r="F34" i="4"/>
  <c r="C34" i="4"/>
  <c r="AD33" i="4"/>
  <c r="AC33" i="4"/>
  <c r="AA33" i="4"/>
  <c r="W33" i="4"/>
  <c r="X33" i="4" s="1"/>
  <c r="U33" i="4"/>
  <c r="R33" i="4"/>
  <c r="N33" i="4"/>
  <c r="O33" i="4" s="1"/>
  <c r="L33" i="4"/>
  <c r="I33" i="4"/>
  <c r="H33" i="4"/>
  <c r="F33" i="4"/>
  <c r="C33" i="4"/>
  <c r="AC32" i="4"/>
  <c r="AD32" i="4" s="1"/>
  <c r="AA32" i="4"/>
  <c r="X32" i="4"/>
  <c r="W32" i="4"/>
  <c r="U32" i="4"/>
  <c r="R32" i="4"/>
  <c r="O32" i="4"/>
  <c r="N32" i="4"/>
  <c r="L32" i="4"/>
  <c r="I32" i="4"/>
  <c r="H32" i="4"/>
  <c r="F32" i="4"/>
  <c r="C32" i="4"/>
  <c r="AD31" i="4"/>
  <c r="AC31" i="4"/>
  <c r="AA31" i="4"/>
  <c r="W31" i="4"/>
  <c r="X31" i="4" s="1"/>
  <c r="U31" i="4"/>
  <c r="R31" i="4"/>
  <c r="N31" i="4"/>
  <c r="O31" i="4" s="1"/>
  <c r="L31" i="4"/>
  <c r="H31" i="4"/>
  <c r="I31" i="4" s="1"/>
  <c r="F31" i="4"/>
  <c r="C31" i="4"/>
  <c r="AA29" i="4"/>
  <c r="Z29" i="4"/>
  <c r="T29" i="4"/>
  <c r="U29" i="4" s="1"/>
  <c r="R29" i="4"/>
  <c r="Q29" i="4"/>
  <c r="K29" i="4"/>
  <c r="L29" i="4" s="1"/>
  <c r="I29" i="4"/>
  <c r="H29" i="4"/>
  <c r="F29" i="4"/>
  <c r="E29" i="4"/>
  <c r="C29" i="4"/>
  <c r="B29" i="4"/>
  <c r="N29" i="4" s="1"/>
  <c r="O29" i="4" s="1"/>
  <c r="AC28" i="4"/>
  <c r="AD28" i="4" s="1"/>
  <c r="AA28" i="4"/>
  <c r="X28" i="4"/>
  <c r="W28" i="4"/>
  <c r="U28" i="4"/>
  <c r="R28" i="4"/>
  <c r="O28" i="4"/>
  <c r="N28" i="4"/>
  <c r="L28" i="4"/>
  <c r="I28" i="4"/>
  <c r="H28" i="4"/>
  <c r="F28" i="4"/>
  <c r="C28" i="4"/>
  <c r="AD27" i="4"/>
  <c r="AC27" i="4"/>
  <c r="AA27" i="4"/>
  <c r="W27" i="4"/>
  <c r="X27" i="4" s="1"/>
  <c r="U27" i="4"/>
  <c r="R27" i="4"/>
  <c r="N27" i="4"/>
  <c r="O27" i="4" s="1"/>
  <c r="L27" i="4"/>
  <c r="H27" i="4"/>
  <c r="I27" i="4" s="1"/>
  <c r="F27" i="4"/>
  <c r="C27" i="4"/>
  <c r="AD26" i="4"/>
  <c r="AC26" i="4"/>
  <c r="AA26" i="4"/>
  <c r="X26" i="4"/>
  <c r="W26" i="4"/>
  <c r="U26" i="4"/>
  <c r="R26" i="4"/>
  <c r="O26" i="4"/>
  <c r="N26" i="4"/>
  <c r="L26" i="4"/>
  <c r="I26" i="4"/>
  <c r="H26" i="4"/>
  <c r="F26" i="4"/>
  <c r="C26" i="4"/>
  <c r="AC25" i="4"/>
  <c r="AD25" i="4" s="1"/>
  <c r="AA25" i="4"/>
  <c r="W25" i="4"/>
  <c r="X25" i="4" s="1"/>
  <c r="U25" i="4"/>
  <c r="R25" i="4"/>
  <c r="N25" i="4"/>
  <c r="O25" i="4" s="1"/>
  <c r="L25" i="4"/>
  <c r="I25" i="4"/>
  <c r="H25" i="4"/>
  <c r="F25" i="4"/>
  <c r="C25" i="4"/>
  <c r="AC24" i="4"/>
  <c r="AD24" i="4" s="1"/>
  <c r="AA24" i="4"/>
  <c r="W24" i="4"/>
  <c r="X24" i="4" s="1"/>
  <c r="U24" i="4"/>
  <c r="R24" i="4"/>
  <c r="O24" i="4"/>
  <c r="N24" i="4"/>
  <c r="L24" i="4"/>
  <c r="I24" i="4"/>
  <c r="H24" i="4"/>
  <c r="F24" i="4"/>
  <c r="C24" i="4"/>
  <c r="AD23" i="4"/>
  <c r="AC23" i="4"/>
  <c r="AA23" i="4"/>
  <c r="W23" i="4"/>
  <c r="X23" i="4" s="1"/>
  <c r="U23" i="4"/>
  <c r="R23" i="4"/>
  <c r="N23" i="4"/>
  <c r="O23" i="4" s="1"/>
  <c r="L23" i="4"/>
  <c r="H23" i="4"/>
  <c r="I23" i="4" s="1"/>
  <c r="F23" i="4"/>
  <c r="C23" i="4"/>
  <c r="AD22" i="4"/>
  <c r="AC22" i="4"/>
  <c r="AA22" i="4"/>
  <c r="X22" i="4"/>
  <c r="W22" i="4"/>
  <c r="U22" i="4"/>
  <c r="R22" i="4"/>
  <c r="O22" i="4"/>
  <c r="N22" i="4"/>
  <c r="L22" i="4"/>
  <c r="I22" i="4"/>
  <c r="H22" i="4"/>
  <c r="F22" i="4"/>
  <c r="C22" i="4"/>
  <c r="AC21" i="4"/>
  <c r="AD21" i="4" s="1"/>
  <c r="AA21" i="4"/>
  <c r="W21" i="4"/>
  <c r="X21" i="4" s="1"/>
  <c r="U21" i="4"/>
  <c r="R21" i="4"/>
  <c r="N21" i="4"/>
  <c r="O21" i="4" s="1"/>
  <c r="L21" i="4"/>
  <c r="I21" i="4"/>
  <c r="H21" i="4"/>
  <c r="F21" i="4"/>
  <c r="C21" i="4"/>
  <c r="AC19" i="4"/>
  <c r="AD19" i="4" s="1"/>
  <c r="AA19" i="4"/>
  <c r="W19" i="4"/>
  <c r="X19" i="4" s="1"/>
  <c r="U19" i="4"/>
  <c r="R19" i="4"/>
  <c r="O19" i="4"/>
  <c r="N19" i="4"/>
  <c r="L19" i="4"/>
  <c r="I19" i="4"/>
  <c r="H19" i="4"/>
  <c r="F19" i="4"/>
  <c r="C19" i="4"/>
  <c r="AD18" i="4"/>
  <c r="Z18" i="4"/>
  <c r="AA18" i="4" s="1"/>
  <c r="X18" i="4"/>
  <c r="W18" i="4"/>
  <c r="U18" i="4"/>
  <c r="T18" i="4"/>
  <c r="R18" i="4"/>
  <c r="Q18" i="4"/>
  <c r="AC18" i="4" s="1"/>
  <c r="L18" i="4"/>
  <c r="K18" i="4"/>
  <c r="F18" i="4"/>
  <c r="E18" i="4"/>
  <c r="H18" i="4" s="1"/>
  <c r="I18" i="4" s="1"/>
  <c r="B18" i="4"/>
  <c r="C18" i="4" s="1"/>
  <c r="AD17" i="4"/>
  <c r="AC17" i="4"/>
  <c r="AA17" i="4"/>
  <c r="W17" i="4"/>
  <c r="X17" i="4" s="1"/>
  <c r="U17" i="4"/>
  <c r="R17" i="4"/>
  <c r="N17" i="4"/>
  <c r="O17" i="4" s="1"/>
  <c r="L17" i="4"/>
  <c r="I17" i="4"/>
  <c r="H17" i="4"/>
  <c r="F17" i="4"/>
  <c r="C17" i="4"/>
  <c r="AC16" i="4"/>
  <c r="AD16" i="4" s="1"/>
  <c r="AA16" i="4"/>
  <c r="X16" i="4"/>
  <c r="W16" i="4"/>
  <c r="U16" i="4"/>
  <c r="R16" i="4"/>
  <c r="O16" i="4"/>
  <c r="N16" i="4"/>
  <c r="L16" i="4"/>
  <c r="H16" i="4"/>
  <c r="I16" i="4" s="1"/>
  <c r="F16" i="4"/>
  <c r="C16" i="4"/>
  <c r="AD15" i="4"/>
  <c r="AC15" i="4"/>
  <c r="AA15" i="4"/>
  <c r="W15" i="4"/>
  <c r="X15" i="4" s="1"/>
  <c r="U15" i="4"/>
  <c r="R15" i="4"/>
  <c r="N15" i="4"/>
  <c r="O15" i="4" s="1"/>
  <c r="L15" i="4"/>
  <c r="H15" i="4"/>
  <c r="I15" i="4" s="1"/>
  <c r="F15" i="4"/>
  <c r="C15" i="4"/>
  <c r="AD14" i="4"/>
  <c r="AC14" i="4"/>
  <c r="AA14" i="4"/>
  <c r="X14" i="4"/>
  <c r="W14" i="4"/>
  <c r="U14" i="4"/>
  <c r="R14" i="4"/>
  <c r="O14" i="4"/>
  <c r="N14" i="4"/>
  <c r="L14" i="4"/>
  <c r="I14" i="4"/>
  <c r="H14" i="4"/>
  <c r="F14" i="4"/>
  <c r="C14" i="4"/>
  <c r="AD13" i="4"/>
  <c r="AC13" i="4"/>
  <c r="AA13" i="4"/>
  <c r="W13" i="4"/>
  <c r="X13" i="4" s="1"/>
  <c r="U13" i="4"/>
  <c r="R13" i="4"/>
  <c r="N13" i="4"/>
  <c r="O13" i="4" s="1"/>
  <c r="L13" i="4"/>
  <c r="I13" i="4"/>
  <c r="H13" i="4"/>
  <c r="F13" i="4"/>
  <c r="C13" i="4"/>
  <c r="AC12" i="4"/>
  <c r="AD12" i="4" s="1"/>
  <c r="AA12" i="4"/>
  <c r="X12" i="4"/>
  <c r="W12" i="4"/>
  <c r="U12" i="4"/>
  <c r="R12" i="4"/>
  <c r="O12" i="4"/>
  <c r="N12" i="4"/>
  <c r="L12" i="4"/>
  <c r="H12" i="4"/>
  <c r="I12" i="4" s="1"/>
  <c r="F12" i="4"/>
  <c r="C12" i="4"/>
  <c r="AD11" i="4"/>
  <c r="AC11" i="4"/>
  <c r="AA11" i="4"/>
  <c r="W11" i="4"/>
  <c r="X11" i="4" s="1"/>
  <c r="U11" i="4"/>
  <c r="R11" i="4"/>
  <c r="N11" i="4"/>
  <c r="O11" i="4" s="1"/>
  <c r="L11" i="4"/>
  <c r="H11" i="4"/>
  <c r="I11" i="4" s="1"/>
  <c r="F11" i="4"/>
  <c r="C11" i="4"/>
  <c r="AD10" i="4"/>
  <c r="AC10" i="4"/>
  <c r="AA10" i="4"/>
  <c r="X10" i="4"/>
  <c r="W10" i="4"/>
  <c r="U10" i="4"/>
  <c r="R10" i="4"/>
  <c r="N10" i="4"/>
  <c r="O10" i="4" s="1"/>
  <c r="L10" i="4"/>
  <c r="I10" i="4"/>
  <c r="H10" i="4"/>
  <c r="F10" i="4"/>
  <c r="C10" i="4"/>
  <c r="AD8" i="4"/>
  <c r="AC8" i="4"/>
  <c r="AA8" i="4"/>
  <c r="W8" i="4"/>
  <c r="X8" i="4" s="1"/>
  <c r="U8" i="4"/>
  <c r="R8" i="4"/>
  <c r="N8" i="4"/>
  <c r="O8" i="4" s="1"/>
  <c r="L8" i="4"/>
  <c r="I8" i="4"/>
  <c r="H8" i="4"/>
  <c r="F8" i="4"/>
  <c r="C8" i="4"/>
  <c r="AC444" i="3"/>
  <c r="W444" i="3"/>
  <c r="N444" i="3"/>
  <c r="O347" i="3" s="1"/>
  <c r="H444" i="3"/>
  <c r="I434" i="3" s="1"/>
  <c r="Z442" i="3"/>
  <c r="AA442" i="3" s="1"/>
  <c r="U442" i="3"/>
  <c r="T442" i="3"/>
  <c r="W442" i="3" s="1"/>
  <c r="X442" i="3" s="1"/>
  <c r="Q442" i="3"/>
  <c r="R442" i="3" s="1"/>
  <c r="L442" i="3"/>
  <c r="K442" i="3"/>
  <c r="I442" i="3"/>
  <c r="E442" i="3"/>
  <c r="F442" i="3" s="1"/>
  <c r="C442" i="3"/>
  <c r="B442" i="3"/>
  <c r="H442" i="3" s="1"/>
  <c r="AA441" i="3"/>
  <c r="Z441" i="3"/>
  <c r="U441" i="3"/>
  <c r="T441" i="3"/>
  <c r="R441" i="3"/>
  <c r="Q441" i="3"/>
  <c r="W441" i="3" s="1"/>
  <c r="X441" i="3" s="1"/>
  <c r="K441" i="3"/>
  <c r="L441" i="3" s="1"/>
  <c r="H441" i="3"/>
  <c r="I441" i="3" s="1"/>
  <c r="F441" i="3"/>
  <c r="E441" i="3"/>
  <c r="C441" i="3"/>
  <c r="B441" i="3"/>
  <c r="N441" i="3" s="1"/>
  <c r="AC440" i="3"/>
  <c r="AD440" i="3" s="1"/>
  <c r="AA440" i="3"/>
  <c r="W440" i="3"/>
  <c r="X440" i="3" s="1"/>
  <c r="U440" i="3"/>
  <c r="R440" i="3"/>
  <c r="N440" i="3"/>
  <c r="L440" i="3"/>
  <c r="I440" i="3"/>
  <c r="H440" i="3"/>
  <c r="F440" i="3"/>
  <c r="C440" i="3"/>
  <c r="AD439" i="3"/>
  <c r="AC439" i="3"/>
  <c r="AA439" i="3"/>
  <c r="W439" i="3"/>
  <c r="X439" i="3" s="1"/>
  <c r="U439" i="3"/>
  <c r="R439" i="3"/>
  <c r="N439" i="3"/>
  <c r="L439" i="3"/>
  <c r="H439" i="3"/>
  <c r="I439" i="3" s="1"/>
  <c r="F439" i="3"/>
  <c r="C439" i="3"/>
  <c r="AD438" i="3"/>
  <c r="AC438" i="3"/>
  <c r="AA438" i="3"/>
  <c r="X438" i="3"/>
  <c r="W438" i="3"/>
  <c r="U438" i="3"/>
  <c r="R438" i="3"/>
  <c r="N438" i="3"/>
  <c r="L438" i="3"/>
  <c r="I438" i="3"/>
  <c r="H438" i="3"/>
  <c r="F438" i="3"/>
  <c r="C438" i="3"/>
  <c r="AD437" i="3"/>
  <c r="AC437" i="3"/>
  <c r="AA437" i="3"/>
  <c r="W437" i="3"/>
  <c r="X437" i="3" s="1"/>
  <c r="U437" i="3"/>
  <c r="R437" i="3"/>
  <c r="N437" i="3"/>
  <c r="L437" i="3"/>
  <c r="I437" i="3"/>
  <c r="H437" i="3"/>
  <c r="F437" i="3"/>
  <c r="C437" i="3"/>
  <c r="AC436" i="3"/>
  <c r="AD436" i="3" s="1"/>
  <c r="AA436" i="3"/>
  <c r="W436" i="3"/>
  <c r="X436" i="3" s="1"/>
  <c r="U436" i="3"/>
  <c r="R436" i="3"/>
  <c r="N436" i="3"/>
  <c r="L436" i="3"/>
  <c r="I436" i="3"/>
  <c r="H436" i="3"/>
  <c r="F436" i="3"/>
  <c r="C436" i="3"/>
  <c r="AD435" i="3"/>
  <c r="AC435" i="3"/>
  <c r="AA435" i="3"/>
  <c r="W435" i="3"/>
  <c r="X435" i="3" s="1"/>
  <c r="U435" i="3"/>
  <c r="R435" i="3"/>
  <c r="N435" i="3"/>
  <c r="L435" i="3"/>
  <c r="H435" i="3"/>
  <c r="I435" i="3" s="1"/>
  <c r="F435" i="3"/>
  <c r="C435" i="3"/>
  <c r="AD434" i="3"/>
  <c r="AC434" i="3"/>
  <c r="AA434" i="3"/>
  <c r="X434" i="3"/>
  <c r="W434" i="3"/>
  <c r="U434" i="3"/>
  <c r="R434" i="3"/>
  <c r="N434" i="3"/>
  <c r="L434" i="3"/>
  <c r="H434" i="3"/>
  <c r="F434" i="3"/>
  <c r="C434" i="3"/>
  <c r="AC433" i="3"/>
  <c r="AD433" i="3" s="1"/>
  <c r="AA433" i="3"/>
  <c r="W433" i="3"/>
  <c r="X433" i="3" s="1"/>
  <c r="U433" i="3"/>
  <c r="R433" i="3"/>
  <c r="N433" i="3"/>
  <c r="L433" i="3"/>
  <c r="H433" i="3"/>
  <c r="F433" i="3"/>
  <c r="C433" i="3"/>
  <c r="AC432" i="3"/>
  <c r="AD432" i="3" s="1"/>
  <c r="AA432" i="3"/>
  <c r="W432" i="3"/>
  <c r="X432" i="3" s="1"/>
  <c r="U432" i="3"/>
  <c r="R432" i="3"/>
  <c r="N432" i="3"/>
  <c r="L432" i="3"/>
  <c r="H432" i="3"/>
  <c r="I432" i="3" s="1"/>
  <c r="F432" i="3"/>
  <c r="C432" i="3"/>
  <c r="Z429" i="3"/>
  <c r="AA429" i="3" s="1"/>
  <c r="X429" i="3"/>
  <c r="W429" i="3"/>
  <c r="U429" i="3"/>
  <c r="T429" i="3"/>
  <c r="R429" i="3"/>
  <c r="Q429" i="3"/>
  <c r="AC429" i="3" s="1"/>
  <c r="AD429" i="3" s="1"/>
  <c r="K429" i="3"/>
  <c r="L429" i="3" s="1"/>
  <c r="I429" i="3"/>
  <c r="F429" i="3"/>
  <c r="E429" i="3"/>
  <c r="H429" i="3" s="1"/>
  <c r="B429" i="3"/>
  <c r="C429" i="3" s="1"/>
  <c r="AA428" i="3"/>
  <c r="Z428" i="3"/>
  <c r="T428" i="3"/>
  <c r="U428" i="3" s="1"/>
  <c r="Q428" i="3"/>
  <c r="W428" i="3" s="1"/>
  <c r="X428" i="3" s="1"/>
  <c r="L428" i="3"/>
  <c r="K428" i="3"/>
  <c r="F428" i="3"/>
  <c r="E428" i="3"/>
  <c r="C428" i="3"/>
  <c r="B428" i="3"/>
  <c r="AD427" i="3"/>
  <c r="AC427" i="3"/>
  <c r="AA427" i="3"/>
  <c r="W427" i="3"/>
  <c r="X427" i="3" s="1"/>
  <c r="U427" i="3"/>
  <c r="R427" i="3"/>
  <c r="N427" i="3"/>
  <c r="L427" i="3"/>
  <c r="H427" i="3"/>
  <c r="I427" i="3" s="1"/>
  <c r="F427" i="3"/>
  <c r="C427" i="3"/>
  <c r="AD426" i="3"/>
  <c r="AC426" i="3"/>
  <c r="AA426" i="3"/>
  <c r="X426" i="3"/>
  <c r="W426" i="3"/>
  <c r="U426" i="3"/>
  <c r="R426" i="3"/>
  <c r="N426" i="3"/>
  <c r="L426" i="3"/>
  <c r="I426" i="3"/>
  <c r="H426" i="3"/>
  <c r="F426" i="3"/>
  <c r="C426" i="3"/>
  <c r="AC425" i="3"/>
  <c r="AD425" i="3" s="1"/>
  <c r="AA425" i="3"/>
  <c r="W425" i="3"/>
  <c r="X425" i="3" s="1"/>
  <c r="U425" i="3"/>
  <c r="R425" i="3"/>
  <c r="N425" i="3"/>
  <c r="L425" i="3"/>
  <c r="I425" i="3"/>
  <c r="H425" i="3"/>
  <c r="F425" i="3"/>
  <c r="C425" i="3"/>
  <c r="AC424" i="3"/>
  <c r="AD424" i="3" s="1"/>
  <c r="AA424" i="3"/>
  <c r="W424" i="3"/>
  <c r="X424" i="3" s="1"/>
  <c r="U424" i="3"/>
  <c r="R424" i="3"/>
  <c r="N424" i="3"/>
  <c r="L424" i="3"/>
  <c r="I424" i="3"/>
  <c r="H424" i="3"/>
  <c r="F424" i="3"/>
  <c r="C424" i="3"/>
  <c r="AD423" i="3"/>
  <c r="AC423" i="3"/>
  <c r="AA423" i="3"/>
  <c r="W423" i="3"/>
  <c r="X423" i="3" s="1"/>
  <c r="U423" i="3"/>
  <c r="R423" i="3"/>
  <c r="N423" i="3"/>
  <c r="L423" i="3"/>
  <c r="H423" i="3"/>
  <c r="I423" i="3" s="1"/>
  <c r="F423" i="3"/>
  <c r="C423" i="3"/>
  <c r="AD422" i="3"/>
  <c r="AC422" i="3"/>
  <c r="AA422" i="3"/>
  <c r="X422" i="3"/>
  <c r="W422" i="3"/>
  <c r="U422" i="3"/>
  <c r="R422" i="3"/>
  <c r="N422" i="3"/>
  <c r="L422" i="3"/>
  <c r="I422" i="3"/>
  <c r="H422" i="3"/>
  <c r="F422" i="3"/>
  <c r="C422" i="3"/>
  <c r="AD421" i="3"/>
  <c r="AC421" i="3"/>
  <c r="AA421" i="3"/>
  <c r="W421" i="3"/>
  <c r="X421" i="3" s="1"/>
  <c r="U421" i="3"/>
  <c r="R421" i="3"/>
  <c r="N421" i="3"/>
  <c r="L421" i="3"/>
  <c r="I421" i="3"/>
  <c r="H421" i="3"/>
  <c r="F421" i="3"/>
  <c r="C421" i="3"/>
  <c r="AC420" i="3"/>
  <c r="AD420" i="3" s="1"/>
  <c r="AA420" i="3"/>
  <c r="X420" i="3"/>
  <c r="W420" i="3"/>
  <c r="U420" i="3"/>
  <c r="R420" i="3"/>
  <c r="N420" i="3"/>
  <c r="L420" i="3"/>
  <c r="I420" i="3"/>
  <c r="H420" i="3"/>
  <c r="F420" i="3"/>
  <c r="C420" i="3"/>
  <c r="AD419" i="3"/>
  <c r="AC419" i="3"/>
  <c r="AA419" i="3"/>
  <c r="W419" i="3"/>
  <c r="X419" i="3" s="1"/>
  <c r="U419" i="3"/>
  <c r="R419" i="3"/>
  <c r="N419" i="3"/>
  <c r="L419" i="3"/>
  <c r="H419" i="3"/>
  <c r="I419" i="3" s="1"/>
  <c r="F419" i="3"/>
  <c r="C419" i="3"/>
  <c r="AD418" i="3"/>
  <c r="AC418" i="3"/>
  <c r="AA418" i="3"/>
  <c r="X418" i="3"/>
  <c r="W418" i="3"/>
  <c r="U418" i="3"/>
  <c r="R418" i="3"/>
  <c r="N418" i="3"/>
  <c r="L418" i="3"/>
  <c r="I418" i="3"/>
  <c r="H418" i="3"/>
  <c r="F418" i="3"/>
  <c r="C418" i="3"/>
  <c r="AC417" i="3"/>
  <c r="AD417" i="3" s="1"/>
  <c r="AA417" i="3"/>
  <c r="W417" i="3"/>
  <c r="X417" i="3" s="1"/>
  <c r="U417" i="3"/>
  <c r="R417" i="3"/>
  <c r="N417" i="3"/>
  <c r="L417" i="3"/>
  <c r="H417" i="3"/>
  <c r="F417" i="3"/>
  <c r="C417" i="3"/>
  <c r="AC416" i="3"/>
  <c r="AD416" i="3" s="1"/>
  <c r="AA416" i="3"/>
  <c r="X416" i="3"/>
  <c r="W416" i="3"/>
  <c r="U416" i="3"/>
  <c r="R416" i="3"/>
  <c r="N416" i="3"/>
  <c r="L416" i="3"/>
  <c r="H416" i="3"/>
  <c r="I416" i="3" s="1"/>
  <c r="F416" i="3"/>
  <c r="C416" i="3"/>
  <c r="AD415" i="3"/>
  <c r="AC415" i="3"/>
  <c r="AA415" i="3"/>
  <c r="W415" i="3"/>
  <c r="X415" i="3" s="1"/>
  <c r="U415" i="3"/>
  <c r="R415" i="3"/>
  <c r="N415" i="3"/>
  <c r="L415" i="3"/>
  <c r="H415" i="3"/>
  <c r="F415" i="3"/>
  <c r="C415" i="3"/>
  <c r="AD414" i="3"/>
  <c r="AC414" i="3"/>
  <c r="AA414" i="3"/>
  <c r="X414" i="3"/>
  <c r="W414" i="3"/>
  <c r="U414" i="3"/>
  <c r="R414" i="3"/>
  <c r="N414" i="3"/>
  <c r="L414" i="3"/>
  <c r="I414" i="3"/>
  <c r="H414" i="3"/>
  <c r="F414" i="3"/>
  <c r="C414" i="3"/>
  <c r="AD413" i="3"/>
  <c r="AC413" i="3"/>
  <c r="AA413" i="3"/>
  <c r="W413" i="3"/>
  <c r="X413" i="3" s="1"/>
  <c r="U413" i="3"/>
  <c r="R413" i="3"/>
  <c r="N413" i="3"/>
  <c r="L413" i="3"/>
  <c r="I413" i="3"/>
  <c r="H413" i="3"/>
  <c r="F413" i="3"/>
  <c r="C413" i="3"/>
  <c r="AC412" i="3"/>
  <c r="AD412" i="3" s="1"/>
  <c r="AA412" i="3"/>
  <c r="X412" i="3"/>
  <c r="W412" i="3"/>
  <c r="U412" i="3"/>
  <c r="R412" i="3"/>
  <c r="N412" i="3"/>
  <c r="L412" i="3"/>
  <c r="H412" i="3"/>
  <c r="I412" i="3" s="1"/>
  <c r="F412" i="3"/>
  <c r="C412" i="3"/>
  <c r="AD411" i="3"/>
  <c r="AC411" i="3"/>
  <c r="AA411" i="3"/>
  <c r="W411" i="3"/>
  <c r="X411" i="3" s="1"/>
  <c r="U411" i="3"/>
  <c r="R411" i="3"/>
  <c r="N411" i="3"/>
  <c r="L411" i="3"/>
  <c r="H411" i="3"/>
  <c r="I411" i="3" s="1"/>
  <c r="F411" i="3"/>
  <c r="C411" i="3"/>
  <c r="AD410" i="3"/>
  <c r="AC410" i="3"/>
  <c r="AA410" i="3"/>
  <c r="X410" i="3"/>
  <c r="W410" i="3"/>
  <c r="U410" i="3"/>
  <c r="R410" i="3"/>
  <c r="N410" i="3"/>
  <c r="L410" i="3"/>
  <c r="I410" i="3"/>
  <c r="H410" i="3"/>
  <c r="F410" i="3"/>
  <c r="C410" i="3"/>
  <c r="AD409" i="3"/>
  <c r="AC409" i="3"/>
  <c r="AA409" i="3"/>
  <c r="W409" i="3"/>
  <c r="X409" i="3" s="1"/>
  <c r="U409" i="3"/>
  <c r="R409" i="3"/>
  <c r="N409" i="3"/>
  <c r="L409" i="3"/>
  <c r="I409" i="3"/>
  <c r="H409" i="3"/>
  <c r="F409" i="3"/>
  <c r="C409" i="3"/>
  <c r="AC408" i="3"/>
  <c r="AD408" i="3" s="1"/>
  <c r="AA408" i="3"/>
  <c r="W408" i="3"/>
  <c r="X408" i="3" s="1"/>
  <c r="U408" i="3"/>
  <c r="R408" i="3"/>
  <c r="N408" i="3"/>
  <c r="L408" i="3"/>
  <c r="H408" i="3"/>
  <c r="I408" i="3" s="1"/>
  <c r="F408" i="3"/>
  <c r="C408" i="3"/>
  <c r="AD407" i="3"/>
  <c r="AC407" i="3"/>
  <c r="AA407" i="3"/>
  <c r="W407" i="3"/>
  <c r="X407" i="3" s="1"/>
  <c r="U407" i="3"/>
  <c r="R407" i="3"/>
  <c r="N407" i="3"/>
  <c r="L407" i="3"/>
  <c r="H407" i="3"/>
  <c r="I407" i="3" s="1"/>
  <c r="F407" i="3"/>
  <c r="C407" i="3"/>
  <c r="AA403" i="3"/>
  <c r="Z403" i="3"/>
  <c r="X403" i="3"/>
  <c r="U403" i="3"/>
  <c r="T403" i="3"/>
  <c r="W403" i="3" s="1"/>
  <c r="Q403" i="3"/>
  <c r="R403" i="3" s="1"/>
  <c r="N403" i="3"/>
  <c r="L403" i="3"/>
  <c r="K403" i="3"/>
  <c r="E403" i="3"/>
  <c r="F403" i="3" s="1"/>
  <c r="B403" i="3"/>
  <c r="AD402" i="3"/>
  <c r="AC402" i="3"/>
  <c r="AA402" i="3"/>
  <c r="X402" i="3"/>
  <c r="W402" i="3"/>
  <c r="U402" i="3"/>
  <c r="R402" i="3"/>
  <c r="N402" i="3"/>
  <c r="L402" i="3"/>
  <c r="H402" i="3"/>
  <c r="I402" i="3" s="1"/>
  <c r="F402" i="3"/>
  <c r="C402" i="3"/>
  <c r="AC401" i="3"/>
  <c r="AD401" i="3" s="1"/>
  <c r="AA401" i="3"/>
  <c r="W401" i="3"/>
  <c r="X401" i="3" s="1"/>
  <c r="U401" i="3"/>
  <c r="R401" i="3"/>
  <c r="N401" i="3"/>
  <c r="L401" i="3"/>
  <c r="I401" i="3"/>
  <c r="H401" i="3"/>
  <c r="F401" i="3"/>
  <c r="C401" i="3"/>
  <c r="AC400" i="3"/>
  <c r="AD400" i="3" s="1"/>
  <c r="AA400" i="3"/>
  <c r="X400" i="3"/>
  <c r="W400" i="3"/>
  <c r="U400" i="3"/>
  <c r="R400" i="3"/>
  <c r="N400" i="3"/>
  <c r="L400" i="3"/>
  <c r="I400" i="3"/>
  <c r="H400" i="3"/>
  <c r="F400" i="3"/>
  <c r="C400" i="3"/>
  <c r="AC399" i="3"/>
  <c r="AD399" i="3" s="1"/>
  <c r="AA399" i="3"/>
  <c r="W399" i="3"/>
  <c r="X399" i="3" s="1"/>
  <c r="U399" i="3"/>
  <c r="R399" i="3"/>
  <c r="N399" i="3"/>
  <c r="L399" i="3"/>
  <c r="H399" i="3"/>
  <c r="I399" i="3" s="1"/>
  <c r="F399" i="3"/>
  <c r="C399" i="3"/>
  <c r="AD398" i="3"/>
  <c r="AC398" i="3"/>
  <c r="AA398" i="3"/>
  <c r="X398" i="3"/>
  <c r="W398" i="3"/>
  <c r="U398" i="3"/>
  <c r="R398" i="3"/>
  <c r="N398" i="3"/>
  <c r="L398" i="3"/>
  <c r="I398" i="3"/>
  <c r="H398" i="3"/>
  <c r="F398" i="3"/>
  <c r="C398" i="3"/>
  <c r="AC397" i="3"/>
  <c r="AD397" i="3" s="1"/>
  <c r="AA397" i="3"/>
  <c r="W397" i="3"/>
  <c r="X397" i="3" s="1"/>
  <c r="U397" i="3"/>
  <c r="R397" i="3"/>
  <c r="N397" i="3"/>
  <c r="L397" i="3"/>
  <c r="I397" i="3"/>
  <c r="H397" i="3"/>
  <c r="F397" i="3"/>
  <c r="C397" i="3"/>
  <c r="AA396" i="3"/>
  <c r="Z396" i="3"/>
  <c r="T396" i="3"/>
  <c r="W396" i="3" s="1"/>
  <c r="X396" i="3" s="1"/>
  <c r="Q396" i="3"/>
  <c r="R396" i="3" s="1"/>
  <c r="N396" i="3"/>
  <c r="L396" i="3"/>
  <c r="K396" i="3"/>
  <c r="H396" i="3"/>
  <c r="I396" i="3" s="1"/>
  <c r="E396" i="3"/>
  <c r="F396" i="3" s="1"/>
  <c r="C396" i="3"/>
  <c r="B396" i="3"/>
  <c r="AD395" i="3"/>
  <c r="AC395" i="3"/>
  <c r="AA395" i="3"/>
  <c r="X395" i="3"/>
  <c r="W395" i="3"/>
  <c r="U395" i="3"/>
  <c r="R395" i="3"/>
  <c r="N395" i="3"/>
  <c r="L395" i="3"/>
  <c r="I395" i="3"/>
  <c r="H395" i="3"/>
  <c r="F395" i="3"/>
  <c r="C395" i="3"/>
  <c r="AD394" i="3"/>
  <c r="AC394" i="3"/>
  <c r="AA394" i="3"/>
  <c r="W394" i="3"/>
  <c r="X394" i="3" s="1"/>
  <c r="U394" i="3"/>
  <c r="R394" i="3"/>
  <c r="N394" i="3"/>
  <c r="L394" i="3"/>
  <c r="I394" i="3"/>
  <c r="H394" i="3"/>
  <c r="F394" i="3"/>
  <c r="C394" i="3"/>
  <c r="AA393" i="3"/>
  <c r="Z393" i="3"/>
  <c r="X393" i="3"/>
  <c r="U393" i="3"/>
  <c r="T393" i="3"/>
  <c r="W393" i="3" s="1"/>
  <c r="Q393" i="3"/>
  <c r="R393" i="3" s="1"/>
  <c r="L393" i="3"/>
  <c r="K393" i="3"/>
  <c r="I393" i="3"/>
  <c r="H393" i="3"/>
  <c r="E393" i="3"/>
  <c r="F393" i="3" s="1"/>
  <c r="B393" i="3"/>
  <c r="AD392" i="3"/>
  <c r="AC392" i="3"/>
  <c r="AA392" i="3"/>
  <c r="X392" i="3"/>
  <c r="W392" i="3"/>
  <c r="U392" i="3"/>
  <c r="R392" i="3"/>
  <c r="N392" i="3"/>
  <c r="L392" i="3"/>
  <c r="H392" i="3"/>
  <c r="I392" i="3" s="1"/>
  <c r="F392" i="3"/>
  <c r="C392" i="3"/>
  <c r="AC391" i="3"/>
  <c r="AD391" i="3" s="1"/>
  <c r="AA391" i="3"/>
  <c r="X391" i="3"/>
  <c r="W391" i="3"/>
  <c r="U391" i="3"/>
  <c r="R391" i="3"/>
  <c r="N391" i="3"/>
  <c r="L391" i="3"/>
  <c r="I391" i="3"/>
  <c r="H391" i="3"/>
  <c r="F391" i="3"/>
  <c r="C391" i="3"/>
  <c r="AC390" i="3"/>
  <c r="AD390" i="3" s="1"/>
  <c r="AA390" i="3"/>
  <c r="X390" i="3"/>
  <c r="W390" i="3"/>
  <c r="U390" i="3"/>
  <c r="R390" i="3"/>
  <c r="N390" i="3"/>
  <c r="L390" i="3"/>
  <c r="H390" i="3"/>
  <c r="I390" i="3" s="1"/>
  <c r="F390" i="3"/>
  <c r="C390" i="3"/>
  <c r="AD389" i="3"/>
  <c r="AC389" i="3"/>
  <c r="AA389" i="3"/>
  <c r="W389" i="3"/>
  <c r="X389" i="3" s="1"/>
  <c r="U389" i="3"/>
  <c r="R389" i="3"/>
  <c r="N389" i="3"/>
  <c r="L389" i="3"/>
  <c r="H389" i="3"/>
  <c r="I389" i="3" s="1"/>
  <c r="F389" i="3"/>
  <c r="C389" i="3"/>
  <c r="AC388" i="3"/>
  <c r="AD388" i="3" s="1"/>
  <c r="AA388" i="3"/>
  <c r="X388" i="3"/>
  <c r="W388" i="3"/>
  <c r="U388" i="3"/>
  <c r="R388" i="3"/>
  <c r="N388" i="3"/>
  <c r="L388" i="3"/>
  <c r="H388" i="3"/>
  <c r="I388" i="3" s="1"/>
  <c r="F388" i="3"/>
  <c r="C388" i="3"/>
  <c r="AC386" i="3"/>
  <c r="AD386" i="3" s="1"/>
  <c r="AA386" i="3"/>
  <c r="X386" i="3"/>
  <c r="W386" i="3"/>
  <c r="U386" i="3"/>
  <c r="R386" i="3"/>
  <c r="N386" i="3"/>
  <c r="L386" i="3"/>
  <c r="H386" i="3"/>
  <c r="I386" i="3" s="1"/>
  <c r="F386" i="3"/>
  <c r="C386" i="3"/>
  <c r="AC385" i="3"/>
  <c r="AD385" i="3" s="1"/>
  <c r="AA385" i="3"/>
  <c r="X385" i="3"/>
  <c r="W385" i="3"/>
  <c r="U385" i="3"/>
  <c r="R385" i="3"/>
  <c r="N385" i="3"/>
  <c r="L385" i="3"/>
  <c r="I385" i="3"/>
  <c r="H385" i="3"/>
  <c r="F385" i="3"/>
  <c r="C385" i="3"/>
  <c r="AD383" i="3"/>
  <c r="AC383" i="3"/>
  <c r="AA383" i="3"/>
  <c r="W383" i="3"/>
  <c r="X383" i="3" s="1"/>
  <c r="U383" i="3"/>
  <c r="R383" i="3"/>
  <c r="N383" i="3"/>
  <c r="L383" i="3"/>
  <c r="H383" i="3"/>
  <c r="I383" i="3" s="1"/>
  <c r="F383" i="3"/>
  <c r="C383" i="3"/>
  <c r="AD382" i="3"/>
  <c r="AC382" i="3"/>
  <c r="AA382" i="3"/>
  <c r="X382" i="3"/>
  <c r="W382" i="3"/>
  <c r="U382" i="3"/>
  <c r="R382" i="3"/>
  <c r="N382" i="3"/>
  <c r="L382" i="3"/>
  <c r="H382" i="3"/>
  <c r="I382" i="3" s="1"/>
  <c r="F382" i="3"/>
  <c r="C382" i="3"/>
  <c r="AC381" i="3"/>
  <c r="AD381" i="3" s="1"/>
  <c r="AA381" i="3"/>
  <c r="X381" i="3"/>
  <c r="W381" i="3"/>
  <c r="U381" i="3"/>
  <c r="R381" i="3"/>
  <c r="N381" i="3"/>
  <c r="L381" i="3"/>
  <c r="I381" i="3"/>
  <c r="H381" i="3"/>
  <c r="F381" i="3"/>
  <c r="C381" i="3"/>
  <c r="AC380" i="3"/>
  <c r="AD380" i="3" s="1"/>
  <c r="AA380" i="3"/>
  <c r="X380" i="3"/>
  <c r="W380" i="3"/>
  <c r="U380" i="3"/>
  <c r="R380" i="3"/>
  <c r="N380" i="3"/>
  <c r="L380" i="3"/>
  <c r="H380" i="3"/>
  <c r="I380" i="3" s="1"/>
  <c r="F380" i="3"/>
  <c r="C380" i="3"/>
  <c r="AD379" i="3"/>
  <c r="AC379" i="3"/>
  <c r="AA379" i="3"/>
  <c r="W379" i="3"/>
  <c r="X379" i="3" s="1"/>
  <c r="U379" i="3"/>
  <c r="R379" i="3"/>
  <c r="N379" i="3"/>
  <c r="L379" i="3"/>
  <c r="H379" i="3"/>
  <c r="I379" i="3" s="1"/>
  <c r="F379" i="3"/>
  <c r="C379" i="3"/>
  <c r="AC378" i="3"/>
  <c r="AD378" i="3" s="1"/>
  <c r="AA378" i="3"/>
  <c r="X378" i="3"/>
  <c r="W378" i="3"/>
  <c r="U378" i="3"/>
  <c r="R378" i="3"/>
  <c r="N378" i="3"/>
  <c r="O378" i="3" s="1"/>
  <c r="L378" i="3"/>
  <c r="H378" i="3"/>
  <c r="I378" i="3" s="1"/>
  <c r="F378" i="3"/>
  <c r="C378" i="3"/>
  <c r="AC377" i="3"/>
  <c r="AD377" i="3" s="1"/>
  <c r="AA377" i="3"/>
  <c r="X377" i="3"/>
  <c r="W377" i="3"/>
  <c r="U377" i="3"/>
  <c r="R377" i="3"/>
  <c r="N377" i="3"/>
  <c r="L377" i="3"/>
  <c r="I377" i="3"/>
  <c r="H377" i="3"/>
  <c r="F377" i="3"/>
  <c r="C377" i="3"/>
  <c r="AC376" i="3"/>
  <c r="AD376" i="3" s="1"/>
  <c r="AA376" i="3"/>
  <c r="X376" i="3"/>
  <c r="W376" i="3"/>
  <c r="U376" i="3"/>
  <c r="R376" i="3"/>
  <c r="N376" i="3"/>
  <c r="L376" i="3"/>
  <c r="I376" i="3"/>
  <c r="H376" i="3"/>
  <c r="F376" i="3"/>
  <c r="C376" i="3"/>
  <c r="AC375" i="3"/>
  <c r="AD375" i="3" s="1"/>
  <c r="AA375" i="3"/>
  <c r="W375" i="3"/>
  <c r="X375" i="3" s="1"/>
  <c r="U375" i="3"/>
  <c r="R375" i="3"/>
  <c r="N375" i="3"/>
  <c r="L375" i="3"/>
  <c r="H375" i="3"/>
  <c r="I375" i="3" s="1"/>
  <c r="F375" i="3"/>
  <c r="C375" i="3"/>
  <c r="AD374" i="3"/>
  <c r="AC374" i="3"/>
  <c r="AA374" i="3"/>
  <c r="X374" i="3"/>
  <c r="W374" i="3"/>
  <c r="U374" i="3"/>
  <c r="R374" i="3"/>
  <c r="N374" i="3"/>
  <c r="L374" i="3"/>
  <c r="H374" i="3"/>
  <c r="I374" i="3" s="1"/>
  <c r="F374" i="3"/>
  <c r="C374" i="3"/>
  <c r="AC373" i="3"/>
  <c r="AD373" i="3" s="1"/>
  <c r="AA373" i="3"/>
  <c r="X373" i="3"/>
  <c r="W373" i="3"/>
  <c r="U373" i="3"/>
  <c r="R373" i="3"/>
  <c r="N373" i="3"/>
  <c r="L373" i="3"/>
  <c r="I373" i="3"/>
  <c r="H373" i="3"/>
  <c r="F373" i="3"/>
  <c r="C373" i="3"/>
  <c r="AC372" i="3"/>
  <c r="AD372" i="3" s="1"/>
  <c r="AA372" i="3"/>
  <c r="X372" i="3"/>
  <c r="W372" i="3"/>
  <c r="U372" i="3"/>
  <c r="R372" i="3"/>
  <c r="N372" i="3"/>
  <c r="L372" i="3"/>
  <c r="I372" i="3"/>
  <c r="H372" i="3"/>
  <c r="F372" i="3"/>
  <c r="C372" i="3"/>
  <c r="AD371" i="3"/>
  <c r="AC371" i="3"/>
  <c r="AA371" i="3"/>
  <c r="W371" i="3"/>
  <c r="X371" i="3" s="1"/>
  <c r="U371" i="3"/>
  <c r="R371" i="3"/>
  <c r="N371" i="3"/>
  <c r="L371" i="3"/>
  <c r="H371" i="3"/>
  <c r="I371" i="3" s="1"/>
  <c r="F371" i="3"/>
  <c r="C371" i="3"/>
  <c r="AC370" i="3"/>
  <c r="AD370" i="3" s="1"/>
  <c r="AA370" i="3"/>
  <c r="X370" i="3"/>
  <c r="W370" i="3"/>
  <c r="U370" i="3"/>
  <c r="R370" i="3"/>
  <c r="N370" i="3"/>
  <c r="O370" i="3" s="1"/>
  <c r="L370" i="3"/>
  <c r="H370" i="3"/>
  <c r="I370" i="3" s="1"/>
  <c r="F370" i="3"/>
  <c r="C370" i="3"/>
  <c r="AC369" i="3"/>
  <c r="AD369" i="3" s="1"/>
  <c r="AA369" i="3"/>
  <c r="X369" i="3"/>
  <c r="W369" i="3"/>
  <c r="U369" i="3"/>
  <c r="R369" i="3"/>
  <c r="N369" i="3"/>
  <c r="L369" i="3"/>
  <c r="H369" i="3"/>
  <c r="I369" i="3" s="1"/>
  <c r="F369" i="3"/>
  <c r="C369" i="3"/>
  <c r="AA368" i="3"/>
  <c r="Z368" i="3"/>
  <c r="T368" i="3"/>
  <c r="Q368" i="3"/>
  <c r="R368" i="3" s="1"/>
  <c r="N368" i="3"/>
  <c r="K368" i="3"/>
  <c r="L368" i="3" s="1"/>
  <c r="H368" i="3"/>
  <c r="I368" i="3" s="1"/>
  <c r="E368" i="3"/>
  <c r="F368" i="3" s="1"/>
  <c r="C368" i="3"/>
  <c r="B368" i="3"/>
  <c r="AD367" i="3"/>
  <c r="AC367" i="3"/>
  <c r="AA367" i="3"/>
  <c r="X367" i="3"/>
  <c r="W367" i="3"/>
  <c r="U367" i="3"/>
  <c r="R367" i="3"/>
  <c r="N367" i="3"/>
  <c r="L367" i="3"/>
  <c r="I367" i="3"/>
  <c r="H367" i="3"/>
  <c r="F367" i="3"/>
  <c r="C367" i="3"/>
  <c r="AD366" i="3"/>
  <c r="AC366" i="3"/>
  <c r="AA366" i="3"/>
  <c r="W366" i="3"/>
  <c r="X366" i="3" s="1"/>
  <c r="U366" i="3"/>
  <c r="R366" i="3"/>
  <c r="N366" i="3"/>
  <c r="L366" i="3"/>
  <c r="H366" i="3"/>
  <c r="I366" i="3" s="1"/>
  <c r="F366" i="3"/>
  <c r="C366" i="3"/>
  <c r="AC365" i="3"/>
  <c r="AD365" i="3" s="1"/>
  <c r="AA365" i="3"/>
  <c r="W365" i="3"/>
  <c r="X365" i="3" s="1"/>
  <c r="U365" i="3"/>
  <c r="R365" i="3"/>
  <c r="N365" i="3"/>
  <c r="L365" i="3"/>
  <c r="I365" i="3"/>
  <c r="H365" i="3"/>
  <c r="F365" i="3"/>
  <c r="C365" i="3"/>
  <c r="AD364" i="3"/>
  <c r="AC364" i="3"/>
  <c r="AA364" i="3"/>
  <c r="W364" i="3"/>
  <c r="X364" i="3" s="1"/>
  <c r="U364" i="3"/>
  <c r="R364" i="3"/>
  <c r="N364" i="3"/>
  <c r="L364" i="3"/>
  <c r="H364" i="3"/>
  <c r="I364" i="3" s="1"/>
  <c r="F364" i="3"/>
  <c r="C364" i="3"/>
  <c r="AD363" i="3"/>
  <c r="AC363" i="3"/>
  <c r="AA363" i="3"/>
  <c r="X363" i="3"/>
  <c r="W363" i="3"/>
  <c r="U363" i="3"/>
  <c r="R363" i="3"/>
  <c r="N363" i="3"/>
  <c r="L363" i="3"/>
  <c r="I363" i="3"/>
  <c r="H363" i="3"/>
  <c r="F363" i="3"/>
  <c r="C363" i="3"/>
  <c r="AD362" i="3"/>
  <c r="AC362" i="3"/>
  <c r="AA362" i="3"/>
  <c r="X362" i="3"/>
  <c r="W362" i="3"/>
  <c r="U362" i="3"/>
  <c r="R362" i="3"/>
  <c r="N362" i="3"/>
  <c r="L362" i="3"/>
  <c r="H362" i="3"/>
  <c r="I362" i="3" s="1"/>
  <c r="F362" i="3"/>
  <c r="C362" i="3"/>
  <c r="AC361" i="3"/>
  <c r="AD361" i="3" s="1"/>
  <c r="AA361" i="3"/>
  <c r="W361" i="3"/>
  <c r="X361" i="3" s="1"/>
  <c r="U361" i="3"/>
  <c r="R361" i="3"/>
  <c r="N361" i="3"/>
  <c r="L361" i="3"/>
  <c r="I361" i="3"/>
  <c r="H361" i="3"/>
  <c r="F361" i="3"/>
  <c r="C361" i="3"/>
  <c r="AD360" i="3"/>
  <c r="AC360" i="3"/>
  <c r="AA360" i="3"/>
  <c r="W360" i="3"/>
  <c r="X360" i="3" s="1"/>
  <c r="U360" i="3"/>
  <c r="R360" i="3"/>
  <c r="N360" i="3"/>
  <c r="L360" i="3"/>
  <c r="H360" i="3"/>
  <c r="I360" i="3" s="1"/>
  <c r="F360" i="3"/>
  <c r="C360" i="3"/>
  <c r="AD358" i="3"/>
  <c r="AC358" i="3"/>
  <c r="AA358" i="3"/>
  <c r="Z358" i="3"/>
  <c r="T358" i="3"/>
  <c r="U358" i="3" s="1"/>
  <c r="R358" i="3"/>
  <c r="Q358" i="3"/>
  <c r="K358" i="3"/>
  <c r="L358" i="3" s="1"/>
  <c r="E358" i="3"/>
  <c r="F358" i="3" s="1"/>
  <c r="B358" i="3"/>
  <c r="AC357" i="3"/>
  <c r="AD357" i="3" s="1"/>
  <c r="AA357" i="3"/>
  <c r="W357" i="3"/>
  <c r="X357" i="3" s="1"/>
  <c r="U357" i="3"/>
  <c r="R357" i="3"/>
  <c r="N357" i="3"/>
  <c r="L357" i="3"/>
  <c r="I357" i="3"/>
  <c r="H357" i="3"/>
  <c r="F357" i="3"/>
  <c r="C357" i="3"/>
  <c r="AD356" i="3"/>
  <c r="AC356" i="3"/>
  <c r="AA356" i="3"/>
  <c r="W356" i="3"/>
  <c r="X356" i="3" s="1"/>
  <c r="U356" i="3"/>
  <c r="R356" i="3"/>
  <c r="N356" i="3"/>
  <c r="L356" i="3"/>
  <c r="H356" i="3"/>
  <c r="I356" i="3" s="1"/>
  <c r="F356" i="3"/>
  <c r="C356" i="3"/>
  <c r="AD355" i="3"/>
  <c r="AC355" i="3"/>
  <c r="AA355" i="3"/>
  <c r="X355" i="3"/>
  <c r="W355" i="3"/>
  <c r="U355" i="3"/>
  <c r="R355" i="3"/>
  <c r="N355" i="3"/>
  <c r="L355" i="3"/>
  <c r="I355" i="3"/>
  <c r="H355" i="3"/>
  <c r="F355" i="3"/>
  <c r="C355" i="3"/>
  <c r="AD354" i="3"/>
  <c r="AC354" i="3"/>
  <c r="AA354" i="3"/>
  <c r="W354" i="3"/>
  <c r="X354" i="3" s="1"/>
  <c r="U354" i="3"/>
  <c r="R354" i="3"/>
  <c r="N354" i="3"/>
  <c r="L354" i="3"/>
  <c r="H354" i="3"/>
  <c r="I354" i="3" s="1"/>
  <c r="F354" i="3"/>
  <c r="C354" i="3"/>
  <c r="AC353" i="3"/>
  <c r="AD353" i="3" s="1"/>
  <c r="AA353" i="3"/>
  <c r="W353" i="3"/>
  <c r="X353" i="3" s="1"/>
  <c r="U353" i="3"/>
  <c r="R353" i="3"/>
  <c r="N353" i="3"/>
  <c r="L353" i="3"/>
  <c r="I353" i="3"/>
  <c r="H353" i="3"/>
  <c r="F353" i="3"/>
  <c r="C353" i="3"/>
  <c r="AD352" i="3"/>
  <c r="AC352" i="3"/>
  <c r="AA352" i="3"/>
  <c r="W352" i="3"/>
  <c r="X352" i="3" s="1"/>
  <c r="U352" i="3"/>
  <c r="R352" i="3"/>
  <c r="N352" i="3"/>
  <c r="L352" i="3"/>
  <c r="H352" i="3"/>
  <c r="I352" i="3" s="1"/>
  <c r="F352" i="3"/>
  <c r="C352" i="3"/>
  <c r="AD351" i="3"/>
  <c r="AC351" i="3"/>
  <c r="AA351" i="3"/>
  <c r="X351" i="3"/>
  <c r="W351" i="3"/>
  <c r="U351" i="3"/>
  <c r="R351" i="3"/>
  <c r="N351" i="3"/>
  <c r="O351" i="3" s="1"/>
  <c r="L351" i="3"/>
  <c r="I351" i="3"/>
  <c r="H351" i="3"/>
  <c r="F351" i="3"/>
  <c r="C351" i="3"/>
  <c r="AC350" i="3"/>
  <c r="AD350" i="3" s="1"/>
  <c r="AA350" i="3"/>
  <c r="W350" i="3"/>
  <c r="X350" i="3" s="1"/>
  <c r="U350" i="3"/>
  <c r="R350" i="3"/>
  <c r="N350" i="3"/>
  <c r="L350" i="3"/>
  <c r="H350" i="3"/>
  <c r="I350" i="3" s="1"/>
  <c r="F350" i="3"/>
  <c r="C350" i="3"/>
  <c r="AC349" i="3"/>
  <c r="AD349" i="3" s="1"/>
  <c r="AA349" i="3"/>
  <c r="W349" i="3"/>
  <c r="X349" i="3" s="1"/>
  <c r="U349" i="3"/>
  <c r="R349" i="3"/>
  <c r="N349" i="3"/>
  <c r="L349" i="3"/>
  <c r="I349" i="3"/>
  <c r="H349" i="3"/>
  <c r="F349" i="3"/>
  <c r="C349" i="3"/>
  <c r="AD347" i="3"/>
  <c r="AC347" i="3"/>
  <c r="AA347" i="3"/>
  <c r="X347" i="3"/>
  <c r="W347" i="3"/>
  <c r="U347" i="3"/>
  <c r="R347" i="3"/>
  <c r="N347" i="3"/>
  <c r="L347" i="3"/>
  <c r="H347" i="3"/>
  <c r="I347" i="3" s="1"/>
  <c r="F347" i="3"/>
  <c r="C347" i="3"/>
  <c r="AA344" i="3"/>
  <c r="Z344" i="3"/>
  <c r="U344" i="3"/>
  <c r="T344" i="3"/>
  <c r="Q344" i="3"/>
  <c r="AC344" i="3" s="1"/>
  <c r="AD344" i="3" s="1"/>
  <c r="K344" i="3"/>
  <c r="E344" i="3"/>
  <c r="F344" i="3" s="1"/>
  <c r="B344" i="3"/>
  <c r="H344" i="3" s="1"/>
  <c r="I344" i="3" s="1"/>
  <c r="AA343" i="3"/>
  <c r="Z343" i="3"/>
  <c r="T343" i="3"/>
  <c r="U343" i="3" s="1"/>
  <c r="R343" i="3"/>
  <c r="Q343" i="3"/>
  <c r="N343" i="3"/>
  <c r="K343" i="3"/>
  <c r="L343" i="3" s="1"/>
  <c r="E343" i="3"/>
  <c r="H343" i="3" s="1"/>
  <c r="I343" i="3" s="1"/>
  <c r="C343" i="3"/>
  <c r="B343" i="3"/>
  <c r="AC342" i="3"/>
  <c r="AD342" i="3" s="1"/>
  <c r="AA342" i="3"/>
  <c r="Z342" i="3"/>
  <c r="T342" i="3"/>
  <c r="W342" i="3" s="1"/>
  <c r="X342" i="3" s="1"/>
  <c r="Q342" i="3"/>
  <c r="R342" i="3" s="1"/>
  <c r="L342" i="3"/>
  <c r="K342" i="3"/>
  <c r="E342" i="3"/>
  <c r="F342" i="3" s="1"/>
  <c r="B342" i="3"/>
  <c r="AD341" i="3"/>
  <c r="AC341" i="3"/>
  <c r="AA341" i="3"/>
  <c r="X341" i="3"/>
  <c r="W341" i="3"/>
  <c r="U341" i="3"/>
  <c r="R341" i="3"/>
  <c r="N341" i="3"/>
  <c r="L341" i="3"/>
  <c r="H341" i="3"/>
  <c r="I341" i="3" s="1"/>
  <c r="F341" i="3"/>
  <c r="C341" i="3"/>
  <c r="AC340" i="3"/>
  <c r="AD340" i="3" s="1"/>
  <c r="AA340" i="3"/>
  <c r="X340" i="3"/>
  <c r="W340" i="3"/>
  <c r="U340" i="3"/>
  <c r="R340" i="3"/>
  <c r="N340" i="3"/>
  <c r="L340" i="3"/>
  <c r="I340" i="3"/>
  <c r="H340" i="3"/>
  <c r="F340" i="3"/>
  <c r="C340" i="3"/>
  <c r="AC339" i="3"/>
  <c r="AD339" i="3" s="1"/>
  <c r="AA339" i="3"/>
  <c r="W339" i="3"/>
  <c r="X339" i="3" s="1"/>
  <c r="U339" i="3"/>
  <c r="R339" i="3"/>
  <c r="N339" i="3"/>
  <c r="L339" i="3"/>
  <c r="I339" i="3"/>
  <c r="H339" i="3"/>
  <c r="F339" i="3"/>
  <c r="C339" i="3"/>
  <c r="AD338" i="3"/>
  <c r="AC338" i="3"/>
  <c r="AA338" i="3"/>
  <c r="X338" i="3"/>
  <c r="W338" i="3"/>
  <c r="U338" i="3"/>
  <c r="R338" i="3"/>
  <c r="N338" i="3"/>
  <c r="L338" i="3"/>
  <c r="H338" i="3"/>
  <c r="I338" i="3" s="1"/>
  <c r="F338" i="3"/>
  <c r="C338" i="3"/>
  <c r="AC337" i="3"/>
  <c r="AD337" i="3" s="1"/>
  <c r="AA337" i="3"/>
  <c r="X337" i="3"/>
  <c r="W337" i="3"/>
  <c r="U337" i="3"/>
  <c r="R337" i="3"/>
  <c r="N337" i="3"/>
  <c r="L337" i="3"/>
  <c r="I337" i="3"/>
  <c r="H337" i="3"/>
  <c r="F337" i="3"/>
  <c r="C337" i="3"/>
  <c r="AC335" i="3"/>
  <c r="AD335" i="3" s="1"/>
  <c r="AA335" i="3"/>
  <c r="X335" i="3"/>
  <c r="W335" i="3"/>
  <c r="U335" i="3"/>
  <c r="R335" i="3"/>
  <c r="N335" i="3"/>
  <c r="O335" i="3" s="1"/>
  <c r="L335" i="3"/>
  <c r="H335" i="3"/>
  <c r="I335" i="3" s="1"/>
  <c r="F335" i="3"/>
  <c r="C335" i="3"/>
  <c r="AC334" i="3"/>
  <c r="AD334" i="3" s="1"/>
  <c r="AA334" i="3"/>
  <c r="W334" i="3"/>
  <c r="X334" i="3" s="1"/>
  <c r="U334" i="3"/>
  <c r="R334" i="3"/>
  <c r="N334" i="3"/>
  <c r="L334" i="3"/>
  <c r="H334" i="3"/>
  <c r="I334" i="3" s="1"/>
  <c r="F334" i="3"/>
  <c r="C334" i="3"/>
  <c r="AD333" i="3"/>
  <c r="AC333" i="3"/>
  <c r="AA333" i="3"/>
  <c r="W333" i="3"/>
  <c r="X333" i="3" s="1"/>
  <c r="U333" i="3"/>
  <c r="R333" i="3"/>
  <c r="N333" i="3"/>
  <c r="L333" i="3"/>
  <c r="H333" i="3"/>
  <c r="I333" i="3" s="1"/>
  <c r="F333" i="3"/>
  <c r="C333" i="3"/>
  <c r="AD332" i="3"/>
  <c r="AC332" i="3"/>
  <c r="AA332" i="3"/>
  <c r="X332" i="3"/>
  <c r="W332" i="3"/>
  <c r="U332" i="3"/>
  <c r="R332" i="3"/>
  <c r="N332" i="3"/>
  <c r="L332" i="3"/>
  <c r="H332" i="3"/>
  <c r="I332" i="3" s="1"/>
  <c r="F332" i="3"/>
  <c r="C332" i="3"/>
  <c r="AC331" i="3"/>
  <c r="AD331" i="3" s="1"/>
  <c r="AA331" i="3"/>
  <c r="X331" i="3"/>
  <c r="W331" i="3"/>
  <c r="U331" i="3"/>
  <c r="R331" i="3"/>
  <c r="N331" i="3"/>
  <c r="L331" i="3"/>
  <c r="I331" i="3"/>
  <c r="H331" i="3"/>
  <c r="F331" i="3"/>
  <c r="C331" i="3"/>
  <c r="AC330" i="3"/>
  <c r="AD330" i="3" s="1"/>
  <c r="AA330" i="3"/>
  <c r="W330" i="3"/>
  <c r="X330" i="3" s="1"/>
  <c r="U330" i="3"/>
  <c r="R330" i="3"/>
  <c r="N330" i="3"/>
  <c r="L330" i="3"/>
  <c r="I330" i="3"/>
  <c r="H330" i="3"/>
  <c r="F330" i="3"/>
  <c r="C330" i="3"/>
  <c r="AD329" i="3"/>
  <c r="AC329" i="3"/>
  <c r="AA329" i="3"/>
  <c r="W329" i="3"/>
  <c r="X329" i="3" s="1"/>
  <c r="U329" i="3"/>
  <c r="R329" i="3"/>
  <c r="N329" i="3"/>
  <c r="O329" i="3" s="1"/>
  <c r="L329" i="3"/>
  <c r="H329" i="3"/>
  <c r="I329" i="3" s="1"/>
  <c r="F329" i="3"/>
  <c r="C329" i="3"/>
  <c r="AC328" i="3"/>
  <c r="AD328" i="3" s="1"/>
  <c r="AA328" i="3"/>
  <c r="X328" i="3"/>
  <c r="W328" i="3"/>
  <c r="U328" i="3"/>
  <c r="R328" i="3"/>
  <c r="N328" i="3"/>
  <c r="L328" i="3"/>
  <c r="I328" i="3"/>
  <c r="H328" i="3"/>
  <c r="F328" i="3"/>
  <c r="C328" i="3"/>
  <c r="Z325" i="3"/>
  <c r="AA325" i="3" s="1"/>
  <c r="X325" i="3"/>
  <c r="W325" i="3"/>
  <c r="T325" i="3"/>
  <c r="U325" i="3" s="1"/>
  <c r="R325" i="3"/>
  <c r="Q325" i="3"/>
  <c r="K325" i="3"/>
  <c r="L325" i="3" s="1"/>
  <c r="E325" i="3"/>
  <c r="F325" i="3" s="1"/>
  <c r="B325" i="3"/>
  <c r="C325" i="3" s="1"/>
  <c r="Z324" i="3"/>
  <c r="U324" i="3"/>
  <c r="T324" i="3"/>
  <c r="R324" i="3"/>
  <c r="Q324" i="3"/>
  <c r="W324" i="3" s="1"/>
  <c r="X324" i="3" s="1"/>
  <c r="K324" i="3"/>
  <c r="H324" i="3"/>
  <c r="I324" i="3" s="1"/>
  <c r="E324" i="3"/>
  <c r="F324" i="3" s="1"/>
  <c r="B324" i="3"/>
  <c r="C324" i="3" s="1"/>
  <c r="AC323" i="3"/>
  <c r="AD323" i="3" s="1"/>
  <c r="AA323" i="3"/>
  <c r="W323" i="3"/>
  <c r="X323" i="3" s="1"/>
  <c r="U323" i="3"/>
  <c r="R323" i="3"/>
  <c r="N323" i="3"/>
  <c r="L323" i="3"/>
  <c r="I323" i="3"/>
  <c r="H323" i="3"/>
  <c r="F323" i="3"/>
  <c r="C323" i="3"/>
  <c r="AC322" i="3"/>
  <c r="AD322" i="3" s="1"/>
  <c r="AA322" i="3"/>
  <c r="W322" i="3"/>
  <c r="X322" i="3" s="1"/>
  <c r="U322" i="3"/>
  <c r="R322" i="3"/>
  <c r="N322" i="3"/>
  <c r="L322" i="3"/>
  <c r="H322" i="3"/>
  <c r="I322" i="3" s="1"/>
  <c r="F322" i="3"/>
  <c r="C322" i="3"/>
  <c r="AC321" i="3"/>
  <c r="AD321" i="3" s="1"/>
  <c r="AA321" i="3"/>
  <c r="X321" i="3"/>
  <c r="W321" i="3"/>
  <c r="U321" i="3"/>
  <c r="R321" i="3"/>
  <c r="N321" i="3"/>
  <c r="L321" i="3"/>
  <c r="H321" i="3"/>
  <c r="I321" i="3" s="1"/>
  <c r="F321" i="3"/>
  <c r="C321" i="3"/>
  <c r="AD320" i="3"/>
  <c r="AC320" i="3"/>
  <c r="AA320" i="3"/>
  <c r="X320" i="3"/>
  <c r="W320" i="3"/>
  <c r="U320" i="3"/>
  <c r="R320" i="3"/>
  <c r="N320" i="3"/>
  <c r="L320" i="3"/>
  <c r="I320" i="3"/>
  <c r="H320" i="3"/>
  <c r="F320" i="3"/>
  <c r="C320" i="3"/>
  <c r="AD319" i="3"/>
  <c r="AC319" i="3"/>
  <c r="AA319" i="3"/>
  <c r="X319" i="3"/>
  <c r="W319" i="3"/>
  <c r="U319" i="3"/>
  <c r="R319" i="3"/>
  <c r="N319" i="3"/>
  <c r="L319" i="3"/>
  <c r="I319" i="3"/>
  <c r="H319" i="3"/>
  <c r="F319" i="3"/>
  <c r="C319" i="3"/>
  <c r="AC318" i="3"/>
  <c r="AD318" i="3" s="1"/>
  <c r="AA318" i="3"/>
  <c r="X318" i="3"/>
  <c r="W318" i="3"/>
  <c r="U318" i="3"/>
  <c r="R318" i="3"/>
  <c r="O318" i="3"/>
  <c r="N318" i="3"/>
  <c r="L318" i="3"/>
  <c r="I318" i="3"/>
  <c r="H318" i="3"/>
  <c r="F318" i="3"/>
  <c r="C318" i="3"/>
  <c r="AC317" i="3"/>
  <c r="AD317" i="3" s="1"/>
  <c r="AA317" i="3"/>
  <c r="X317" i="3"/>
  <c r="W317" i="3"/>
  <c r="U317" i="3"/>
  <c r="R317" i="3"/>
  <c r="N317" i="3"/>
  <c r="L317" i="3"/>
  <c r="H317" i="3"/>
  <c r="I317" i="3" s="1"/>
  <c r="F317" i="3"/>
  <c r="C317" i="3"/>
  <c r="AD316" i="3"/>
  <c r="AC316" i="3"/>
  <c r="AA316" i="3"/>
  <c r="X316" i="3"/>
  <c r="W316" i="3"/>
  <c r="U316" i="3"/>
  <c r="R316" i="3"/>
  <c r="N316" i="3"/>
  <c r="L316" i="3"/>
  <c r="I316" i="3"/>
  <c r="H316" i="3"/>
  <c r="F316" i="3"/>
  <c r="C316" i="3"/>
  <c r="AD315" i="3"/>
  <c r="AC315" i="3"/>
  <c r="AA315" i="3"/>
  <c r="W315" i="3"/>
  <c r="X315" i="3" s="1"/>
  <c r="U315" i="3"/>
  <c r="R315" i="3"/>
  <c r="N315" i="3"/>
  <c r="L315" i="3"/>
  <c r="I315" i="3"/>
  <c r="H315" i="3"/>
  <c r="F315" i="3"/>
  <c r="C315" i="3"/>
  <c r="AC314" i="3"/>
  <c r="AD314" i="3" s="1"/>
  <c r="AA314" i="3"/>
  <c r="X314" i="3"/>
  <c r="W314" i="3"/>
  <c r="U314" i="3"/>
  <c r="R314" i="3"/>
  <c r="N314" i="3"/>
  <c r="L314" i="3"/>
  <c r="H314" i="3"/>
  <c r="I314" i="3" s="1"/>
  <c r="F314" i="3"/>
  <c r="C314" i="3"/>
  <c r="AC313" i="3"/>
  <c r="AD313" i="3" s="1"/>
  <c r="AA313" i="3"/>
  <c r="X313" i="3"/>
  <c r="W313" i="3"/>
  <c r="U313" i="3"/>
  <c r="R313" i="3"/>
  <c r="N313" i="3"/>
  <c r="L313" i="3"/>
  <c r="H313" i="3"/>
  <c r="I313" i="3" s="1"/>
  <c r="F313" i="3"/>
  <c r="C313" i="3"/>
  <c r="AD312" i="3"/>
  <c r="AC312" i="3"/>
  <c r="AA312" i="3"/>
  <c r="X312" i="3"/>
  <c r="W312" i="3"/>
  <c r="U312" i="3"/>
  <c r="R312" i="3"/>
  <c r="N312" i="3"/>
  <c r="L312" i="3"/>
  <c r="I312" i="3"/>
  <c r="H312" i="3"/>
  <c r="F312" i="3"/>
  <c r="C312" i="3"/>
  <c r="AD311" i="3"/>
  <c r="AC311" i="3"/>
  <c r="AA311" i="3"/>
  <c r="W311" i="3"/>
  <c r="X311" i="3" s="1"/>
  <c r="U311" i="3"/>
  <c r="R311" i="3"/>
  <c r="N311" i="3"/>
  <c r="O311" i="3" s="1"/>
  <c r="L311" i="3"/>
  <c r="I311" i="3"/>
  <c r="H311" i="3"/>
  <c r="F311" i="3"/>
  <c r="C311" i="3"/>
  <c r="AC310" i="3"/>
  <c r="AD310" i="3" s="1"/>
  <c r="AA310" i="3"/>
  <c r="X310" i="3"/>
  <c r="W310" i="3"/>
  <c r="U310" i="3"/>
  <c r="R310" i="3"/>
  <c r="N310" i="3"/>
  <c r="L310" i="3"/>
  <c r="I310" i="3"/>
  <c r="H310" i="3"/>
  <c r="F310" i="3"/>
  <c r="C310" i="3"/>
  <c r="AC309" i="3"/>
  <c r="AD309" i="3" s="1"/>
  <c r="AA309" i="3"/>
  <c r="X309" i="3"/>
  <c r="W309" i="3"/>
  <c r="U309" i="3"/>
  <c r="R309" i="3"/>
  <c r="O309" i="3"/>
  <c r="N309" i="3"/>
  <c r="L309" i="3"/>
  <c r="H309" i="3"/>
  <c r="I309" i="3" s="1"/>
  <c r="F309" i="3"/>
  <c r="C309" i="3"/>
  <c r="AD308" i="3"/>
  <c r="AC308" i="3"/>
  <c r="AA308" i="3"/>
  <c r="X308" i="3"/>
  <c r="W308" i="3"/>
  <c r="U308" i="3"/>
  <c r="R308" i="3"/>
  <c r="N308" i="3"/>
  <c r="L308" i="3"/>
  <c r="I308" i="3"/>
  <c r="H308" i="3"/>
  <c r="F308" i="3"/>
  <c r="C308" i="3"/>
  <c r="AC307" i="3"/>
  <c r="AD307" i="3" s="1"/>
  <c r="AA307" i="3"/>
  <c r="W307" i="3"/>
  <c r="X307" i="3" s="1"/>
  <c r="U307" i="3"/>
  <c r="R307" i="3"/>
  <c r="N307" i="3"/>
  <c r="L307" i="3"/>
  <c r="I307" i="3"/>
  <c r="H307" i="3"/>
  <c r="F307" i="3"/>
  <c r="C307" i="3"/>
  <c r="AC306" i="3"/>
  <c r="AD306" i="3" s="1"/>
  <c r="AA306" i="3"/>
  <c r="W306" i="3"/>
  <c r="X306" i="3" s="1"/>
  <c r="U306" i="3"/>
  <c r="R306" i="3"/>
  <c r="N306" i="3"/>
  <c r="L306" i="3"/>
  <c r="H306" i="3"/>
  <c r="I306" i="3" s="1"/>
  <c r="F306" i="3"/>
  <c r="C306" i="3"/>
  <c r="AC305" i="3"/>
  <c r="AD305" i="3" s="1"/>
  <c r="AA305" i="3"/>
  <c r="X305" i="3"/>
  <c r="W305" i="3"/>
  <c r="U305" i="3"/>
  <c r="R305" i="3"/>
  <c r="N305" i="3"/>
  <c r="L305" i="3"/>
  <c r="H305" i="3"/>
  <c r="I305" i="3" s="1"/>
  <c r="F305" i="3"/>
  <c r="C305" i="3"/>
  <c r="AD304" i="3"/>
  <c r="AC304" i="3"/>
  <c r="AA304" i="3"/>
  <c r="X304" i="3"/>
  <c r="W304" i="3"/>
  <c r="U304" i="3"/>
  <c r="R304" i="3"/>
  <c r="N304" i="3"/>
  <c r="L304" i="3"/>
  <c r="I304" i="3"/>
  <c r="H304" i="3"/>
  <c r="F304" i="3"/>
  <c r="C304" i="3"/>
  <c r="AD303" i="3"/>
  <c r="AC303" i="3"/>
  <c r="AA303" i="3"/>
  <c r="X303" i="3"/>
  <c r="W303" i="3"/>
  <c r="U303" i="3"/>
  <c r="R303" i="3"/>
  <c r="N303" i="3"/>
  <c r="L303" i="3"/>
  <c r="I303" i="3"/>
  <c r="H303" i="3"/>
  <c r="F303" i="3"/>
  <c r="C303" i="3"/>
  <c r="AC302" i="3"/>
  <c r="AD302" i="3" s="1"/>
  <c r="AA302" i="3"/>
  <c r="X302" i="3"/>
  <c r="W302" i="3"/>
  <c r="U302" i="3"/>
  <c r="R302" i="3"/>
  <c r="N302" i="3"/>
  <c r="L302" i="3"/>
  <c r="H302" i="3"/>
  <c r="I302" i="3" s="1"/>
  <c r="F302" i="3"/>
  <c r="C302" i="3"/>
  <c r="AD301" i="3"/>
  <c r="AC301" i="3"/>
  <c r="AA301" i="3"/>
  <c r="X301" i="3"/>
  <c r="W301" i="3"/>
  <c r="U301" i="3"/>
  <c r="R301" i="3"/>
  <c r="N301" i="3"/>
  <c r="L301" i="3"/>
  <c r="H301" i="3"/>
  <c r="I301" i="3" s="1"/>
  <c r="F301" i="3"/>
  <c r="C301" i="3"/>
  <c r="AD300" i="3"/>
  <c r="AC300" i="3"/>
  <c r="AA300" i="3"/>
  <c r="X300" i="3"/>
  <c r="W300" i="3"/>
  <c r="U300" i="3"/>
  <c r="R300" i="3"/>
  <c r="N300" i="3"/>
  <c r="L300" i="3"/>
  <c r="I300" i="3"/>
  <c r="H300" i="3"/>
  <c r="F300" i="3"/>
  <c r="C300" i="3"/>
  <c r="AD299" i="3"/>
  <c r="AC299" i="3"/>
  <c r="AA299" i="3"/>
  <c r="W299" i="3"/>
  <c r="X299" i="3" s="1"/>
  <c r="U299" i="3"/>
  <c r="R299" i="3"/>
  <c r="N299" i="3"/>
  <c r="L299" i="3"/>
  <c r="I299" i="3"/>
  <c r="H299" i="3"/>
  <c r="F299" i="3"/>
  <c r="C299" i="3"/>
  <c r="AC298" i="3"/>
  <c r="AD298" i="3" s="1"/>
  <c r="AA298" i="3"/>
  <c r="X298" i="3"/>
  <c r="W298" i="3"/>
  <c r="U298" i="3"/>
  <c r="R298" i="3"/>
  <c r="N298" i="3"/>
  <c r="L298" i="3"/>
  <c r="H298" i="3"/>
  <c r="I298" i="3" s="1"/>
  <c r="F298" i="3"/>
  <c r="C298" i="3"/>
  <c r="AC297" i="3"/>
  <c r="AD297" i="3" s="1"/>
  <c r="AA297" i="3"/>
  <c r="X297" i="3"/>
  <c r="W297" i="3"/>
  <c r="U297" i="3"/>
  <c r="R297" i="3"/>
  <c r="N297" i="3"/>
  <c r="L297" i="3"/>
  <c r="H297" i="3"/>
  <c r="I297" i="3" s="1"/>
  <c r="F297" i="3"/>
  <c r="C297" i="3"/>
  <c r="AA295" i="3"/>
  <c r="Z295" i="3"/>
  <c r="T295" i="3"/>
  <c r="Q295" i="3"/>
  <c r="K295" i="3"/>
  <c r="L295" i="3" s="1"/>
  <c r="H295" i="3"/>
  <c r="I295" i="3" s="1"/>
  <c r="F295" i="3"/>
  <c r="E295" i="3"/>
  <c r="C295" i="3"/>
  <c r="B295" i="3"/>
  <c r="N295" i="3" s="1"/>
  <c r="AC294" i="3"/>
  <c r="AD294" i="3" s="1"/>
  <c r="AA294" i="3"/>
  <c r="W294" i="3"/>
  <c r="X294" i="3" s="1"/>
  <c r="U294" i="3"/>
  <c r="R294" i="3"/>
  <c r="N294" i="3"/>
  <c r="L294" i="3"/>
  <c r="H294" i="3"/>
  <c r="I294" i="3" s="1"/>
  <c r="F294" i="3"/>
  <c r="C294" i="3"/>
  <c r="AC293" i="3"/>
  <c r="AD293" i="3" s="1"/>
  <c r="AA293" i="3"/>
  <c r="X293" i="3"/>
  <c r="W293" i="3"/>
  <c r="U293" i="3"/>
  <c r="R293" i="3"/>
  <c r="N293" i="3"/>
  <c r="L293" i="3"/>
  <c r="H293" i="3"/>
  <c r="I293" i="3" s="1"/>
  <c r="F293" i="3"/>
  <c r="C293" i="3"/>
  <c r="AC292" i="3"/>
  <c r="AD292" i="3" s="1"/>
  <c r="AA292" i="3"/>
  <c r="X292" i="3"/>
  <c r="W292" i="3"/>
  <c r="U292" i="3"/>
  <c r="R292" i="3"/>
  <c r="N292" i="3"/>
  <c r="O292" i="3" s="1"/>
  <c r="L292" i="3"/>
  <c r="I292" i="3"/>
  <c r="H292" i="3"/>
  <c r="F292" i="3"/>
  <c r="C292" i="3"/>
  <c r="AD291" i="3"/>
  <c r="AC291" i="3"/>
  <c r="AA291" i="3"/>
  <c r="W291" i="3"/>
  <c r="X291" i="3" s="1"/>
  <c r="U291" i="3"/>
  <c r="R291" i="3"/>
  <c r="N291" i="3"/>
  <c r="L291" i="3"/>
  <c r="H291" i="3"/>
  <c r="I291" i="3" s="1"/>
  <c r="F291" i="3"/>
  <c r="C291" i="3"/>
  <c r="AC290" i="3"/>
  <c r="AD290" i="3" s="1"/>
  <c r="AA290" i="3"/>
  <c r="X290" i="3"/>
  <c r="W290" i="3"/>
  <c r="U290" i="3"/>
  <c r="R290" i="3"/>
  <c r="N290" i="3"/>
  <c r="L290" i="3"/>
  <c r="H290" i="3"/>
  <c r="I290" i="3" s="1"/>
  <c r="F290" i="3"/>
  <c r="C290" i="3"/>
  <c r="AC289" i="3"/>
  <c r="AD289" i="3" s="1"/>
  <c r="AA289" i="3"/>
  <c r="X289" i="3"/>
  <c r="W289" i="3"/>
  <c r="U289" i="3"/>
  <c r="R289" i="3"/>
  <c r="N289" i="3"/>
  <c r="L289" i="3"/>
  <c r="H289" i="3"/>
  <c r="I289" i="3" s="1"/>
  <c r="F289" i="3"/>
  <c r="C289" i="3"/>
  <c r="AD288" i="3"/>
  <c r="AC288" i="3"/>
  <c r="AA288" i="3"/>
  <c r="X288" i="3"/>
  <c r="W288" i="3"/>
  <c r="U288" i="3"/>
  <c r="R288" i="3"/>
  <c r="N288" i="3"/>
  <c r="L288" i="3"/>
  <c r="I288" i="3"/>
  <c r="H288" i="3"/>
  <c r="F288" i="3"/>
  <c r="C288" i="3"/>
  <c r="AD287" i="3"/>
  <c r="AC287" i="3"/>
  <c r="AA287" i="3"/>
  <c r="W287" i="3"/>
  <c r="X287" i="3" s="1"/>
  <c r="U287" i="3"/>
  <c r="R287" i="3"/>
  <c r="N287" i="3"/>
  <c r="L287" i="3"/>
  <c r="I287" i="3"/>
  <c r="H287" i="3"/>
  <c r="F287" i="3"/>
  <c r="C287" i="3"/>
  <c r="AC286" i="3"/>
  <c r="AD286" i="3" s="1"/>
  <c r="AA286" i="3"/>
  <c r="X286" i="3"/>
  <c r="W286" i="3"/>
  <c r="U286" i="3"/>
  <c r="R286" i="3"/>
  <c r="N286" i="3"/>
  <c r="L286" i="3"/>
  <c r="H286" i="3"/>
  <c r="I286" i="3" s="1"/>
  <c r="F286" i="3"/>
  <c r="C286" i="3"/>
  <c r="Z284" i="3"/>
  <c r="AA284" i="3" s="1"/>
  <c r="U284" i="3"/>
  <c r="T284" i="3"/>
  <c r="R284" i="3"/>
  <c r="Q284" i="3"/>
  <c r="W284" i="3" s="1"/>
  <c r="X284" i="3" s="1"/>
  <c r="N284" i="3"/>
  <c r="O284" i="3" s="1"/>
  <c r="K284" i="3"/>
  <c r="L284" i="3" s="1"/>
  <c r="H284" i="3"/>
  <c r="I284" i="3" s="1"/>
  <c r="E284" i="3"/>
  <c r="F284" i="3" s="1"/>
  <c r="B284" i="3"/>
  <c r="C284" i="3" s="1"/>
  <c r="AD283" i="3"/>
  <c r="AC283" i="3"/>
  <c r="AA283" i="3"/>
  <c r="W283" i="3"/>
  <c r="X283" i="3" s="1"/>
  <c r="U283" i="3"/>
  <c r="R283" i="3"/>
  <c r="N283" i="3"/>
  <c r="L283" i="3"/>
  <c r="I283" i="3"/>
  <c r="H283" i="3"/>
  <c r="F283" i="3"/>
  <c r="C283" i="3"/>
  <c r="AC282" i="3"/>
  <c r="AD282" i="3" s="1"/>
  <c r="AA282" i="3"/>
  <c r="X282" i="3"/>
  <c r="W282" i="3"/>
  <c r="U282" i="3"/>
  <c r="R282" i="3"/>
  <c r="O282" i="3"/>
  <c r="N282" i="3"/>
  <c r="L282" i="3"/>
  <c r="H282" i="3"/>
  <c r="I282" i="3" s="1"/>
  <c r="F282" i="3"/>
  <c r="C282" i="3"/>
  <c r="AC281" i="3"/>
  <c r="AD281" i="3" s="1"/>
  <c r="AA281" i="3"/>
  <c r="X281" i="3"/>
  <c r="W281" i="3"/>
  <c r="U281" i="3"/>
  <c r="R281" i="3"/>
  <c r="N281" i="3"/>
  <c r="L281" i="3"/>
  <c r="H281" i="3"/>
  <c r="I281" i="3" s="1"/>
  <c r="F281" i="3"/>
  <c r="C281" i="3"/>
  <c r="AC280" i="3"/>
  <c r="AD280" i="3" s="1"/>
  <c r="AA280" i="3"/>
  <c r="X280" i="3"/>
  <c r="W280" i="3"/>
  <c r="U280" i="3"/>
  <c r="R280" i="3"/>
  <c r="N280" i="3"/>
  <c r="L280" i="3"/>
  <c r="I280" i="3"/>
  <c r="H280" i="3"/>
  <c r="F280" i="3"/>
  <c r="C280" i="3"/>
  <c r="AD279" i="3"/>
  <c r="AC279" i="3"/>
  <c r="AA279" i="3"/>
  <c r="W279" i="3"/>
  <c r="X279" i="3" s="1"/>
  <c r="U279" i="3"/>
  <c r="R279" i="3"/>
  <c r="N279" i="3"/>
  <c r="L279" i="3"/>
  <c r="I279" i="3"/>
  <c r="H279" i="3"/>
  <c r="F279" i="3"/>
  <c r="C279" i="3"/>
  <c r="AC278" i="3"/>
  <c r="AD278" i="3" s="1"/>
  <c r="AA278" i="3"/>
  <c r="X278" i="3"/>
  <c r="W278" i="3"/>
  <c r="U278" i="3"/>
  <c r="R278" i="3"/>
  <c r="N278" i="3"/>
  <c r="L278" i="3"/>
  <c r="H278" i="3"/>
  <c r="I278" i="3" s="1"/>
  <c r="F278" i="3"/>
  <c r="C278" i="3"/>
  <c r="AD277" i="3"/>
  <c r="AC277" i="3"/>
  <c r="AA277" i="3"/>
  <c r="X277" i="3"/>
  <c r="W277" i="3"/>
  <c r="U277" i="3"/>
  <c r="R277" i="3"/>
  <c r="N277" i="3"/>
  <c r="L277" i="3"/>
  <c r="H277" i="3"/>
  <c r="I277" i="3" s="1"/>
  <c r="F277" i="3"/>
  <c r="C277" i="3"/>
  <c r="AD276" i="3"/>
  <c r="AC276" i="3"/>
  <c r="AA276" i="3"/>
  <c r="X276" i="3"/>
  <c r="W276" i="3"/>
  <c r="U276" i="3"/>
  <c r="R276" i="3"/>
  <c r="N276" i="3"/>
  <c r="L276" i="3"/>
  <c r="I276" i="3"/>
  <c r="H276" i="3"/>
  <c r="F276" i="3"/>
  <c r="C276" i="3"/>
  <c r="AD275" i="3"/>
  <c r="AC275" i="3"/>
  <c r="AA275" i="3"/>
  <c r="W275" i="3"/>
  <c r="X275" i="3" s="1"/>
  <c r="U275" i="3"/>
  <c r="R275" i="3"/>
  <c r="N275" i="3"/>
  <c r="L275" i="3"/>
  <c r="I275" i="3"/>
  <c r="H275" i="3"/>
  <c r="F275" i="3"/>
  <c r="C275" i="3"/>
  <c r="AC273" i="3"/>
  <c r="AD273" i="3" s="1"/>
  <c r="Z273" i="3"/>
  <c r="AA273" i="3" s="1"/>
  <c r="T273" i="3"/>
  <c r="U273" i="3" s="1"/>
  <c r="Q273" i="3"/>
  <c r="L273" i="3"/>
  <c r="K273" i="3"/>
  <c r="E273" i="3"/>
  <c r="F273" i="3" s="1"/>
  <c r="C273" i="3"/>
  <c r="B273" i="3"/>
  <c r="AC272" i="3"/>
  <c r="AD272" i="3" s="1"/>
  <c r="AA272" i="3"/>
  <c r="X272" i="3"/>
  <c r="W272" i="3"/>
  <c r="U272" i="3"/>
  <c r="R272" i="3"/>
  <c r="N272" i="3"/>
  <c r="L272" i="3"/>
  <c r="I272" i="3"/>
  <c r="H272" i="3"/>
  <c r="F272" i="3"/>
  <c r="C272" i="3"/>
  <c r="AC271" i="3"/>
  <c r="AD271" i="3" s="1"/>
  <c r="AA271" i="3"/>
  <c r="X271" i="3"/>
  <c r="W271" i="3"/>
  <c r="U271" i="3"/>
  <c r="R271" i="3"/>
  <c r="N271" i="3"/>
  <c r="O271" i="3" s="1"/>
  <c r="L271" i="3"/>
  <c r="H271" i="3"/>
  <c r="I271" i="3" s="1"/>
  <c r="F271" i="3"/>
  <c r="C271" i="3"/>
  <c r="AC270" i="3"/>
  <c r="AD270" i="3" s="1"/>
  <c r="AA270" i="3"/>
  <c r="W270" i="3"/>
  <c r="X270" i="3" s="1"/>
  <c r="U270" i="3"/>
  <c r="R270" i="3"/>
  <c r="N270" i="3"/>
  <c r="L270" i="3"/>
  <c r="H270" i="3"/>
  <c r="I270" i="3" s="1"/>
  <c r="F270" i="3"/>
  <c r="C270" i="3"/>
  <c r="AD269" i="3"/>
  <c r="AC269" i="3"/>
  <c r="AA269" i="3"/>
  <c r="W269" i="3"/>
  <c r="X269" i="3" s="1"/>
  <c r="U269" i="3"/>
  <c r="R269" i="3"/>
  <c r="N269" i="3"/>
  <c r="L269" i="3"/>
  <c r="H269" i="3"/>
  <c r="I269" i="3" s="1"/>
  <c r="F269" i="3"/>
  <c r="C269" i="3"/>
  <c r="Z267" i="3"/>
  <c r="AA267" i="3" s="1"/>
  <c r="U267" i="3"/>
  <c r="T267" i="3"/>
  <c r="R267" i="3"/>
  <c r="Q267" i="3"/>
  <c r="W267" i="3" s="1"/>
  <c r="X267" i="3" s="1"/>
  <c r="K267" i="3"/>
  <c r="L267" i="3" s="1"/>
  <c r="E267" i="3"/>
  <c r="F267" i="3" s="1"/>
  <c r="B267" i="3"/>
  <c r="AC266" i="3"/>
  <c r="AD266" i="3" s="1"/>
  <c r="AA266" i="3"/>
  <c r="W266" i="3"/>
  <c r="X266" i="3" s="1"/>
  <c r="U266" i="3"/>
  <c r="R266" i="3"/>
  <c r="N266" i="3"/>
  <c r="L266" i="3"/>
  <c r="I266" i="3"/>
  <c r="H266" i="3"/>
  <c r="F266" i="3"/>
  <c r="C266" i="3"/>
  <c r="AC265" i="3"/>
  <c r="AD265" i="3" s="1"/>
  <c r="AA265" i="3"/>
  <c r="W265" i="3"/>
  <c r="X265" i="3" s="1"/>
  <c r="U265" i="3"/>
  <c r="R265" i="3"/>
  <c r="N265" i="3"/>
  <c r="L265" i="3"/>
  <c r="H265" i="3"/>
  <c r="I265" i="3" s="1"/>
  <c r="F265" i="3"/>
  <c r="C265" i="3"/>
  <c r="Z263" i="3"/>
  <c r="AA263" i="3" s="1"/>
  <c r="W263" i="3"/>
  <c r="X263" i="3" s="1"/>
  <c r="U263" i="3"/>
  <c r="T263" i="3"/>
  <c r="R263" i="3"/>
  <c r="Q263" i="3"/>
  <c r="K263" i="3"/>
  <c r="L263" i="3" s="1"/>
  <c r="H263" i="3"/>
  <c r="I263" i="3" s="1"/>
  <c r="E263" i="3"/>
  <c r="F263" i="3" s="1"/>
  <c r="B263" i="3"/>
  <c r="C263" i="3" s="1"/>
  <c r="Z262" i="3"/>
  <c r="AA262" i="3" s="1"/>
  <c r="U262" i="3"/>
  <c r="T262" i="3"/>
  <c r="Q262" i="3"/>
  <c r="R262" i="3" s="1"/>
  <c r="N262" i="3"/>
  <c r="L262" i="3"/>
  <c r="K262" i="3"/>
  <c r="H262" i="3"/>
  <c r="I262" i="3" s="1"/>
  <c r="E262" i="3"/>
  <c r="F262" i="3" s="1"/>
  <c r="C262" i="3"/>
  <c r="B262" i="3"/>
  <c r="AC261" i="3"/>
  <c r="AD261" i="3" s="1"/>
  <c r="AA261" i="3"/>
  <c r="X261" i="3"/>
  <c r="W261" i="3"/>
  <c r="U261" i="3"/>
  <c r="R261" i="3"/>
  <c r="N261" i="3"/>
  <c r="L261" i="3"/>
  <c r="I261" i="3"/>
  <c r="H261" i="3"/>
  <c r="F261" i="3"/>
  <c r="C261" i="3"/>
  <c r="AD260" i="3"/>
  <c r="AC260" i="3"/>
  <c r="AA260" i="3"/>
  <c r="W260" i="3"/>
  <c r="X260" i="3" s="1"/>
  <c r="U260" i="3"/>
  <c r="R260" i="3"/>
  <c r="N260" i="3"/>
  <c r="L260" i="3"/>
  <c r="H260" i="3"/>
  <c r="I260" i="3" s="1"/>
  <c r="F260" i="3"/>
  <c r="C260" i="3"/>
  <c r="AC259" i="3"/>
  <c r="AD259" i="3" s="1"/>
  <c r="AA259" i="3"/>
  <c r="X259" i="3"/>
  <c r="W259" i="3"/>
  <c r="U259" i="3"/>
  <c r="R259" i="3"/>
  <c r="N259" i="3"/>
  <c r="L259" i="3"/>
  <c r="H259" i="3"/>
  <c r="I259" i="3" s="1"/>
  <c r="F259" i="3"/>
  <c r="C259" i="3"/>
  <c r="AC258" i="3"/>
  <c r="AD258" i="3" s="1"/>
  <c r="AA258" i="3"/>
  <c r="X258" i="3"/>
  <c r="W258" i="3"/>
  <c r="U258" i="3"/>
  <c r="R258" i="3"/>
  <c r="N258" i="3"/>
  <c r="O258" i="3" s="1"/>
  <c r="L258" i="3"/>
  <c r="H258" i="3"/>
  <c r="I258" i="3" s="1"/>
  <c r="F258" i="3"/>
  <c r="C258" i="3"/>
  <c r="AD257" i="3"/>
  <c r="AC257" i="3"/>
  <c r="AA257" i="3"/>
  <c r="X257" i="3"/>
  <c r="W257" i="3"/>
  <c r="U257" i="3"/>
  <c r="R257" i="3"/>
  <c r="N257" i="3"/>
  <c r="L257" i="3"/>
  <c r="I257" i="3"/>
  <c r="H257" i="3"/>
  <c r="F257" i="3"/>
  <c r="C257" i="3"/>
  <c r="AD256" i="3"/>
  <c r="AC256" i="3"/>
  <c r="AA256" i="3"/>
  <c r="W256" i="3"/>
  <c r="X256" i="3" s="1"/>
  <c r="U256" i="3"/>
  <c r="R256" i="3"/>
  <c r="N256" i="3"/>
  <c r="L256" i="3"/>
  <c r="I256" i="3"/>
  <c r="H256" i="3"/>
  <c r="F256" i="3"/>
  <c r="C256" i="3"/>
  <c r="AC255" i="3"/>
  <c r="AD255" i="3" s="1"/>
  <c r="AA255" i="3"/>
  <c r="X255" i="3"/>
  <c r="W255" i="3"/>
  <c r="U255" i="3"/>
  <c r="R255" i="3"/>
  <c r="N255" i="3"/>
  <c r="L255" i="3"/>
  <c r="H255" i="3"/>
  <c r="I255" i="3" s="1"/>
  <c r="F255" i="3"/>
  <c r="C255" i="3"/>
  <c r="AC254" i="3"/>
  <c r="AD254" i="3" s="1"/>
  <c r="AA254" i="3"/>
  <c r="X254" i="3"/>
  <c r="W254" i="3"/>
  <c r="U254" i="3"/>
  <c r="R254" i="3"/>
  <c r="N254" i="3"/>
  <c r="L254" i="3"/>
  <c r="H254" i="3"/>
  <c r="I254" i="3" s="1"/>
  <c r="F254" i="3"/>
  <c r="C254" i="3"/>
  <c r="AD253" i="3"/>
  <c r="AC253" i="3"/>
  <c r="AA253" i="3"/>
  <c r="X253" i="3"/>
  <c r="W253" i="3"/>
  <c r="U253" i="3"/>
  <c r="R253" i="3"/>
  <c r="N253" i="3"/>
  <c r="L253" i="3"/>
  <c r="I253" i="3"/>
  <c r="H253" i="3"/>
  <c r="F253" i="3"/>
  <c r="C253" i="3"/>
  <c r="AD252" i="3"/>
  <c r="AC252" i="3"/>
  <c r="AA252" i="3"/>
  <c r="X252" i="3"/>
  <c r="W252" i="3"/>
  <c r="U252" i="3"/>
  <c r="R252" i="3"/>
  <c r="N252" i="3"/>
  <c r="O252" i="3" s="1"/>
  <c r="L252" i="3"/>
  <c r="I252" i="3"/>
  <c r="H252" i="3"/>
  <c r="F252" i="3"/>
  <c r="C252" i="3"/>
  <c r="AC251" i="3"/>
  <c r="AD251" i="3" s="1"/>
  <c r="AA251" i="3"/>
  <c r="X251" i="3"/>
  <c r="W251" i="3"/>
  <c r="U251" i="3"/>
  <c r="R251" i="3"/>
  <c r="N251" i="3"/>
  <c r="L251" i="3"/>
  <c r="H251" i="3"/>
  <c r="I251" i="3" s="1"/>
  <c r="F251" i="3"/>
  <c r="C251" i="3"/>
  <c r="AD250" i="3"/>
  <c r="AC250" i="3"/>
  <c r="AA250" i="3"/>
  <c r="W250" i="3"/>
  <c r="X250" i="3" s="1"/>
  <c r="U250" i="3"/>
  <c r="R250" i="3"/>
  <c r="N250" i="3"/>
  <c r="L250" i="3"/>
  <c r="H250" i="3"/>
  <c r="I250" i="3" s="1"/>
  <c r="F250" i="3"/>
  <c r="C250" i="3"/>
  <c r="AD249" i="3"/>
  <c r="AC249" i="3"/>
  <c r="AA249" i="3"/>
  <c r="X249" i="3"/>
  <c r="W249" i="3"/>
  <c r="U249" i="3"/>
  <c r="R249" i="3"/>
  <c r="N249" i="3"/>
  <c r="O249" i="3" s="1"/>
  <c r="L249" i="3"/>
  <c r="I249" i="3"/>
  <c r="H249" i="3"/>
  <c r="F249" i="3"/>
  <c r="C249" i="3"/>
  <c r="AC248" i="3"/>
  <c r="AD248" i="3" s="1"/>
  <c r="AA248" i="3"/>
  <c r="W248" i="3"/>
  <c r="X248" i="3" s="1"/>
  <c r="U248" i="3"/>
  <c r="R248" i="3"/>
  <c r="N248" i="3"/>
  <c r="L248" i="3"/>
  <c r="I248" i="3"/>
  <c r="H248" i="3"/>
  <c r="F248" i="3"/>
  <c r="C248" i="3"/>
  <c r="AC247" i="3"/>
  <c r="AD247" i="3" s="1"/>
  <c r="AA247" i="3"/>
  <c r="W247" i="3"/>
  <c r="X247" i="3" s="1"/>
  <c r="U247" i="3"/>
  <c r="R247" i="3"/>
  <c r="N247" i="3"/>
  <c r="L247" i="3"/>
  <c r="H247" i="3"/>
  <c r="I247" i="3" s="1"/>
  <c r="F247" i="3"/>
  <c r="C247" i="3"/>
  <c r="AC246" i="3"/>
  <c r="AD246" i="3" s="1"/>
  <c r="AA246" i="3"/>
  <c r="X246" i="3"/>
  <c r="W246" i="3"/>
  <c r="U246" i="3"/>
  <c r="R246" i="3"/>
  <c r="N246" i="3"/>
  <c r="L246" i="3"/>
  <c r="I246" i="3"/>
  <c r="H246" i="3"/>
  <c r="F246" i="3"/>
  <c r="C246" i="3"/>
  <c r="AD245" i="3"/>
  <c r="AC245" i="3"/>
  <c r="AA245" i="3"/>
  <c r="X245" i="3"/>
  <c r="W245" i="3"/>
  <c r="U245" i="3"/>
  <c r="R245" i="3"/>
  <c r="N245" i="3"/>
  <c r="O245" i="3" s="1"/>
  <c r="L245" i="3"/>
  <c r="H245" i="3"/>
  <c r="I245" i="3" s="1"/>
  <c r="F245" i="3"/>
  <c r="C245" i="3"/>
  <c r="AC244" i="3"/>
  <c r="AD244" i="3" s="1"/>
  <c r="AA244" i="3"/>
  <c r="X244" i="3"/>
  <c r="W244" i="3"/>
  <c r="U244" i="3"/>
  <c r="R244" i="3"/>
  <c r="N244" i="3"/>
  <c r="L244" i="3"/>
  <c r="H244" i="3"/>
  <c r="I244" i="3" s="1"/>
  <c r="F244" i="3"/>
  <c r="C244" i="3"/>
  <c r="AC243" i="3"/>
  <c r="AD243" i="3" s="1"/>
  <c r="AA243" i="3"/>
  <c r="W243" i="3"/>
  <c r="X243" i="3" s="1"/>
  <c r="U243" i="3"/>
  <c r="R243" i="3"/>
  <c r="N243" i="3"/>
  <c r="L243" i="3"/>
  <c r="H243" i="3"/>
  <c r="I243" i="3" s="1"/>
  <c r="F243" i="3"/>
  <c r="C243" i="3"/>
  <c r="AC242" i="3"/>
  <c r="AD242" i="3" s="1"/>
  <c r="AA242" i="3"/>
  <c r="X242" i="3"/>
  <c r="W242" i="3"/>
  <c r="U242" i="3"/>
  <c r="R242" i="3"/>
  <c r="N242" i="3"/>
  <c r="L242" i="3"/>
  <c r="I242" i="3"/>
  <c r="H242" i="3"/>
  <c r="F242" i="3"/>
  <c r="C242" i="3"/>
  <c r="AD241" i="3"/>
  <c r="AC241" i="3"/>
  <c r="AA241" i="3"/>
  <c r="X241" i="3"/>
  <c r="W241" i="3"/>
  <c r="U241" i="3"/>
  <c r="R241" i="3"/>
  <c r="N241" i="3"/>
  <c r="L241" i="3"/>
  <c r="H241" i="3"/>
  <c r="I241" i="3" s="1"/>
  <c r="F241" i="3"/>
  <c r="C241" i="3"/>
  <c r="AC240" i="3"/>
  <c r="AD240" i="3" s="1"/>
  <c r="AA240" i="3"/>
  <c r="X240" i="3"/>
  <c r="W240" i="3"/>
  <c r="U240" i="3"/>
  <c r="R240" i="3"/>
  <c r="N240" i="3"/>
  <c r="L240" i="3"/>
  <c r="I240" i="3"/>
  <c r="H240" i="3"/>
  <c r="F240" i="3"/>
  <c r="C240" i="3"/>
  <c r="AD238" i="3"/>
  <c r="AC238" i="3"/>
  <c r="AA238" i="3"/>
  <c r="W238" i="3"/>
  <c r="X238" i="3" s="1"/>
  <c r="U238" i="3"/>
  <c r="R238" i="3"/>
  <c r="O238" i="3"/>
  <c r="N238" i="3"/>
  <c r="L238" i="3"/>
  <c r="H238" i="3"/>
  <c r="I238" i="3" s="1"/>
  <c r="F238" i="3"/>
  <c r="C238" i="3"/>
  <c r="AC236" i="3"/>
  <c r="AD236" i="3" s="1"/>
  <c r="Z236" i="3"/>
  <c r="AA236" i="3" s="1"/>
  <c r="W236" i="3"/>
  <c r="X236" i="3" s="1"/>
  <c r="T236" i="3"/>
  <c r="U236" i="3" s="1"/>
  <c r="Q236" i="3"/>
  <c r="R236" i="3" s="1"/>
  <c r="K236" i="3"/>
  <c r="L236" i="3" s="1"/>
  <c r="H236" i="3"/>
  <c r="I236" i="3" s="1"/>
  <c r="E236" i="3"/>
  <c r="F236" i="3" s="1"/>
  <c r="B236" i="3"/>
  <c r="C236" i="3" s="1"/>
  <c r="AC235" i="3"/>
  <c r="AD235" i="3" s="1"/>
  <c r="AA235" i="3"/>
  <c r="X235" i="3"/>
  <c r="W235" i="3"/>
  <c r="U235" i="3"/>
  <c r="R235" i="3"/>
  <c r="N235" i="3"/>
  <c r="L235" i="3"/>
  <c r="H235" i="3"/>
  <c r="I235" i="3" s="1"/>
  <c r="F235" i="3"/>
  <c r="C235" i="3"/>
  <c r="AC234" i="3"/>
  <c r="AD234" i="3" s="1"/>
  <c r="AA234" i="3"/>
  <c r="W234" i="3"/>
  <c r="X234" i="3" s="1"/>
  <c r="U234" i="3"/>
  <c r="R234" i="3"/>
  <c r="N234" i="3"/>
  <c r="L234" i="3"/>
  <c r="H234" i="3"/>
  <c r="I234" i="3" s="1"/>
  <c r="F234" i="3"/>
  <c r="C234" i="3"/>
  <c r="AC233" i="3"/>
  <c r="AD233" i="3" s="1"/>
  <c r="AA233" i="3"/>
  <c r="X233" i="3"/>
  <c r="W233" i="3"/>
  <c r="U233" i="3"/>
  <c r="R233" i="3"/>
  <c r="N233" i="3"/>
  <c r="L233" i="3"/>
  <c r="H233" i="3"/>
  <c r="I233" i="3" s="1"/>
  <c r="F233" i="3"/>
  <c r="C233" i="3"/>
  <c r="AC232" i="3"/>
  <c r="AD232" i="3" s="1"/>
  <c r="AA232" i="3"/>
  <c r="X232" i="3"/>
  <c r="W232" i="3"/>
  <c r="U232" i="3"/>
  <c r="R232" i="3"/>
  <c r="N232" i="3"/>
  <c r="L232" i="3"/>
  <c r="H232" i="3"/>
  <c r="I232" i="3" s="1"/>
  <c r="F232" i="3"/>
  <c r="C232" i="3"/>
  <c r="AC231" i="3"/>
  <c r="AD231" i="3" s="1"/>
  <c r="AA231" i="3"/>
  <c r="X231" i="3"/>
  <c r="W231" i="3"/>
  <c r="U231" i="3"/>
  <c r="R231" i="3"/>
  <c r="N231" i="3"/>
  <c r="L231" i="3"/>
  <c r="H231" i="3"/>
  <c r="I231" i="3" s="1"/>
  <c r="F231" i="3"/>
  <c r="C231" i="3"/>
  <c r="AC230" i="3"/>
  <c r="AD230" i="3" s="1"/>
  <c r="AA230" i="3"/>
  <c r="X230" i="3"/>
  <c r="W230" i="3"/>
  <c r="U230" i="3"/>
  <c r="R230" i="3"/>
  <c r="N230" i="3"/>
  <c r="L230" i="3"/>
  <c r="H230" i="3"/>
  <c r="I230" i="3" s="1"/>
  <c r="F230" i="3"/>
  <c r="C230" i="3"/>
  <c r="AC229" i="3"/>
  <c r="AD229" i="3" s="1"/>
  <c r="AA229" i="3"/>
  <c r="X229" i="3"/>
  <c r="W229" i="3"/>
  <c r="U229" i="3"/>
  <c r="R229" i="3"/>
  <c r="O229" i="3"/>
  <c r="N229" i="3"/>
  <c r="L229" i="3"/>
  <c r="H229" i="3"/>
  <c r="I229" i="3" s="1"/>
  <c r="F229" i="3"/>
  <c r="C229" i="3"/>
  <c r="Z227" i="3"/>
  <c r="AA227" i="3" s="1"/>
  <c r="T227" i="3"/>
  <c r="U227" i="3" s="1"/>
  <c r="Q227" i="3"/>
  <c r="W227" i="3" s="1"/>
  <c r="X227" i="3" s="1"/>
  <c r="N227" i="3"/>
  <c r="K227" i="3"/>
  <c r="L227" i="3" s="1"/>
  <c r="E227" i="3"/>
  <c r="B227" i="3"/>
  <c r="C227" i="3" s="1"/>
  <c r="AC226" i="3"/>
  <c r="AD226" i="3" s="1"/>
  <c r="AA226" i="3"/>
  <c r="W226" i="3"/>
  <c r="X226" i="3" s="1"/>
  <c r="U226" i="3"/>
  <c r="R226" i="3"/>
  <c r="O226" i="3"/>
  <c r="N226" i="3"/>
  <c r="L226" i="3"/>
  <c r="H226" i="3"/>
  <c r="I226" i="3" s="1"/>
  <c r="F226" i="3"/>
  <c r="C226" i="3"/>
  <c r="AC225" i="3"/>
  <c r="AD225" i="3" s="1"/>
  <c r="AA225" i="3"/>
  <c r="X225" i="3"/>
  <c r="W225" i="3"/>
  <c r="U225" i="3"/>
  <c r="R225" i="3"/>
  <c r="N225" i="3"/>
  <c r="L225" i="3"/>
  <c r="H225" i="3"/>
  <c r="I225" i="3" s="1"/>
  <c r="F225" i="3"/>
  <c r="C225" i="3"/>
  <c r="AC224" i="3"/>
  <c r="AD224" i="3" s="1"/>
  <c r="AA224" i="3"/>
  <c r="X224" i="3"/>
  <c r="W224" i="3"/>
  <c r="U224" i="3"/>
  <c r="R224" i="3"/>
  <c r="N224" i="3"/>
  <c r="L224" i="3"/>
  <c r="H224" i="3"/>
  <c r="I224" i="3" s="1"/>
  <c r="F224" i="3"/>
  <c r="C224" i="3"/>
  <c r="AC223" i="3"/>
  <c r="AD223" i="3" s="1"/>
  <c r="AA223" i="3"/>
  <c r="X223" i="3"/>
  <c r="W223" i="3"/>
  <c r="U223" i="3"/>
  <c r="R223" i="3"/>
  <c r="N223" i="3"/>
  <c r="L223" i="3"/>
  <c r="H223" i="3"/>
  <c r="I223" i="3" s="1"/>
  <c r="F223" i="3"/>
  <c r="C223" i="3"/>
  <c r="AC222" i="3"/>
  <c r="AD222" i="3" s="1"/>
  <c r="AA222" i="3"/>
  <c r="W222" i="3"/>
  <c r="X222" i="3" s="1"/>
  <c r="U222" i="3"/>
  <c r="R222" i="3"/>
  <c r="N222" i="3"/>
  <c r="L222" i="3"/>
  <c r="H222" i="3"/>
  <c r="I222" i="3" s="1"/>
  <c r="F222" i="3"/>
  <c r="C222" i="3"/>
  <c r="AC221" i="3"/>
  <c r="AD221" i="3" s="1"/>
  <c r="AA221" i="3"/>
  <c r="X221" i="3"/>
  <c r="W221" i="3"/>
  <c r="U221" i="3"/>
  <c r="R221" i="3"/>
  <c r="N221" i="3"/>
  <c r="L221" i="3"/>
  <c r="H221" i="3"/>
  <c r="I221" i="3" s="1"/>
  <c r="F221" i="3"/>
  <c r="C221" i="3"/>
  <c r="AC220" i="3"/>
  <c r="AD220" i="3" s="1"/>
  <c r="AA220" i="3"/>
  <c r="X220" i="3"/>
  <c r="W220" i="3"/>
  <c r="U220" i="3"/>
  <c r="R220" i="3"/>
  <c r="N220" i="3"/>
  <c r="O220" i="3" s="1"/>
  <c r="L220" i="3"/>
  <c r="H220" i="3"/>
  <c r="I220" i="3" s="1"/>
  <c r="F220" i="3"/>
  <c r="C220" i="3"/>
  <c r="AC219" i="3"/>
  <c r="AD219" i="3" s="1"/>
  <c r="AA219" i="3"/>
  <c r="X219" i="3"/>
  <c r="W219" i="3"/>
  <c r="U219" i="3"/>
  <c r="R219" i="3"/>
  <c r="N219" i="3"/>
  <c r="L219" i="3"/>
  <c r="I219" i="3"/>
  <c r="H219" i="3"/>
  <c r="F219" i="3"/>
  <c r="C219" i="3"/>
  <c r="Z218" i="3"/>
  <c r="AA218" i="3" s="1"/>
  <c r="W218" i="3"/>
  <c r="X218" i="3" s="1"/>
  <c r="T218" i="3"/>
  <c r="U218" i="3" s="1"/>
  <c r="Q218" i="3"/>
  <c r="R218" i="3" s="1"/>
  <c r="K218" i="3"/>
  <c r="L218" i="3" s="1"/>
  <c r="H218" i="3"/>
  <c r="I218" i="3" s="1"/>
  <c r="E218" i="3"/>
  <c r="F218" i="3" s="1"/>
  <c r="B218" i="3"/>
  <c r="C218" i="3" s="1"/>
  <c r="AC217" i="3"/>
  <c r="AD217" i="3" s="1"/>
  <c r="AA217" i="3"/>
  <c r="X217" i="3"/>
  <c r="W217" i="3"/>
  <c r="U217" i="3"/>
  <c r="R217" i="3"/>
  <c r="N217" i="3"/>
  <c r="L217" i="3"/>
  <c r="H217" i="3"/>
  <c r="I217" i="3" s="1"/>
  <c r="F217" i="3"/>
  <c r="C217" i="3"/>
  <c r="AC216" i="3"/>
  <c r="AD216" i="3" s="1"/>
  <c r="AA216" i="3"/>
  <c r="X216" i="3"/>
  <c r="W216" i="3"/>
  <c r="U216" i="3"/>
  <c r="R216" i="3"/>
  <c r="N216" i="3"/>
  <c r="L216" i="3"/>
  <c r="I216" i="3"/>
  <c r="H216" i="3"/>
  <c r="F216" i="3"/>
  <c r="C216" i="3"/>
  <c r="AC215" i="3"/>
  <c r="AD215" i="3" s="1"/>
  <c r="AA215" i="3"/>
  <c r="W215" i="3"/>
  <c r="X215" i="3" s="1"/>
  <c r="U215" i="3"/>
  <c r="R215" i="3"/>
  <c r="N215" i="3"/>
  <c r="L215" i="3"/>
  <c r="H215" i="3"/>
  <c r="I215" i="3" s="1"/>
  <c r="F215" i="3"/>
  <c r="C215" i="3"/>
  <c r="AC214" i="3"/>
  <c r="AD214" i="3" s="1"/>
  <c r="AA214" i="3"/>
  <c r="X214" i="3"/>
  <c r="W214" i="3"/>
  <c r="U214" i="3"/>
  <c r="R214" i="3"/>
  <c r="N214" i="3"/>
  <c r="L214" i="3"/>
  <c r="H214" i="3"/>
  <c r="I214" i="3" s="1"/>
  <c r="F214" i="3"/>
  <c r="C214" i="3"/>
  <c r="AD213" i="3"/>
  <c r="AC213" i="3"/>
  <c r="AA213" i="3"/>
  <c r="X213" i="3"/>
  <c r="W213" i="3"/>
  <c r="U213" i="3"/>
  <c r="R213" i="3"/>
  <c r="N213" i="3"/>
  <c r="O213" i="3" s="1"/>
  <c r="L213" i="3"/>
  <c r="H213" i="3"/>
  <c r="I213" i="3" s="1"/>
  <c r="F213" i="3"/>
  <c r="C213" i="3"/>
  <c r="AC211" i="3"/>
  <c r="AD211" i="3" s="1"/>
  <c r="AA211" i="3"/>
  <c r="X211" i="3"/>
  <c r="W211" i="3"/>
  <c r="U211" i="3"/>
  <c r="R211" i="3"/>
  <c r="N211" i="3"/>
  <c r="L211" i="3"/>
  <c r="I211" i="3"/>
  <c r="H211" i="3"/>
  <c r="F211" i="3"/>
  <c r="C211" i="3"/>
  <c r="Z209" i="3"/>
  <c r="AA209" i="3" s="1"/>
  <c r="T209" i="3"/>
  <c r="U209" i="3" s="1"/>
  <c r="Q209" i="3"/>
  <c r="R209" i="3" s="1"/>
  <c r="K209" i="3"/>
  <c r="E209" i="3"/>
  <c r="F209" i="3" s="1"/>
  <c r="B209" i="3"/>
  <c r="C209" i="3" s="1"/>
  <c r="AC208" i="3"/>
  <c r="AD208" i="3" s="1"/>
  <c r="AA208" i="3"/>
  <c r="X208" i="3"/>
  <c r="W208" i="3"/>
  <c r="U208" i="3"/>
  <c r="R208" i="3"/>
  <c r="N208" i="3"/>
  <c r="O208" i="3" s="1"/>
  <c r="L208" i="3"/>
  <c r="H208" i="3"/>
  <c r="I208" i="3" s="1"/>
  <c r="F208" i="3"/>
  <c r="C208" i="3"/>
  <c r="AC207" i="3"/>
  <c r="AD207" i="3" s="1"/>
  <c r="AA207" i="3"/>
  <c r="X207" i="3"/>
  <c r="W207" i="3"/>
  <c r="U207" i="3"/>
  <c r="R207" i="3"/>
  <c r="N207" i="3"/>
  <c r="L207" i="3"/>
  <c r="H207" i="3"/>
  <c r="I207" i="3" s="1"/>
  <c r="F207" i="3"/>
  <c r="C207" i="3"/>
  <c r="AC206" i="3"/>
  <c r="AD206" i="3" s="1"/>
  <c r="AA206" i="3"/>
  <c r="W206" i="3"/>
  <c r="X206" i="3" s="1"/>
  <c r="U206" i="3"/>
  <c r="R206" i="3"/>
  <c r="N206" i="3"/>
  <c r="L206" i="3"/>
  <c r="H206" i="3"/>
  <c r="I206" i="3" s="1"/>
  <c r="F206" i="3"/>
  <c r="C206" i="3"/>
  <c r="AC205" i="3"/>
  <c r="AD205" i="3" s="1"/>
  <c r="AA205" i="3"/>
  <c r="X205" i="3"/>
  <c r="W205" i="3"/>
  <c r="U205" i="3"/>
  <c r="R205" i="3"/>
  <c r="N205" i="3"/>
  <c r="L205" i="3"/>
  <c r="H205" i="3"/>
  <c r="I205" i="3" s="1"/>
  <c r="F205" i="3"/>
  <c r="C205" i="3"/>
  <c r="AD204" i="3"/>
  <c r="AC204" i="3"/>
  <c r="AA204" i="3"/>
  <c r="X204" i="3"/>
  <c r="W204" i="3"/>
  <c r="U204" i="3"/>
  <c r="R204" i="3"/>
  <c r="N204" i="3"/>
  <c r="L204" i="3"/>
  <c r="H204" i="3"/>
  <c r="I204" i="3" s="1"/>
  <c r="F204" i="3"/>
  <c r="C204" i="3"/>
  <c r="AC203" i="3"/>
  <c r="AD203" i="3" s="1"/>
  <c r="AA203" i="3"/>
  <c r="X203" i="3"/>
  <c r="W203" i="3"/>
  <c r="U203" i="3"/>
  <c r="R203" i="3"/>
  <c r="N203" i="3"/>
  <c r="L203" i="3"/>
  <c r="H203" i="3"/>
  <c r="I203" i="3" s="1"/>
  <c r="F203" i="3"/>
  <c r="C203" i="3"/>
  <c r="AD202" i="3"/>
  <c r="AC202" i="3"/>
  <c r="AA202" i="3"/>
  <c r="W202" i="3"/>
  <c r="X202" i="3" s="1"/>
  <c r="U202" i="3"/>
  <c r="R202" i="3"/>
  <c r="N202" i="3"/>
  <c r="L202" i="3"/>
  <c r="H202" i="3"/>
  <c r="I202" i="3" s="1"/>
  <c r="F202" i="3"/>
  <c r="C202" i="3"/>
  <c r="AC201" i="3"/>
  <c r="AD201" i="3" s="1"/>
  <c r="AA201" i="3"/>
  <c r="X201" i="3"/>
  <c r="W201" i="3"/>
  <c r="U201" i="3"/>
  <c r="R201" i="3"/>
  <c r="N201" i="3"/>
  <c r="L201" i="3"/>
  <c r="I201" i="3"/>
  <c r="H201" i="3"/>
  <c r="F201" i="3"/>
  <c r="C201" i="3"/>
  <c r="Z197" i="3"/>
  <c r="AA197" i="3" s="1"/>
  <c r="T197" i="3"/>
  <c r="U197" i="3" s="1"/>
  <c r="Q197" i="3"/>
  <c r="R197" i="3" s="1"/>
  <c r="N197" i="3"/>
  <c r="O197" i="3" s="1"/>
  <c r="K197" i="3"/>
  <c r="L197" i="3" s="1"/>
  <c r="E197" i="3"/>
  <c r="F197" i="3" s="1"/>
  <c r="B197" i="3"/>
  <c r="C197" i="3" s="1"/>
  <c r="Z196" i="3"/>
  <c r="AA196" i="3" s="1"/>
  <c r="T196" i="3"/>
  <c r="U196" i="3" s="1"/>
  <c r="Q196" i="3"/>
  <c r="W196" i="3" s="1"/>
  <c r="X196" i="3" s="1"/>
  <c r="N196" i="3"/>
  <c r="K196" i="3"/>
  <c r="L196" i="3" s="1"/>
  <c r="E196" i="3"/>
  <c r="B196" i="3"/>
  <c r="C196" i="3" s="1"/>
  <c r="AC195" i="3"/>
  <c r="AD195" i="3" s="1"/>
  <c r="AA195" i="3"/>
  <c r="W195" i="3"/>
  <c r="X195" i="3" s="1"/>
  <c r="U195" i="3"/>
  <c r="R195" i="3"/>
  <c r="O195" i="3"/>
  <c r="N195" i="3"/>
  <c r="L195" i="3"/>
  <c r="H195" i="3"/>
  <c r="I195" i="3" s="1"/>
  <c r="F195" i="3"/>
  <c r="C195" i="3"/>
  <c r="AC194" i="3"/>
  <c r="AD194" i="3" s="1"/>
  <c r="AA194" i="3"/>
  <c r="X194" i="3"/>
  <c r="W194" i="3"/>
  <c r="U194" i="3"/>
  <c r="R194" i="3"/>
  <c r="N194" i="3"/>
  <c r="L194" i="3"/>
  <c r="H194" i="3"/>
  <c r="I194" i="3" s="1"/>
  <c r="F194" i="3"/>
  <c r="C194" i="3"/>
  <c r="Z193" i="3"/>
  <c r="AA193" i="3" s="1"/>
  <c r="T193" i="3"/>
  <c r="U193" i="3" s="1"/>
  <c r="R193" i="3"/>
  <c r="Q193" i="3"/>
  <c r="N193" i="3"/>
  <c r="O193" i="3" s="1"/>
  <c r="K193" i="3"/>
  <c r="L193" i="3" s="1"/>
  <c r="E193" i="3"/>
  <c r="F193" i="3" s="1"/>
  <c r="B193" i="3"/>
  <c r="C193" i="3" s="1"/>
  <c r="AC192" i="3"/>
  <c r="AD192" i="3" s="1"/>
  <c r="AA192" i="3"/>
  <c r="X192" i="3"/>
  <c r="W192" i="3"/>
  <c r="U192" i="3"/>
  <c r="R192" i="3"/>
  <c r="N192" i="3"/>
  <c r="L192" i="3"/>
  <c r="H192" i="3"/>
  <c r="I192" i="3" s="1"/>
  <c r="F192" i="3"/>
  <c r="C192" i="3"/>
  <c r="AC191" i="3"/>
  <c r="AD191" i="3" s="1"/>
  <c r="AA191" i="3"/>
  <c r="X191" i="3"/>
  <c r="W191" i="3"/>
  <c r="U191" i="3"/>
  <c r="R191" i="3"/>
  <c r="N191" i="3"/>
  <c r="L191" i="3"/>
  <c r="H191" i="3"/>
  <c r="I191" i="3" s="1"/>
  <c r="F191" i="3"/>
  <c r="C191" i="3"/>
  <c r="AD190" i="3"/>
  <c r="AC190" i="3"/>
  <c r="AA190" i="3"/>
  <c r="X190" i="3"/>
  <c r="W190" i="3"/>
  <c r="U190" i="3"/>
  <c r="R190" i="3"/>
  <c r="N190" i="3"/>
  <c r="L190" i="3"/>
  <c r="H190" i="3"/>
  <c r="I190" i="3" s="1"/>
  <c r="F190" i="3"/>
  <c r="C190" i="3"/>
  <c r="AC189" i="3"/>
  <c r="AD189" i="3" s="1"/>
  <c r="AA189" i="3"/>
  <c r="X189" i="3"/>
  <c r="W189" i="3"/>
  <c r="U189" i="3"/>
  <c r="R189" i="3"/>
  <c r="N189" i="3"/>
  <c r="L189" i="3"/>
  <c r="H189" i="3"/>
  <c r="I189" i="3" s="1"/>
  <c r="F189" i="3"/>
  <c r="C189" i="3"/>
  <c r="AC188" i="3"/>
  <c r="AD188" i="3" s="1"/>
  <c r="AA188" i="3"/>
  <c r="W188" i="3"/>
  <c r="X188" i="3" s="1"/>
  <c r="U188" i="3"/>
  <c r="R188" i="3"/>
  <c r="N188" i="3"/>
  <c r="L188" i="3"/>
  <c r="H188" i="3"/>
  <c r="I188" i="3" s="1"/>
  <c r="F188" i="3"/>
  <c r="C188" i="3"/>
  <c r="AC187" i="3"/>
  <c r="AD187" i="3" s="1"/>
  <c r="AA187" i="3"/>
  <c r="X187" i="3"/>
  <c r="W187" i="3"/>
  <c r="U187" i="3"/>
  <c r="R187" i="3"/>
  <c r="N187" i="3"/>
  <c r="L187" i="3"/>
  <c r="I187" i="3"/>
  <c r="H187" i="3"/>
  <c r="F187" i="3"/>
  <c r="C187" i="3"/>
  <c r="AD186" i="3"/>
  <c r="AC186" i="3"/>
  <c r="AA186" i="3"/>
  <c r="X186" i="3"/>
  <c r="W186" i="3"/>
  <c r="U186" i="3"/>
  <c r="R186" i="3"/>
  <c r="N186" i="3"/>
  <c r="L186" i="3"/>
  <c r="H186" i="3"/>
  <c r="I186" i="3" s="1"/>
  <c r="F186" i="3"/>
  <c r="C186" i="3"/>
  <c r="AC184" i="3"/>
  <c r="AD184" i="3" s="1"/>
  <c r="AA184" i="3"/>
  <c r="X184" i="3"/>
  <c r="W184" i="3"/>
  <c r="U184" i="3"/>
  <c r="R184" i="3"/>
  <c r="N184" i="3"/>
  <c r="L184" i="3"/>
  <c r="I184" i="3"/>
  <c r="H184" i="3"/>
  <c r="F184" i="3"/>
  <c r="C184" i="3"/>
  <c r="AD183" i="3"/>
  <c r="AC183" i="3"/>
  <c r="AA183" i="3"/>
  <c r="W183" i="3"/>
  <c r="X183" i="3" s="1"/>
  <c r="U183" i="3"/>
  <c r="R183" i="3"/>
  <c r="O183" i="3"/>
  <c r="N183" i="3"/>
  <c r="L183" i="3"/>
  <c r="H183" i="3"/>
  <c r="I183" i="3" s="1"/>
  <c r="F183" i="3"/>
  <c r="C183" i="3"/>
  <c r="AA182" i="3"/>
  <c r="Z182" i="3"/>
  <c r="T182" i="3"/>
  <c r="U182" i="3" s="1"/>
  <c r="Q182" i="3"/>
  <c r="R182" i="3" s="1"/>
  <c r="K182" i="3"/>
  <c r="L182" i="3" s="1"/>
  <c r="E182" i="3"/>
  <c r="B182" i="3"/>
  <c r="C182" i="3" s="1"/>
  <c r="AC181" i="3"/>
  <c r="AD181" i="3" s="1"/>
  <c r="AA181" i="3"/>
  <c r="X181" i="3"/>
  <c r="W181" i="3"/>
  <c r="U181" i="3"/>
  <c r="R181" i="3"/>
  <c r="N181" i="3"/>
  <c r="L181" i="3"/>
  <c r="H181" i="3"/>
  <c r="I181" i="3" s="1"/>
  <c r="F181" i="3"/>
  <c r="C181" i="3"/>
  <c r="AC180" i="3"/>
  <c r="AD180" i="3" s="1"/>
  <c r="AA180" i="3"/>
  <c r="X180" i="3"/>
  <c r="W180" i="3"/>
  <c r="U180" i="3"/>
  <c r="R180" i="3"/>
  <c r="N180" i="3"/>
  <c r="L180" i="3"/>
  <c r="H180" i="3"/>
  <c r="I180" i="3" s="1"/>
  <c r="F180" i="3"/>
  <c r="C180" i="3"/>
  <c r="AC179" i="3"/>
  <c r="AD179" i="3" s="1"/>
  <c r="AA179" i="3"/>
  <c r="X179" i="3"/>
  <c r="W179" i="3"/>
  <c r="U179" i="3"/>
  <c r="R179" i="3"/>
  <c r="N179" i="3"/>
  <c r="L179" i="3"/>
  <c r="H179" i="3"/>
  <c r="I179" i="3" s="1"/>
  <c r="F179" i="3"/>
  <c r="C179" i="3"/>
  <c r="AD178" i="3"/>
  <c r="AC178" i="3"/>
  <c r="AA178" i="3"/>
  <c r="X178" i="3"/>
  <c r="W178" i="3"/>
  <c r="U178" i="3"/>
  <c r="R178" i="3"/>
  <c r="N178" i="3"/>
  <c r="L178" i="3"/>
  <c r="H178" i="3"/>
  <c r="I178" i="3" s="1"/>
  <c r="F178" i="3"/>
  <c r="C178" i="3"/>
  <c r="AC177" i="3"/>
  <c r="AD177" i="3" s="1"/>
  <c r="AA177" i="3"/>
  <c r="X177" i="3"/>
  <c r="W177" i="3"/>
  <c r="U177" i="3"/>
  <c r="R177" i="3"/>
  <c r="N177" i="3"/>
  <c r="L177" i="3"/>
  <c r="H177" i="3"/>
  <c r="I177" i="3" s="1"/>
  <c r="F177" i="3"/>
  <c r="C177" i="3"/>
  <c r="AC175" i="3"/>
  <c r="AD175" i="3" s="1"/>
  <c r="AA175" i="3"/>
  <c r="W175" i="3"/>
  <c r="X175" i="3" s="1"/>
  <c r="U175" i="3"/>
  <c r="R175" i="3"/>
  <c r="N175" i="3"/>
  <c r="L175" i="3"/>
  <c r="H175" i="3"/>
  <c r="I175" i="3" s="1"/>
  <c r="F175" i="3"/>
  <c r="C175" i="3"/>
  <c r="K172" i="3"/>
  <c r="Z171" i="3"/>
  <c r="AC171" i="3" s="1"/>
  <c r="AD171" i="3" s="1"/>
  <c r="W171" i="3"/>
  <c r="X171" i="3" s="1"/>
  <c r="T171" i="3"/>
  <c r="U171" i="3" s="1"/>
  <c r="Q171" i="3"/>
  <c r="R171" i="3" s="1"/>
  <c r="K171" i="3"/>
  <c r="L171" i="3" s="1"/>
  <c r="E171" i="3"/>
  <c r="F171" i="3" s="1"/>
  <c r="C171" i="3"/>
  <c r="B171" i="3"/>
  <c r="AC170" i="3"/>
  <c r="AD170" i="3" s="1"/>
  <c r="Z170" i="3"/>
  <c r="AA170" i="3" s="1"/>
  <c r="T170" i="3"/>
  <c r="U170" i="3" s="1"/>
  <c r="Q170" i="3"/>
  <c r="R170" i="3" s="1"/>
  <c r="K170" i="3"/>
  <c r="L170" i="3" s="1"/>
  <c r="H170" i="3"/>
  <c r="I170" i="3" s="1"/>
  <c r="E170" i="3"/>
  <c r="F170" i="3" s="1"/>
  <c r="B170" i="3"/>
  <c r="C170" i="3" s="1"/>
  <c r="AC169" i="3"/>
  <c r="AD169" i="3" s="1"/>
  <c r="AA169" i="3"/>
  <c r="X169" i="3"/>
  <c r="W169" i="3"/>
  <c r="U169" i="3"/>
  <c r="R169" i="3"/>
  <c r="N169" i="3"/>
  <c r="L169" i="3"/>
  <c r="H169" i="3"/>
  <c r="I169" i="3" s="1"/>
  <c r="F169" i="3"/>
  <c r="C169" i="3"/>
  <c r="AC168" i="3"/>
  <c r="AD168" i="3" s="1"/>
  <c r="AA168" i="3"/>
  <c r="W168" i="3"/>
  <c r="X168" i="3" s="1"/>
  <c r="U168" i="3"/>
  <c r="R168" i="3"/>
  <c r="N168" i="3"/>
  <c r="L168" i="3"/>
  <c r="H168" i="3"/>
  <c r="I168" i="3" s="1"/>
  <c r="F168" i="3"/>
  <c r="C168" i="3"/>
  <c r="AC167" i="3"/>
  <c r="AD167" i="3" s="1"/>
  <c r="AA167" i="3"/>
  <c r="X167" i="3"/>
  <c r="W167" i="3"/>
  <c r="U167" i="3"/>
  <c r="R167" i="3"/>
  <c r="N167" i="3"/>
  <c r="L167" i="3"/>
  <c r="H167" i="3"/>
  <c r="I167" i="3" s="1"/>
  <c r="F167" i="3"/>
  <c r="C167" i="3"/>
  <c r="AC166" i="3"/>
  <c r="AD166" i="3" s="1"/>
  <c r="Z166" i="3"/>
  <c r="AA166" i="3" s="1"/>
  <c r="T166" i="3"/>
  <c r="U166" i="3" s="1"/>
  <c r="Q166" i="3"/>
  <c r="W166" i="3" s="1"/>
  <c r="X166" i="3" s="1"/>
  <c r="N166" i="3"/>
  <c r="K166" i="3"/>
  <c r="L166" i="3" s="1"/>
  <c r="H166" i="3"/>
  <c r="I166" i="3" s="1"/>
  <c r="F166" i="3"/>
  <c r="E166" i="3"/>
  <c r="B166" i="3"/>
  <c r="C166" i="3" s="1"/>
  <c r="AC165" i="3"/>
  <c r="AD165" i="3" s="1"/>
  <c r="AA165" i="3"/>
  <c r="W165" i="3"/>
  <c r="X165" i="3" s="1"/>
  <c r="U165" i="3"/>
  <c r="R165" i="3"/>
  <c r="N165" i="3"/>
  <c r="L165" i="3"/>
  <c r="H165" i="3"/>
  <c r="I165" i="3" s="1"/>
  <c r="F165" i="3"/>
  <c r="C165" i="3"/>
  <c r="AC164" i="3"/>
  <c r="AD164" i="3" s="1"/>
  <c r="AA164" i="3"/>
  <c r="X164" i="3"/>
  <c r="W164" i="3"/>
  <c r="U164" i="3"/>
  <c r="R164" i="3"/>
  <c r="N164" i="3"/>
  <c r="L164" i="3"/>
  <c r="H164" i="3"/>
  <c r="I164" i="3" s="1"/>
  <c r="F164" i="3"/>
  <c r="C164" i="3"/>
  <c r="AC163" i="3"/>
  <c r="AD163" i="3" s="1"/>
  <c r="AA163" i="3"/>
  <c r="X163" i="3"/>
  <c r="W163" i="3"/>
  <c r="U163" i="3"/>
  <c r="R163" i="3"/>
  <c r="N163" i="3"/>
  <c r="O163" i="3" s="1"/>
  <c r="L163" i="3"/>
  <c r="H163" i="3"/>
  <c r="I163" i="3" s="1"/>
  <c r="F163" i="3"/>
  <c r="C163" i="3"/>
  <c r="AC162" i="3"/>
  <c r="AD162" i="3" s="1"/>
  <c r="AA162" i="3"/>
  <c r="X162" i="3"/>
  <c r="W162" i="3"/>
  <c r="U162" i="3"/>
  <c r="R162" i="3"/>
  <c r="N162" i="3"/>
  <c r="L162" i="3"/>
  <c r="I162" i="3"/>
  <c r="H162" i="3"/>
  <c r="F162" i="3"/>
  <c r="C162" i="3"/>
  <c r="AC161" i="3"/>
  <c r="AD161" i="3" s="1"/>
  <c r="AA161" i="3"/>
  <c r="X161" i="3"/>
  <c r="W161" i="3"/>
  <c r="U161" i="3"/>
  <c r="R161" i="3"/>
  <c r="N161" i="3"/>
  <c r="L161" i="3"/>
  <c r="H161" i="3"/>
  <c r="I161" i="3" s="1"/>
  <c r="F161" i="3"/>
  <c r="C161" i="3"/>
  <c r="AC160" i="3"/>
  <c r="AD160" i="3" s="1"/>
  <c r="AA160" i="3"/>
  <c r="X160" i="3"/>
  <c r="W160" i="3"/>
  <c r="U160" i="3"/>
  <c r="R160" i="3"/>
  <c r="N160" i="3"/>
  <c r="L160" i="3"/>
  <c r="H160" i="3"/>
  <c r="I160" i="3" s="1"/>
  <c r="F160" i="3"/>
  <c r="C160" i="3"/>
  <c r="Z158" i="3"/>
  <c r="AA158" i="3" s="1"/>
  <c r="T158" i="3"/>
  <c r="U158" i="3" s="1"/>
  <c r="R158" i="3"/>
  <c r="Q158" i="3"/>
  <c r="K158" i="3"/>
  <c r="L158" i="3" s="1"/>
  <c r="E158" i="3"/>
  <c r="H158" i="3" s="1"/>
  <c r="I158" i="3" s="1"/>
  <c r="B158" i="3"/>
  <c r="C158" i="3" s="1"/>
  <c r="AC157" i="3"/>
  <c r="AD157" i="3" s="1"/>
  <c r="AA157" i="3"/>
  <c r="W157" i="3"/>
  <c r="X157" i="3" s="1"/>
  <c r="U157" i="3"/>
  <c r="R157" i="3"/>
  <c r="N157" i="3"/>
  <c r="L157" i="3"/>
  <c r="H157" i="3"/>
  <c r="I157" i="3" s="1"/>
  <c r="F157" i="3"/>
  <c r="C157" i="3"/>
  <c r="AC156" i="3"/>
  <c r="AD156" i="3" s="1"/>
  <c r="AA156" i="3"/>
  <c r="X156" i="3"/>
  <c r="W156" i="3"/>
  <c r="U156" i="3"/>
  <c r="R156" i="3"/>
  <c r="N156" i="3"/>
  <c r="L156" i="3"/>
  <c r="H156" i="3"/>
  <c r="I156" i="3" s="1"/>
  <c r="F156" i="3"/>
  <c r="C156" i="3"/>
  <c r="AD155" i="3"/>
  <c r="AC155" i="3"/>
  <c r="AA155" i="3"/>
  <c r="X155" i="3"/>
  <c r="W155" i="3"/>
  <c r="U155" i="3"/>
  <c r="R155" i="3"/>
  <c r="N155" i="3"/>
  <c r="O155" i="3" s="1"/>
  <c r="L155" i="3"/>
  <c r="H155" i="3"/>
  <c r="I155" i="3" s="1"/>
  <c r="F155" i="3"/>
  <c r="C155" i="3"/>
  <c r="AC154" i="3"/>
  <c r="AD154" i="3" s="1"/>
  <c r="AA154" i="3"/>
  <c r="X154" i="3"/>
  <c r="W154" i="3"/>
  <c r="U154" i="3"/>
  <c r="R154" i="3"/>
  <c r="N154" i="3"/>
  <c r="L154" i="3"/>
  <c r="H154" i="3"/>
  <c r="I154" i="3" s="1"/>
  <c r="F154" i="3"/>
  <c r="C154" i="3"/>
  <c r="AC153" i="3"/>
  <c r="AD153" i="3" s="1"/>
  <c r="AA153" i="3"/>
  <c r="W153" i="3"/>
  <c r="X153" i="3" s="1"/>
  <c r="U153" i="3"/>
  <c r="R153" i="3"/>
  <c r="N153" i="3"/>
  <c r="L153" i="3"/>
  <c r="H153" i="3"/>
  <c r="I153" i="3" s="1"/>
  <c r="F153" i="3"/>
  <c r="C153" i="3"/>
  <c r="AC151" i="3"/>
  <c r="AD151" i="3" s="1"/>
  <c r="AA151" i="3"/>
  <c r="X151" i="3"/>
  <c r="W151" i="3"/>
  <c r="U151" i="3"/>
  <c r="R151" i="3"/>
  <c r="N151" i="3"/>
  <c r="L151" i="3"/>
  <c r="H151" i="3"/>
  <c r="I151" i="3" s="1"/>
  <c r="F151" i="3"/>
  <c r="C151" i="3"/>
  <c r="Z149" i="3"/>
  <c r="AA149" i="3" s="1"/>
  <c r="T149" i="3"/>
  <c r="U149" i="3" s="1"/>
  <c r="Q149" i="3"/>
  <c r="W149" i="3" s="1"/>
  <c r="X149" i="3" s="1"/>
  <c r="K149" i="3"/>
  <c r="L149" i="3" s="1"/>
  <c r="E149" i="3"/>
  <c r="F149" i="3" s="1"/>
  <c r="B149" i="3"/>
  <c r="C149" i="3" s="1"/>
  <c r="Z148" i="3"/>
  <c r="AA148" i="3" s="1"/>
  <c r="T148" i="3"/>
  <c r="Q148" i="3"/>
  <c r="R148" i="3" s="1"/>
  <c r="K148" i="3"/>
  <c r="L148" i="3" s="1"/>
  <c r="H148" i="3"/>
  <c r="I148" i="3" s="1"/>
  <c r="E148" i="3"/>
  <c r="F148" i="3" s="1"/>
  <c r="B148" i="3"/>
  <c r="C148" i="3" s="1"/>
  <c r="AD147" i="3"/>
  <c r="AC147" i="3"/>
  <c r="AA147" i="3"/>
  <c r="X147" i="3"/>
  <c r="W147" i="3"/>
  <c r="U147" i="3"/>
  <c r="R147" i="3"/>
  <c r="N147" i="3"/>
  <c r="L147" i="3"/>
  <c r="H147" i="3"/>
  <c r="I147" i="3" s="1"/>
  <c r="F147" i="3"/>
  <c r="C147" i="3"/>
  <c r="AC146" i="3"/>
  <c r="AD146" i="3" s="1"/>
  <c r="AA146" i="3"/>
  <c r="X146" i="3"/>
  <c r="W146" i="3"/>
  <c r="U146" i="3"/>
  <c r="R146" i="3"/>
  <c r="N146" i="3"/>
  <c r="L146" i="3"/>
  <c r="I146" i="3"/>
  <c r="H146" i="3"/>
  <c r="F146" i="3"/>
  <c r="C146" i="3"/>
  <c r="AC145" i="3"/>
  <c r="AD145" i="3" s="1"/>
  <c r="AA145" i="3"/>
  <c r="W145" i="3"/>
  <c r="X145" i="3" s="1"/>
  <c r="U145" i="3"/>
  <c r="R145" i="3"/>
  <c r="N145" i="3"/>
  <c r="L145" i="3"/>
  <c r="H145" i="3"/>
  <c r="I145" i="3" s="1"/>
  <c r="F145" i="3"/>
  <c r="C145" i="3"/>
  <c r="AC144" i="3"/>
  <c r="AD144" i="3" s="1"/>
  <c r="AA144" i="3"/>
  <c r="X144" i="3"/>
  <c r="W144" i="3"/>
  <c r="U144" i="3"/>
  <c r="R144" i="3"/>
  <c r="N144" i="3"/>
  <c r="L144" i="3"/>
  <c r="H144" i="3"/>
  <c r="I144" i="3" s="1"/>
  <c r="F144" i="3"/>
  <c r="C144" i="3"/>
  <c r="AC143" i="3"/>
  <c r="AD143" i="3" s="1"/>
  <c r="AA143" i="3"/>
  <c r="X143" i="3"/>
  <c r="W143" i="3"/>
  <c r="U143" i="3"/>
  <c r="R143" i="3"/>
  <c r="O143" i="3"/>
  <c r="N143" i="3"/>
  <c r="L143" i="3"/>
  <c r="H143" i="3"/>
  <c r="I143" i="3" s="1"/>
  <c r="F143" i="3"/>
  <c r="C143" i="3"/>
  <c r="Z141" i="3"/>
  <c r="T141" i="3"/>
  <c r="U141" i="3" s="1"/>
  <c r="Q141" i="3"/>
  <c r="R141" i="3" s="1"/>
  <c r="K141" i="3"/>
  <c r="L141" i="3" s="1"/>
  <c r="E141" i="3"/>
  <c r="F141" i="3" s="1"/>
  <c r="C141" i="3"/>
  <c r="B141" i="3"/>
  <c r="AC140" i="3"/>
  <c r="AD140" i="3" s="1"/>
  <c r="AA140" i="3"/>
  <c r="X140" i="3"/>
  <c r="W140" i="3"/>
  <c r="U140" i="3"/>
  <c r="R140" i="3"/>
  <c r="O140" i="3"/>
  <c r="N140" i="3"/>
  <c r="L140" i="3"/>
  <c r="H140" i="3"/>
  <c r="I140" i="3" s="1"/>
  <c r="F140" i="3"/>
  <c r="C140" i="3"/>
  <c r="AD139" i="3"/>
  <c r="AC139" i="3"/>
  <c r="AA139" i="3"/>
  <c r="X139" i="3"/>
  <c r="W139" i="3"/>
  <c r="U139" i="3"/>
  <c r="R139" i="3"/>
  <c r="N139" i="3"/>
  <c r="O139" i="3" s="1"/>
  <c r="L139" i="3"/>
  <c r="H139" i="3"/>
  <c r="I139" i="3" s="1"/>
  <c r="F139" i="3"/>
  <c r="C139" i="3"/>
  <c r="AC138" i="3"/>
  <c r="AD138" i="3" s="1"/>
  <c r="AA138" i="3"/>
  <c r="X138" i="3"/>
  <c r="W138" i="3"/>
  <c r="U138" i="3"/>
  <c r="R138" i="3"/>
  <c r="N138" i="3"/>
  <c r="L138" i="3"/>
  <c r="H138" i="3"/>
  <c r="I138" i="3" s="1"/>
  <c r="F138" i="3"/>
  <c r="C138" i="3"/>
  <c r="AC137" i="3"/>
  <c r="AD137" i="3" s="1"/>
  <c r="AA137" i="3"/>
  <c r="W137" i="3"/>
  <c r="X137" i="3" s="1"/>
  <c r="U137" i="3"/>
  <c r="R137" i="3"/>
  <c r="N137" i="3"/>
  <c r="L137" i="3"/>
  <c r="H137" i="3"/>
  <c r="I137" i="3" s="1"/>
  <c r="F137" i="3"/>
  <c r="C137" i="3"/>
  <c r="AC136" i="3"/>
  <c r="AD136" i="3" s="1"/>
  <c r="AA136" i="3"/>
  <c r="X136" i="3"/>
  <c r="W136" i="3"/>
  <c r="U136" i="3"/>
  <c r="R136" i="3"/>
  <c r="N136" i="3"/>
  <c r="L136" i="3"/>
  <c r="H136" i="3"/>
  <c r="I136" i="3" s="1"/>
  <c r="F136" i="3"/>
  <c r="C136" i="3"/>
  <c r="AC135" i="3"/>
  <c r="AD135" i="3" s="1"/>
  <c r="AA135" i="3"/>
  <c r="X135" i="3"/>
  <c r="W135" i="3"/>
  <c r="U135" i="3"/>
  <c r="R135" i="3"/>
  <c r="N135" i="3"/>
  <c r="L135" i="3"/>
  <c r="H135" i="3"/>
  <c r="I135" i="3" s="1"/>
  <c r="F135" i="3"/>
  <c r="C135" i="3"/>
  <c r="AC134" i="3"/>
  <c r="AD134" i="3" s="1"/>
  <c r="AA134" i="3"/>
  <c r="X134" i="3"/>
  <c r="W134" i="3"/>
  <c r="U134" i="3"/>
  <c r="R134" i="3"/>
  <c r="N134" i="3"/>
  <c r="L134" i="3"/>
  <c r="I134" i="3"/>
  <c r="H134" i="3"/>
  <c r="F134" i="3"/>
  <c r="C134" i="3"/>
  <c r="AC133" i="3"/>
  <c r="AD133" i="3" s="1"/>
  <c r="AA133" i="3"/>
  <c r="W133" i="3"/>
  <c r="X133" i="3" s="1"/>
  <c r="U133" i="3"/>
  <c r="R133" i="3"/>
  <c r="N133" i="3"/>
  <c r="L133" i="3"/>
  <c r="H133" i="3"/>
  <c r="I133" i="3" s="1"/>
  <c r="F133" i="3"/>
  <c r="C133" i="3"/>
  <c r="AC132" i="3"/>
  <c r="AD132" i="3" s="1"/>
  <c r="AA132" i="3"/>
  <c r="X132" i="3"/>
  <c r="W132" i="3"/>
  <c r="U132" i="3"/>
  <c r="R132" i="3"/>
  <c r="N132" i="3"/>
  <c r="L132" i="3"/>
  <c r="H132" i="3"/>
  <c r="I132" i="3" s="1"/>
  <c r="F132" i="3"/>
  <c r="C132" i="3"/>
  <c r="AD131" i="3"/>
  <c r="AC131" i="3"/>
  <c r="AA131" i="3"/>
  <c r="X131" i="3"/>
  <c r="W131" i="3"/>
  <c r="U131" i="3"/>
  <c r="R131" i="3"/>
  <c r="N131" i="3"/>
  <c r="O131" i="3" s="1"/>
  <c r="L131" i="3"/>
  <c r="H131" i="3"/>
  <c r="I131" i="3" s="1"/>
  <c r="F131" i="3"/>
  <c r="C131" i="3"/>
  <c r="AC130" i="3"/>
  <c r="AD130" i="3" s="1"/>
  <c r="AA130" i="3"/>
  <c r="X130" i="3"/>
  <c r="W130" i="3"/>
  <c r="U130" i="3"/>
  <c r="R130" i="3"/>
  <c r="N130" i="3"/>
  <c r="L130" i="3"/>
  <c r="H130" i="3"/>
  <c r="I130" i="3" s="1"/>
  <c r="F130" i="3"/>
  <c r="C130" i="3"/>
  <c r="AC129" i="3"/>
  <c r="AD129" i="3" s="1"/>
  <c r="AA129" i="3"/>
  <c r="W129" i="3"/>
  <c r="X129" i="3" s="1"/>
  <c r="U129" i="3"/>
  <c r="R129" i="3"/>
  <c r="N129" i="3"/>
  <c r="L129" i="3"/>
  <c r="H129" i="3"/>
  <c r="I129" i="3" s="1"/>
  <c r="F129" i="3"/>
  <c r="C129" i="3"/>
  <c r="AC127" i="3"/>
  <c r="AD127" i="3" s="1"/>
  <c r="AA127" i="3"/>
  <c r="X127" i="3"/>
  <c r="W127" i="3"/>
  <c r="U127" i="3"/>
  <c r="R127" i="3"/>
  <c r="N127" i="3"/>
  <c r="L127" i="3"/>
  <c r="H127" i="3"/>
  <c r="I127" i="3" s="1"/>
  <c r="F127" i="3"/>
  <c r="C127" i="3"/>
  <c r="Z124" i="3"/>
  <c r="T124" i="3"/>
  <c r="U124" i="3" s="1"/>
  <c r="R124" i="3"/>
  <c r="Q124" i="3"/>
  <c r="AC124" i="3" s="1"/>
  <c r="AD124" i="3" s="1"/>
  <c r="N124" i="3"/>
  <c r="O124" i="3" s="1"/>
  <c r="K124" i="3"/>
  <c r="L124" i="3" s="1"/>
  <c r="E124" i="3"/>
  <c r="E172" i="3" s="1"/>
  <c r="B124" i="3"/>
  <c r="AC123" i="3"/>
  <c r="AD123" i="3" s="1"/>
  <c r="AA123" i="3"/>
  <c r="X123" i="3"/>
  <c r="W123" i="3"/>
  <c r="U123" i="3"/>
  <c r="R123" i="3"/>
  <c r="N123" i="3"/>
  <c r="L123" i="3"/>
  <c r="H123" i="3"/>
  <c r="I123" i="3" s="1"/>
  <c r="F123" i="3"/>
  <c r="C123" i="3"/>
  <c r="Z122" i="3"/>
  <c r="AA122" i="3" s="1"/>
  <c r="W122" i="3"/>
  <c r="X122" i="3" s="1"/>
  <c r="U122" i="3"/>
  <c r="T122" i="3"/>
  <c r="Q122" i="3"/>
  <c r="R122" i="3" s="1"/>
  <c r="O122" i="3"/>
  <c r="K122" i="3"/>
  <c r="L122" i="3" s="1"/>
  <c r="E122" i="3"/>
  <c r="F122" i="3" s="1"/>
  <c r="C122" i="3"/>
  <c r="B122" i="3"/>
  <c r="N122" i="3" s="1"/>
  <c r="AC121" i="3"/>
  <c r="AD121" i="3" s="1"/>
  <c r="AA121" i="3"/>
  <c r="X121" i="3"/>
  <c r="W121" i="3"/>
  <c r="U121" i="3"/>
  <c r="R121" i="3"/>
  <c r="N121" i="3"/>
  <c r="L121" i="3"/>
  <c r="H121" i="3"/>
  <c r="I121" i="3" s="1"/>
  <c r="F121" i="3"/>
  <c r="C121" i="3"/>
  <c r="AD120" i="3"/>
  <c r="AC120" i="3"/>
  <c r="AA120" i="3"/>
  <c r="X120" i="3"/>
  <c r="W120" i="3"/>
  <c r="U120" i="3"/>
  <c r="R120" i="3"/>
  <c r="N120" i="3"/>
  <c r="L120" i="3"/>
  <c r="H120" i="3"/>
  <c r="I120" i="3" s="1"/>
  <c r="F120" i="3"/>
  <c r="C120" i="3"/>
  <c r="AC119" i="3"/>
  <c r="AD119" i="3" s="1"/>
  <c r="AA119" i="3"/>
  <c r="X119" i="3"/>
  <c r="W119" i="3"/>
  <c r="U119" i="3"/>
  <c r="R119" i="3"/>
  <c r="O119" i="3"/>
  <c r="N119" i="3"/>
  <c r="L119" i="3"/>
  <c r="H119" i="3"/>
  <c r="I119" i="3" s="1"/>
  <c r="F119" i="3"/>
  <c r="C119" i="3"/>
  <c r="AC118" i="3"/>
  <c r="AD118" i="3" s="1"/>
  <c r="Z118" i="3"/>
  <c r="AA118" i="3" s="1"/>
  <c r="T118" i="3"/>
  <c r="U118" i="3" s="1"/>
  <c r="R118" i="3"/>
  <c r="Q118" i="3"/>
  <c r="W118" i="3" s="1"/>
  <c r="X118" i="3" s="1"/>
  <c r="L118" i="3"/>
  <c r="K118" i="3"/>
  <c r="E118" i="3"/>
  <c r="F118" i="3" s="1"/>
  <c r="B118" i="3"/>
  <c r="C118" i="3" s="1"/>
  <c r="AD117" i="3"/>
  <c r="AC117" i="3"/>
  <c r="AA117" i="3"/>
  <c r="W117" i="3"/>
  <c r="X117" i="3" s="1"/>
  <c r="U117" i="3"/>
  <c r="R117" i="3"/>
  <c r="N117" i="3"/>
  <c r="L117" i="3"/>
  <c r="H117" i="3"/>
  <c r="I117" i="3" s="1"/>
  <c r="F117" i="3"/>
  <c r="C117" i="3"/>
  <c r="AC116" i="3"/>
  <c r="AD116" i="3" s="1"/>
  <c r="AA116" i="3"/>
  <c r="X116" i="3"/>
  <c r="W116" i="3"/>
  <c r="U116" i="3"/>
  <c r="R116" i="3"/>
  <c r="N116" i="3"/>
  <c r="L116" i="3"/>
  <c r="H116" i="3"/>
  <c r="I116" i="3" s="1"/>
  <c r="F116" i="3"/>
  <c r="C116" i="3"/>
  <c r="AD115" i="3"/>
  <c r="AC115" i="3"/>
  <c r="AA115" i="3"/>
  <c r="W115" i="3"/>
  <c r="X115" i="3" s="1"/>
  <c r="U115" i="3"/>
  <c r="R115" i="3"/>
  <c r="N115" i="3"/>
  <c r="O115" i="3" s="1"/>
  <c r="L115" i="3"/>
  <c r="H115" i="3"/>
  <c r="I115" i="3" s="1"/>
  <c r="F115" i="3"/>
  <c r="C115" i="3"/>
  <c r="AC114" i="3"/>
  <c r="AD114" i="3" s="1"/>
  <c r="AA114" i="3"/>
  <c r="X114" i="3"/>
  <c r="W114" i="3"/>
  <c r="U114" i="3"/>
  <c r="R114" i="3"/>
  <c r="N114" i="3"/>
  <c r="L114" i="3"/>
  <c r="I114" i="3"/>
  <c r="H114" i="3"/>
  <c r="F114" i="3"/>
  <c r="C114" i="3"/>
  <c r="AC113" i="3"/>
  <c r="AD113" i="3" s="1"/>
  <c r="AA113" i="3"/>
  <c r="X113" i="3"/>
  <c r="W113" i="3"/>
  <c r="U113" i="3"/>
  <c r="R113" i="3"/>
  <c r="N113" i="3"/>
  <c r="L113" i="3"/>
  <c r="H113" i="3"/>
  <c r="I113" i="3" s="1"/>
  <c r="F113" i="3"/>
  <c r="C113" i="3"/>
  <c r="AC112" i="3"/>
  <c r="AD112" i="3" s="1"/>
  <c r="AA112" i="3"/>
  <c r="X112" i="3"/>
  <c r="W112" i="3"/>
  <c r="U112" i="3"/>
  <c r="R112" i="3"/>
  <c r="O112" i="3"/>
  <c r="N112" i="3"/>
  <c r="L112" i="3"/>
  <c r="I112" i="3"/>
  <c r="H112" i="3"/>
  <c r="F112" i="3"/>
  <c r="C112" i="3"/>
  <c r="AC111" i="3"/>
  <c r="AD111" i="3" s="1"/>
  <c r="AA111" i="3"/>
  <c r="W111" i="3"/>
  <c r="X111" i="3" s="1"/>
  <c r="U111" i="3"/>
  <c r="R111" i="3"/>
  <c r="N111" i="3"/>
  <c r="O111" i="3" s="1"/>
  <c r="L111" i="3"/>
  <c r="H111" i="3"/>
  <c r="I111" i="3" s="1"/>
  <c r="F111" i="3"/>
  <c r="C111" i="3"/>
  <c r="AC110" i="3"/>
  <c r="AD110" i="3" s="1"/>
  <c r="AA110" i="3"/>
  <c r="X110" i="3"/>
  <c r="W110" i="3"/>
  <c r="U110" i="3"/>
  <c r="R110" i="3"/>
  <c r="N110" i="3"/>
  <c r="L110" i="3"/>
  <c r="H110" i="3"/>
  <c r="I110" i="3" s="1"/>
  <c r="F110" i="3"/>
  <c r="C110" i="3"/>
  <c r="AD109" i="3"/>
  <c r="AC109" i="3"/>
  <c r="AA109" i="3"/>
  <c r="W109" i="3"/>
  <c r="X109" i="3" s="1"/>
  <c r="U109" i="3"/>
  <c r="R109" i="3"/>
  <c r="N109" i="3"/>
  <c r="O109" i="3" s="1"/>
  <c r="L109" i="3"/>
  <c r="H109" i="3"/>
  <c r="I109" i="3" s="1"/>
  <c r="F109" i="3"/>
  <c r="C109" i="3"/>
  <c r="AC108" i="3"/>
  <c r="AD108" i="3" s="1"/>
  <c r="AA108" i="3"/>
  <c r="X108" i="3"/>
  <c r="W108" i="3"/>
  <c r="U108" i="3"/>
  <c r="R108" i="3"/>
  <c r="N108" i="3"/>
  <c r="L108" i="3"/>
  <c r="I108" i="3"/>
  <c r="H108" i="3"/>
  <c r="F108" i="3"/>
  <c r="C108" i="3"/>
  <c r="AD107" i="3"/>
  <c r="AC107" i="3"/>
  <c r="AA107" i="3"/>
  <c r="W107" i="3"/>
  <c r="X107" i="3" s="1"/>
  <c r="U107" i="3"/>
  <c r="R107" i="3"/>
  <c r="N107" i="3"/>
  <c r="O107" i="3" s="1"/>
  <c r="L107" i="3"/>
  <c r="H107" i="3"/>
  <c r="I107" i="3" s="1"/>
  <c r="F107" i="3"/>
  <c r="C107" i="3"/>
  <c r="AC106" i="3"/>
  <c r="AD106" i="3" s="1"/>
  <c r="AA106" i="3"/>
  <c r="X106" i="3"/>
  <c r="W106" i="3"/>
  <c r="U106" i="3"/>
  <c r="R106" i="3"/>
  <c r="N106" i="3"/>
  <c r="L106" i="3"/>
  <c r="I106" i="3"/>
  <c r="H106" i="3"/>
  <c r="F106" i="3"/>
  <c r="C106" i="3"/>
  <c r="AC105" i="3"/>
  <c r="AD105" i="3" s="1"/>
  <c r="AA105" i="3"/>
  <c r="W105" i="3"/>
  <c r="X105" i="3" s="1"/>
  <c r="U105" i="3"/>
  <c r="R105" i="3"/>
  <c r="N105" i="3"/>
  <c r="L105" i="3"/>
  <c r="H105" i="3"/>
  <c r="I105" i="3" s="1"/>
  <c r="F105" i="3"/>
  <c r="C105" i="3"/>
  <c r="AC104" i="3"/>
  <c r="AD104" i="3" s="1"/>
  <c r="AA104" i="3"/>
  <c r="X104" i="3"/>
  <c r="W104" i="3"/>
  <c r="U104" i="3"/>
  <c r="R104" i="3"/>
  <c r="O104" i="3"/>
  <c r="N104" i="3"/>
  <c r="L104" i="3"/>
  <c r="I104" i="3"/>
  <c r="H104" i="3"/>
  <c r="F104" i="3"/>
  <c r="C104" i="3"/>
  <c r="AD103" i="3"/>
  <c r="AC103" i="3"/>
  <c r="AA103" i="3"/>
  <c r="W103" i="3"/>
  <c r="X103" i="3" s="1"/>
  <c r="U103" i="3"/>
  <c r="R103" i="3"/>
  <c r="N103" i="3"/>
  <c r="L103" i="3"/>
  <c r="H103" i="3"/>
  <c r="I103" i="3" s="1"/>
  <c r="F103" i="3"/>
  <c r="C103" i="3"/>
  <c r="AC102" i="3"/>
  <c r="AD102" i="3" s="1"/>
  <c r="AA102" i="3"/>
  <c r="X102" i="3"/>
  <c r="W102" i="3"/>
  <c r="U102" i="3"/>
  <c r="R102" i="3"/>
  <c r="N102" i="3"/>
  <c r="L102" i="3"/>
  <c r="H102" i="3"/>
  <c r="I102" i="3" s="1"/>
  <c r="F102" i="3"/>
  <c r="C102" i="3"/>
  <c r="AD101" i="3"/>
  <c r="AC101" i="3"/>
  <c r="AA101" i="3"/>
  <c r="W101" i="3"/>
  <c r="X101" i="3" s="1"/>
  <c r="U101" i="3"/>
  <c r="R101" i="3"/>
  <c r="N101" i="3"/>
  <c r="O101" i="3" s="1"/>
  <c r="L101" i="3"/>
  <c r="H101" i="3"/>
  <c r="I101" i="3" s="1"/>
  <c r="F101" i="3"/>
  <c r="C101" i="3"/>
  <c r="AC100" i="3"/>
  <c r="AD100" i="3" s="1"/>
  <c r="AA100" i="3"/>
  <c r="X100" i="3"/>
  <c r="W100" i="3"/>
  <c r="U100" i="3"/>
  <c r="R100" i="3"/>
  <c r="N100" i="3"/>
  <c r="L100" i="3"/>
  <c r="H100" i="3"/>
  <c r="I100" i="3" s="1"/>
  <c r="F100" i="3"/>
  <c r="C100" i="3"/>
  <c r="AD99" i="3"/>
  <c r="AC99" i="3"/>
  <c r="AA99" i="3"/>
  <c r="W99" i="3"/>
  <c r="X99" i="3" s="1"/>
  <c r="U99" i="3"/>
  <c r="R99" i="3"/>
  <c r="N99" i="3"/>
  <c r="L99" i="3"/>
  <c r="H99" i="3"/>
  <c r="I99" i="3" s="1"/>
  <c r="F99" i="3"/>
  <c r="C99" i="3"/>
  <c r="AC98" i="3"/>
  <c r="AD98" i="3" s="1"/>
  <c r="AA98" i="3"/>
  <c r="X98" i="3"/>
  <c r="W98" i="3"/>
  <c r="U98" i="3"/>
  <c r="R98" i="3"/>
  <c r="N98" i="3"/>
  <c r="L98" i="3"/>
  <c r="I98" i="3"/>
  <c r="H98" i="3"/>
  <c r="F98" i="3"/>
  <c r="C98" i="3"/>
  <c r="AC97" i="3"/>
  <c r="AD97" i="3" s="1"/>
  <c r="AA97" i="3"/>
  <c r="W97" i="3"/>
  <c r="X97" i="3" s="1"/>
  <c r="U97" i="3"/>
  <c r="R97" i="3"/>
  <c r="N97" i="3"/>
  <c r="O97" i="3" s="1"/>
  <c r="L97" i="3"/>
  <c r="H97" i="3"/>
  <c r="I97" i="3" s="1"/>
  <c r="F97" i="3"/>
  <c r="C97" i="3"/>
  <c r="AC96" i="3"/>
  <c r="AD96" i="3" s="1"/>
  <c r="AA96" i="3"/>
  <c r="X96" i="3"/>
  <c r="W96" i="3"/>
  <c r="U96" i="3"/>
  <c r="R96" i="3"/>
  <c r="N96" i="3"/>
  <c r="L96" i="3"/>
  <c r="I96" i="3"/>
  <c r="H96" i="3"/>
  <c r="F96" i="3"/>
  <c r="C96" i="3"/>
  <c r="AD95" i="3"/>
  <c r="AC95" i="3"/>
  <c r="AA95" i="3"/>
  <c r="W95" i="3"/>
  <c r="X95" i="3" s="1"/>
  <c r="U95" i="3"/>
  <c r="R95" i="3"/>
  <c r="N95" i="3"/>
  <c r="O95" i="3" s="1"/>
  <c r="L95" i="3"/>
  <c r="H95" i="3"/>
  <c r="I95" i="3" s="1"/>
  <c r="F95" i="3"/>
  <c r="C95" i="3"/>
  <c r="AC94" i="3"/>
  <c r="AD94" i="3" s="1"/>
  <c r="AA94" i="3"/>
  <c r="X94" i="3"/>
  <c r="W94" i="3"/>
  <c r="U94" i="3"/>
  <c r="R94" i="3"/>
  <c r="N94" i="3"/>
  <c r="L94" i="3"/>
  <c r="H94" i="3"/>
  <c r="I94" i="3" s="1"/>
  <c r="F94" i="3"/>
  <c r="C94" i="3"/>
  <c r="AD92" i="3"/>
  <c r="AC92" i="3"/>
  <c r="AA92" i="3"/>
  <c r="W92" i="3"/>
  <c r="X92" i="3" s="1"/>
  <c r="U92" i="3"/>
  <c r="R92" i="3"/>
  <c r="O92" i="3"/>
  <c r="N92" i="3"/>
  <c r="L92" i="3"/>
  <c r="H92" i="3"/>
  <c r="I92" i="3" s="1"/>
  <c r="F92" i="3"/>
  <c r="C92" i="3"/>
  <c r="AC91" i="3"/>
  <c r="AD91" i="3" s="1"/>
  <c r="AA91" i="3"/>
  <c r="X91" i="3"/>
  <c r="W91" i="3"/>
  <c r="U91" i="3"/>
  <c r="R91" i="3"/>
  <c r="N91" i="3"/>
  <c r="L91" i="3"/>
  <c r="H91" i="3"/>
  <c r="I91" i="3" s="1"/>
  <c r="F91" i="3"/>
  <c r="C91" i="3"/>
  <c r="AD90" i="3"/>
  <c r="AC90" i="3"/>
  <c r="AA90" i="3"/>
  <c r="W90" i="3"/>
  <c r="X90" i="3" s="1"/>
  <c r="U90" i="3"/>
  <c r="R90" i="3"/>
  <c r="N90" i="3"/>
  <c r="O90" i="3" s="1"/>
  <c r="L90" i="3"/>
  <c r="H90" i="3"/>
  <c r="I90" i="3" s="1"/>
  <c r="F90" i="3"/>
  <c r="C90" i="3"/>
  <c r="AC89" i="3"/>
  <c r="AD89" i="3" s="1"/>
  <c r="AA89" i="3"/>
  <c r="X89" i="3"/>
  <c r="W89" i="3"/>
  <c r="U89" i="3"/>
  <c r="R89" i="3"/>
  <c r="N89" i="3"/>
  <c r="L89" i="3"/>
  <c r="I89" i="3"/>
  <c r="H89" i="3"/>
  <c r="F89" i="3"/>
  <c r="C89" i="3"/>
  <c r="Z88" i="3"/>
  <c r="X88" i="3"/>
  <c r="W88" i="3"/>
  <c r="T88" i="3"/>
  <c r="U88" i="3" s="1"/>
  <c r="R88" i="3"/>
  <c r="Q88" i="3"/>
  <c r="K88" i="3"/>
  <c r="L88" i="3" s="1"/>
  <c r="H88" i="3"/>
  <c r="I88" i="3" s="1"/>
  <c r="F88" i="3"/>
  <c r="E88" i="3"/>
  <c r="B88" i="3"/>
  <c r="AC87" i="3"/>
  <c r="AD87" i="3" s="1"/>
  <c r="AA87" i="3"/>
  <c r="W87" i="3"/>
  <c r="X87" i="3" s="1"/>
  <c r="U87" i="3"/>
  <c r="R87" i="3"/>
  <c r="O87" i="3"/>
  <c r="N87" i="3"/>
  <c r="L87" i="3"/>
  <c r="H87" i="3"/>
  <c r="I87" i="3" s="1"/>
  <c r="F87" i="3"/>
  <c r="C87" i="3"/>
  <c r="AC86" i="3"/>
  <c r="AD86" i="3" s="1"/>
  <c r="AA86" i="3"/>
  <c r="X86" i="3"/>
  <c r="W86" i="3"/>
  <c r="U86" i="3"/>
  <c r="R86" i="3"/>
  <c r="O86" i="3"/>
  <c r="N86" i="3"/>
  <c r="L86" i="3"/>
  <c r="H86" i="3"/>
  <c r="I86" i="3" s="1"/>
  <c r="F86" i="3"/>
  <c r="C86" i="3"/>
  <c r="AC85" i="3"/>
  <c r="AD85" i="3" s="1"/>
  <c r="AA85" i="3"/>
  <c r="X85" i="3"/>
  <c r="W85" i="3"/>
  <c r="U85" i="3"/>
  <c r="R85" i="3"/>
  <c r="N85" i="3"/>
  <c r="O85" i="3" s="1"/>
  <c r="L85" i="3"/>
  <c r="H85" i="3"/>
  <c r="I85" i="3" s="1"/>
  <c r="F85" i="3"/>
  <c r="C85" i="3"/>
  <c r="AC84" i="3"/>
  <c r="AD84" i="3" s="1"/>
  <c r="AA84" i="3"/>
  <c r="X84" i="3"/>
  <c r="W84" i="3"/>
  <c r="U84" i="3"/>
  <c r="R84" i="3"/>
  <c r="N84" i="3"/>
  <c r="L84" i="3"/>
  <c r="H84" i="3"/>
  <c r="I84" i="3" s="1"/>
  <c r="F84" i="3"/>
  <c r="C84" i="3"/>
  <c r="AC83" i="3"/>
  <c r="AD83" i="3" s="1"/>
  <c r="AA83" i="3"/>
  <c r="X83" i="3"/>
  <c r="W83" i="3"/>
  <c r="U83" i="3"/>
  <c r="R83" i="3"/>
  <c r="O83" i="3"/>
  <c r="N83" i="3"/>
  <c r="L83" i="3"/>
  <c r="H83" i="3"/>
  <c r="I83" i="3" s="1"/>
  <c r="F83" i="3"/>
  <c r="C83" i="3"/>
  <c r="AC82" i="3"/>
  <c r="AD82" i="3" s="1"/>
  <c r="AA82" i="3"/>
  <c r="X82" i="3"/>
  <c r="W82" i="3"/>
  <c r="U82" i="3"/>
  <c r="R82" i="3"/>
  <c r="O82" i="3"/>
  <c r="N82" i="3"/>
  <c r="L82" i="3"/>
  <c r="H82" i="3"/>
  <c r="I82" i="3" s="1"/>
  <c r="F82" i="3"/>
  <c r="C82" i="3"/>
  <c r="AC81" i="3"/>
  <c r="AD81" i="3" s="1"/>
  <c r="AA81" i="3"/>
  <c r="W81" i="3"/>
  <c r="X81" i="3" s="1"/>
  <c r="U81" i="3"/>
  <c r="R81" i="3"/>
  <c r="N81" i="3"/>
  <c r="L81" i="3"/>
  <c r="H81" i="3"/>
  <c r="I81" i="3" s="1"/>
  <c r="F81" i="3"/>
  <c r="C81" i="3"/>
  <c r="AC80" i="3"/>
  <c r="AD80" i="3" s="1"/>
  <c r="AA80" i="3"/>
  <c r="X80" i="3"/>
  <c r="W80" i="3"/>
  <c r="U80" i="3"/>
  <c r="R80" i="3"/>
  <c r="N80" i="3"/>
  <c r="L80" i="3"/>
  <c r="I80" i="3"/>
  <c r="H80" i="3"/>
  <c r="F80" i="3"/>
  <c r="C80" i="3"/>
  <c r="AC79" i="3"/>
  <c r="AD79" i="3" s="1"/>
  <c r="AA79" i="3"/>
  <c r="W79" i="3"/>
  <c r="X79" i="3" s="1"/>
  <c r="U79" i="3"/>
  <c r="R79" i="3"/>
  <c r="N79" i="3"/>
  <c r="L79" i="3"/>
  <c r="H79" i="3"/>
  <c r="I79" i="3" s="1"/>
  <c r="F79" i="3"/>
  <c r="C79" i="3"/>
  <c r="AC78" i="3"/>
  <c r="AD78" i="3" s="1"/>
  <c r="AA78" i="3"/>
  <c r="X78" i="3"/>
  <c r="W78" i="3"/>
  <c r="U78" i="3"/>
  <c r="R78" i="3"/>
  <c r="N78" i="3"/>
  <c r="L78" i="3"/>
  <c r="H78" i="3"/>
  <c r="I78" i="3" s="1"/>
  <c r="F78" i="3"/>
  <c r="C78" i="3"/>
  <c r="AC77" i="3"/>
  <c r="AD77" i="3" s="1"/>
  <c r="AA77" i="3"/>
  <c r="X77" i="3"/>
  <c r="W77" i="3"/>
  <c r="U77" i="3"/>
  <c r="R77" i="3"/>
  <c r="N77" i="3"/>
  <c r="L77" i="3"/>
  <c r="H77" i="3"/>
  <c r="I77" i="3" s="1"/>
  <c r="F77" i="3"/>
  <c r="C77" i="3"/>
  <c r="AC76" i="3"/>
  <c r="AD76" i="3" s="1"/>
  <c r="AA76" i="3"/>
  <c r="X76" i="3"/>
  <c r="W76" i="3"/>
  <c r="U76" i="3"/>
  <c r="R76" i="3"/>
  <c r="O76" i="3"/>
  <c r="N76" i="3"/>
  <c r="L76" i="3"/>
  <c r="H76" i="3"/>
  <c r="I76" i="3" s="1"/>
  <c r="F76" i="3"/>
  <c r="C76" i="3"/>
  <c r="AD75" i="3"/>
  <c r="AC75" i="3"/>
  <c r="AA75" i="3"/>
  <c r="X75" i="3"/>
  <c r="W75" i="3"/>
  <c r="U75" i="3"/>
  <c r="R75" i="3"/>
  <c r="N75" i="3"/>
  <c r="O75" i="3" s="1"/>
  <c r="L75" i="3"/>
  <c r="H75" i="3"/>
  <c r="I75" i="3" s="1"/>
  <c r="F75" i="3"/>
  <c r="C75" i="3"/>
  <c r="Z73" i="3"/>
  <c r="AA73" i="3" s="1"/>
  <c r="W73" i="3"/>
  <c r="X73" i="3" s="1"/>
  <c r="U73" i="3"/>
  <c r="T73" i="3"/>
  <c r="Q73" i="3"/>
  <c r="K73" i="3"/>
  <c r="L73" i="3" s="1"/>
  <c r="E73" i="3"/>
  <c r="F73" i="3" s="1"/>
  <c r="B73" i="3"/>
  <c r="AC72" i="3"/>
  <c r="AD72" i="3" s="1"/>
  <c r="AA72" i="3"/>
  <c r="X72" i="3"/>
  <c r="W72" i="3"/>
  <c r="U72" i="3"/>
  <c r="R72" i="3"/>
  <c r="N72" i="3"/>
  <c r="L72" i="3"/>
  <c r="H72" i="3"/>
  <c r="I72" i="3" s="1"/>
  <c r="F72" i="3"/>
  <c r="C72" i="3"/>
  <c r="AD71" i="3"/>
  <c r="AC71" i="3"/>
  <c r="AA71" i="3"/>
  <c r="W71" i="3"/>
  <c r="X71" i="3" s="1"/>
  <c r="U71" i="3"/>
  <c r="R71" i="3"/>
  <c r="O71" i="3"/>
  <c r="N71" i="3"/>
  <c r="L71" i="3"/>
  <c r="H71" i="3"/>
  <c r="I71" i="3" s="1"/>
  <c r="F71" i="3"/>
  <c r="C71" i="3"/>
  <c r="AC70" i="3"/>
  <c r="AD70" i="3" s="1"/>
  <c r="AA70" i="3"/>
  <c r="X70" i="3"/>
  <c r="W70" i="3"/>
  <c r="U70" i="3"/>
  <c r="R70" i="3"/>
  <c r="N70" i="3"/>
  <c r="L70" i="3"/>
  <c r="I70" i="3"/>
  <c r="H70" i="3"/>
  <c r="F70" i="3"/>
  <c r="C70" i="3"/>
  <c r="AD69" i="3"/>
  <c r="AC69" i="3"/>
  <c r="AA69" i="3"/>
  <c r="W69" i="3"/>
  <c r="X69" i="3" s="1"/>
  <c r="U69" i="3"/>
  <c r="R69" i="3"/>
  <c r="N69" i="3"/>
  <c r="O69" i="3" s="1"/>
  <c r="L69" i="3"/>
  <c r="H69" i="3"/>
  <c r="I69" i="3" s="1"/>
  <c r="F69" i="3"/>
  <c r="C69" i="3"/>
  <c r="AC68" i="3"/>
  <c r="AD68" i="3" s="1"/>
  <c r="AA68" i="3"/>
  <c r="X68" i="3"/>
  <c r="W68" i="3"/>
  <c r="U68" i="3"/>
  <c r="R68" i="3"/>
  <c r="N68" i="3"/>
  <c r="L68" i="3"/>
  <c r="I68" i="3"/>
  <c r="H68" i="3"/>
  <c r="F68" i="3"/>
  <c r="C68" i="3"/>
  <c r="AC67" i="3"/>
  <c r="AD67" i="3" s="1"/>
  <c r="AA67" i="3"/>
  <c r="W67" i="3"/>
  <c r="X67" i="3" s="1"/>
  <c r="U67" i="3"/>
  <c r="R67" i="3"/>
  <c r="N67" i="3"/>
  <c r="L67" i="3"/>
  <c r="H67" i="3"/>
  <c r="I67" i="3" s="1"/>
  <c r="F67" i="3"/>
  <c r="C67" i="3"/>
  <c r="AC66" i="3"/>
  <c r="AD66" i="3" s="1"/>
  <c r="AA66" i="3"/>
  <c r="X66" i="3"/>
  <c r="W66" i="3"/>
  <c r="U66" i="3"/>
  <c r="R66" i="3"/>
  <c r="O66" i="3"/>
  <c r="N66" i="3"/>
  <c r="L66" i="3"/>
  <c r="I66" i="3"/>
  <c r="H66" i="3"/>
  <c r="F66" i="3"/>
  <c r="C66" i="3"/>
  <c r="AC65" i="3"/>
  <c r="AD65" i="3" s="1"/>
  <c r="AA65" i="3"/>
  <c r="W65" i="3"/>
  <c r="X65" i="3" s="1"/>
  <c r="U65" i="3"/>
  <c r="R65" i="3"/>
  <c r="N65" i="3"/>
  <c r="L65" i="3"/>
  <c r="H65" i="3"/>
  <c r="I65" i="3" s="1"/>
  <c r="F65" i="3"/>
  <c r="C65" i="3"/>
  <c r="AC64" i="3"/>
  <c r="AD64" i="3" s="1"/>
  <c r="AA64" i="3"/>
  <c r="X64" i="3"/>
  <c r="W64" i="3"/>
  <c r="U64" i="3"/>
  <c r="R64" i="3"/>
  <c r="N64" i="3"/>
  <c r="L64" i="3"/>
  <c r="H64" i="3"/>
  <c r="I64" i="3" s="1"/>
  <c r="F64" i="3"/>
  <c r="C64" i="3"/>
  <c r="Z62" i="3"/>
  <c r="AA62" i="3" s="1"/>
  <c r="T62" i="3"/>
  <c r="U62" i="3" s="1"/>
  <c r="R62" i="3"/>
  <c r="Q62" i="3"/>
  <c r="K62" i="3"/>
  <c r="L62" i="3" s="1"/>
  <c r="E62" i="3"/>
  <c r="F62" i="3" s="1"/>
  <c r="B62" i="3"/>
  <c r="Z61" i="3"/>
  <c r="AA61" i="3" s="1"/>
  <c r="T61" i="3"/>
  <c r="U61" i="3" s="1"/>
  <c r="Q61" i="3"/>
  <c r="N61" i="3"/>
  <c r="O61" i="3" s="1"/>
  <c r="L61" i="3"/>
  <c r="K61" i="3"/>
  <c r="H61" i="3"/>
  <c r="I61" i="3" s="1"/>
  <c r="E61" i="3"/>
  <c r="F61" i="3" s="1"/>
  <c r="B61" i="3"/>
  <c r="C61" i="3" s="1"/>
  <c r="AC60" i="3"/>
  <c r="AD60" i="3" s="1"/>
  <c r="AA60" i="3"/>
  <c r="W60" i="3"/>
  <c r="X60" i="3" s="1"/>
  <c r="U60" i="3"/>
  <c r="R60" i="3"/>
  <c r="N60" i="3"/>
  <c r="O60" i="3" s="1"/>
  <c r="L60" i="3"/>
  <c r="H60" i="3"/>
  <c r="I60" i="3" s="1"/>
  <c r="F60" i="3"/>
  <c r="C60" i="3"/>
  <c r="AC59" i="3"/>
  <c r="AD59" i="3" s="1"/>
  <c r="AA59" i="3"/>
  <c r="X59" i="3"/>
  <c r="W59" i="3"/>
  <c r="U59" i="3"/>
  <c r="R59" i="3"/>
  <c r="N59" i="3"/>
  <c r="L59" i="3"/>
  <c r="H59" i="3"/>
  <c r="I59" i="3" s="1"/>
  <c r="F59" i="3"/>
  <c r="C59" i="3"/>
  <c r="AD58" i="3"/>
  <c r="AC58" i="3"/>
  <c r="AA58" i="3"/>
  <c r="W58" i="3"/>
  <c r="X58" i="3" s="1"/>
  <c r="U58" i="3"/>
  <c r="R58" i="3"/>
  <c r="O58" i="3"/>
  <c r="N58" i="3"/>
  <c r="L58" i="3"/>
  <c r="H58" i="3"/>
  <c r="I58" i="3" s="1"/>
  <c r="F58" i="3"/>
  <c r="C58" i="3"/>
  <c r="AC57" i="3"/>
  <c r="AD57" i="3" s="1"/>
  <c r="AA57" i="3"/>
  <c r="X57" i="3"/>
  <c r="W57" i="3"/>
  <c r="U57" i="3"/>
  <c r="R57" i="3"/>
  <c r="N57" i="3"/>
  <c r="L57" i="3"/>
  <c r="I57" i="3"/>
  <c r="H57" i="3"/>
  <c r="F57" i="3"/>
  <c r="C57" i="3"/>
  <c r="AD56" i="3"/>
  <c r="AC56" i="3"/>
  <c r="AA56" i="3"/>
  <c r="W56" i="3"/>
  <c r="X56" i="3" s="1"/>
  <c r="U56" i="3"/>
  <c r="R56" i="3"/>
  <c r="N56" i="3"/>
  <c r="O56" i="3" s="1"/>
  <c r="L56" i="3"/>
  <c r="H56" i="3"/>
  <c r="I56" i="3" s="1"/>
  <c r="F56" i="3"/>
  <c r="C56" i="3"/>
  <c r="AC55" i="3"/>
  <c r="AD55" i="3" s="1"/>
  <c r="AA55" i="3"/>
  <c r="X55" i="3"/>
  <c r="W55" i="3"/>
  <c r="U55" i="3"/>
  <c r="R55" i="3"/>
  <c r="N55" i="3"/>
  <c r="L55" i="3"/>
  <c r="I55" i="3"/>
  <c r="H55" i="3"/>
  <c r="F55" i="3"/>
  <c r="C55" i="3"/>
  <c r="AC54" i="3"/>
  <c r="AD54" i="3" s="1"/>
  <c r="AA54" i="3"/>
  <c r="W54" i="3"/>
  <c r="X54" i="3" s="1"/>
  <c r="U54" i="3"/>
  <c r="R54" i="3"/>
  <c r="N54" i="3"/>
  <c r="L54" i="3"/>
  <c r="H54" i="3"/>
  <c r="I54" i="3" s="1"/>
  <c r="F54" i="3"/>
  <c r="C54" i="3"/>
  <c r="AC53" i="3"/>
  <c r="AD53" i="3" s="1"/>
  <c r="AA53" i="3"/>
  <c r="X53" i="3"/>
  <c r="W53" i="3"/>
  <c r="U53" i="3"/>
  <c r="R53" i="3"/>
  <c r="O53" i="3"/>
  <c r="N53" i="3"/>
  <c r="L53" i="3"/>
  <c r="I53" i="3"/>
  <c r="H53" i="3"/>
  <c r="F53" i="3"/>
  <c r="C53" i="3"/>
  <c r="AC52" i="3"/>
  <c r="AD52" i="3" s="1"/>
  <c r="AA52" i="3"/>
  <c r="W52" i="3"/>
  <c r="X52" i="3" s="1"/>
  <c r="U52" i="3"/>
  <c r="R52" i="3"/>
  <c r="N52" i="3"/>
  <c r="L52" i="3"/>
  <c r="H52" i="3"/>
  <c r="I52" i="3" s="1"/>
  <c r="F52" i="3"/>
  <c r="C52" i="3"/>
  <c r="AC51" i="3"/>
  <c r="AD51" i="3" s="1"/>
  <c r="AA51" i="3"/>
  <c r="X51" i="3"/>
  <c r="W51" i="3"/>
  <c r="U51" i="3"/>
  <c r="R51" i="3"/>
  <c r="N51" i="3"/>
  <c r="L51" i="3"/>
  <c r="H51" i="3"/>
  <c r="I51" i="3" s="1"/>
  <c r="F51" i="3"/>
  <c r="C51" i="3"/>
  <c r="AD50" i="3"/>
  <c r="AC50" i="3"/>
  <c r="AA50" i="3"/>
  <c r="W50" i="3"/>
  <c r="X50" i="3" s="1"/>
  <c r="U50" i="3"/>
  <c r="R50" i="3"/>
  <c r="O50" i="3"/>
  <c r="N50" i="3"/>
  <c r="L50" i="3"/>
  <c r="H50" i="3"/>
  <c r="I50" i="3" s="1"/>
  <c r="F50" i="3"/>
  <c r="C50" i="3"/>
  <c r="AC49" i="3"/>
  <c r="AD49" i="3" s="1"/>
  <c r="AA49" i="3"/>
  <c r="X49" i="3"/>
  <c r="W49" i="3"/>
  <c r="U49" i="3"/>
  <c r="R49" i="3"/>
  <c r="N49" i="3"/>
  <c r="L49" i="3"/>
  <c r="H49" i="3"/>
  <c r="I49" i="3" s="1"/>
  <c r="F49" i="3"/>
  <c r="C49" i="3"/>
  <c r="AD48" i="3"/>
  <c r="AC48" i="3"/>
  <c r="AA48" i="3"/>
  <c r="W48" i="3"/>
  <c r="X48" i="3" s="1"/>
  <c r="U48" i="3"/>
  <c r="R48" i="3"/>
  <c r="N48" i="3"/>
  <c r="O48" i="3" s="1"/>
  <c r="L48" i="3"/>
  <c r="H48" i="3"/>
  <c r="I48" i="3" s="1"/>
  <c r="F48" i="3"/>
  <c r="C48" i="3"/>
  <c r="AC47" i="3"/>
  <c r="AD47" i="3" s="1"/>
  <c r="AA47" i="3"/>
  <c r="X47" i="3"/>
  <c r="W47" i="3"/>
  <c r="U47" i="3"/>
  <c r="R47" i="3"/>
  <c r="N47" i="3"/>
  <c r="L47" i="3"/>
  <c r="I47" i="3"/>
  <c r="H47" i="3"/>
  <c r="F47" i="3"/>
  <c r="C47" i="3"/>
  <c r="AC46" i="3"/>
  <c r="AD46" i="3" s="1"/>
  <c r="AA46" i="3"/>
  <c r="X46" i="3"/>
  <c r="W46" i="3"/>
  <c r="U46" i="3"/>
  <c r="R46" i="3"/>
  <c r="N46" i="3"/>
  <c r="O46" i="3" s="1"/>
  <c r="L46" i="3"/>
  <c r="H46" i="3"/>
  <c r="I46" i="3" s="1"/>
  <c r="F46" i="3"/>
  <c r="C46" i="3"/>
  <c r="AC44" i="3"/>
  <c r="AD44" i="3" s="1"/>
  <c r="AA44" i="3"/>
  <c r="W44" i="3"/>
  <c r="X44" i="3" s="1"/>
  <c r="U44" i="3"/>
  <c r="R44" i="3"/>
  <c r="O44" i="3"/>
  <c r="N44" i="3"/>
  <c r="L44" i="3"/>
  <c r="H44" i="3"/>
  <c r="I44" i="3" s="1"/>
  <c r="F44" i="3"/>
  <c r="C44" i="3"/>
  <c r="AC43" i="3"/>
  <c r="AD43" i="3" s="1"/>
  <c r="AA43" i="3"/>
  <c r="X43" i="3"/>
  <c r="W43" i="3"/>
  <c r="U43" i="3"/>
  <c r="R43" i="3"/>
  <c r="N43" i="3"/>
  <c r="O43" i="3" s="1"/>
  <c r="L43" i="3"/>
  <c r="H43" i="3"/>
  <c r="I43" i="3" s="1"/>
  <c r="F43" i="3"/>
  <c r="C43" i="3"/>
  <c r="AC42" i="3"/>
  <c r="AD42" i="3" s="1"/>
  <c r="AA42" i="3"/>
  <c r="X42" i="3"/>
  <c r="W42" i="3"/>
  <c r="U42" i="3"/>
  <c r="R42" i="3"/>
  <c r="N42" i="3"/>
  <c r="L42" i="3"/>
  <c r="H42" i="3"/>
  <c r="I42" i="3" s="1"/>
  <c r="F42" i="3"/>
  <c r="C42" i="3"/>
  <c r="Z40" i="3"/>
  <c r="AA40" i="3" s="1"/>
  <c r="T40" i="3"/>
  <c r="Q40" i="3"/>
  <c r="R40" i="3" s="1"/>
  <c r="N40" i="3"/>
  <c r="O40" i="3" s="1"/>
  <c r="K40" i="3"/>
  <c r="L40" i="3" s="1"/>
  <c r="H40" i="3"/>
  <c r="I40" i="3" s="1"/>
  <c r="E40" i="3"/>
  <c r="F40" i="3" s="1"/>
  <c r="B40" i="3"/>
  <c r="C40" i="3" s="1"/>
  <c r="AD39" i="3"/>
  <c r="AC39" i="3"/>
  <c r="AA39" i="3"/>
  <c r="X39" i="3"/>
  <c r="W39" i="3"/>
  <c r="U39" i="3"/>
  <c r="R39" i="3"/>
  <c r="N39" i="3"/>
  <c r="O39" i="3" s="1"/>
  <c r="L39" i="3"/>
  <c r="H39" i="3"/>
  <c r="I39" i="3" s="1"/>
  <c r="F39" i="3"/>
  <c r="C39" i="3"/>
  <c r="AC38" i="3"/>
  <c r="AD38" i="3" s="1"/>
  <c r="AA38" i="3"/>
  <c r="X38" i="3"/>
  <c r="W38" i="3"/>
  <c r="U38" i="3"/>
  <c r="R38" i="3"/>
  <c r="N38" i="3"/>
  <c r="L38" i="3"/>
  <c r="I38" i="3"/>
  <c r="H38" i="3"/>
  <c r="F38" i="3"/>
  <c r="C38" i="3"/>
  <c r="AC37" i="3"/>
  <c r="AD37" i="3" s="1"/>
  <c r="AA37" i="3"/>
  <c r="W37" i="3"/>
  <c r="X37" i="3" s="1"/>
  <c r="U37" i="3"/>
  <c r="R37" i="3"/>
  <c r="N37" i="3"/>
  <c r="L37" i="3"/>
  <c r="H37" i="3"/>
  <c r="I37" i="3" s="1"/>
  <c r="F37" i="3"/>
  <c r="C37" i="3"/>
  <c r="AC36" i="3"/>
  <c r="AD36" i="3" s="1"/>
  <c r="AA36" i="3"/>
  <c r="W36" i="3"/>
  <c r="X36" i="3" s="1"/>
  <c r="U36" i="3"/>
  <c r="R36" i="3"/>
  <c r="O36" i="3"/>
  <c r="N36" i="3"/>
  <c r="L36" i="3"/>
  <c r="H36" i="3"/>
  <c r="I36" i="3" s="1"/>
  <c r="F36" i="3"/>
  <c r="C36" i="3"/>
  <c r="AD35" i="3"/>
  <c r="AC35" i="3"/>
  <c r="AA35" i="3"/>
  <c r="X35" i="3"/>
  <c r="W35" i="3"/>
  <c r="U35" i="3"/>
  <c r="R35" i="3"/>
  <c r="N35" i="3"/>
  <c r="O35" i="3" s="1"/>
  <c r="L35" i="3"/>
  <c r="H35" i="3"/>
  <c r="I35" i="3" s="1"/>
  <c r="F35" i="3"/>
  <c r="C35" i="3"/>
  <c r="AC34" i="3"/>
  <c r="AD34" i="3" s="1"/>
  <c r="AA34" i="3"/>
  <c r="X34" i="3"/>
  <c r="W34" i="3"/>
  <c r="U34" i="3"/>
  <c r="R34" i="3"/>
  <c r="N34" i="3"/>
  <c r="L34" i="3"/>
  <c r="I34" i="3"/>
  <c r="H34" i="3"/>
  <c r="F34" i="3"/>
  <c r="C34" i="3"/>
  <c r="AC33" i="3"/>
  <c r="AD33" i="3" s="1"/>
  <c r="AA33" i="3"/>
  <c r="W33" i="3"/>
  <c r="X33" i="3" s="1"/>
  <c r="U33" i="3"/>
  <c r="R33" i="3"/>
  <c r="N33" i="3"/>
  <c r="L33" i="3"/>
  <c r="H33" i="3"/>
  <c r="I33" i="3" s="1"/>
  <c r="F33" i="3"/>
  <c r="C33" i="3"/>
  <c r="AC32" i="3"/>
  <c r="AD32" i="3" s="1"/>
  <c r="AA32" i="3"/>
  <c r="W32" i="3"/>
  <c r="X32" i="3" s="1"/>
  <c r="U32" i="3"/>
  <c r="R32" i="3"/>
  <c r="O32" i="3"/>
  <c r="N32" i="3"/>
  <c r="L32" i="3"/>
  <c r="H32" i="3"/>
  <c r="I32" i="3" s="1"/>
  <c r="F32" i="3"/>
  <c r="C32" i="3"/>
  <c r="AD31" i="3"/>
  <c r="AC31" i="3"/>
  <c r="AA31" i="3"/>
  <c r="X31" i="3"/>
  <c r="W31" i="3"/>
  <c r="U31" i="3"/>
  <c r="R31" i="3"/>
  <c r="N31" i="3"/>
  <c r="O31" i="3" s="1"/>
  <c r="L31" i="3"/>
  <c r="H31" i="3"/>
  <c r="I31" i="3" s="1"/>
  <c r="F31" i="3"/>
  <c r="C31" i="3"/>
  <c r="AA29" i="3"/>
  <c r="Z29" i="3"/>
  <c r="W29" i="3"/>
  <c r="X29" i="3" s="1"/>
  <c r="T29" i="3"/>
  <c r="U29" i="3" s="1"/>
  <c r="Q29" i="3"/>
  <c r="R29" i="3" s="1"/>
  <c r="K29" i="3"/>
  <c r="L29" i="3" s="1"/>
  <c r="E29" i="3"/>
  <c r="F29" i="3" s="1"/>
  <c r="B29" i="3"/>
  <c r="AC28" i="3"/>
  <c r="AD28" i="3" s="1"/>
  <c r="AA28" i="3"/>
  <c r="W28" i="3"/>
  <c r="X28" i="3" s="1"/>
  <c r="U28" i="3"/>
  <c r="R28" i="3"/>
  <c r="O28" i="3"/>
  <c r="N28" i="3"/>
  <c r="L28" i="3"/>
  <c r="H28" i="3"/>
  <c r="I28" i="3" s="1"/>
  <c r="F28" i="3"/>
  <c r="C28" i="3"/>
  <c r="AC27" i="3"/>
  <c r="AD27" i="3" s="1"/>
  <c r="AA27" i="3"/>
  <c r="X27" i="3"/>
  <c r="W27" i="3"/>
  <c r="U27" i="3"/>
  <c r="R27" i="3"/>
  <c r="N27" i="3"/>
  <c r="O27" i="3" s="1"/>
  <c r="L27" i="3"/>
  <c r="H27" i="3"/>
  <c r="I27" i="3" s="1"/>
  <c r="F27" i="3"/>
  <c r="C27" i="3"/>
  <c r="AC26" i="3"/>
  <c r="AD26" i="3" s="1"/>
  <c r="AA26" i="3"/>
  <c r="X26" i="3"/>
  <c r="W26" i="3"/>
  <c r="U26" i="3"/>
  <c r="R26" i="3"/>
  <c r="N26" i="3"/>
  <c r="L26" i="3"/>
  <c r="H26" i="3"/>
  <c r="I26" i="3" s="1"/>
  <c r="F26" i="3"/>
  <c r="C26" i="3"/>
  <c r="AC25" i="3"/>
  <c r="AD25" i="3" s="1"/>
  <c r="AA25" i="3"/>
  <c r="W25" i="3"/>
  <c r="X25" i="3" s="1"/>
  <c r="U25" i="3"/>
  <c r="R25" i="3"/>
  <c r="N25" i="3"/>
  <c r="L25" i="3"/>
  <c r="H25" i="3"/>
  <c r="I25" i="3" s="1"/>
  <c r="F25" i="3"/>
  <c r="C25" i="3"/>
  <c r="AC24" i="3"/>
  <c r="AD24" i="3" s="1"/>
  <c r="AA24" i="3"/>
  <c r="W24" i="3"/>
  <c r="X24" i="3" s="1"/>
  <c r="U24" i="3"/>
  <c r="R24" i="3"/>
  <c r="O24" i="3"/>
  <c r="N24" i="3"/>
  <c r="L24" i="3"/>
  <c r="H24" i="3"/>
  <c r="I24" i="3" s="1"/>
  <c r="F24" i="3"/>
  <c r="C24" i="3"/>
  <c r="AC23" i="3"/>
  <c r="AD23" i="3" s="1"/>
  <c r="AA23" i="3"/>
  <c r="X23" i="3"/>
  <c r="W23" i="3"/>
  <c r="U23" i="3"/>
  <c r="R23" i="3"/>
  <c r="N23" i="3"/>
  <c r="O23" i="3" s="1"/>
  <c r="L23" i="3"/>
  <c r="H23" i="3"/>
  <c r="I23" i="3" s="1"/>
  <c r="F23" i="3"/>
  <c r="C23" i="3"/>
  <c r="AC22" i="3"/>
  <c r="AD22" i="3" s="1"/>
  <c r="AA22" i="3"/>
  <c r="X22" i="3"/>
  <c r="W22" i="3"/>
  <c r="U22" i="3"/>
  <c r="R22" i="3"/>
  <c r="N22" i="3"/>
  <c r="L22" i="3"/>
  <c r="H22" i="3"/>
  <c r="I22" i="3" s="1"/>
  <c r="F22" i="3"/>
  <c r="C22" i="3"/>
  <c r="AC21" i="3"/>
  <c r="AD21" i="3" s="1"/>
  <c r="AA21" i="3"/>
  <c r="W21" i="3"/>
  <c r="X21" i="3" s="1"/>
  <c r="U21" i="3"/>
  <c r="R21" i="3"/>
  <c r="N21" i="3"/>
  <c r="L21" i="3"/>
  <c r="H21" i="3"/>
  <c r="I21" i="3" s="1"/>
  <c r="F21" i="3"/>
  <c r="C21" i="3"/>
  <c r="AC19" i="3"/>
  <c r="AD19" i="3" s="1"/>
  <c r="AA19" i="3"/>
  <c r="W19" i="3"/>
  <c r="X19" i="3" s="1"/>
  <c r="U19" i="3"/>
  <c r="R19" i="3"/>
  <c r="O19" i="3"/>
  <c r="N19" i="3"/>
  <c r="L19" i="3"/>
  <c r="H19" i="3"/>
  <c r="I19" i="3" s="1"/>
  <c r="F19" i="3"/>
  <c r="C19" i="3"/>
  <c r="AC18" i="3"/>
  <c r="AD18" i="3" s="1"/>
  <c r="Z18" i="3"/>
  <c r="AA18" i="3" s="1"/>
  <c r="T18" i="3"/>
  <c r="U18" i="3" s="1"/>
  <c r="R18" i="3"/>
  <c r="Q18" i="3"/>
  <c r="W18" i="3" s="1"/>
  <c r="X18" i="3" s="1"/>
  <c r="N18" i="3"/>
  <c r="O18" i="3" s="1"/>
  <c r="K18" i="3"/>
  <c r="L18" i="3" s="1"/>
  <c r="F18" i="3"/>
  <c r="E18" i="3"/>
  <c r="H18" i="3" s="1"/>
  <c r="I18" i="3" s="1"/>
  <c r="B18" i="3"/>
  <c r="C18" i="3" s="1"/>
  <c r="AC17" i="3"/>
  <c r="AD17" i="3" s="1"/>
  <c r="AA17" i="3"/>
  <c r="X17" i="3"/>
  <c r="W17" i="3"/>
  <c r="U17" i="3"/>
  <c r="R17" i="3"/>
  <c r="O17" i="3"/>
  <c r="N17" i="3"/>
  <c r="L17" i="3"/>
  <c r="H17" i="3"/>
  <c r="I17" i="3" s="1"/>
  <c r="F17" i="3"/>
  <c r="C17" i="3"/>
  <c r="AC16" i="3"/>
  <c r="AD16" i="3" s="1"/>
  <c r="AA16" i="3"/>
  <c r="W16" i="3"/>
  <c r="X16" i="3" s="1"/>
  <c r="U16" i="3"/>
  <c r="R16" i="3"/>
  <c r="N16" i="3"/>
  <c r="L16" i="3"/>
  <c r="H16" i="3"/>
  <c r="I16" i="3" s="1"/>
  <c r="F16" i="3"/>
  <c r="C16" i="3"/>
  <c r="AC15" i="3"/>
  <c r="AD15" i="3" s="1"/>
  <c r="AA15" i="3"/>
  <c r="X15" i="3"/>
  <c r="W15" i="3"/>
  <c r="U15" i="3"/>
  <c r="R15" i="3"/>
  <c r="O15" i="3"/>
  <c r="N15" i="3"/>
  <c r="L15" i="3"/>
  <c r="H15" i="3"/>
  <c r="I15" i="3" s="1"/>
  <c r="F15" i="3"/>
  <c r="C15" i="3"/>
  <c r="AC14" i="3"/>
  <c r="AD14" i="3" s="1"/>
  <c r="AA14" i="3"/>
  <c r="X14" i="3"/>
  <c r="W14" i="3"/>
  <c r="U14" i="3"/>
  <c r="R14" i="3"/>
  <c r="N14" i="3"/>
  <c r="O14" i="3" s="1"/>
  <c r="L14" i="3"/>
  <c r="H14" i="3"/>
  <c r="I14" i="3" s="1"/>
  <c r="F14" i="3"/>
  <c r="C14" i="3"/>
  <c r="AC13" i="3"/>
  <c r="AD13" i="3" s="1"/>
  <c r="AA13" i="3"/>
  <c r="X13" i="3"/>
  <c r="W13" i="3"/>
  <c r="U13" i="3"/>
  <c r="R13" i="3"/>
  <c r="O13" i="3"/>
  <c r="N13" i="3"/>
  <c r="L13" i="3"/>
  <c r="H13" i="3"/>
  <c r="I13" i="3" s="1"/>
  <c r="F13" i="3"/>
  <c r="C13" i="3"/>
  <c r="AC12" i="3"/>
  <c r="AD12" i="3" s="1"/>
  <c r="AA12" i="3"/>
  <c r="W12" i="3"/>
  <c r="X12" i="3" s="1"/>
  <c r="U12" i="3"/>
  <c r="R12" i="3"/>
  <c r="N12" i="3"/>
  <c r="L12" i="3"/>
  <c r="H12" i="3"/>
  <c r="I12" i="3" s="1"/>
  <c r="F12" i="3"/>
  <c r="C12" i="3"/>
  <c r="AC11" i="3"/>
  <c r="AD11" i="3" s="1"/>
  <c r="AA11" i="3"/>
  <c r="X11" i="3"/>
  <c r="W11" i="3"/>
  <c r="U11" i="3"/>
  <c r="R11" i="3"/>
  <c r="O11" i="3"/>
  <c r="N11" i="3"/>
  <c r="L11" i="3"/>
  <c r="H11" i="3"/>
  <c r="I11" i="3" s="1"/>
  <c r="F11" i="3"/>
  <c r="C11" i="3"/>
  <c r="AC10" i="3"/>
  <c r="AD10" i="3" s="1"/>
  <c r="AA10" i="3"/>
  <c r="X10" i="3"/>
  <c r="W10" i="3"/>
  <c r="U10" i="3"/>
  <c r="R10" i="3"/>
  <c r="N10" i="3"/>
  <c r="O10" i="3" s="1"/>
  <c r="L10" i="3"/>
  <c r="H10" i="3"/>
  <c r="I10" i="3" s="1"/>
  <c r="F10" i="3"/>
  <c r="C10" i="3"/>
  <c r="AC8" i="3"/>
  <c r="AD8" i="3" s="1"/>
  <c r="AA8" i="3"/>
  <c r="X8" i="3"/>
  <c r="W8" i="3"/>
  <c r="U8" i="3"/>
  <c r="R8" i="3"/>
  <c r="O8" i="3"/>
  <c r="N8" i="3"/>
  <c r="L8" i="3"/>
  <c r="H8" i="3"/>
  <c r="I8" i="3" s="1"/>
  <c r="F8" i="3"/>
  <c r="C8" i="3"/>
  <c r="AC444" i="2"/>
  <c r="W444" i="2"/>
  <c r="X427" i="2" s="1"/>
  <c r="N444" i="2"/>
  <c r="H444" i="2"/>
  <c r="Z442" i="2"/>
  <c r="AA442" i="2" s="1"/>
  <c r="U442" i="2"/>
  <c r="T442" i="2"/>
  <c r="Q442" i="2"/>
  <c r="K442" i="2"/>
  <c r="L442" i="2" s="1"/>
  <c r="E442" i="2"/>
  <c r="F442" i="2" s="1"/>
  <c r="B442" i="2"/>
  <c r="C442" i="2" s="1"/>
  <c r="Z441" i="2"/>
  <c r="W441" i="2"/>
  <c r="T441" i="2"/>
  <c r="U441" i="2" s="1"/>
  <c r="Q441" i="2"/>
  <c r="R441" i="2" s="1"/>
  <c r="K441" i="2"/>
  <c r="L441" i="2" s="1"/>
  <c r="E441" i="2"/>
  <c r="F441" i="2" s="1"/>
  <c r="C441" i="2"/>
  <c r="B441" i="2"/>
  <c r="H441" i="2" s="1"/>
  <c r="I441" i="2" s="1"/>
  <c r="AC440" i="2"/>
  <c r="AD440" i="2" s="1"/>
  <c r="AA440" i="2"/>
  <c r="W440" i="2"/>
  <c r="U440" i="2"/>
  <c r="R440" i="2"/>
  <c r="O440" i="2"/>
  <c r="N440" i="2"/>
  <c r="L440" i="2"/>
  <c r="H440" i="2"/>
  <c r="I440" i="2" s="1"/>
  <c r="F440" i="2"/>
  <c r="C440" i="2"/>
  <c r="AC439" i="2"/>
  <c r="AD439" i="2" s="1"/>
  <c r="AA439" i="2"/>
  <c r="X439" i="2"/>
  <c r="W439" i="2"/>
  <c r="U439" i="2"/>
  <c r="R439" i="2"/>
  <c r="N439" i="2"/>
  <c r="O439" i="2" s="1"/>
  <c r="L439" i="2"/>
  <c r="H439" i="2"/>
  <c r="I439" i="2" s="1"/>
  <c r="F439" i="2"/>
  <c r="C439" i="2"/>
  <c r="AC438" i="2"/>
  <c r="AD438" i="2" s="1"/>
  <c r="AA438" i="2"/>
  <c r="W438" i="2"/>
  <c r="U438" i="2"/>
  <c r="R438" i="2"/>
  <c r="N438" i="2"/>
  <c r="O438" i="2" s="1"/>
  <c r="L438" i="2"/>
  <c r="I438" i="2"/>
  <c r="H438" i="2"/>
  <c r="F438" i="2"/>
  <c r="C438" i="2"/>
  <c r="AC437" i="2"/>
  <c r="AD437" i="2" s="1"/>
  <c r="AA437" i="2"/>
  <c r="X437" i="2"/>
  <c r="W437" i="2"/>
  <c r="U437" i="2"/>
  <c r="R437" i="2"/>
  <c r="O437" i="2"/>
  <c r="N437" i="2"/>
  <c r="L437" i="2"/>
  <c r="H437" i="2"/>
  <c r="I437" i="2" s="1"/>
  <c r="F437" i="2"/>
  <c r="C437" i="2"/>
  <c r="AC436" i="2"/>
  <c r="AD436" i="2" s="1"/>
  <c r="AA436" i="2"/>
  <c r="W436" i="2"/>
  <c r="U436" i="2"/>
  <c r="R436" i="2"/>
  <c r="O436" i="2"/>
  <c r="N436" i="2"/>
  <c r="L436" i="2"/>
  <c r="H436" i="2"/>
  <c r="I436" i="2" s="1"/>
  <c r="F436" i="2"/>
  <c r="C436" i="2"/>
  <c r="AC435" i="2"/>
  <c r="AD435" i="2" s="1"/>
  <c r="AA435" i="2"/>
  <c r="X435" i="2"/>
  <c r="W435" i="2"/>
  <c r="U435" i="2"/>
  <c r="R435" i="2"/>
  <c r="N435" i="2"/>
  <c r="O435" i="2" s="1"/>
  <c r="L435" i="2"/>
  <c r="H435" i="2"/>
  <c r="I435" i="2" s="1"/>
  <c r="F435" i="2"/>
  <c r="C435" i="2"/>
  <c r="AC434" i="2"/>
  <c r="AD434" i="2" s="1"/>
  <c r="AA434" i="2"/>
  <c r="W434" i="2"/>
  <c r="U434" i="2"/>
  <c r="R434" i="2"/>
  <c r="N434" i="2"/>
  <c r="O434" i="2" s="1"/>
  <c r="L434" i="2"/>
  <c r="I434" i="2"/>
  <c r="H434" i="2"/>
  <c r="F434" i="2"/>
  <c r="C434" i="2"/>
  <c r="AC433" i="2"/>
  <c r="AD433" i="2" s="1"/>
  <c r="AA433" i="2"/>
  <c r="X433" i="2"/>
  <c r="W433" i="2"/>
  <c r="U433" i="2"/>
  <c r="R433" i="2"/>
  <c r="O433" i="2"/>
  <c r="N433" i="2"/>
  <c r="L433" i="2"/>
  <c r="H433" i="2"/>
  <c r="I433" i="2" s="1"/>
  <c r="F433" i="2"/>
  <c r="C433" i="2"/>
  <c r="AC432" i="2"/>
  <c r="AD432" i="2" s="1"/>
  <c r="AA432" i="2"/>
  <c r="W432" i="2"/>
  <c r="U432" i="2"/>
  <c r="R432" i="2"/>
  <c r="O432" i="2"/>
  <c r="N432" i="2"/>
  <c r="L432" i="2"/>
  <c r="H432" i="2"/>
  <c r="I432" i="2" s="1"/>
  <c r="F432" i="2"/>
  <c r="C432" i="2"/>
  <c r="Z429" i="2"/>
  <c r="AA429" i="2" s="1"/>
  <c r="T429" i="2"/>
  <c r="U429" i="2" s="1"/>
  <c r="Q429" i="2"/>
  <c r="AC429" i="2" s="1"/>
  <c r="AD429" i="2" s="1"/>
  <c r="K429" i="2"/>
  <c r="L429" i="2" s="1"/>
  <c r="F429" i="2"/>
  <c r="E429" i="2"/>
  <c r="B429" i="2"/>
  <c r="Z428" i="2"/>
  <c r="AA428" i="2" s="1"/>
  <c r="T428" i="2"/>
  <c r="U428" i="2" s="1"/>
  <c r="Q428" i="2"/>
  <c r="R428" i="2" s="1"/>
  <c r="K428" i="2"/>
  <c r="H428" i="2"/>
  <c r="I428" i="2" s="1"/>
  <c r="E428" i="2"/>
  <c r="F428" i="2" s="1"/>
  <c r="B428" i="2"/>
  <c r="C428" i="2" s="1"/>
  <c r="AC427" i="2"/>
  <c r="AD427" i="2" s="1"/>
  <c r="AA427" i="2"/>
  <c r="W427" i="2"/>
  <c r="U427" i="2"/>
  <c r="R427" i="2"/>
  <c r="N427" i="2"/>
  <c r="O427" i="2" s="1"/>
  <c r="L427" i="2"/>
  <c r="H427" i="2"/>
  <c r="I427" i="2" s="1"/>
  <c r="F427" i="2"/>
  <c r="C427" i="2"/>
  <c r="AC426" i="2"/>
  <c r="AD426" i="2" s="1"/>
  <c r="AA426" i="2"/>
  <c r="W426" i="2"/>
  <c r="U426" i="2"/>
  <c r="R426" i="2"/>
  <c r="N426" i="2"/>
  <c r="O426" i="2" s="1"/>
  <c r="L426" i="2"/>
  <c r="H426" i="2"/>
  <c r="I426" i="2" s="1"/>
  <c r="F426" i="2"/>
  <c r="C426" i="2"/>
  <c r="AC425" i="2"/>
  <c r="AD425" i="2" s="1"/>
  <c r="AA425" i="2"/>
  <c r="W425" i="2"/>
  <c r="X425" i="2" s="1"/>
  <c r="U425" i="2"/>
  <c r="R425" i="2"/>
  <c r="O425" i="2"/>
  <c r="N425" i="2"/>
  <c r="L425" i="2"/>
  <c r="H425" i="2"/>
  <c r="I425" i="2" s="1"/>
  <c r="F425" i="2"/>
  <c r="C425" i="2"/>
  <c r="AC424" i="2"/>
  <c r="AD424" i="2" s="1"/>
  <c r="AA424" i="2"/>
  <c r="W424" i="2"/>
  <c r="U424" i="2"/>
  <c r="R424" i="2"/>
  <c r="O424" i="2"/>
  <c r="N424" i="2"/>
  <c r="L424" i="2"/>
  <c r="H424" i="2"/>
  <c r="I424" i="2" s="1"/>
  <c r="F424" i="2"/>
  <c r="C424" i="2"/>
  <c r="AC423" i="2"/>
  <c r="AD423" i="2" s="1"/>
  <c r="AA423" i="2"/>
  <c r="W423" i="2"/>
  <c r="U423" i="2"/>
  <c r="R423" i="2"/>
  <c r="N423" i="2"/>
  <c r="O423" i="2" s="1"/>
  <c r="L423" i="2"/>
  <c r="H423" i="2"/>
  <c r="I423" i="2" s="1"/>
  <c r="F423" i="2"/>
  <c r="C423" i="2"/>
  <c r="AC422" i="2"/>
  <c r="AD422" i="2" s="1"/>
  <c r="AA422" i="2"/>
  <c r="W422" i="2"/>
  <c r="U422" i="2"/>
  <c r="R422" i="2"/>
  <c r="N422" i="2"/>
  <c r="O422" i="2" s="1"/>
  <c r="L422" i="2"/>
  <c r="H422" i="2"/>
  <c r="I422" i="2" s="1"/>
  <c r="F422" i="2"/>
  <c r="C422" i="2"/>
  <c r="AC421" i="2"/>
  <c r="AD421" i="2" s="1"/>
  <c r="AA421" i="2"/>
  <c r="W421" i="2"/>
  <c r="X421" i="2" s="1"/>
  <c r="U421" i="2"/>
  <c r="R421" i="2"/>
  <c r="O421" i="2"/>
  <c r="N421" i="2"/>
  <c r="L421" i="2"/>
  <c r="H421" i="2"/>
  <c r="I421" i="2" s="1"/>
  <c r="F421" i="2"/>
  <c r="C421" i="2"/>
  <c r="AC420" i="2"/>
  <c r="AD420" i="2" s="1"/>
  <c r="AA420" i="2"/>
  <c r="W420" i="2"/>
  <c r="U420" i="2"/>
  <c r="R420" i="2"/>
  <c r="O420" i="2"/>
  <c r="N420" i="2"/>
  <c r="L420" i="2"/>
  <c r="H420" i="2"/>
  <c r="I420" i="2" s="1"/>
  <c r="F420" i="2"/>
  <c r="C420" i="2"/>
  <c r="AC419" i="2"/>
  <c r="AD419" i="2" s="1"/>
  <c r="AA419" i="2"/>
  <c r="W419" i="2"/>
  <c r="U419" i="2"/>
  <c r="R419" i="2"/>
  <c r="N419" i="2"/>
  <c r="O419" i="2" s="1"/>
  <c r="L419" i="2"/>
  <c r="H419" i="2"/>
  <c r="I419" i="2" s="1"/>
  <c r="F419" i="2"/>
  <c r="C419" i="2"/>
  <c r="AC418" i="2"/>
  <c r="AD418" i="2" s="1"/>
  <c r="AA418" i="2"/>
  <c r="W418" i="2"/>
  <c r="U418" i="2"/>
  <c r="R418" i="2"/>
  <c r="N418" i="2"/>
  <c r="O418" i="2" s="1"/>
  <c r="L418" i="2"/>
  <c r="H418" i="2"/>
  <c r="I418" i="2" s="1"/>
  <c r="F418" i="2"/>
  <c r="C418" i="2"/>
  <c r="AC417" i="2"/>
  <c r="AD417" i="2" s="1"/>
  <c r="AA417" i="2"/>
  <c r="W417" i="2"/>
  <c r="X417" i="2" s="1"/>
  <c r="U417" i="2"/>
  <c r="R417" i="2"/>
  <c r="O417" i="2"/>
  <c r="N417" i="2"/>
  <c r="L417" i="2"/>
  <c r="H417" i="2"/>
  <c r="I417" i="2" s="1"/>
  <c r="F417" i="2"/>
  <c r="C417" i="2"/>
  <c r="AC416" i="2"/>
  <c r="AD416" i="2" s="1"/>
  <c r="AA416" i="2"/>
  <c r="W416" i="2"/>
  <c r="U416" i="2"/>
  <c r="R416" i="2"/>
  <c r="O416" i="2"/>
  <c r="N416" i="2"/>
  <c r="L416" i="2"/>
  <c r="H416" i="2"/>
  <c r="I416" i="2" s="1"/>
  <c r="F416" i="2"/>
  <c r="C416" i="2"/>
  <c r="AC415" i="2"/>
  <c r="AD415" i="2" s="1"/>
  <c r="AA415" i="2"/>
  <c r="W415" i="2"/>
  <c r="U415" i="2"/>
  <c r="R415" i="2"/>
  <c r="N415" i="2"/>
  <c r="O415" i="2" s="1"/>
  <c r="L415" i="2"/>
  <c r="H415" i="2"/>
  <c r="I415" i="2" s="1"/>
  <c r="F415" i="2"/>
  <c r="C415" i="2"/>
  <c r="AC414" i="2"/>
  <c r="AD414" i="2" s="1"/>
  <c r="AA414" i="2"/>
  <c r="W414" i="2"/>
  <c r="U414" i="2"/>
  <c r="R414" i="2"/>
  <c r="N414" i="2"/>
  <c r="O414" i="2" s="1"/>
  <c r="L414" i="2"/>
  <c r="H414" i="2"/>
  <c r="I414" i="2" s="1"/>
  <c r="F414" i="2"/>
  <c r="C414" i="2"/>
  <c r="AC413" i="2"/>
  <c r="AD413" i="2" s="1"/>
  <c r="AA413" i="2"/>
  <c r="W413" i="2"/>
  <c r="X413" i="2" s="1"/>
  <c r="U413" i="2"/>
  <c r="R413" i="2"/>
  <c r="O413" i="2"/>
  <c r="N413" i="2"/>
  <c r="L413" i="2"/>
  <c r="H413" i="2"/>
  <c r="I413" i="2" s="1"/>
  <c r="F413" i="2"/>
  <c r="C413" i="2"/>
  <c r="AC412" i="2"/>
  <c r="AD412" i="2" s="1"/>
  <c r="AA412" i="2"/>
  <c r="W412" i="2"/>
  <c r="U412" i="2"/>
  <c r="R412" i="2"/>
  <c r="O412" i="2"/>
  <c r="N412" i="2"/>
  <c r="L412" i="2"/>
  <c r="H412" i="2"/>
  <c r="I412" i="2" s="1"/>
  <c r="F412" i="2"/>
  <c r="C412" i="2"/>
  <c r="AC411" i="2"/>
  <c r="AD411" i="2" s="1"/>
  <c r="AA411" i="2"/>
  <c r="W411" i="2"/>
  <c r="U411" i="2"/>
  <c r="R411" i="2"/>
  <c r="N411" i="2"/>
  <c r="O411" i="2" s="1"/>
  <c r="L411" i="2"/>
  <c r="H411" i="2"/>
  <c r="I411" i="2" s="1"/>
  <c r="F411" i="2"/>
  <c r="C411" i="2"/>
  <c r="AC410" i="2"/>
  <c r="AD410" i="2" s="1"/>
  <c r="AA410" i="2"/>
  <c r="W410" i="2"/>
  <c r="U410" i="2"/>
  <c r="R410" i="2"/>
  <c r="N410" i="2"/>
  <c r="O410" i="2" s="1"/>
  <c r="L410" i="2"/>
  <c r="H410" i="2"/>
  <c r="I410" i="2" s="1"/>
  <c r="F410" i="2"/>
  <c r="C410" i="2"/>
  <c r="AC409" i="2"/>
  <c r="AD409" i="2" s="1"/>
  <c r="AA409" i="2"/>
  <c r="W409" i="2"/>
  <c r="X409" i="2" s="1"/>
  <c r="U409" i="2"/>
  <c r="R409" i="2"/>
  <c r="O409" i="2"/>
  <c r="N409" i="2"/>
  <c r="L409" i="2"/>
  <c r="H409" i="2"/>
  <c r="I409" i="2" s="1"/>
  <c r="F409" i="2"/>
  <c r="C409" i="2"/>
  <c r="AC408" i="2"/>
  <c r="AD408" i="2" s="1"/>
  <c r="AA408" i="2"/>
  <c r="W408" i="2"/>
  <c r="U408" i="2"/>
  <c r="R408" i="2"/>
  <c r="O408" i="2"/>
  <c r="N408" i="2"/>
  <c r="L408" i="2"/>
  <c r="H408" i="2"/>
  <c r="I408" i="2" s="1"/>
  <c r="F408" i="2"/>
  <c r="C408" i="2"/>
  <c r="AC407" i="2"/>
  <c r="AD407" i="2" s="1"/>
  <c r="AA407" i="2"/>
  <c r="W407" i="2"/>
  <c r="U407" i="2"/>
  <c r="R407" i="2"/>
  <c r="N407" i="2"/>
  <c r="O407" i="2" s="1"/>
  <c r="L407" i="2"/>
  <c r="H407" i="2"/>
  <c r="I407" i="2" s="1"/>
  <c r="F407" i="2"/>
  <c r="C407" i="2"/>
  <c r="AC403" i="2"/>
  <c r="AD403" i="2" s="1"/>
  <c r="Z403" i="2"/>
  <c r="AA403" i="2" s="1"/>
  <c r="T403" i="2"/>
  <c r="Q403" i="2"/>
  <c r="R403" i="2" s="1"/>
  <c r="K403" i="2"/>
  <c r="L403" i="2" s="1"/>
  <c r="E403" i="2"/>
  <c r="F403" i="2" s="1"/>
  <c r="B403" i="2"/>
  <c r="C403" i="2" s="1"/>
  <c r="AC402" i="2"/>
  <c r="AD402" i="2" s="1"/>
  <c r="AA402" i="2"/>
  <c r="W402" i="2"/>
  <c r="U402" i="2"/>
  <c r="R402" i="2"/>
  <c r="N402" i="2"/>
  <c r="O402" i="2" s="1"/>
  <c r="L402" i="2"/>
  <c r="H402" i="2"/>
  <c r="I402" i="2" s="1"/>
  <c r="F402" i="2"/>
  <c r="C402" i="2"/>
  <c r="AC401" i="2"/>
  <c r="AD401" i="2" s="1"/>
  <c r="AA401" i="2"/>
  <c r="X401" i="2"/>
  <c r="W401" i="2"/>
  <c r="U401" i="2"/>
  <c r="R401" i="2"/>
  <c r="O401" i="2"/>
  <c r="N401" i="2"/>
  <c r="L401" i="2"/>
  <c r="H401" i="2"/>
  <c r="I401" i="2" s="1"/>
  <c r="F401" i="2"/>
  <c r="C401" i="2"/>
  <c r="AC400" i="2"/>
  <c r="AD400" i="2" s="1"/>
  <c r="AA400" i="2"/>
  <c r="W400" i="2"/>
  <c r="U400" i="2"/>
  <c r="R400" i="2"/>
  <c r="O400" i="2"/>
  <c r="N400" i="2"/>
  <c r="L400" i="2"/>
  <c r="H400" i="2"/>
  <c r="I400" i="2" s="1"/>
  <c r="F400" i="2"/>
  <c r="C400" i="2"/>
  <c r="AD399" i="2"/>
  <c r="AC399" i="2"/>
  <c r="AA399" i="2"/>
  <c r="X399" i="2"/>
  <c r="W399" i="2"/>
  <c r="U399" i="2"/>
  <c r="R399" i="2"/>
  <c r="N399" i="2"/>
  <c r="O399" i="2" s="1"/>
  <c r="L399" i="2"/>
  <c r="H399" i="2"/>
  <c r="I399" i="2" s="1"/>
  <c r="F399" i="2"/>
  <c r="C399" i="2"/>
  <c r="AC398" i="2"/>
  <c r="AD398" i="2" s="1"/>
  <c r="AA398" i="2"/>
  <c r="W398" i="2"/>
  <c r="U398" i="2"/>
  <c r="R398" i="2"/>
  <c r="N398" i="2"/>
  <c r="O398" i="2" s="1"/>
  <c r="L398" i="2"/>
  <c r="H398" i="2"/>
  <c r="I398" i="2" s="1"/>
  <c r="F398" i="2"/>
  <c r="C398" i="2"/>
  <c r="AC397" i="2"/>
  <c r="AD397" i="2" s="1"/>
  <c r="AA397" i="2"/>
  <c r="W397" i="2"/>
  <c r="X397" i="2" s="1"/>
  <c r="U397" i="2"/>
  <c r="R397" i="2"/>
  <c r="O397" i="2"/>
  <c r="N397" i="2"/>
  <c r="L397" i="2"/>
  <c r="H397" i="2"/>
  <c r="I397" i="2" s="1"/>
  <c r="F397" i="2"/>
  <c r="C397" i="2"/>
  <c r="Z396" i="2"/>
  <c r="AA396" i="2" s="1"/>
  <c r="U396" i="2"/>
  <c r="T396" i="2"/>
  <c r="Q396" i="2"/>
  <c r="R396" i="2" s="1"/>
  <c r="K396" i="2"/>
  <c r="L396" i="2" s="1"/>
  <c r="E396" i="2"/>
  <c r="B396" i="2"/>
  <c r="C396" i="2" s="1"/>
  <c r="AC395" i="2"/>
  <c r="AD395" i="2" s="1"/>
  <c r="AA395" i="2"/>
  <c r="W395" i="2"/>
  <c r="U395" i="2"/>
  <c r="R395" i="2"/>
  <c r="N395" i="2"/>
  <c r="O395" i="2" s="1"/>
  <c r="L395" i="2"/>
  <c r="I395" i="2"/>
  <c r="H395" i="2"/>
  <c r="F395" i="2"/>
  <c r="C395" i="2"/>
  <c r="AC394" i="2"/>
  <c r="AD394" i="2" s="1"/>
  <c r="AA394" i="2"/>
  <c r="X394" i="2"/>
  <c r="W394" i="2"/>
  <c r="U394" i="2"/>
  <c r="R394" i="2"/>
  <c r="O394" i="2"/>
  <c r="N394" i="2"/>
  <c r="L394" i="2"/>
  <c r="H394" i="2"/>
  <c r="I394" i="2" s="1"/>
  <c r="F394" i="2"/>
  <c r="C394" i="2"/>
  <c r="AC393" i="2"/>
  <c r="AD393" i="2" s="1"/>
  <c r="Z393" i="2"/>
  <c r="AA393" i="2" s="1"/>
  <c r="T393" i="2"/>
  <c r="W393" i="2" s="1"/>
  <c r="X393" i="2" s="1"/>
  <c r="Q393" i="2"/>
  <c r="R393" i="2" s="1"/>
  <c r="K393" i="2"/>
  <c r="L393" i="2" s="1"/>
  <c r="H393" i="2"/>
  <c r="I393" i="2" s="1"/>
  <c r="E393" i="2"/>
  <c r="F393" i="2" s="1"/>
  <c r="B393" i="2"/>
  <c r="C393" i="2" s="1"/>
  <c r="AC392" i="2"/>
  <c r="AD392" i="2" s="1"/>
  <c r="AA392" i="2"/>
  <c r="W392" i="2"/>
  <c r="U392" i="2"/>
  <c r="R392" i="2"/>
  <c r="N392" i="2"/>
  <c r="O392" i="2" s="1"/>
  <c r="L392" i="2"/>
  <c r="H392" i="2"/>
  <c r="I392" i="2" s="1"/>
  <c r="F392" i="2"/>
  <c r="C392" i="2"/>
  <c r="AC391" i="2"/>
  <c r="AD391" i="2" s="1"/>
  <c r="AA391" i="2"/>
  <c r="W391" i="2"/>
  <c r="X391" i="2" s="1"/>
  <c r="U391" i="2"/>
  <c r="R391" i="2"/>
  <c r="O391" i="2"/>
  <c r="N391" i="2"/>
  <c r="L391" i="2"/>
  <c r="H391" i="2"/>
  <c r="I391" i="2" s="1"/>
  <c r="F391" i="2"/>
  <c r="C391" i="2"/>
  <c r="AC390" i="2"/>
  <c r="AD390" i="2" s="1"/>
  <c r="AA390" i="2"/>
  <c r="W390" i="2"/>
  <c r="U390" i="2"/>
  <c r="R390" i="2"/>
  <c r="O390" i="2"/>
  <c r="N390" i="2"/>
  <c r="L390" i="2"/>
  <c r="H390" i="2"/>
  <c r="I390" i="2" s="1"/>
  <c r="F390" i="2"/>
  <c r="C390" i="2"/>
  <c r="AD389" i="2"/>
  <c r="AC389" i="2"/>
  <c r="AA389" i="2"/>
  <c r="W389" i="2"/>
  <c r="U389" i="2"/>
  <c r="R389" i="2"/>
  <c r="N389" i="2"/>
  <c r="O389" i="2" s="1"/>
  <c r="L389" i="2"/>
  <c r="H389" i="2"/>
  <c r="I389" i="2" s="1"/>
  <c r="F389" i="2"/>
  <c r="C389" i="2"/>
  <c r="AC388" i="2"/>
  <c r="AD388" i="2" s="1"/>
  <c r="AA388" i="2"/>
  <c r="W388" i="2"/>
  <c r="U388" i="2"/>
  <c r="R388" i="2"/>
  <c r="N388" i="2"/>
  <c r="O388" i="2" s="1"/>
  <c r="L388" i="2"/>
  <c r="I388" i="2"/>
  <c r="H388" i="2"/>
  <c r="F388" i="2"/>
  <c r="C388" i="2"/>
  <c r="AC386" i="2"/>
  <c r="AD386" i="2" s="1"/>
  <c r="AA386" i="2"/>
  <c r="W386" i="2"/>
  <c r="X386" i="2" s="1"/>
  <c r="U386" i="2"/>
  <c r="R386" i="2"/>
  <c r="O386" i="2"/>
  <c r="N386" i="2"/>
  <c r="L386" i="2"/>
  <c r="H386" i="2"/>
  <c r="I386" i="2" s="1"/>
  <c r="F386" i="2"/>
  <c r="C386" i="2"/>
  <c r="AC385" i="2"/>
  <c r="AD385" i="2" s="1"/>
  <c r="AA385" i="2"/>
  <c r="W385" i="2"/>
  <c r="U385" i="2"/>
  <c r="R385" i="2"/>
  <c r="O385" i="2"/>
  <c r="N385" i="2"/>
  <c r="L385" i="2"/>
  <c r="H385" i="2"/>
  <c r="I385" i="2" s="1"/>
  <c r="F385" i="2"/>
  <c r="C385" i="2"/>
  <c r="AD383" i="2"/>
  <c r="AC383" i="2"/>
  <c r="AA383" i="2"/>
  <c r="W383" i="2"/>
  <c r="U383" i="2"/>
  <c r="R383" i="2"/>
  <c r="N383" i="2"/>
  <c r="O383" i="2" s="1"/>
  <c r="L383" i="2"/>
  <c r="H383" i="2"/>
  <c r="I383" i="2" s="1"/>
  <c r="F383" i="2"/>
  <c r="C383" i="2"/>
  <c r="AC382" i="2"/>
  <c r="AD382" i="2" s="1"/>
  <c r="AA382" i="2"/>
  <c r="W382" i="2"/>
  <c r="U382" i="2"/>
  <c r="R382" i="2"/>
  <c r="N382" i="2"/>
  <c r="O382" i="2" s="1"/>
  <c r="L382" i="2"/>
  <c r="I382" i="2"/>
  <c r="H382" i="2"/>
  <c r="F382" i="2"/>
  <c r="C382" i="2"/>
  <c r="AC381" i="2"/>
  <c r="AD381" i="2" s="1"/>
  <c r="AA381" i="2"/>
  <c r="W381" i="2"/>
  <c r="X381" i="2" s="1"/>
  <c r="U381" i="2"/>
  <c r="R381" i="2"/>
  <c r="O381" i="2"/>
  <c r="N381" i="2"/>
  <c r="L381" i="2"/>
  <c r="H381" i="2"/>
  <c r="I381" i="2" s="1"/>
  <c r="F381" i="2"/>
  <c r="C381" i="2"/>
  <c r="AC380" i="2"/>
  <c r="AD380" i="2" s="1"/>
  <c r="AA380" i="2"/>
  <c r="W380" i="2"/>
  <c r="U380" i="2"/>
  <c r="R380" i="2"/>
  <c r="O380" i="2"/>
  <c r="N380" i="2"/>
  <c r="L380" i="2"/>
  <c r="H380" i="2"/>
  <c r="I380" i="2" s="1"/>
  <c r="F380" i="2"/>
  <c r="C380" i="2"/>
  <c r="AD379" i="2"/>
  <c r="AC379" i="2"/>
  <c r="AA379" i="2"/>
  <c r="W379" i="2"/>
  <c r="U379" i="2"/>
  <c r="R379" i="2"/>
  <c r="N379" i="2"/>
  <c r="O379" i="2" s="1"/>
  <c r="L379" i="2"/>
  <c r="H379" i="2"/>
  <c r="I379" i="2" s="1"/>
  <c r="F379" i="2"/>
  <c r="C379" i="2"/>
  <c r="AC378" i="2"/>
  <c r="AD378" i="2" s="1"/>
  <c r="AA378" i="2"/>
  <c r="W378" i="2"/>
  <c r="U378" i="2"/>
  <c r="R378" i="2"/>
  <c r="N378" i="2"/>
  <c r="O378" i="2" s="1"/>
  <c r="L378" i="2"/>
  <c r="I378" i="2"/>
  <c r="H378" i="2"/>
  <c r="F378" i="2"/>
  <c r="C378" i="2"/>
  <c r="AC377" i="2"/>
  <c r="AD377" i="2" s="1"/>
  <c r="AA377" i="2"/>
  <c r="W377" i="2"/>
  <c r="X377" i="2" s="1"/>
  <c r="U377" i="2"/>
  <c r="R377" i="2"/>
  <c r="O377" i="2"/>
  <c r="N377" i="2"/>
  <c r="L377" i="2"/>
  <c r="H377" i="2"/>
  <c r="I377" i="2" s="1"/>
  <c r="F377" i="2"/>
  <c r="C377" i="2"/>
  <c r="AC376" i="2"/>
  <c r="AD376" i="2" s="1"/>
  <c r="AA376" i="2"/>
  <c r="W376" i="2"/>
  <c r="U376" i="2"/>
  <c r="R376" i="2"/>
  <c r="O376" i="2"/>
  <c r="N376" i="2"/>
  <c r="L376" i="2"/>
  <c r="H376" i="2"/>
  <c r="I376" i="2" s="1"/>
  <c r="F376" i="2"/>
  <c r="C376" i="2"/>
  <c r="AD375" i="2"/>
  <c r="AC375" i="2"/>
  <c r="AA375" i="2"/>
  <c r="W375" i="2"/>
  <c r="U375" i="2"/>
  <c r="R375" i="2"/>
  <c r="N375" i="2"/>
  <c r="O375" i="2" s="1"/>
  <c r="L375" i="2"/>
  <c r="H375" i="2"/>
  <c r="I375" i="2" s="1"/>
  <c r="F375" i="2"/>
  <c r="C375" i="2"/>
  <c r="AC374" i="2"/>
  <c r="AD374" i="2" s="1"/>
  <c r="AA374" i="2"/>
  <c r="W374" i="2"/>
  <c r="U374" i="2"/>
  <c r="R374" i="2"/>
  <c r="N374" i="2"/>
  <c r="O374" i="2" s="1"/>
  <c r="L374" i="2"/>
  <c r="I374" i="2"/>
  <c r="H374" i="2"/>
  <c r="F374" i="2"/>
  <c r="C374" i="2"/>
  <c r="AC373" i="2"/>
  <c r="AD373" i="2" s="1"/>
  <c r="AA373" i="2"/>
  <c r="W373" i="2"/>
  <c r="X373" i="2" s="1"/>
  <c r="U373" i="2"/>
  <c r="R373" i="2"/>
  <c r="O373" i="2"/>
  <c r="N373" i="2"/>
  <c r="L373" i="2"/>
  <c r="H373" i="2"/>
  <c r="I373" i="2" s="1"/>
  <c r="F373" i="2"/>
  <c r="C373" i="2"/>
  <c r="AC372" i="2"/>
  <c r="AD372" i="2" s="1"/>
  <c r="AA372" i="2"/>
  <c r="W372" i="2"/>
  <c r="U372" i="2"/>
  <c r="R372" i="2"/>
  <c r="O372" i="2"/>
  <c r="N372" i="2"/>
  <c r="L372" i="2"/>
  <c r="H372" i="2"/>
  <c r="I372" i="2" s="1"/>
  <c r="F372" i="2"/>
  <c r="C372" i="2"/>
  <c r="AD371" i="2"/>
  <c r="AC371" i="2"/>
  <c r="AA371" i="2"/>
  <c r="W371" i="2"/>
  <c r="U371" i="2"/>
  <c r="R371" i="2"/>
  <c r="N371" i="2"/>
  <c r="O371" i="2" s="1"/>
  <c r="L371" i="2"/>
  <c r="H371" i="2"/>
  <c r="I371" i="2" s="1"/>
  <c r="F371" i="2"/>
  <c r="C371" i="2"/>
  <c r="AC370" i="2"/>
  <c r="AD370" i="2" s="1"/>
  <c r="AA370" i="2"/>
  <c r="W370" i="2"/>
  <c r="U370" i="2"/>
  <c r="R370" i="2"/>
  <c r="N370" i="2"/>
  <c r="O370" i="2" s="1"/>
  <c r="L370" i="2"/>
  <c r="I370" i="2"/>
  <c r="H370" i="2"/>
  <c r="F370" i="2"/>
  <c r="C370" i="2"/>
  <c r="AC369" i="2"/>
  <c r="AD369" i="2" s="1"/>
  <c r="AA369" i="2"/>
  <c r="W369" i="2"/>
  <c r="X369" i="2" s="1"/>
  <c r="U369" i="2"/>
  <c r="R369" i="2"/>
  <c r="O369" i="2"/>
  <c r="N369" i="2"/>
  <c r="L369" i="2"/>
  <c r="H369" i="2"/>
  <c r="I369" i="2" s="1"/>
  <c r="F369" i="2"/>
  <c r="C369" i="2"/>
  <c r="AC368" i="2"/>
  <c r="AD368" i="2" s="1"/>
  <c r="Z368" i="2"/>
  <c r="AA368" i="2" s="1"/>
  <c r="U368" i="2"/>
  <c r="T368" i="2"/>
  <c r="Q368" i="2"/>
  <c r="R368" i="2" s="1"/>
  <c r="K368" i="2"/>
  <c r="L368" i="2" s="1"/>
  <c r="H368" i="2"/>
  <c r="I368" i="2" s="1"/>
  <c r="E368" i="2"/>
  <c r="F368" i="2" s="1"/>
  <c r="B368" i="2"/>
  <c r="C368" i="2" s="1"/>
  <c r="AC367" i="2"/>
  <c r="AD367" i="2" s="1"/>
  <c r="AA367" i="2"/>
  <c r="X367" i="2"/>
  <c r="W367" i="2"/>
  <c r="U367" i="2"/>
  <c r="R367" i="2"/>
  <c r="N367" i="2"/>
  <c r="O367" i="2" s="1"/>
  <c r="L367" i="2"/>
  <c r="I367" i="2"/>
  <c r="H367" i="2"/>
  <c r="F367" i="2"/>
  <c r="C367" i="2"/>
  <c r="AC366" i="2"/>
  <c r="AD366" i="2" s="1"/>
  <c r="AA366" i="2"/>
  <c r="X366" i="2"/>
  <c r="W366" i="2"/>
  <c r="U366" i="2"/>
  <c r="R366" i="2"/>
  <c r="O366" i="2"/>
  <c r="N366" i="2"/>
  <c r="L366" i="2"/>
  <c r="H366" i="2"/>
  <c r="I366" i="2" s="1"/>
  <c r="F366" i="2"/>
  <c r="C366" i="2"/>
  <c r="AC365" i="2"/>
  <c r="AD365" i="2" s="1"/>
  <c r="AA365" i="2"/>
  <c r="W365" i="2"/>
  <c r="X365" i="2" s="1"/>
  <c r="U365" i="2"/>
  <c r="R365" i="2"/>
  <c r="O365" i="2"/>
  <c r="N365" i="2"/>
  <c r="L365" i="2"/>
  <c r="H365" i="2"/>
  <c r="I365" i="2" s="1"/>
  <c r="F365" i="2"/>
  <c r="C365" i="2"/>
  <c r="AC364" i="2"/>
  <c r="AD364" i="2" s="1"/>
  <c r="AA364" i="2"/>
  <c r="X364" i="2"/>
  <c r="W364" i="2"/>
  <c r="U364" i="2"/>
  <c r="R364" i="2"/>
  <c r="O364" i="2"/>
  <c r="N364" i="2"/>
  <c r="L364" i="2"/>
  <c r="H364" i="2"/>
  <c r="I364" i="2" s="1"/>
  <c r="F364" i="2"/>
  <c r="C364" i="2"/>
  <c r="AC363" i="2"/>
  <c r="AD363" i="2" s="1"/>
  <c r="AA363" i="2"/>
  <c r="X363" i="2"/>
  <c r="W363" i="2"/>
  <c r="U363" i="2"/>
  <c r="R363" i="2"/>
  <c r="N363" i="2"/>
  <c r="O363" i="2" s="1"/>
  <c r="L363" i="2"/>
  <c r="I363" i="2"/>
  <c r="H363" i="2"/>
  <c r="F363" i="2"/>
  <c r="C363" i="2"/>
  <c r="AC362" i="2"/>
  <c r="AD362" i="2" s="1"/>
  <c r="AA362" i="2"/>
  <c r="X362" i="2"/>
  <c r="W362" i="2"/>
  <c r="U362" i="2"/>
  <c r="R362" i="2"/>
  <c r="O362" i="2"/>
  <c r="N362" i="2"/>
  <c r="L362" i="2"/>
  <c r="H362" i="2"/>
  <c r="I362" i="2" s="1"/>
  <c r="F362" i="2"/>
  <c r="C362" i="2"/>
  <c r="AC361" i="2"/>
  <c r="AD361" i="2" s="1"/>
  <c r="AA361" i="2"/>
  <c r="W361" i="2"/>
  <c r="X361" i="2" s="1"/>
  <c r="U361" i="2"/>
  <c r="R361" i="2"/>
  <c r="O361" i="2"/>
  <c r="N361" i="2"/>
  <c r="L361" i="2"/>
  <c r="H361" i="2"/>
  <c r="I361" i="2" s="1"/>
  <c r="F361" i="2"/>
  <c r="C361" i="2"/>
  <c r="AC360" i="2"/>
  <c r="AD360" i="2" s="1"/>
  <c r="AA360" i="2"/>
  <c r="X360" i="2"/>
  <c r="W360" i="2"/>
  <c r="U360" i="2"/>
  <c r="R360" i="2"/>
  <c r="O360" i="2"/>
  <c r="N360" i="2"/>
  <c r="L360" i="2"/>
  <c r="H360" i="2"/>
  <c r="I360" i="2" s="1"/>
  <c r="F360" i="2"/>
  <c r="C360" i="2"/>
  <c r="AC358" i="2"/>
  <c r="AD358" i="2" s="1"/>
  <c r="Z358" i="2"/>
  <c r="AA358" i="2" s="1"/>
  <c r="T358" i="2"/>
  <c r="U358" i="2" s="1"/>
  <c r="Q358" i="2"/>
  <c r="R358" i="2" s="1"/>
  <c r="K358" i="2"/>
  <c r="L358" i="2" s="1"/>
  <c r="E358" i="2"/>
  <c r="F358" i="2" s="1"/>
  <c r="C358" i="2"/>
  <c r="B358" i="2"/>
  <c r="AC357" i="2"/>
  <c r="AD357" i="2" s="1"/>
  <c r="AA357" i="2"/>
  <c r="W357" i="2"/>
  <c r="X357" i="2" s="1"/>
  <c r="U357" i="2"/>
  <c r="R357" i="2"/>
  <c r="O357" i="2"/>
  <c r="N357" i="2"/>
  <c r="L357" i="2"/>
  <c r="H357" i="2"/>
  <c r="I357" i="2" s="1"/>
  <c r="F357" i="2"/>
  <c r="C357" i="2"/>
  <c r="AC356" i="2"/>
  <c r="AD356" i="2" s="1"/>
  <c r="AA356" i="2"/>
  <c r="X356" i="2"/>
  <c r="W356" i="2"/>
  <c r="U356" i="2"/>
  <c r="R356" i="2"/>
  <c r="O356" i="2"/>
  <c r="N356" i="2"/>
  <c r="L356" i="2"/>
  <c r="H356" i="2"/>
  <c r="I356" i="2" s="1"/>
  <c r="F356" i="2"/>
  <c r="C356" i="2"/>
  <c r="AC355" i="2"/>
  <c r="AD355" i="2" s="1"/>
  <c r="AA355" i="2"/>
  <c r="X355" i="2"/>
  <c r="W355" i="2"/>
  <c r="U355" i="2"/>
  <c r="R355" i="2"/>
  <c r="N355" i="2"/>
  <c r="O355" i="2" s="1"/>
  <c r="L355" i="2"/>
  <c r="H355" i="2"/>
  <c r="I355" i="2" s="1"/>
  <c r="F355" i="2"/>
  <c r="C355" i="2"/>
  <c r="AC354" i="2"/>
  <c r="AD354" i="2" s="1"/>
  <c r="AA354" i="2"/>
  <c r="X354" i="2"/>
  <c r="W354" i="2"/>
  <c r="U354" i="2"/>
  <c r="R354" i="2"/>
  <c r="O354" i="2"/>
  <c r="N354" i="2"/>
  <c r="L354" i="2"/>
  <c r="H354" i="2"/>
  <c r="I354" i="2" s="1"/>
  <c r="F354" i="2"/>
  <c r="C354" i="2"/>
  <c r="AC353" i="2"/>
  <c r="AD353" i="2" s="1"/>
  <c r="AA353" i="2"/>
  <c r="W353" i="2"/>
  <c r="X353" i="2" s="1"/>
  <c r="U353" i="2"/>
  <c r="R353" i="2"/>
  <c r="O353" i="2"/>
  <c r="N353" i="2"/>
  <c r="L353" i="2"/>
  <c r="H353" i="2"/>
  <c r="I353" i="2" s="1"/>
  <c r="F353" i="2"/>
  <c r="C353" i="2"/>
  <c r="AC352" i="2"/>
  <c r="AD352" i="2" s="1"/>
  <c r="AA352" i="2"/>
  <c r="X352" i="2"/>
  <c r="W352" i="2"/>
  <c r="U352" i="2"/>
  <c r="R352" i="2"/>
  <c r="O352" i="2"/>
  <c r="N352" i="2"/>
  <c r="L352" i="2"/>
  <c r="H352" i="2"/>
  <c r="I352" i="2" s="1"/>
  <c r="F352" i="2"/>
  <c r="C352" i="2"/>
  <c r="AC351" i="2"/>
  <c r="AD351" i="2" s="1"/>
  <c r="AA351" i="2"/>
  <c r="X351" i="2"/>
  <c r="W351" i="2"/>
  <c r="U351" i="2"/>
  <c r="R351" i="2"/>
  <c r="N351" i="2"/>
  <c r="O351" i="2" s="1"/>
  <c r="L351" i="2"/>
  <c r="H351" i="2"/>
  <c r="I351" i="2" s="1"/>
  <c r="F351" i="2"/>
  <c r="C351" i="2"/>
  <c r="AC350" i="2"/>
  <c r="AD350" i="2" s="1"/>
  <c r="AA350" i="2"/>
  <c r="X350" i="2"/>
  <c r="W350" i="2"/>
  <c r="U350" i="2"/>
  <c r="R350" i="2"/>
  <c r="O350" i="2"/>
  <c r="N350" i="2"/>
  <c r="L350" i="2"/>
  <c r="H350" i="2"/>
  <c r="I350" i="2" s="1"/>
  <c r="F350" i="2"/>
  <c r="C350" i="2"/>
  <c r="AC349" i="2"/>
  <c r="AD349" i="2" s="1"/>
  <c r="AA349" i="2"/>
  <c r="W349" i="2"/>
  <c r="X349" i="2" s="1"/>
  <c r="U349" i="2"/>
  <c r="R349" i="2"/>
  <c r="O349" i="2"/>
  <c r="N349" i="2"/>
  <c r="L349" i="2"/>
  <c r="H349" i="2"/>
  <c r="I349" i="2" s="1"/>
  <c r="F349" i="2"/>
  <c r="C349" i="2"/>
  <c r="AC347" i="2"/>
  <c r="AD347" i="2" s="1"/>
  <c r="AA347" i="2"/>
  <c r="X347" i="2"/>
  <c r="W347" i="2"/>
  <c r="U347" i="2"/>
  <c r="R347" i="2"/>
  <c r="O347" i="2"/>
  <c r="N347" i="2"/>
  <c r="L347" i="2"/>
  <c r="H347" i="2"/>
  <c r="I347" i="2" s="1"/>
  <c r="F347" i="2"/>
  <c r="C347" i="2"/>
  <c r="Z344" i="2"/>
  <c r="AA344" i="2" s="1"/>
  <c r="U344" i="2"/>
  <c r="T344" i="2"/>
  <c r="Q344" i="2"/>
  <c r="R344" i="2" s="1"/>
  <c r="K344" i="2"/>
  <c r="L344" i="2" s="1"/>
  <c r="E344" i="2"/>
  <c r="B344" i="2"/>
  <c r="C344" i="2" s="1"/>
  <c r="AC343" i="2"/>
  <c r="AD343" i="2" s="1"/>
  <c r="Z343" i="2"/>
  <c r="AA343" i="2" s="1"/>
  <c r="W343" i="2"/>
  <c r="X343" i="2" s="1"/>
  <c r="T343" i="2"/>
  <c r="U343" i="2" s="1"/>
  <c r="Q343" i="2"/>
  <c r="R343" i="2" s="1"/>
  <c r="K343" i="2"/>
  <c r="L343" i="2" s="1"/>
  <c r="E343" i="2"/>
  <c r="F343" i="2" s="1"/>
  <c r="B343" i="2"/>
  <c r="H343" i="2" s="1"/>
  <c r="I343" i="2" s="1"/>
  <c r="AC342" i="2"/>
  <c r="AD342" i="2" s="1"/>
  <c r="Z342" i="2"/>
  <c r="AA342" i="2" s="1"/>
  <c r="W342" i="2"/>
  <c r="X342" i="2" s="1"/>
  <c r="T342" i="2"/>
  <c r="U342" i="2" s="1"/>
  <c r="Q342" i="2"/>
  <c r="R342" i="2" s="1"/>
  <c r="K342" i="2"/>
  <c r="L342" i="2" s="1"/>
  <c r="I342" i="2"/>
  <c r="H342" i="2"/>
  <c r="E342" i="2"/>
  <c r="F342" i="2" s="1"/>
  <c r="B342" i="2"/>
  <c r="C342" i="2" s="1"/>
  <c r="AC341" i="2"/>
  <c r="AD341" i="2" s="1"/>
  <c r="AA341" i="2"/>
  <c r="W341" i="2"/>
  <c r="U341" i="2"/>
  <c r="R341" i="2"/>
  <c r="N341" i="2"/>
  <c r="O341" i="2" s="1"/>
  <c r="L341" i="2"/>
  <c r="H341" i="2"/>
  <c r="I341" i="2" s="1"/>
  <c r="F341" i="2"/>
  <c r="C341" i="2"/>
  <c r="AC340" i="2"/>
  <c r="AD340" i="2" s="1"/>
  <c r="AA340" i="2"/>
  <c r="W340" i="2"/>
  <c r="X340" i="2" s="1"/>
  <c r="U340" i="2"/>
  <c r="R340" i="2"/>
  <c r="O340" i="2"/>
  <c r="N340" i="2"/>
  <c r="L340" i="2"/>
  <c r="H340" i="2"/>
  <c r="I340" i="2" s="1"/>
  <c r="F340" i="2"/>
  <c r="C340" i="2"/>
  <c r="AC339" i="2"/>
  <c r="AD339" i="2" s="1"/>
  <c r="AA339" i="2"/>
  <c r="W339" i="2"/>
  <c r="U339" i="2"/>
  <c r="R339" i="2"/>
  <c r="O339" i="2"/>
  <c r="N339" i="2"/>
  <c r="L339" i="2"/>
  <c r="H339" i="2"/>
  <c r="I339" i="2" s="1"/>
  <c r="F339" i="2"/>
  <c r="C339" i="2"/>
  <c r="AC338" i="2"/>
  <c r="AD338" i="2" s="1"/>
  <c r="AA338" i="2"/>
  <c r="W338" i="2"/>
  <c r="U338" i="2"/>
  <c r="R338" i="2"/>
  <c r="N338" i="2"/>
  <c r="O338" i="2" s="1"/>
  <c r="L338" i="2"/>
  <c r="H338" i="2"/>
  <c r="I338" i="2" s="1"/>
  <c r="F338" i="2"/>
  <c r="C338" i="2"/>
  <c r="AC337" i="2"/>
  <c r="AD337" i="2" s="1"/>
  <c r="AA337" i="2"/>
  <c r="W337" i="2"/>
  <c r="U337" i="2"/>
  <c r="R337" i="2"/>
  <c r="N337" i="2"/>
  <c r="O337" i="2" s="1"/>
  <c r="L337" i="2"/>
  <c r="H337" i="2"/>
  <c r="I337" i="2" s="1"/>
  <c r="F337" i="2"/>
  <c r="C337" i="2"/>
  <c r="AC335" i="2"/>
  <c r="AD335" i="2" s="1"/>
  <c r="AA335" i="2"/>
  <c r="W335" i="2"/>
  <c r="X335" i="2" s="1"/>
  <c r="U335" i="2"/>
  <c r="R335" i="2"/>
  <c r="O335" i="2"/>
  <c r="N335" i="2"/>
  <c r="L335" i="2"/>
  <c r="H335" i="2"/>
  <c r="I335" i="2" s="1"/>
  <c r="F335" i="2"/>
  <c r="C335" i="2"/>
  <c r="AC334" i="2"/>
  <c r="AD334" i="2" s="1"/>
  <c r="AA334" i="2"/>
  <c r="W334" i="2"/>
  <c r="U334" i="2"/>
  <c r="R334" i="2"/>
  <c r="O334" i="2"/>
  <c r="N334" i="2"/>
  <c r="L334" i="2"/>
  <c r="H334" i="2"/>
  <c r="I334" i="2" s="1"/>
  <c r="F334" i="2"/>
  <c r="C334" i="2"/>
  <c r="AC333" i="2"/>
  <c r="AD333" i="2" s="1"/>
  <c r="AA333" i="2"/>
  <c r="W333" i="2"/>
  <c r="U333" i="2"/>
  <c r="R333" i="2"/>
  <c r="N333" i="2"/>
  <c r="O333" i="2" s="1"/>
  <c r="L333" i="2"/>
  <c r="H333" i="2"/>
  <c r="I333" i="2" s="1"/>
  <c r="F333" i="2"/>
  <c r="C333" i="2"/>
  <c r="AC332" i="2"/>
  <c r="AD332" i="2" s="1"/>
  <c r="AA332" i="2"/>
  <c r="W332" i="2"/>
  <c r="U332" i="2"/>
  <c r="R332" i="2"/>
  <c r="N332" i="2"/>
  <c r="O332" i="2" s="1"/>
  <c r="L332" i="2"/>
  <c r="H332" i="2"/>
  <c r="I332" i="2" s="1"/>
  <c r="F332" i="2"/>
  <c r="C332" i="2"/>
  <c r="AC331" i="2"/>
  <c r="AD331" i="2" s="1"/>
  <c r="AA331" i="2"/>
  <c r="W331" i="2"/>
  <c r="X331" i="2" s="1"/>
  <c r="U331" i="2"/>
  <c r="R331" i="2"/>
  <c r="O331" i="2"/>
  <c r="N331" i="2"/>
  <c r="L331" i="2"/>
  <c r="H331" i="2"/>
  <c r="I331" i="2" s="1"/>
  <c r="F331" i="2"/>
  <c r="C331" i="2"/>
  <c r="AC330" i="2"/>
  <c r="AD330" i="2" s="1"/>
  <c r="AA330" i="2"/>
  <c r="W330" i="2"/>
  <c r="U330" i="2"/>
  <c r="R330" i="2"/>
  <c r="O330" i="2"/>
  <c r="N330" i="2"/>
  <c r="L330" i="2"/>
  <c r="H330" i="2"/>
  <c r="I330" i="2" s="1"/>
  <c r="F330" i="2"/>
  <c r="C330" i="2"/>
  <c r="AC329" i="2"/>
  <c r="AD329" i="2" s="1"/>
  <c r="AA329" i="2"/>
  <c r="W329" i="2"/>
  <c r="U329" i="2"/>
  <c r="R329" i="2"/>
  <c r="N329" i="2"/>
  <c r="O329" i="2" s="1"/>
  <c r="L329" i="2"/>
  <c r="H329" i="2"/>
  <c r="I329" i="2" s="1"/>
  <c r="F329" i="2"/>
  <c r="C329" i="2"/>
  <c r="AC328" i="2"/>
  <c r="AD328" i="2" s="1"/>
  <c r="AA328" i="2"/>
  <c r="W328" i="2"/>
  <c r="U328" i="2"/>
  <c r="R328" i="2"/>
  <c r="N328" i="2"/>
  <c r="O328" i="2" s="1"/>
  <c r="L328" i="2"/>
  <c r="H328" i="2"/>
  <c r="I328" i="2" s="1"/>
  <c r="F328" i="2"/>
  <c r="C328" i="2"/>
  <c r="Z325" i="2"/>
  <c r="AA325" i="2" s="1"/>
  <c r="T325" i="2"/>
  <c r="Q325" i="2"/>
  <c r="R325" i="2" s="1"/>
  <c r="N325" i="2"/>
  <c r="O325" i="2" s="1"/>
  <c r="K325" i="2"/>
  <c r="L325" i="2" s="1"/>
  <c r="H325" i="2"/>
  <c r="I325" i="2" s="1"/>
  <c r="E325" i="2"/>
  <c r="F325" i="2" s="1"/>
  <c r="B325" i="2"/>
  <c r="C325" i="2" s="1"/>
  <c r="Z324" i="2"/>
  <c r="AA324" i="2" s="1"/>
  <c r="T324" i="2"/>
  <c r="U324" i="2" s="1"/>
  <c r="Q324" i="2"/>
  <c r="W324" i="2" s="1"/>
  <c r="X324" i="2" s="1"/>
  <c r="N324" i="2"/>
  <c r="O324" i="2" s="1"/>
  <c r="K324" i="2"/>
  <c r="L324" i="2" s="1"/>
  <c r="H324" i="2"/>
  <c r="I324" i="2" s="1"/>
  <c r="E324" i="2"/>
  <c r="F324" i="2" s="1"/>
  <c r="B324" i="2"/>
  <c r="C324" i="2" s="1"/>
  <c r="AC323" i="2"/>
  <c r="AD323" i="2" s="1"/>
  <c r="AA323" i="2"/>
  <c r="X323" i="2"/>
  <c r="W323" i="2"/>
  <c r="U323" i="2"/>
  <c r="R323" i="2"/>
  <c r="O323" i="2"/>
  <c r="N323" i="2"/>
  <c r="L323" i="2"/>
  <c r="H323" i="2"/>
  <c r="I323" i="2" s="1"/>
  <c r="F323" i="2"/>
  <c r="C323" i="2"/>
  <c r="AC322" i="2"/>
  <c r="AD322" i="2" s="1"/>
  <c r="AA322" i="2"/>
  <c r="W322" i="2"/>
  <c r="X322" i="2" s="1"/>
  <c r="U322" i="2"/>
  <c r="R322" i="2"/>
  <c r="O322" i="2"/>
  <c r="N322" i="2"/>
  <c r="L322" i="2"/>
  <c r="H322" i="2"/>
  <c r="I322" i="2" s="1"/>
  <c r="F322" i="2"/>
  <c r="C322" i="2"/>
  <c r="AC321" i="2"/>
  <c r="AD321" i="2" s="1"/>
  <c r="AA321" i="2"/>
  <c r="X321" i="2"/>
  <c r="W321" i="2"/>
  <c r="U321" i="2"/>
  <c r="R321" i="2"/>
  <c r="O321" i="2"/>
  <c r="N321" i="2"/>
  <c r="L321" i="2"/>
  <c r="H321" i="2"/>
  <c r="I321" i="2" s="1"/>
  <c r="F321" i="2"/>
  <c r="C321" i="2"/>
  <c r="AC320" i="2"/>
  <c r="AD320" i="2" s="1"/>
  <c r="AA320" i="2"/>
  <c r="X320" i="2"/>
  <c r="W320" i="2"/>
  <c r="U320" i="2"/>
  <c r="R320" i="2"/>
  <c r="N320" i="2"/>
  <c r="O320" i="2" s="1"/>
  <c r="L320" i="2"/>
  <c r="I320" i="2"/>
  <c r="H320" i="2"/>
  <c r="F320" i="2"/>
  <c r="C320" i="2"/>
  <c r="AC319" i="2"/>
  <c r="AD319" i="2" s="1"/>
  <c r="AA319" i="2"/>
  <c r="X319" i="2"/>
  <c r="W319" i="2"/>
  <c r="U319" i="2"/>
  <c r="R319" i="2"/>
  <c r="O319" i="2"/>
  <c r="N319" i="2"/>
  <c r="L319" i="2"/>
  <c r="H319" i="2"/>
  <c r="I319" i="2" s="1"/>
  <c r="F319" i="2"/>
  <c r="C319" i="2"/>
  <c r="AC318" i="2"/>
  <c r="AD318" i="2" s="1"/>
  <c r="AA318" i="2"/>
  <c r="W318" i="2"/>
  <c r="X318" i="2" s="1"/>
  <c r="U318" i="2"/>
  <c r="R318" i="2"/>
  <c r="O318" i="2"/>
  <c r="N318" i="2"/>
  <c r="L318" i="2"/>
  <c r="H318" i="2"/>
  <c r="I318" i="2" s="1"/>
  <c r="F318" i="2"/>
  <c r="C318" i="2"/>
  <c r="AC317" i="2"/>
  <c r="AD317" i="2" s="1"/>
  <c r="AA317" i="2"/>
  <c r="X317" i="2"/>
  <c r="W317" i="2"/>
  <c r="U317" i="2"/>
  <c r="R317" i="2"/>
  <c r="O317" i="2"/>
  <c r="N317" i="2"/>
  <c r="L317" i="2"/>
  <c r="H317" i="2"/>
  <c r="I317" i="2" s="1"/>
  <c r="F317" i="2"/>
  <c r="C317" i="2"/>
  <c r="AC316" i="2"/>
  <c r="AD316" i="2" s="1"/>
  <c r="AA316" i="2"/>
  <c r="X316" i="2"/>
  <c r="W316" i="2"/>
  <c r="U316" i="2"/>
  <c r="R316" i="2"/>
  <c r="N316" i="2"/>
  <c r="O316" i="2" s="1"/>
  <c r="L316" i="2"/>
  <c r="I316" i="2"/>
  <c r="H316" i="2"/>
  <c r="F316" i="2"/>
  <c r="C316" i="2"/>
  <c r="AC315" i="2"/>
  <c r="AD315" i="2" s="1"/>
  <c r="AA315" i="2"/>
  <c r="X315" i="2"/>
  <c r="W315" i="2"/>
  <c r="U315" i="2"/>
  <c r="R315" i="2"/>
  <c r="O315" i="2"/>
  <c r="N315" i="2"/>
  <c r="L315" i="2"/>
  <c r="H315" i="2"/>
  <c r="I315" i="2" s="1"/>
  <c r="F315" i="2"/>
  <c r="C315" i="2"/>
  <c r="AC314" i="2"/>
  <c r="AD314" i="2" s="1"/>
  <c r="AA314" i="2"/>
  <c r="W314" i="2"/>
  <c r="X314" i="2" s="1"/>
  <c r="U314" i="2"/>
  <c r="R314" i="2"/>
  <c r="O314" i="2"/>
  <c r="N314" i="2"/>
  <c r="L314" i="2"/>
  <c r="H314" i="2"/>
  <c r="I314" i="2" s="1"/>
  <c r="F314" i="2"/>
  <c r="C314" i="2"/>
  <c r="AC313" i="2"/>
  <c r="AD313" i="2" s="1"/>
  <c r="AA313" i="2"/>
  <c r="X313" i="2"/>
  <c r="W313" i="2"/>
  <c r="U313" i="2"/>
  <c r="R313" i="2"/>
  <c r="O313" i="2"/>
  <c r="N313" i="2"/>
  <c r="L313" i="2"/>
  <c r="H313" i="2"/>
  <c r="I313" i="2" s="1"/>
  <c r="F313" i="2"/>
  <c r="C313" i="2"/>
  <c r="AC312" i="2"/>
  <c r="AD312" i="2" s="1"/>
  <c r="AA312" i="2"/>
  <c r="X312" i="2"/>
  <c r="W312" i="2"/>
  <c r="U312" i="2"/>
  <c r="R312" i="2"/>
  <c r="N312" i="2"/>
  <c r="O312" i="2" s="1"/>
  <c r="L312" i="2"/>
  <c r="I312" i="2"/>
  <c r="H312" i="2"/>
  <c r="F312" i="2"/>
  <c r="C312" i="2"/>
  <c r="AC311" i="2"/>
  <c r="AD311" i="2" s="1"/>
  <c r="AA311" i="2"/>
  <c r="X311" i="2"/>
  <c r="W311" i="2"/>
  <c r="U311" i="2"/>
  <c r="R311" i="2"/>
  <c r="O311" i="2"/>
  <c r="N311" i="2"/>
  <c r="L311" i="2"/>
  <c r="H311" i="2"/>
  <c r="I311" i="2" s="1"/>
  <c r="F311" i="2"/>
  <c r="C311" i="2"/>
  <c r="AC310" i="2"/>
  <c r="AD310" i="2" s="1"/>
  <c r="AA310" i="2"/>
  <c r="W310" i="2"/>
  <c r="X310" i="2" s="1"/>
  <c r="U310" i="2"/>
  <c r="R310" i="2"/>
  <c r="O310" i="2"/>
  <c r="N310" i="2"/>
  <c r="L310" i="2"/>
  <c r="H310" i="2"/>
  <c r="I310" i="2" s="1"/>
  <c r="F310" i="2"/>
  <c r="C310" i="2"/>
  <c r="AC309" i="2"/>
  <c r="AD309" i="2" s="1"/>
  <c r="AA309" i="2"/>
  <c r="X309" i="2"/>
  <c r="W309" i="2"/>
  <c r="U309" i="2"/>
  <c r="R309" i="2"/>
  <c r="O309" i="2"/>
  <c r="N309" i="2"/>
  <c r="L309" i="2"/>
  <c r="H309" i="2"/>
  <c r="I309" i="2" s="1"/>
  <c r="F309" i="2"/>
  <c r="C309" i="2"/>
  <c r="AC308" i="2"/>
  <c r="AD308" i="2" s="1"/>
  <c r="AA308" i="2"/>
  <c r="X308" i="2"/>
  <c r="W308" i="2"/>
  <c r="U308" i="2"/>
  <c r="R308" i="2"/>
  <c r="N308" i="2"/>
  <c r="O308" i="2" s="1"/>
  <c r="L308" i="2"/>
  <c r="I308" i="2"/>
  <c r="H308" i="2"/>
  <c r="F308" i="2"/>
  <c r="C308" i="2"/>
  <c r="AC307" i="2"/>
  <c r="AD307" i="2" s="1"/>
  <c r="AA307" i="2"/>
  <c r="X307" i="2"/>
  <c r="W307" i="2"/>
  <c r="U307" i="2"/>
  <c r="R307" i="2"/>
  <c r="O307" i="2"/>
  <c r="N307" i="2"/>
  <c r="L307" i="2"/>
  <c r="H307" i="2"/>
  <c r="I307" i="2" s="1"/>
  <c r="F307" i="2"/>
  <c r="C307" i="2"/>
  <c r="AC306" i="2"/>
  <c r="AD306" i="2" s="1"/>
  <c r="AA306" i="2"/>
  <c r="W306" i="2"/>
  <c r="X306" i="2" s="1"/>
  <c r="U306" i="2"/>
  <c r="R306" i="2"/>
  <c r="O306" i="2"/>
  <c r="N306" i="2"/>
  <c r="L306" i="2"/>
  <c r="H306" i="2"/>
  <c r="I306" i="2" s="1"/>
  <c r="F306" i="2"/>
  <c r="C306" i="2"/>
  <c r="AC305" i="2"/>
  <c r="AD305" i="2" s="1"/>
  <c r="AA305" i="2"/>
  <c r="X305" i="2"/>
  <c r="W305" i="2"/>
  <c r="U305" i="2"/>
  <c r="R305" i="2"/>
  <c r="O305" i="2"/>
  <c r="N305" i="2"/>
  <c r="L305" i="2"/>
  <c r="H305" i="2"/>
  <c r="I305" i="2" s="1"/>
  <c r="F305" i="2"/>
  <c r="C305" i="2"/>
  <c r="AC304" i="2"/>
  <c r="AD304" i="2" s="1"/>
  <c r="AA304" i="2"/>
  <c r="X304" i="2"/>
  <c r="W304" i="2"/>
  <c r="U304" i="2"/>
  <c r="R304" i="2"/>
  <c r="N304" i="2"/>
  <c r="O304" i="2" s="1"/>
  <c r="L304" i="2"/>
  <c r="I304" i="2"/>
  <c r="H304" i="2"/>
  <c r="F304" i="2"/>
  <c r="C304" i="2"/>
  <c r="AC303" i="2"/>
  <c r="AD303" i="2" s="1"/>
  <c r="AA303" i="2"/>
  <c r="X303" i="2"/>
  <c r="W303" i="2"/>
  <c r="U303" i="2"/>
  <c r="R303" i="2"/>
  <c r="O303" i="2"/>
  <c r="N303" i="2"/>
  <c r="L303" i="2"/>
  <c r="H303" i="2"/>
  <c r="I303" i="2" s="1"/>
  <c r="F303" i="2"/>
  <c r="C303" i="2"/>
  <c r="AC302" i="2"/>
  <c r="AD302" i="2" s="1"/>
  <c r="AA302" i="2"/>
  <c r="W302" i="2"/>
  <c r="X302" i="2" s="1"/>
  <c r="U302" i="2"/>
  <c r="R302" i="2"/>
  <c r="O302" i="2"/>
  <c r="N302" i="2"/>
  <c r="L302" i="2"/>
  <c r="H302" i="2"/>
  <c r="I302" i="2" s="1"/>
  <c r="F302" i="2"/>
  <c r="C302" i="2"/>
  <c r="AC301" i="2"/>
  <c r="AD301" i="2" s="1"/>
  <c r="AA301" i="2"/>
  <c r="X301" i="2"/>
  <c r="W301" i="2"/>
  <c r="U301" i="2"/>
  <c r="R301" i="2"/>
  <c r="O301" i="2"/>
  <c r="N301" i="2"/>
  <c r="L301" i="2"/>
  <c r="H301" i="2"/>
  <c r="I301" i="2" s="1"/>
  <c r="F301" i="2"/>
  <c r="C301" i="2"/>
  <c r="AC300" i="2"/>
  <c r="AD300" i="2" s="1"/>
  <c r="AA300" i="2"/>
  <c r="X300" i="2"/>
  <c r="W300" i="2"/>
  <c r="U300" i="2"/>
  <c r="R300" i="2"/>
  <c r="N300" i="2"/>
  <c r="O300" i="2" s="1"/>
  <c r="L300" i="2"/>
  <c r="I300" i="2"/>
  <c r="H300" i="2"/>
  <c r="F300" i="2"/>
  <c r="C300" i="2"/>
  <c r="AC299" i="2"/>
  <c r="AD299" i="2" s="1"/>
  <c r="AA299" i="2"/>
  <c r="X299" i="2"/>
  <c r="W299" i="2"/>
  <c r="U299" i="2"/>
  <c r="R299" i="2"/>
  <c r="O299" i="2"/>
  <c r="N299" i="2"/>
  <c r="L299" i="2"/>
  <c r="H299" i="2"/>
  <c r="I299" i="2" s="1"/>
  <c r="F299" i="2"/>
  <c r="C299" i="2"/>
  <c r="AC298" i="2"/>
  <c r="AD298" i="2" s="1"/>
  <c r="AA298" i="2"/>
  <c r="W298" i="2"/>
  <c r="X298" i="2" s="1"/>
  <c r="U298" i="2"/>
  <c r="R298" i="2"/>
  <c r="O298" i="2"/>
  <c r="N298" i="2"/>
  <c r="L298" i="2"/>
  <c r="H298" i="2"/>
  <c r="I298" i="2" s="1"/>
  <c r="F298" i="2"/>
  <c r="C298" i="2"/>
  <c r="AC297" i="2"/>
  <c r="AD297" i="2" s="1"/>
  <c r="AA297" i="2"/>
  <c r="X297" i="2"/>
  <c r="W297" i="2"/>
  <c r="U297" i="2"/>
  <c r="R297" i="2"/>
  <c r="O297" i="2"/>
  <c r="N297" i="2"/>
  <c r="L297" i="2"/>
  <c r="H297" i="2"/>
  <c r="I297" i="2" s="1"/>
  <c r="F297" i="2"/>
  <c r="C297" i="2"/>
  <c r="Z295" i="2"/>
  <c r="AA295" i="2" s="1"/>
  <c r="T295" i="2"/>
  <c r="U295" i="2" s="1"/>
  <c r="Q295" i="2"/>
  <c r="K295" i="2"/>
  <c r="L295" i="2" s="1"/>
  <c r="E295" i="2"/>
  <c r="F295" i="2" s="1"/>
  <c r="C295" i="2"/>
  <c r="B295" i="2"/>
  <c r="AC294" i="2"/>
  <c r="AD294" i="2" s="1"/>
  <c r="AA294" i="2"/>
  <c r="W294" i="2"/>
  <c r="X294" i="2" s="1"/>
  <c r="U294" i="2"/>
  <c r="R294" i="2"/>
  <c r="O294" i="2"/>
  <c r="N294" i="2"/>
  <c r="L294" i="2"/>
  <c r="H294" i="2"/>
  <c r="I294" i="2" s="1"/>
  <c r="F294" i="2"/>
  <c r="C294" i="2"/>
  <c r="AC293" i="2"/>
  <c r="AD293" i="2" s="1"/>
  <c r="AA293" i="2"/>
  <c r="X293" i="2"/>
  <c r="W293" i="2"/>
  <c r="U293" i="2"/>
  <c r="R293" i="2"/>
  <c r="O293" i="2"/>
  <c r="N293" i="2"/>
  <c r="L293" i="2"/>
  <c r="H293" i="2"/>
  <c r="I293" i="2" s="1"/>
  <c r="F293" i="2"/>
  <c r="C293" i="2"/>
  <c r="AC292" i="2"/>
  <c r="AD292" i="2" s="1"/>
  <c r="AA292" i="2"/>
  <c r="X292" i="2"/>
  <c r="W292" i="2"/>
  <c r="U292" i="2"/>
  <c r="R292" i="2"/>
  <c r="N292" i="2"/>
  <c r="O292" i="2" s="1"/>
  <c r="L292" i="2"/>
  <c r="H292" i="2"/>
  <c r="I292" i="2" s="1"/>
  <c r="F292" i="2"/>
  <c r="C292" i="2"/>
  <c r="AC291" i="2"/>
  <c r="AD291" i="2" s="1"/>
  <c r="AA291" i="2"/>
  <c r="X291" i="2"/>
  <c r="W291" i="2"/>
  <c r="U291" i="2"/>
  <c r="R291" i="2"/>
  <c r="O291" i="2"/>
  <c r="N291" i="2"/>
  <c r="L291" i="2"/>
  <c r="H291" i="2"/>
  <c r="I291" i="2" s="1"/>
  <c r="F291" i="2"/>
  <c r="C291" i="2"/>
  <c r="AC290" i="2"/>
  <c r="AD290" i="2" s="1"/>
  <c r="AA290" i="2"/>
  <c r="W290" i="2"/>
  <c r="X290" i="2" s="1"/>
  <c r="U290" i="2"/>
  <c r="R290" i="2"/>
  <c r="O290" i="2"/>
  <c r="N290" i="2"/>
  <c r="L290" i="2"/>
  <c r="H290" i="2"/>
  <c r="I290" i="2" s="1"/>
  <c r="F290" i="2"/>
  <c r="C290" i="2"/>
  <c r="AC289" i="2"/>
  <c r="AD289" i="2" s="1"/>
  <c r="AA289" i="2"/>
  <c r="X289" i="2"/>
  <c r="W289" i="2"/>
  <c r="U289" i="2"/>
  <c r="R289" i="2"/>
  <c r="O289" i="2"/>
  <c r="N289" i="2"/>
  <c r="L289" i="2"/>
  <c r="H289" i="2"/>
  <c r="I289" i="2" s="1"/>
  <c r="F289" i="2"/>
  <c r="C289" i="2"/>
  <c r="AC288" i="2"/>
  <c r="AD288" i="2" s="1"/>
  <c r="AA288" i="2"/>
  <c r="X288" i="2"/>
  <c r="W288" i="2"/>
  <c r="U288" i="2"/>
  <c r="R288" i="2"/>
  <c r="N288" i="2"/>
  <c r="O288" i="2" s="1"/>
  <c r="L288" i="2"/>
  <c r="H288" i="2"/>
  <c r="I288" i="2" s="1"/>
  <c r="F288" i="2"/>
  <c r="C288" i="2"/>
  <c r="AC287" i="2"/>
  <c r="AD287" i="2" s="1"/>
  <c r="AA287" i="2"/>
  <c r="X287" i="2"/>
  <c r="W287" i="2"/>
  <c r="U287" i="2"/>
  <c r="R287" i="2"/>
  <c r="O287" i="2"/>
  <c r="N287" i="2"/>
  <c r="L287" i="2"/>
  <c r="H287" i="2"/>
  <c r="I287" i="2" s="1"/>
  <c r="F287" i="2"/>
  <c r="C287" i="2"/>
  <c r="AC286" i="2"/>
  <c r="AD286" i="2" s="1"/>
  <c r="AA286" i="2"/>
  <c r="W286" i="2"/>
  <c r="X286" i="2" s="1"/>
  <c r="U286" i="2"/>
  <c r="R286" i="2"/>
  <c r="O286" i="2"/>
  <c r="N286" i="2"/>
  <c r="L286" i="2"/>
  <c r="H286" i="2"/>
  <c r="I286" i="2" s="1"/>
  <c r="F286" i="2"/>
  <c r="C286" i="2"/>
  <c r="AC284" i="2"/>
  <c r="AD284" i="2" s="1"/>
  <c r="Z284" i="2"/>
  <c r="AA284" i="2" s="1"/>
  <c r="T284" i="2"/>
  <c r="U284" i="2" s="1"/>
  <c r="Q284" i="2"/>
  <c r="N284" i="2"/>
  <c r="O284" i="2" s="1"/>
  <c r="K284" i="2"/>
  <c r="L284" i="2" s="1"/>
  <c r="F284" i="2"/>
  <c r="E284" i="2"/>
  <c r="B284" i="2"/>
  <c r="AC283" i="2"/>
  <c r="AD283" i="2" s="1"/>
  <c r="AA283" i="2"/>
  <c r="W283" i="2"/>
  <c r="X283" i="2" s="1"/>
  <c r="U283" i="2"/>
  <c r="R283" i="2"/>
  <c r="O283" i="2"/>
  <c r="N283" i="2"/>
  <c r="L283" i="2"/>
  <c r="H283" i="2"/>
  <c r="I283" i="2" s="1"/>
  <c r="F283" i="2"/>
  <c r="C283" i="2"/>
  <c r="AC282" i="2"/>
  <c r="AD282" i="2" s="1"/>
  <c r="AA282" i="2"/>
  <c r="W282" i="2"/>
  <c r="U282" i="2"/>
  <c r="R282" i="2"/>
  <c r="O282" i="2"/>
  <c r="N282" i="2"/>
  <c r="L282" i="2"/>
  <c r="H282" i="2"/>
  <c r="I282" i="2" s="1"/>
  <c r="F282" i="2"/>
  <c r="C282" i="2"/>
  <c r="AD281" i="2"/>
  <c r="AC281" i="2"/>
  <c r="AA281" i="2"/>
  <c r="X281" i="2"/>
  <c r="W281" i="2"/>
  <c r="U281" i="2"/>
  <c r="R281" i="2"/>
  <c r="N281" i="2"/>
  <c r="O281" i="2" s="1"/>
  <c r="L281" i="2"/>
  <c r="H281" i="2"/>
  <c r="I281" i="2" s="1"/>
  <c r="F281" i="2"/>
  <c r="C281" i="2"/>
  <c r="AC280" i="2"/>
  <c r="AD280" i="2" s="1"/>
  <c r="AA280" i="2"/>
  <c r="W280" i="2"/>
  <c r="U280" i="2"/>
  <c r="R280" i="2"/>
  <c r="N280" i="2"/>
  <c r="O280" i="2" s="1"/>
  <c r="L280" i="2"/>
  <c r="H280" i="2"/>
  <c r="I280" i="2" s="1"/>
  <c r="F280" i="2"/>
  <c r="C280" i="2"/>
  <c r="AC279" i="2"/>
  <c r="AD279" i="2" s="1"/>
  <c r="AA279" i="2"/>
  <c r="X279" i="2"/>
  <c r="W279" i="2"/>
  <c r="U279" i="2"/>
  <c r="R279" i="2"/>
  <c r="O279" i="2"/>
  <c r="N279" i="2"/>
  <c r="L279" i="2"/>
  <c r="H279" i="2"/>
  <c r="I279" i="2" s="1"/>
  <c r="F279" i="2"/>
  <c r="C279" i="2"/>
  <c r="AC278" i="2"/>
  <c r="AD278" i="2" s="1"/>
  <c r="AA278" i="2"/>
  <c r="W278" i="2"/>
  <c r="U278" i="2"/>
  <c r="R278" i="2"/>
  <c r="O278" i="2"/>
  <c r="N278" i="2"/>
  <c r="L278" i="2"/>
  <c r="H278" i="2"/>
  <c r="I278" i="2" s="1"/>
  <c r="F278" i="2"/>
  <c r="C278" i="2"/>
  <c r="AD277" i="2"/>
  <c r="AC277" i="2"/>
  <c r="AA277" i="2"/>
  <c r="X277" i="2"/>
  <c r="W277" i="2"/>
  <c r="U277" i="2"/>
  <c r="R277" i="2"/>
  <c r="N277" i="2"/>
  <c r="O277" i="2" s="1"/>
  <c r="L277" i="2"/>
  <c r="H277" i="2"/>
  <c r="I277" i="2" s="1"/>
  <c r="F277" i="2"/>
  <c r="C277" i="2"/>
  <c r="AC276" i="2"/>
  <c r="AD276" i="2" s="1"/>
  <c r="AA276" i="2"/>
  <c r="W276" i="2"/>
  <c r="U276" i="2"/>
  <c r="R276" i="2"/>
  <c r="N276" i="2"/>
  <c r="O276" i="2" s="1"/>
  <c r="L276" i="2"/>
  <c r="H276" i="2"/>
  <c r="I276" i="2" s="1"/>
  <c r="F276" i="2"/>
  <c r="C276" i="2"/>
  <c r="AC275" i="2"/>
  <c r="AD275" i="2" s="1"/>
  <c r="AA275" i="2"/>
  <c r="X275" i="2"/>
  <c r="W275" i="2"/>
  <c r="U275" i="2"/>
  <c r="R275" i="2"/>
  <c r="O275" i="2"/>
  <c r="N275" i="2"/>
  <c r="L275" i="2"/>
  <c r="H275" i="2"/>
  <c r="I275" i="2" s="1"/>
  <c r="F275" i="2"/>
  <c r="C275" i="2"/>
  <c r="Z273" i="2"/>
  <c r="AA273" i="2" s="1"/>
  <c r="U273" i="2"/>
  <c r="T273" i="2"/>
  <c r="Q273" i="2"/>
  <c r="R273" i="2" s="1"/>
  <c r="K273" i="2"/>
  <c r="L273" i="2" s="1"/>
  <c r="E273" i="2"/>
  <c r="B273" i="2"/>
  <c r="C273" i="2" s="1"/>
  <c r="AC272" i="2"/>
  <c r="AD272" i="2" s="1"/>
  <c r="AA272" i="2"/>
  <c r="X272" i="2"/>
  <c r="W272" i="2"/>
  <c r="U272" i="2"/>
  <c r="R272" i="2"/>
  <c r="N272" i="2"/>
  <c r="O272" i="2" s="1"/>
  <c r="L272" i="2"/>
  <c r="I272" i="2"/>
  <c r="H272" i="2"/>
  <c r="F272" i="2"/>
  <c r="C272" i="2"/>
  <c r="AC271" i="2"/>
  <c r="AD271" i="2" s="1"/>
  <c r="AA271" i="2"/>
  <c r="X271" i="2"/>
  <c r="W271" i="2"/>
  <c r="U271" i="2"/>
  <c r="R271" i="2"/>
  <c r="O271" i="2"/>
  <c r="N271" i="2"/>
  <c r="L271" i="2"/>
  <c r="H271" i="2"/>
  <c r="I271" i="2" s="1"/>
  <c r="F271" i="2"/>
  <c r="C271" i="2"/>
  <c r="AC270" i="2"/>
  <c r="AD270" i="2" s="1"/>
  <c r="AA270" i="2"/>
  <c r="W270" i="2"/>
  <c r="X270" i="2" s="1"/>
  <c r="U270" i="2"/>
  <c r="R270" i="2"/>
  <c r="O270" i="2"/>
  <c r="N270" i="2"/>
  <c r="L270" i="2"/>
  <c r="H270" i="2"/>
  <c r="I270" i="2" s="1"/>
  <c r="F270" i="2"/>
  <c r="C270" i="2"/>
  <c r="AD269" i="2"/>
  <c r="AC269" i="2"/>
  <c r="AA269" i="2"/>
  <c r="X269" i="2"/>
  <c r="W269" i="2"/>
  <c r="U269" i="2"/>
  <c r="R269" i="2"/>
  <c r="N269" i="2"/>
  <c r="O269" i="2" s="1"/>
  <c r="L269" i="2"/>
  <c r="H269" i="2"/>
  <c r="I269" i="2" s="1"/>
  <c r="F269" i="2"/>
  <c r="C269" i="2"/>
  <c r="AC267" i="2"/>
  <c r="AD267" i="2" s="1"/>
  <c r="Z267" i="2"/>
  <c r="AA267" i="2" s="1"/>
  <c r="W267" i="2"/>
  <c r="X267" i="2" s="1"/>
  <c r="T267" i="2"/>
  <c r="U267" i="2" s="1"/>
  <c r="Q267" i="2"/>
  <c r="R267" i="2" s="1"/>
  <c r="K267" i="2"/>
  <c r="L267" i="2" s="1"/>
  <c r="E267" i="2"/>
  <c r="F267" i="2" s="1"/>
  <c r="B267" i="2"/>
  <c r="AC266" i="2"/>
  <c r="AD266" i="2" s="1"/>
  <c r="AA266" i="2"/>
  <c r="W266" i="2"/>
  <c r="X266" i="2" s="1"/>
  <c r="U266" i="2"/>
  <c r="R266" i="2"/>
  <c r="O266" i="2"/>
  <c r="N266" i="2"/>
  <c r="L266" i="2"/>
  <c r="H266" i="2"/>
  <c r="I266" i="2" s="1"/>
  <c r="F266" i="2"/>
  <c r="C266" i="2"/>
  <c r="AC265" i="2"/>
  <c r="AD265" i="2" s="1"/>
  <c r="AA265" i="2"/>
  <c r="X265" i="2"/>
  <c r="W265" i="2"/>
  <c r="U265" i="2"/>
  <c r="R265" i="2"/>
  <c r="O265" i="2"/>
  <c r="N265" i="2"/>
  <c r="L265" i="2"/>
  <c r="H265" i="2"/>
  <c r="I265" i="2" s="1"/>
  <c r="F265" i="2"/>
  <c r="C265" i="2"/>
  <c r="AC263" i="2"/>
  <c r="AD263" i="2" s="1"/>
  <c r="Z263" i="2"/>
  <c r="AA263" i="2" s="1"/>
  <c r="W263" i="2"/>
  <c r="T263" i="2"/>
  <c r="U263" i="2" s="1"/>
  <c r="Q263" i="2"/>
  <c r="R263" i="2" s="1"/>
  <c r="K263" i="2"/>
  <c r="E263" i="2"/>
  <c r="F263" i="2" s="1"/>
  <c r="C263" i="2"/>
  <c r="B263" i="2"/>
  <c r="H263" i="2" s="1"/>
  <c r="I263" i="2" s="1"/>
  <c r="AC262" i="2"/>
  <c r="AD262" i="2" s="1"/>
  <c r="Z262" i="2"/>
  <c r="AA262" i="2" s="1"/>
  <c r="U262" i="2"/>
  <c r="T262" i="2"/>
  <c r="W262" i="2" s="1"/>
  <c r="X262" i="2" s="1"/>
  <c r="Q262" i="2"/>
  <c r="R262" i="2" s="1"/>
  <c r="K262" i="2"/>
  <c r="L262" i="2" s="1"/>
  <c r="H262" i="2"/>
  <c r="I262" i="2" s="1"/>
  <c r="E262" i="2"/>
  <c r="F262" i="2" s="1"/>
  <c r="B262" i="2"/>
  <c r="C262" i="2" s="1"/>
  <c r="AC261" i="2"/>
  <c r="AD261" i="2" s="1"/>
  <c r="AA261" i="2"/>
  <c r="W261" i="2"/>
  <c r="U261" i="2"/>
  <c r="R261" i="2"/>
  <c r="N261" i="2"/>
  <c r="O261" i="2" s="1"/>
  <c r="L261" i="2"/>
  <c r="H261" i="2"/>
  <c r="I261" i="2" s="1"/>
  <c r="F261" i="2"/>
  <c r="C261" i="2"/>
  <c r="AC260" i="2"/>
  <c r="AD260" i="2" s="1"/>
  <c r="AA260" i="2"/>
  <c r="W260" i="2"/>
  <c r="X260" i="2" s="1"/>
  <c r="U260" i="2"/>
  <c r="R260" i="2"/>
  <c r="O260" i="2"/>
  <c r="N260" i="2"/>
  <c r="L260" i="2"/>
  <c r="H260" i="2"/>
  <c r="I260" i="2" s="1"/>
  <c r="F260" i="2"/>
  <c r="C260" i="2"/>
  <c r="AC259" i="2"/>
  <c r="AD259" i="2" s="1"/>
  <c r="AA259" i="2"/>
  <c r="W259" i="2"/>
  <c r="U259" i="2"/>
  <c r="R259" i="2"/>
  <c r="O259" i="2"/>
  <c r="N259" i="2"/>
  <c r="L259" i="2"/>
  <c r="H259" i="2"/>
  <c r="I259" i="2" s="1"/>
  <c r="F259" i="2"/>
  <c r="C259" i="2"/>
  <c r="AD258" i="2"/>
  <c r="AC258" i="2"/>
  <c r="AA258" i="2"/>
  <c r="W258" i="2"/>
  <c r="U258" i="2"/>
  <c r="R258" i="2"/>
  <c r="N258" i="2"/>
  <c r="O258" i="2" s="1"/>
  <c r="L258" i="2"/>
  <c r="H258" i="2"/>
  <c r="I258" i="2" s="1"/>
  <c r="F258" i="2"/>
  <c r="C258" i="2"/>
  <c r="AC257" i="2"/>
  <c r="AD257" i="2" s="1"/>
  <c r="AA257" i="2"/>
  <c r="W257" i="2"/>
  <c r="U257" i="2"/>
  <c r="R257" i="2"/>
  <c r="O257" i="2"/>
  <c r="N257" i="2"/>
  <c r="L257" i="2"/>
  <c r="I257" i="2"/>
  <c r="H257" i="2"/>
  <c r="F257" i="2"/>
  <c r="C257" i="2"/>
  <c r="AC256" i="2"/>
  <c r="AD256" i="2" s="1"/>
  <c r="AA256" i="2"/>
  <c r="W256" i="2"/>
  <c r="X256" i="2" s="1"/>
  <c r="U256" i="2"/>
  <c r="R256" i="2"/>
  <c r="O256" i="2"/>
  <c r="N256" i="2"/>
  <c r="L256" i="2"/>
  <c r="H256" i="2"/>
  <c r="I256" i="2" s="1"/>
  <c r="F256" i="2"/>
  <c r="C256" i="2"/>
  <c r="AC255" i="2"/>
  <c r="AD255" i="2" s="1"/>
  <c r="AA255" i="2"/>
  <c r="W255" i="2"/>
  <c r="U255" i="2"/>
  <c r="R255" i="2"/>
  <c r="O255" i="2"/>
  <c r="N255" i="2"/>
  <c r="L255" i="2"/>
  <c r="H255" i="2"/>
  <c r="I255" i="2" s="1"/>
  <c r="F255" i="2"/>
  <c r="C255" i="2"/>
  <c r="AC254" i="2"/>
  <c r="AD254" i="2" s="1"/>
  <c r="AA254" i="2"/>
  <c r="X254" i="2"/>
  <c r="W254" i="2"/>
  <c r="U254" i="2"/>
  <c r="R254" i="2"/>
  <c r="O254" i="2"/>
  <c r="N254" i="2"/>
  <c r="L254" i="2"/>
  <c r="H254" i="2"/>
  <c r="I254" i="2" s="1"/>
  <c r="F254" i="2"/>
  <c r="C254" i="2"/>
  <c r="AC253" i="2"/>
  <c r="AD253" i="2" s="1"/>
  <c r="AA253" i="2"/>
  <c r="X253" i="2"/>
  <c r="W253" i="2"/>
  <c r="U253" i="2"/>
  <c r="R253" i="2"/>
  <c r="O253" i="2"/>
  <c r="N253" i="2"/>
  <c r="L253" i="2"/>
  <c r="H253" i="2"/>
  <c r="I253" i="2" s="1"/>
  <c r="F253" i="2"/>
  <c r="C253" i="2"/>
  <c r="AC252" i="2"/>
  <c r="AD252" i="2" s="1"/>
  <c r="AA252" i="2"/>
  <c r="W252" i="2"/>
  <c r="X252" i="2" s="1"/>
  <c r="U252" i="2"/>
  <c r="R252" i="2"/>
  <c r="O252" i="2"/>
  <c r="N252" i="2"/>
  <c r="L252" i="2"/>
  <c r="H252" i="2"/>
  <c r="I252" i="2" s="1"/>
  <c r="F252" i="2"/>
  <c r="C252" i="2"/>
  <c r="AC251" i="2"/>
  <c r="AD251" i="2" s="1"/>
  <c r="AA251" i="2"/>
  <c r="W251" i="2"/>
  <c r="U251" i="2"/>
  <c r="R251" i="2"/>
  <c r="O251" i="2"/>
  <c r="N251" i="2"/>
  <c r="L251" i="2"/>
  <c r="H251" i="2"/>
  <c r="I251" i="2" s="1"/>
  <c r="F251" i="2"/>
  <c r="C251" i="2"/>
  <c r="AD250" i="2"/>
  <c r="AC250" i="2"/>
  <c r="AA250" i="2"/>
  <c r="X250" i="2"/>
  <c r="W250" i="2"/>
  <c r="U250" i="2"/>
  <c r="R250" i="2"/>
  <c r="N250" i="2"/>
  <c r="O250" i="2" s="1"/>
  <c r="L250" i="2"/>
  <c r="H250" i="2"/>
  <c r="I250" i="2" s="1"/>
  <c r="F250" i="2"/>
  <c r="C250" i="2"/>
  <c r="AC249" i="2"/>
  <c r="AD249" i="2" s="1"/>
  <c r="AA249" i="2"/>
  <c r="W249" i="2"/>
  <c r="U249" i="2"/>
  <c r="R249" i="2"/>
  <c r="O249" i="2"/>
  <c r="N249" i="2"/>
  <c r="L249" i="2"/>
  <c r="I249" i="2"/>
  <c r="H249" i="2"/>
  <c r="F249" i="2"/>
  <c r="C249" i="2"/>
  <c r="AC248" i="2"/>
  <c r="AD248" i="2" s="1"/>
  <c r="AA248" i="2"/>
  <c r="X248" i="2"/>
  <c r="W248" i="2"/>
  <c r="U248" i="2"/>
  <c r="R248" i="2"/>
  <c r="O248" i="2"/>
  <c r="N248" i="2"/>
  <c r="L248" i="2"/>
  <c r="H248" i="2"/>
  <c r="I248" i="2" s="1"/>
  <c r="F248" i="2"/>
  <c r="C248" i="2"/>
  <c r="AC247" i="2"/>
  <c r="AD247" i="2" s="1"/>
  <c r="AA247" i="2"/>
  <c r="W247" i="2"/>
  <c r="U247" i="2"/>
  <c r="R247" i="2"/>
  <c r="O247" i="2"/>
  <c r="N247" i="2"/>
  <c r="L247" i="2"/>
  <c r="H247" i="2"/>
  <c r="I247" i="2" s="1"/>
  <c r="F247" i="2"/>
  <c r="C247" i="2"/>
  <c r="AC246" i="2"/>
  <c r="AD246" i="2" s="1"/>
  <c r="AA246" i="2"/>
  <c r="X246" i="2"/>
  <c r="W246" i="2"/>
  <c r="U246" i="2"/>
  <c r="R246" i="2"/>
  <c r="O246" i="2"/>
  <c r="N246" i="2"/>
  <c r="L246" i="2"/>
  <c r="H246" i="2"/>
  <c r="I246" i="2" s="1"/>
  <c r="F246" i="2"/>
  <c r="C246" i="2"/>
  <c r="AC245" i="2"/>
  <c r="AD245" i="2" s="1"/>
  <c r="AA245" i="2"/>
  <c r="X245" i="2"/>
  <c r="W245" i="2"/>
  <c r="U245" i="2"/>
  <c r="R245" i="2"/>
  <c r="O245" i="2"/>
  <c r="N245" i="2"/>
  <c r="L245" i="2"/>
  <c r="H245" i="2"/>
  <c r="I245" i="2" s="1"/>
  <c r="F245" i="2"/>
  <c r="C245" i="2"/>
  <c r="AC244" i="2"/>
  <c r="AD244" i="2" s="1"/>
  <c r="AA244" i="2"/>
  <c r="W244" i="2"/>
  <c r="X244" i="2" s="1"/>
  <c r="U244" i="2"/>
  <c r="R244" i="2"/>
  <c r="O244" i="2"/>
  <c r="N244" i="2"/>
  <c r="L244" i="2"/>
  <c r="H244" i="2"/>
  <c r="I244" i="2" s="1"/>
  <c r="F244" i="2"/>
  <c r="C244" i="2"/>
  <c r="AC243" i="2"/>
  <c r="AD243" i="2" s="1"/>
  <c r="AA243" i="2"/>
  <c r="W243" i="2"/>
  <c r="U243" i="2"/>
  <c r="R243" i="2"/>
  <c r="O243" i="2"/>
  <c r="N243" i="2"/>
  <c r="L243" i="2"/>
  <c r="H243" i="2"/>
  <c r="I243" i="2" s="1"/>
  <c r="F243" i="2"/>
  <c r="C243" i="2"/>
  <c r="AC242" i="2"/>
  <c r="AD242" i="2" s="1"/>
  <c r="AA242" i="2"/>
  <c r="W242" i="2"/>
  <c r="U242" i="2"/>
  <c r="R242" i="2"/>
  <c r="N242" i="2"/>
  <c r="O242" i="2" s="1"/>
  <c r="L242" i="2"/>
  <c r="H242" i="2"/>
  <c r="I242" i="2" s="1"/>
  <c r="F242" i="2"/>
  <c r="C242" i="2"/>
  <c r="AC241" i="2"/>
  <c r="AD241" i="2" s="1"/>
  <c r="AA241" i="2"/>
  <c r="W241" i="2"/>
  <c r="U241" i="2"/>
  <c r="R241" i="2"/>
  <c r="O241" i="2"/>
  <c r="N241" i="2"/>
  <c r="L241" i="2"/>
  <c r="I241" i="2"/>
  <c r="H241" i="2"/>
  <c r="F241" i="2"/>
  <c r="C241" i="2"/>
  <c r="AC240" i="2"/>
  <c r="AD240" i="2" s="1"/>
  <c r="AA240" i="2"/>
  <c r="X240" i="2"/>
  <c r="W240" i="2"/>
  <c r="U240" i="2"/>
  <c r="R240" i="2"/>
  <c r="O240" i="2"/>
  <c r="N240" i="2"/>
  <c r="L240" i="2"/>
  <c r="H240" i="2"/>
  <c r="I240" i="2" s="1"/>
  <c r="F240" i="2"/>
  <c r="C240" i="2"/>
  <c r="AC238" i="2"/>
  <c r="AD238" i="2" s="1"/>
  <c r="AA238" i="2"/>
  <c r="W238" i="2"/>
  <c r="U238" i="2"/>
  <c r="R238" i="2"/>
  <c r="O238" i="2"/>
  <c r="N238" i="2"/>
  <c r="L238" i="2"/>
  <c r="H238" i="2"/>
  <c r="I238" i="2" s="1"/>
  <c r="F238" i="2"/>
  <c r="C238" i="2"/>
  <c r="AC236" i="2"/>
  <c r="AD236" i="2" s="1"/>
  <c r="Z236" i="2"/>
  <c r="AA236" i="2" s="1"/>
  <c r="T236" i="2"/>
  <c r="U236" i="2" s="1"/>
  <c r="Q236" i="2"/>
  <c r="K236" i="2"/>
  <c r="L236" i="2" s="1"/>
  <c r="F236" i="2"/>
  <c r="E236" i="2"/>
  <c r="B236" i="2"/>
  <c r="AC235" i="2"/>
  <c r="AD235" i="2" s="1"/>
  <c r="AA235" i="2"/>
  <c r="W235" i="2"/>
  <c r="X235" i="2" s="1"/>
  <c r="U235" i="2"/>
  <c r="R235" i="2"/>
  <c r="O235" i="2"/>
  <c r="N235" i="2"/>
  <c r="L235" i="2"/>
  <c r="H235" i="2"/>
  <c r="I235" i="2" s="1"/>
  <c r="F235" i="2"/>
  <c r="C235" i="2"/>
  <c r="AC234" i="2"/>
  <c r="AD234" i="2" s="1"/>
  <c r="AA234" i="2"/>
  <c r="W234" i="2"/>
  <c r="U234" i="2"/>
  <c r="R234" i="2"/>
  <c r="O234" i="2"/>
  <c r="N234" i="2"/>
  <c r="L234" i="2"/>
  <c r="H234" i="2"/>
  <c r="I234" i="2" s="1"/>
  <c r="F234" i="2"/>
  <c r="C234" i="2"/>
  <c r="AD233" i="2"/>
  <c r="AC233" i="2"/>
  <c r="AA233" i="2"/>
  <c r="W233" i="2"/>
  <c r="U233" i="2"/>
  <c r="R233" i="2"/>
  <c r="N233" i="2"/>
  <c r="O233" i="2" s="1"/>
  <c r="L233" i="2"/>
  <c r="H233" i="2"/>
  <c r="I233" i="2" s="1"/>
  <c r="F233" i="2"/>
  <c r="C233" i="2"/>
  <c r="AC232" i="2"/>
  <c r="AD232" i="2" s="1"/>
  <c r="AA232" i="2"/>
  <c r="W232" i="2"/>
  <c r="U232" i="2"/>
  <c r="R232" i="2"/>
  <c r="O232" i="2"/>
  <c r="N232" i="2"/>
  <c r="L232" i="2"/>
  <c r="I232" i="2"/>
  <c r="H232" i="2"/>
  <c r="F232" i="2"/>
  <c r="C232" i="2"/>
  <c r="AC231" i="2"/>
  <c r="AD231" i="2" s="1"/>
  <c r="AA231" i="2"/>
  <c r="W231" i="2"/>
  <c r="X231" i="2" s="1"/>
  <c r="U231" i="2"/>
  <c r="R231" i="2"/>
  <c r="O231" i="2"/>
  <c r="N231" i="2"/>
  <c r="L231" i="2"/>
  <c r="H231" i="2"/>
  <c r="I231" i="2" s="1"/>
  <c r="F231" i="2"/>
  <c r="C231" i="2"/>
  <c r="AC230" i="2"/>
  <c r="AD230" i="2" s="1"/>
  <c r="AA230" i="2"/>
  <c r="W230" i="2"/>
  <c r="U230" i="2"/>
  <c r="R230" i="2"/>
  <c r="O230" i="2"/>
  <c r="N230" i="2"/>
  <c r="L230" i="2"/>
  <c r="H230" i="2"/>
  <c r="I230" i="2" s="1"/>
  <c r="F230" i="2"/>
  <c r="C230" i="2"/>
  <c r="AC229" i="2"/>
  <c r="AD229" i="2" s="1"/>
  <c r="AA229" i="2"/>
  <c r="X229" i="2"/>
  <c r="W229" i="2"/>
  <c r="U229" i="2"/>
  <c r="R229" i="2"/>
  <c r="O229" i="2"/>
  <c r="N229" i="2"/>
  <c r="L229" i="2"/>
  <c r="H229" i="2"/>
  <c r="I229" i="2" s="1"/>
  <c r="F229" i="2"/>
  <c r="C229" i="2"/>
  <c r="Z227" i="2"/>
  <c r="W227" i="2"/>
  <c r="T227" i="2"/>
  <c r="U227" i="2" s="1"/>
  <c r="Q227" i="2"/>
  <c r="R227" i="2" s="1"/>
  <c r="N227" i="2"/>
  <c r="O227" i="2" s="1"/>
  <c r="K227" i="2"/>
  <c r="L227" i="2" s="1"/>
  <c r="E227" i="2"/>
  <c r="F227" i="2" s="1"/>
  <c r="C227" i="2"/>
  <c r="B227" i="2"/>
  <c r="H227" i="2" s="1"/>
  <c r="I227" i="2" s="1"/>
  <c r="AC226" i="2"/>
  <c r="AD226" i="2" s="1"/>
  <c r="AA226" i="2"/>
  <c r="W226" i="2"/>
  <c r="U226" i="2"/>
  <c r="R226" i="2"/>
  <c r="O226" i="2"/>
  <c r="N226" i="2"/>
  <c r="L226" i="2"/>
  <c r="H226" i="2"/>
  <c r="I226" i="2" s="1"/>
  <c r="F226" i="2"/>
  <c r="C226" i="2"/>
  <c r="AD225" i="2"/>
  <c r="AC225" i="2"/>
  <c r="AA225" i="2"/>
  <c r="X225" i="2"/>
  <c r="W225" i="2"/>
  <c r="U225" i="2"/>
  <c r="R225" i="2"/>
  <c r="N225" i="2"/>
  <c r="O225" i="2" s="1"/>
  <c r="L225" i="2"/>
  <c r="H225" i="2"/>
  <c r="I225" i="2" s="1"/>
  <c r="F225" i="2"/>
  <c r="C225" i="2"/>
  <c r="AC224" i="2"/>
  <c r="AD224" i="2" s="1"/>
  <c r="AA224" i="2"/>
  <c r="X224" i="2"/>
  <c r="W224" i="2"/>
  <c r="U224" i="2"/>
  <c r="R224" i="2"/>
  <c r="O224" i="2"/>
  <c r="N224" i="2"/>
  <c r="L224" i="2"/>
  <c r="H224" i="2"/>
  <c r="I224" i="2" s="1"/>
  <c r="F224" i="2"/>
  <c r="C224" i="2"/>
  <c r="AC223" i="2"/>
  <c r="AD223" i="2" s="1"/>
  <c r="AA223" i="2"/>
  <c r="W223" i="2"/>
  <c r="X223" i="2" s="1"/>
  <c r="U223" i="2"/>
  <c r="R223" i="2"/>
  <c r="O223" i="2"/>
  <c r="N223" i="2"/>
  <c r="L223" i="2"/>
  <c r="H223" i="2"/>
  <c r="I223" i="2" s="1"/>
  <c r="F223" i="2"/>
  <c r="C223" i="2"/>
  <c r="AC222" i="2"/>
  <c r="AD222" i="2" s="1"/>
  <c r="AA222" i="2"/>
  <c r="W222" i="2"/>
  <c r="U222" i="2"/>
  <c r="R222" i="2"/>
  <c r="O222" i="2"/>
  <c r="N222" i="2"/>
  <c r="L222" i="2"/>
  <c r="H222" i="2"/>
  <c r="I222" i="2" s="1"/>
  <c r="F222" i="2"/>
  <c r="C222" i="2"/>
  <c r="AD221" i="2"/>
  <c r="AC221" i="2"/>
  <c r="AA221" i="2"/>
  <c r="W221" i="2"/>
  <c r="U221" i="2"/>
  <c r="R221" i="2"/>
  <c r="O221" i="2"/>
  <c r="N221" i="2"/>
  <c r="L221" i="2"/>
  <c r="H221" i="2"/>
  <c r="I221" i="2" s="1"/>
  <c r="F221" i="2"/>
  <c r="C221" i="2"/>
  <c r="AC220" i="2"/>
  <c r="AD220" i="2" s="1"/>
  <c r="AA220" i="2"/>
  <c r="X220" i="2"/>
  <c r="W220" i="2"/>
  <c r="U220" i="2"/>
  <c r="R220" i="2"/>
  <c r="O220" i="2"/>
  <c r="N220" i="2"/>
  <c r="L220" i="2"/>
  <c r="H220" i="2"/>
  <c r="I220" i="2" s="1"/>
  <c r="F220" i="2"/>
  <c r="C220" i="2"/>
  <c r="AC219" i="2"/>
  <c r="AD219" i="2" s="1"/>
  <c r="AA219" i="2"/>
  <c r="X219" i="2"/>
  <c r="W219" i="2"/>
  <c r="U219" i="2"/>
  <c r="R219" i="2"/>
  <c r="O219" i="2"/>
  <c r="N219" i="2"/>
  <c r="L219" i="2"/>
  <c r="H219" i="2"/>
  <c r="I219" i="2" s="1"/>
  <c r="F219" i="2"/>
  <c r="C219" i="2"/>
  <c r="AC218" i="2"/>
  <c r="AD218" i="2" s="1"/>
  <c r="Z218" i="2"/>
  <c r="AA218" i="2" s="1"/>
  <c r="W218" i="2"/>
  <c r="X218" i="2" s="1"/>
  <c r="T218" i="2"/>
  <c r="U218" i="2" s="1"/>
  <c r="Q218" i="2"/>
  <c r="R218" i="2" s="1"/>
  <c r="K218" i="2"/>
  <c r="L218" i="2" s="1"/>
  <c r="E218" i="2"/>
  <c r="B218" i="2"/>
  <c r="C218" i="2" s="1"/>
  <c r="AC217" i="2"/>
  <c r="AD217" i="2" s="1"/>
  <c r="AA217" i="2"/>
  <c r="W217" i="2"/>
  <c r="U217" i="2"/>
  <c r="R217" i="2"/>
  <c r="O217" i="2"/>
  <c r="N217" i="2"/>
  <c r="L217" i="2"/>
  <c r="I217" i="2"/>
  <c r="H217" i="2"/>
  <c r="F217" i="2"/>
  <c r="C217" i="2"/>
  <c r="AC216" i="2"/>
  <c r="AD216" i="2" s="1"/>
  <c r="AA216" i="2"/>
  <c r="X216" i="2"/>
  <c r="W216" i="2"/>
  <c r="U216" i="2"/>
  <c r="R216" i="2"/>
  <c r="O216" i="2"/>
  <c r="N216" i="2"/>
  <c r="L216" i="2"/>
  <c r="H216" i="2"/>
  <c r="I216" i="2" s="1"/>
  <c r="F216" i="2"/>
  <c r="C216" i="2"/>
  <c r="AC215" i="2"/>
  <c r="AD215" i="2" s="1"/>
  <c r="AA215" i="2"/>
  <c r="W215" i="2"/>
  <c r="U215" i="2"/>
  <c r="R215" i="2"/>
  <c r="O215" i="2"/>
  <c r="N215" i="2"/>
  <c r="L215" i="2"/>
  <c r="H215" i="2"/>
  <c r="I215" i="2" s="1"/>
  <c r="F215" i="2"/>
  <c r="C215" i="2"/>
  <c r="AC214" i="2"/>
  <c r="AD214" i="2" s="1"/>
  <c r="AA214" i="2"/>
  <c r="X214" i="2"/>
  <c r="W214" i="2"/>
  <c r="U214" i="2"/>
  <c r="R214" i="2"/>
  <c r="O214" i="2"/>
  <c r="N214" i="2"/>
  <c r="L214" i="2"/>
  <c r="H214" i="2"/>
  <c r="I214" i="2" s="1"/>
  <c r="F214" i="2"/>
  <c r="C214" i="2"/>
  <c r="AC213" i="2"/>
  <c r="AD213" i="2" s="1"/>
  <c r="AA213" i="2"/>
  <c r="X213" i="2"/>
  <c r="W213" i="2"/>
  <c r="U213" i="2"/>
  <c r="R213" i="2"/>
  <c r="O213" i="2"/>
  <c r="N213" i="2"/>
  <c r="L213" i="2"/>
  <c r="H213" i="2"/>
  <c r="I213" i="2" s="1"/>
  <c r="F213" i="2"/>
  <c r="C213" i="2"/>
  <c r="AC211" i="2"/>
  <c r="AD211" i="2" s="1"/>
  <c r="AA211" i="2"/>
  <c r="W211" i="2"/>
  <c r="X211" i="2" s="1"/>
  <c r="U211" i="2"/>
  <c r="R211" i="2"/>
  <c r="O211" i="2"/>
  <c r="N211" i="2"/>
  <c r="L211" i="2"/>
  <c r="H211" i="2"/>
  <c r="I211" i="2" s="1"/>
  <c r="F211" i="2"/>
  <c r="C211" i="2"/>
  <c r="Z209" i="2"/>
  <c r="AA209" i="2" s="1"/>
  <c r="T209" i="2"/>
  <c r="U209" i="2" s="1"/>
  <c r="Q209" i="2"/>
  <c r="K209" i="2"/>
  <c r="L209" i="2" s="1"/>
  <c r="E209" i="2"/>
  <c r="B209" i="2"/>
  <c r="C209" i="2" s="1"/>
  <c r="AC208" i="2"/>
  <c r="AD208" i="2" s="1"/>
  <c r="AA208" i="2"/>
  <c r="X208" i="2"/>
  <c r="W208" i="2"/>
  <c r="U208" i="2"/>
  <c r="R208" i="2"/>
  <c r="O208" i="2"/>
  <c r="N208" i="2"/>
  <c r="L208" i="2"/>
  <c r="I208" i="2"/>
  <c r="H208" i="2"/>
  <c r="F208" i="2"/>
  <c r="C208" i="2"/>
  <c r="AC207" i="2"/>
  <c r="AD207" i="2" s="1"/>
  <c r="AA207" i="2"/>
  <c r="W207" i="2"/>
  <c r="X207" i="2" s="1"/>
  <c r="U207" i="2"/>
  <c r="R207" i="2"/>
  <c r="O207" i="2"/>
  <c r="N207" i="2"/>
  <c r="L207" i="2"/>
  <c r="H207" i="2"/>
  <c r="I207" i="2" s="1"/>
  <c r="F207" i="2"/>
  <c r="C207" i="2"/>
  <c r="AC206" i="2"/>
  <c r="AD206" i="2" s="1"/>
  <c r="AA206" i="2"/>
  <c r="W206" i="2"/>
  <c r="U206" i="2"/>
  <c r="R206" i="2"/>
  <c r="O206" i="2"/>
  <c r="N206" i="2"/>
  <c r="L206" i="2"/>
  <c r="H206" i="2"/>
  <c r="I206" i="2" s="1"/>
  <c r="F206" i="2"/>
  <c r="C206" i="2"/>
  <c r="AD205" i="2"/>
  <c r="AC205" i="2"/>
  <c r="AA205" i="2"/>
  <c r="W205" i="2"/>
  <c r="U205" i="2"/>
  <c r="R205" i="2"/>
  <c r="N205" i="2"/>
  <c r="O205" i="2" s="1"/>
  <c r="L205" i="2"/>
  <c r="H205" i="2"/>
  <c r="I205" i="2" s="1"/>
  <c r="F205" i="2"/>
  <c r="C205" i="2"/>
  <c r="AC204" i="2"/>
  <c r="AD204" i="2" s="1"/>
  <c r="AA204" i="2"/>
  <c r="W204" i="2"/>
  <c r="U204" i="2"/>
  <c r="R204" i="2"/>
  <c r="O204" i="2"/>
  <c r="N204" i="2"/>
  <c r="L204" i="2"/>
  <c r="I204" i="2"/>
  <c r="H204" i="2"/>
  <c r="F204" i="2"/>
  <c r="C204" i="2"/>
  <c r="AC203" i="2"/>
  <c r="AD203" i="2" s="1"/>
  <c r="AA203" i="2"/>
  <c r="W203" i="2"/>
  <c r="X203" i="2" s="1"/>
  <c r="U203" i="2"/>
  <c r="R203" i="2"/>
  <c r="O203" i="2"/>
  <c r="N203" i="2"/>
  <c r="L203" i="2"/>
  <c r="H203" i="2"/>
  <c r="I203" i="2" s="1"/>
  <c r="F203" i="2"/>
  <c r="C203" i="2"/>
  <c r="AC202" i="2"/>
  <c r="AD202" i="2" s="1"/>
  <c r="AA202" i="2"/>
  <c r="W202" i="2"/>
  <c r="U202" i="2"/>
  <c r="R202" i="2"/>
  <c r="O202" i="2"/>
  <c r="N202" i="2"/>
  <c r="L202" i="2"/>
  <c r="H202" i="2"/>
  <c r="I202" i="2" s="1"/>
  <c r="F202" i="2"/>
  <c r="C202" i="2"/>
  <c r="AC201" i="2"/>
  <c r="AD201" i="2" s="1"/>
  <c r="AA201" i="2"/>
  <c r="X201" i="2"/>
  <c r="W201" i="2"/>
  <c r="U201" i="2"/>
  <c r="R201" i="2"/>
  <c r="O201" i="2"/>
  <c r="N201" i="2"/>
  <c r="L201" i="2"/>
  <c r="H201" i="2"/>
  <c r="I201" i="2" s="1"/>
  <c r="F201" i="2"/>
  <c r="C201" i="2"/>
  <c r="K198" i="2"/>
  <c r="Z197" i="2"/>
  <c r="AA197" i="2" s="1"/>
  <c r="T197" i="2"/>
  <c r="U197" i="2" s="1"/>
  <c r="Q197" i="2"/>
  <c r="K197" i="2"/>
  <c r="L197" i="2" s="1"/>
  <c r="E197" i="2"/>
  <c r="B197" i="2"/>
  <c r="C197" i="2" s="1"/>
  <c r="AA196" i="2"/>
  <c r="Z196" i="2"/>
  <c r="AC196" i="2" s="1"/>
  <c r="AD196" i="2" s="1"/>
  <c r="T196" i="2"/>
  <c r="U196" i="2" s="1"/>
  <c r="Q196" i="2"/>
  <c r="R196" i="2" s="1"/>
  <c r="K196" i="2"/>
  <c r="L196" i="2" s="1"/>
  <c r="E196" i="2"/>
  <c r="F196" i="2" s="1"/>
  <c r="C196" i="2"/>
  <c r="B196" i="2"/>
  <c r="AC195" i="2"/>
  <c r="AD195" i="2" s="1"/>
  <c r="AA195" i="2"/>
  <c r="W195" i="2"/>
  <c r="U195" i="2"/>
  <c r="R195" i="2"/>
  <c r="O195" i="2"/>
  <c r="N195" i="2"/>
  <c r="L195" i="2"/>
  <c r="H195" i="2"/>
  <c r="I195" i="2" s="1"/>
  <c r="F195" i="2"/>
  <c r="C195" i="2"/>
  <c r="AC194" i="2"/>
  <c r="AD194" i="2" s="1"/>
  <c r="AA194" i="2"/>
  <c r="X194" i="2"/>
  <c r="W194" i="2"/>
  <c r="U194" i="2"/>
  <c r="R194" i="2"/>
  <c r="O194" i="2"/>
  <c r="N194" i="2"/>
  <c r="L194" i="2"/>
  <c r="H194" i="2"/>
  <c r="I194" i="2" s="1"/>
  <c r="F194" i="2"/>
  <c r="C194" i="2"/>
  <c r="Z193" i="2"/>
  <c r="AA193" i="2" s="1"/>
  <c r="T193" i="2"/>
  <c r="U193" i="2" s="1"/>
  <c r="Q193" i="2"/>
  <c r="K193" i="2"/>
  <c r="L193" i="2" s="1"/>
  <c r="E193" i="2"/>
  <c r="F193" i="2" s="1"/>
  <c r="C193" i="2"/>
  <c r="B193" i="2"/>
  <c r="AC192" i="2"/>
  <c r="AD192" i="2" s="1"/>
  <c r="AA192" i="2"/>
  <c r="W192" i="2"/>
  <c r="U192" i="2"/>
  <c r="R192" i="2"/>
  <c r="O192" i="2"/>
  <c r="N192" i="2"/>
  <c r="L192" i="2"/>
  <c r="H192" i="2"/>
  <c r="I192" i="2" s="1"/>
  <c r="F192" i="2"/>
  <c r="C192" i="2"/>
  <c r="AC191" i="2"/>
  <c r="AD191" i="2" s="1"/>
  <c r="AA191" i="2"/>
  <c r="X191" i="2"/>
  <c r="W191" i="2"/>
  <c r="U191" i="2"/>
  <c r="R191" i="2"/>
  <c r="O191" i="2"/>
  <c r="N191" i="2"/>
  <c r="L191" i="2"/>
  <c r="H191" i="2"/>
  <c r="I191" i="2" s="1"/>
  <c r="F191" i="2"/>
  <c r="C191" i="2"/>
  <c r="AC190" i="2"/>
  <c r="AD190" i="2" s="1"/>
  <c r="AA190" i="2"/>
  <c r="X190" i="2"/>
  <c r="W190" i="2"/>
  <c r="U190" i="2"/>
  <c r="R190" i="2"/>
  <c r="O190" i="2"/>
  <c r="N190" i="2"/>
  <c r="L190" i="2"/>
  <c r="H190" i="2"/>
  <c r="I190" i="2" s="1"/>
  <c r="F190" i="2"/>
  <c r="C190" i="2"/>
  <c r="AC189" i="2"/>
  <c r="AD189" i="2" s="1"/>
  <c r="AA189" i="2"/>
  <c r="W189" i="2"/>
  <c r="X189" i="2" s="1"/>
  <c r="U189" i="2"/>
  <c r="R189" i="2"/>
  <c r="O189" i="2"/>
  <c r="N189" i="2"/>
  <c r="L189" i="2"/>
  <c r="H189" i="2"/>
  <c r="I189" i="2" s="1"/>
  <c r="F189" i="2"/>
  <c r="C189" i="2"/>
  <c r="AC188" i="2"/>
  <c r="AD188" i="2" s="1"/>
  <c r="AA188" i="2"/>
  <c r="W188" i="2"/>
  <c r="U188" i="2"/>
  <c r="R188" i="2"/>
  <c r="O188" i="2"/>
  <c r="N188" i="2"/>
  <c r="L188" i="2"/>
  <c r="H188" i="2"/>
  <c r="I188" i="2" s="1"/>
  <c r="F188" i="2"/>
  <c r="C188" i="2"/>
  <c r="AD187" i="2"/>
  <c r="AC187" i="2"/>
  <c r="AA187" i="2"/>
  <c r="W187" i="2"/>
  <c r="U187" i="2"/>
  <c r="R187" i="2"/>
  <c r="N187" i="2"/>
  <c r="O187" i="2" s="1"/>
  <c r="L187" i="2"/>
  <c r="H187" i="2"/>
  <c r="I187" i="2" s="1"/>
  <c r="F187" i="2"/>
  <c r="C187" i="2"/>
  <c r="AC186" i="2"/>
  <c r="AD186" i="2" s="1"/>
  <c r="AA186" i="2"/>
  <c r="W186" i="2"/>
  <c r="U186" i="2"/>
  <c r="R186" i="2"/>
  <c r="O186" i="2"/>
  <c r="N186" i="2"/>
  <c r="L186" i="2"/>
  <c r="I186" i="2"/>
  <c r="H186" i="2"/>
  <c r="F186" i="2"/>
  <c r="C186" i="2"/>
  <c r="AC184" i="2"/>
  <c r="AD184" i="2" s="1"/>
  <c r="AA184" i="2"/>
  <c r="W184" i="2"/>
  <c r="X184" i="2" s="1"/>
  <c r="U184" i="2"/>
  <c r="R184" i="2"/>
  <c r="O184" i="2"/>
  <c r="N184" i="2"/>
  <c r="L184" i="2"/>
  <c r="H184" i="2"/>
  <c r="I184" i="2" s="1"/>
  <c r="F184" i="2"/>
  <c r="C184" i="2"/>
  <c r="AC183" i="2"/>
  <c r="AD183" i="2" s="1"/>
  <c r="AA183" i="2"/>
  <c r="W183" i="2"/>
  <c r="U183" i="2"/>
  <c r="R183" i="2"/>
  <c r="O183" i="2"/>
  <c r="N183" i="2"/>
  <c r="L183" i="2"/>
  <c r="H183" i="2"/>
  <c r="I183" i="2" s="1"/>
  <c r="F183" i="2"/>
  <c r="C183" i="2"/>
  <c r="Z182" i="2"/>
  <c r="AA182" i="2" s="1"/>
  <c r="T182" i="2"/>
  <c r="U182" i="2" s="1"/>
  <c r="R182" i="2"/>
  <c r="Q182" i="2"/>
  <c r="K182" i="2"/>
  <c r="L182" i="2" s="1"/>
  <c r="F182" i="2"/>
  <c r="E182" i="2"/>
  <c r="B182" i="2"/>
  <c r="C182" i="2" s="1"/>
  <c r="AC181" i="2"/>
  <c r="AD181" i="2" s="1"/>
  <c r="AA181" i="2"/>
  <c r="W181" i="2"/>
  <c r="X181" i="2" s="1"/>
  <c r="U181" i="2"/>
  <c r="R181" i="2"/>
  <c r="O181" i="2"/>
  <c r="N181" i="2"/>
  <c r="L181" i="2"/>
  <c r="H181" i="2"/>
  <c r="I181" i="2" s="1"/>
  <c r="F181" i="2"/>
  <c r="C181" i="2"/>
  <c r="AC180" i="2"/>
  <c r="AD180" i="2" s="1"/>
  <c r="AA180" i="2"/>
  <c r="W180" i="2"/>
  <c r="U180" i="2"/>
  <c r="R180" i="2"/>
  <c r="O180" i="2"/>
  <c r="N180" i="2"/>
  <c r="L180" i="2"/>
  <c r="H180" i="2"/>
  <c r="I180" i="2" s="1"/>
  <c r="F180" i="2"/>
  <c r="C180" i="2"/>
  <c r="AC179" i="2"/>
  <c r="AD179" i="2" s="1"/>
  <c r="AA179" i="2"/>
  <c r="W179" i="2"/>
  <c r="U179" i="2"/>
  <c r="R179" i="2"/>
  <c r="N179" i="2"/>
  <c r="O179" i="2" s="1"/>
  <c r="L179" i="2"/>
  <c r="H179" i="2"/>
  <c r="I179" i="2" s="1"/>
  <c r="F179" i="2"/>
  <c r="C179" i="2"/>
  <c r="AC178" i="2"/>
  <c r="AD178" i="2" s="1"/>
  <c r="AA178" i="2"/>
  <c r="W178" i="2"/>
  <c r="U178" i="2"/>
  <c r="R178" i="2"/>
  <c r="O178" i="2"/>
  <c r="N178" i="2"/>
  <c r="L178" i="2"/>
  <c r="I178" i="2"/>
  <c r="H178" i="2"/>
  <c r="F178" i="2"/>
  <c r="C178" i="2"/>
  <c r="AC177" i="2"/>
  <c r="AD177" i="2" s="1"/>
  <c r="AA177" i="2"/>
  <c r="X177" i="2"/>
  <c r="W177" i="2"/>
  <c r="U177" i="2"/>
  <c r="R177" i="2"/>
  <c r="O177" i="2"/>
  <c r="N177" i="2"/>
  <c r="L177" i="2"/>
  <c r="H177" i="2"/>
  <c r="I177" i="2" s="1"/>
  <c r="F177" i="2"/>
  <c r="C177" i="2"/>
  <c r="AC175" i="2"/>
  <c r="AD175" i="2" s="1"/>
  <c r="AA175" i="2"/>
  <c r="W175" i="2"/>
  <c r="U175" i="2"/>
  <c r="R175" i="2"/>
  <c r="O175" i="2"/>
  <c r="N175" i="2"/>
  <c r="L175" i="2"/>
  <c r="H175" i="2"/>
  <c r="I175" i="2" s="1"/>
  <c r="F175" i="2"/>
  <c r="C175" i="2"/>
  <c r="T172" i="2"/>
  <c r="E172" i="2"/>
  <c r="F172" i="2" s="1"/>
  <c r="Z171" i="2"/>
  <c r="AA171" i="2" s="1"/>
  <c r="W171" i="2"/>
  <c r="X171" i="2" s="1"/>
  <c r="T171" i="2"/>
  <c r="U171" i="2" s="1"/>
  <c r="Q171" i="2"/>
  <c r="R171" i="2" s="1"/>
  <c r="L171" i="2"/>
  <c r="K171" i="2"/>
  <c r="E171" i="2"/>
  <c r="F171" i="2" s="1"/>
  <c r="B171" i="2"/>
  <c r="Z170" i="2"/>
  <c r="AA170" i="2" s="1"/>
  <c r="T170" i="2"/>
  <c r="U170" i="2" s="1"/>
  <c r="Q170" i="2"/>
  <c r="K170" i="2"/>
  <c r="L170" i="2" s="1"/>
  <c r="E170" i="2"/>
  <c r="F170" i="2" s="1"/>
  <c r="B170" i="2"/>
  <c r="AC169" i="2"/>
  <c r="AD169" i="2" s="1"/>
  <c r="AA169" i="2"/>
  <c r="W169" i="2"/>
  <c r="X169" i="2" s="1"/>
  <c r="U169" i="2"/>
  <c r="R169" i="2"/>
  <c r="O169" i="2"/>
  <c r="N169" i="2"/>
  <c r="L169" i="2"/>
  <c r="H169" i="2"/>
  <c r="I169" i="2" s="1"/>
  <c r="F169" i="2"/>
  <c r="C169" i="2"/>
  <c r="AC168" i="2"/>
  <c r="AD168" i="2" s="1"/>
  <c r="AA168" i="2"/>
  <c r="W168" i="2"/>
  <c r="U168" i="2"/>
  <c r="R168" i="2"/>
  <c r="O168" i="2"/>
  <c r="N168" i="2"/>
  <c r="L168" i="2"/>
  <c r="H168" i="2"/>
  <c r="I168" i="2" s="1"/>
  <c r="F168" i="2"/>
  <c r="C168" i="2"/>
  <c r="AD167" i="2"/>
  <c r="AC167" i="2"/>
  <c r="AA167" i="2"/>
  <c r="W167" i="2"/>
  <c r="U167" i="2"/>
  <c r="R167" i="2"/>
  <c r="O167" i="2"/>
  <c r="N167" i="2"/>
  <c r="L167" i="2"/>
  <c r="H167" i="2"/>
  <c r="I167" i="2" s="1"/>
  <c r="F167" i="2"/>
  <c r="C167" i="2"/>
  <c r="Z166" i="2"/>
  <c r="AA166" i="2" s="1"/>
  <c r="T166" i="2"/>
  <c r="U166" i="2" s="1"/>
  <c r="Q166" i="2"/>
  <c r="K166" i="2"/>
  <c r="L166" i="2" s="1"/>
  <c r="E166" i="2"/>
  <c r="F166" i="2" s="1"/>
  <c r="C166" i="2"/>
  <c r="B166" i="2"/>
  <c r="AC165" i="2"/>
  <c r="AD165" i="2" s="1"/>
  <c r="AA165" i="2"/>
  <c r="W165" i="2"/>
  <c r="U165" i="2"/>
  <c r="R165" i="2"/>
  <c r="O165" i="2"/>
  <c r="N165" i="2"/>
  <c r="L165" i="2"/>
  <c r="H165" i="2"/>
  <c r="I165" i="2" s="1"/>
  <c r="F165" i="2"/>
  <c r="C165" i="2"/>
  <c r="AD164" i="2"/>
  <c r="AC164" i="2"/>
  <c r="AA164" i="2"/>
  <c r="X164" i="2"/>
  <c r="W164" i="2"/>
  <c r="U164" i="2"/>
  <c r="R164" i="2"/>
  <c r="N164" i="2"/>
  <c r="O164" i="2" s="1"/>
  <c r="L164" i="2"/>
  <c r="H164" i="2"/>
  <c r="I164" i="2" s="1"/>
  <c r="F164" i="2"/>
  <c r="C164" i="2"/>
  <c r="AC163" i="2"/>
  <c r="AD163" i="2" s="1"/>
  <c r="AA163" i="2"/>
  <c r="W163" i="2"/>
  <c r="U163" i="2"/>
  <c r="R163" i="2"/>
  <c r="O163" i="2"/>
  <c r="N163" i="2"/>
  <c r="L163" i="2"/>
  <c r="I163" i="2"/>
  <c r="H163" i="2"/>
  <c r="F163" i="2"/>
  <c r="C163" i="2"/>
  <c r="AC162" i="2"/>
  <c r="AD162" i="2" s="1"/>
  <c r="AA162" i="2"/>
  <c r="X162" i="2"/>
  <c r="W162" i="2"/>
  <c r="U162" i="2"/>
  <c r="R162" i="2"/>
  <c r="O162" i="2"/>
  <c r="N162" i="2"/>
  <c r="L162" i="2"/>
  <c r="H162" i="2"/>
  <c r="I162" i="2" s="1"/>
  <c r="F162" i="2"/>
  <c r="C162" i="2"/>
  <c r="AC161" i="2"/>
  <c r="AD161" i="2" s="1"/>
  <c r="AA161" i="2"/>
  <c r="W161" i="2"/>
  <c r="U161" i="2"/>
  <c r="R161" i="2"/>
  <c r="O161" i="2"/>
  <c r="N161" i="2"/>
  <c r="L161" i="2"/>
  <c r="H161" i="2"/>
  <c r="I161" i="2" s="1"/>
  <c r="F161" i="2"/>
  <c r="C161" i="2"/>
  <c r="AC160" i="2"/>
  <c r="AD160" i="2" s="1"/>
  <c r="AA160" i="2"/>
  <c r="X160" i="2"/>
  <c r="W160" i="2"/>
  <c r="U160" i="2"/>
  <c r="R160" i="2"/>
  <c r="O160" i="2"/>
  <c r="N160" i="2"/>
  <c r="L160" i="2"/>
  <c r="H160" i="2"/>
  <c r="I160" i="2" s="1"/>
  <c r="F160" i="2"/>
  <c r="C160" i="2"/>
  <c r="Z158" i="2"/>
  <c r="AA158" i="2" s="1"/>
  <c r="T158" i="2"/>
  <c r="U158" i="2" s="1"/>
  <c r="Q158" i="2"/>
  <c r="O158" i="2"/>
  <c r="K158" i="2"/>
  <c r="L158" i="2" s="1"/>
  <c r="E158" i="2"/>
  <c r="F158" i="2" s="1"/>
  <c r="C158" i="2"/>
  <c r="B158" i="2"/>
  <c r="N158" i="2" s="1"/>
  <c r="AC157" i="2"/>
  <c r="AD157" i="2" s="1"/>
  <c r="AA157" i="2"/>
  <c r="W157" i="2"/>
  <c r="U157" i="2"/>
  <c r="R157" i="2"/>
  <c r="O157" i="2"/>
  <c r="N157" i="2"/>
  <c r="L157" i="2"/>
  <c r="H157" i="2"/>
  <c r="I157" i="2" s="1"/>
  <c r="F157" i="2"/>
  <c r="C157" i="2"/>
  <c r="AC156" i="2"/>
  <c r="AD156" i="2" s="1"/>
  <c r="AA156" i="2"/>
  <c r="X156" i="2"/>
  <c r="W156" i="2"/>
  <c r="U156" i="2"/>
  <c r="R156" i="2"/>
  <c r="O156" i="2"/>
  <c r="N156" i="2"/>
  <c r="L156" i="2"/>
  <c r="H156" i="2"/>
  <c r="I156" i="2" s="1"/>
  <c r="F156" i="2"/>
  <c r="C156" i="2"/>
  <c r="AC155" i="2"/>
  <c r="AD155" i="2" s="1"/>
  <c r="AA155" i="2"/>
  <c r="X155" i="2"/>
  <c r="W155" i="2"/>
  <c r="U155" i="2"/>
  <c r="R155" i="2"/>
  <c r="O155" i="2"/>
  <c r="N155" i="2"/>
  <c r="L155" i="2"/>
  <c r="I155" i="2"/>
  <c r="H155" i="2"/>
  <c r="F155" i="2"/>
  <c r="C155" i="2"/>
  <c r="AC154" i="2"/>
  <c r="AD154" i="2" s="1"/>
  <c r="AA154" i="2"/>
  <c r="W154" i="2"/>
  <c r="X154" i="2" s="1"/>
  <c r="U154" i="2"/>
  <c r="R154" i="2"/>
  <c r="O154" i="2"/>
  <c r="N154" i="2"/>
  <c r="L154" i="2"/>
  <c r="H154" i="2"/>
  <c r="I154" i="2" s="1"/>
  <c r="F154" i="2"/>
  <c r="C154" i="2"/>
  <c r="AC153" i="2"/>
  <c r="AD153" i="2" s="1"/>
  <c r="AA153" i="2"/>
  <c r="W153" i="2"/>
  <c r="U153" i="2"/>
  <c r="R153" i="2"/>
  <c r="O153" i="2"/>
  <c r="N153" i="2"/>
  <c r="L153" i="2"/>
  <c r="H153" i="2"/>
  <c r="I153" i="2" s="1"/>
  <c r="F153" i="2"/>
  <c r="C153" i="2"/>
  <c r="AD151" i="2"/>
  <c r="AC151" i="2"/>
  <c r="AA151" i="2"/>
  <c r="W151" i="2"/>
  <c r="U151" i="2"/>
  <c r="R151" i="2"/>
  <c r="N151" i="2"/>
  <c r="O151" i="2" s="1"/>
  <c r="L151" i="2"/>
  <c r="H151" i="2"/>
  <c r="I151" i="2" s="1"/>
  <c r="F151" i="2"/>
  <c r="C151" i="2"/>
  <c r="AA149" i="2"/>
  <c r="Z149" i="2"/>
  <c r="T149" i="2"/>
  <c r="U149" i="2" s="1"/>
  <c r="Q149" i="2"/>
  <c r="K149" i="2"/>
  <c r="H149" i="2"/>
  <c r="I149" i="2" s="1"/>
  <c r="E149" i="2"/>
  <c r="F149" i="2" s="1"/>
  <c r="C149" i="2"/>
  <c r="B149" i="2"/>
  <c r="AC148" i="2"/>
  <c r="AD148" i="2" s="1"/>
  <c r="Z148" i="2"/>
  <c r="AA148" i="2" s="1"/>
  <c r="U148" i="2"/>
  <c r="T148" i="2"/>
  <c r="W148" i="2" s="1"/>
  <c r="X148" i="2" s="1"/>
  <c r="Q148" i="2"/>
  <c r="R148" i="2" s="1"/>
  <c r="K148" i="2"/>
  <c r="L148" i="2" s="1"/>
  <c r="E148" i="2"/>
  <c r="F148" i="2" s="1"/>
  <c r="B148" i="2"/>
  <c r="AC147" i="2"/>
  <c r="AD147" i="2" s="1"/>
  <c r="AA147" i="2"/>
  <c r="X147" i="2"/>
  <c r="W147" i="2"/>
  <c r="U147" i="2"/>
  <c r="R147" i="2"/>
  <c r="O147" i="2"/>
  <c r="N147" i="2"/>
  <c r="L147" i="2"/>
  <c r="H147" i="2"/>
  <c r="I147" i="2" s="1"/>
  <c r="F147" i="2"/>
  <c r="C147" i="2"/>
  <c r="AC146" i="2"/>
  <c r="AD146" i="2" s="1"/>
  <c r="AA146" i="2"/>
  <c r="X146" i="2"/>
  <c r="W146" i="2"/>
  <c r="U146" i="2"/>
  <c r="R146" i="2"/>
  <c r="O146" i="2"/>
  <c r="N146" i="2"/>
  <c r="L146" i="2"/>
  <c r="H146" i="2"/>
  <c r="I146" i="2" s="1"/>
  <c r="F146" i="2"/>
  <c r="C146" i="2"/>
  <c r="AC145" i="2"/>
  <c r="AD145" i="2" s="1"/>
  <c r="AA145" i="2"/>
  <c r="X145" i="2"/>
  <c r="W145" i="2"/>
  <c r="U145" i="2"/>
  <c r="R145" i="2"/>
  <c r="O145" i="2"/>
  <c r="N145" i="2"/>
  <c r="L145" i="2"/>
  <c r="H145" i="2"/>
  <c r="I145" i="2" s="1"/>
  <c r="F145" i="2"/>
  <c r="C145" i="2"/>
  <c r="AC144" i="2"/>
  <c r="AD144" i="2" s="1"/>
  <c r="AA144" i="2"/>
  <c r="W144" i="2"/>
  <c r="U144" i="2"/>
  <c r="R144" i="2"/>
  <c r="N144" i="2"/>
  <c r="O144" i="2" s="1"/>
  <c r="L144" i="2"/>
  <c r="I144" i="2"/>
  <c r="H144" i="2"/>
  <c r="F144" i="2"/>
  <c r="C144" i="2"/>
  <c r="AC143" i="2"/>
  <c r="AD143" i="2" s="1"/>
  <c r="AA143" i="2"/>
  <c r="W143" i="2"/>
  <c r="X143" i="2" s="1"/>
  <c r="U143" i="2"/>
  <c r="R143" i="2"/>
  <c r="O143" i="2"/>
  <c r="N143" i="2"/>
  <c r="L143" i="2"/>
  <c r="H143" i="2"/>
  <c r="I143" i="2" s="1"/>
  <c r="F143" i="2"/>
  <c r="C143" i="2"/>
  <c r="Z141" i="2"/>
  <c r="AA141" i="2" s="1"/>
  <c r="T141" i="2"/>
  <c r="U141" i="2" s="1"/>
  <c r="Q141" i="2"/>
  <c r="N141" i="2"/>
  <c r="O141" i="2" s="1"/>
  <c r="K141" i="2"/>
  <c r="L141" i="2" s="1"/>
  <c r="H141" i="2"/>
  <c r="I141" i="2" s="1"/>
  <c r="E141" i="2"/>
  <c r="F141" i="2" s="1"/>
  <c r="B141" i="2"/>
  <c r="C141" i="2" s="1"/>
  <c r="AC140" i="2"/>
  <c r="AD140" i="2" s="1"/>
  <c r="AA140" i="2"/>
  <c r="X140" i="2"/>
  <c r="W140" i="2"/>
  <c r="U140" i="2"/>
  <c r="R140" i="2"/>
  <c r="N140" i="2"/>
  <c r="O140" i="2" s="1"/>
  <c r="L140" i="2"/>
  <c r="H140" i="2"/>
  <c r="I140" i="2" s="1"/>
  <c r="F140" i="2"/>
  <c r="C140" i="2"/>
  <c r="AC139" i="2"/>
  <c r="AD139" i="2" s="1"/>
  <c r="AA139" i="2"/>
  <c r="X139" i="2"/>
  <c r="W139" i="2"/>
  <c r="U139" i="2"/>
  <c r="R139" i="2"/>
  <c r="O139" i="2"/>
  <c r="N139" i="2"/>
  <c r="L139" i="2"/>
  <c r="H139" i="2"/>
  <c r="I139" i="2" s="1"/>
  <c r="F139" i="2"/>
  <c r="C139" i="2"/>
  <c r="AC138" i="2"/>
  <c r="AD138" i="2" s="1"/>
  <c r="AA138" i="2"/>
  <c r="X138" i="2"/>
  <c r="W138" i="2"/>
  <c r="U138" i="2"/>
  <c r="R138" i="2"/>
  <c r="O138" i="2"/>
  <c r="N138" i="2"/>
  <c r="L138" i="2"/>
  <c r="H138" i="2"/>
  <c r="I138" i="2" s="1"/>
  <c r="F138" i="2"/>
  <c r="C138" i="2"/>
  <c r="AC137" i="2"/>
  <c r="AD137" i="2" s="1"/>
  <c r="AA137" i="2"/>
  <c r="W137" i="2"/>
  <c r="U137" i="2"/>
  <c r="R137" i="2"/>
  <c r="N137" i="2"/>
  <c r="O137" i="2" s="1"/>
  <c r="L137" i="2"/>
  <c r="H137" i="2"/>
  <c r="I137" i="2" s="1"/>
  <c r="F137" i="2"/>
  <c r="C137" i="2"/>
  <c r="AC136" i="2"/>
  <c r="AD136" i="2" s="1"/>
  <c r="AA136" i="2"/>
  <c r="X136" i="2"/>
  <c r="W136" i="2"/>
  <c r="U136" i="2"/>
  <c r="R136" i="2"/>
  <c r="O136" i="2"/>
  <c r="N136" i="2"/>
  <c r="L136" i="2"/>
  <c r="H136" i="2"/>
  <c r="I136" i="2" s="1"/>
  <c r="F136" i="2"/>
  <c r="C136" i="2"/>
  <c r="AC135" i="2"/>
  <c r="AD135" i="2" s="1"/>
  <c r="AA135" i="2"/>
  <c r="W135" i="2"/>
  <c r="X135" i="2" s="1"/>
  <c r="U135" i="2"/>
  <c r="R135" i="2"/>
  <c r="O135" i="2"/>
  <c r="N135" i="2"/>
  <c r="L135" i="2"/>
  <c r="I135" i="2"/>
  <c r="H135" i="2"/>
  <c r="F135" i="2"/>
  <c r="C135" i="2"/>
  <c r="AC134" i="2"/>
  <c r="AD134" i="2" s="1"/>
  <c r="AA134" i="2"/>
  <c r="X134" i="2"/>
  <c r="W134" i="2"/>
  <c r="U134" i="2"/>
  <c r="R134" i="2"/>
  <c r="O134" i="2"/>
  <c r="N134" i="2"/>
  <c r="L134" i="2"/>
  <c r="H134" i="2"/>
  <c r="I134" i="2" s="1"/>
  <c r="F134" i="2"/>
  <c r="C134" i="2"/>
  <c r="AD133" i="2"/>
  <c r="AC133" i="2"/>
  <c r="AA133" i="2"/>
  <c r="W133" i="2"/>
  <c r="U133" i="2"/>
  <c r="R133" i="2"/>
  <c r="N133" i="2"/>
  <c r="O133" i="2" s="1"/>
  <c r="L133" i="2"/>
  <c r="H133" i="2"/>
  <c r="I133" i="2" s="1"/>
  <c r="F133" i="2"/>
  <c r="C133" i="2"/>
  <c r="AC132" i="2"/>
  <c r="AD132" i="2" s="1"/>
  <c r="AA132" i="2"/>
  <c r="X132" i="2"/>
  <c r="W132" i="2"/>
  <c r="U132" i="2"/>
  <c r="R132" i="2"/>
  <c r="N132" i="2"/>
  <c r="O132" i="2" s="1"/>
  <c r="L132" i="2"/>
  <c r="H132" i="2"/>
  <c r="I132" i="2" s="1"/>
  <c r="F132" i="2"/>
  <c r="C132" i="2"/>
  <c r="AC131" i="2"/>
  <c r="AD131" i="2" s="1"/>
  <c r="AA131" i="2"/>
  <c r="X131" i="2"/>
  <c r="W131" i="2"/>
  <c r="U131" i="2"/>
  <c r="R131" i="2"/>
  <c r="O131" i="2"/>
  <c r="N131" i="2"/>
  <c r="L131" i="2"/>
  <c r="H131" i="2"/>
  <c r="I131" i="2" s="1"/>
  <c r="F131" i="2"/>
  <c r="C131" i="2"/>
  <c r="AC130" i="2"/>
  <c r="AD130" i="2" s="1"/>
  <c r="AA130" i="2"/>
  <c r="X130" i="2"/>
  <c r="W130" i="2"/>
  <c r="U130" i="2"/>
  <c r="R130" i="2"/>
  <c r="O130" i="2"/>
  <c r="N130" i="2"/>
  <c r="L130" i="2"/>
  <c r="H130" i="2"/>
  <c r="I130" i="2" s="1"/>
  <c r="F130" i="2"/>
  <c r="C130" i="2"/>
  <c r="AC129" i="2"/>
  <c r="AD129" i="2" s="1"/>
  <c r="AA129" i="2"/>
  <c r="W129" i="2"/>
  <c r="U129" i="2"/>
  <c r="R129" i="2"/>
  <c r="N129" i="2"/>
  <c r="O129" i="2" s="1"/>
  <c r="L129" i="2"/>
  <c r="H129" i="2"/>
  <c r="I129" i="2" s="1"/>
  <c r="F129" i="2"/>
  <c r="C129" i="2"/>
  <c r="AC127" i="2"/>
  <c r="AD127" i="2" s="1"/>
  <c r="AA127" i="2"/>
  <c r="X127" i="2"/>
  <c r="W127" i="2"/>
  <c r="U127" i="2"/>
  <c r="R127" i="2"/>
  <c r="O127" i="2"/>
  <c r="N127" i="2"/>
  <c r="L127" i="2"/>
  <c r="H127" i="2"/>
  <c r="I127" i="2" s="1"/>
  <c r="F127" i="2"/>
  <c r="C127" i="2"/>
  <c r="AA124" i="2"/>
  <c r="Z124" i="2"/>
  <c r="T124" i="2"/>
  <c r="U124" i="2" s="1"/>
  <c r="Q124" i="2"/>
  <c r="L124" i="2"/>
  <c r="K124" i="2"/>
  <c r="K172" i="2" s="1"/>
  <c r="L172" i="2" s="1"/>
  <c r="E124" i="2"/>
  <c r="F124" i="2" s="1"/>
  <c r="B124" i="2"/>
  <c r="AD123" i="2"/>
  <c r="AC123" i="2"/>
  <c r="AA123" i="2"/>
  <c r="X123" i="2"/>
  <c r="W123" i="2"/>
  <c r="U123" i="2"/>
  <c r="R123" i="2"/>
  <c r="N123" i="2"/>
  <c r="O123" i="2" s="1"/>
  <c r="L123" i="2"/>
  <c r="H123" i="2"/>
  <c r="I123" i="2" s="1"/>
  <c r="F123" i="2"/>
  <c r="C123" i="2"/>
  <c r="Z122" i="2"/>
  <c r="AA122" i="2" s="1"/>
  <c r="T122" i="2"/>
  <c r="U122" i="2" s="1"/>
  <c r="Q122" i="2"/>
  <c r="K122" i="2"/>
  <c r="L122" i="2" s="1"/>
  <c r="E122" i="2"/>
  <c r="F122" i="2" s="1"/>
  <c r="B122" i="2"/>
  <c r="AC121" i="2"/>
  <c r="AD121" i="2" s="1"/>
  <c r="AA121" i="2"/>
  <c r="W121" i="2"/>
  <c r="X121" i="2" s="1"/>
  <c r="U121" i="2"/>
  <c r="R121" i="2"/>
  <c r="O121" i="2"/>
  <c r="N121" i="2"/>
  <c r="L121" i="2"/>
  <c r="H121" i="2"/>
  <c r="I121" i="2" s="1"/>
  <c r="F121" i="2"/>
  <c r="C121" i="2"/>
  <c r="AC120" i="2"/>
  <c r="AD120" i="2" s="1"/>
  <c r="AA120" i="2"/>
  <c r="X120" i="2"/>
  <c r="W120" i="2"/>
  <c r="U120" i="2"/>
  <c r="R120" i="2"/>
  <c r="O120" i="2"/>
  <c r="N120" i="2"/>
  <c r="L120" i="2"/>
  <c r="H120" i="2"/>
  <c r="I120" i="2" s="1"/>
  <c r="F120" i="2"/>
  <c r="C120" i="2"/>
  <c r="AC119" i="2"/>
  <c r="AD119" i="2" s="1"/>
  <c r="AA119" i="2"/>
  <c r="W119" i="2"/>
  <c r="U119" i="2"/>
  <c r="R119" i="2"/>
  <c r="N119" i="2"/>
  <c r="O119" i="2" s="1"/>
  <c r="L119" i="2"/>
  <c r="I119" i="2"/>
  <c r="H119" i="2"/>
  <c r="F119" i="2"/>
  <c r="C119" i="2"/>
  <c r="AC118" i="2"/>
  <c r="AD118" i="2" s="1"/>
  <c r="Z118" i="2"/>
  <c r="AA118" i="2" s="1"/>
  <c r="W118" i="2"/>
  <c r="X118" i="2" s="1"/>
  <c r="T118" i="2"/>
  <c r="U118" i="2" s="1"/>
  <c r="Q118" i="2"/>
  <c r="R118" i="2" s="1"/>
  <c r="N118" i="2"/>
  <c r="O118" i="2" s="1"/>
  <c r="K118" i="2"/>
  <c r="L118" i="2" s="1"/>
  <c r="H118" i="2"/>
  <c r="I118" i="2" s="1"/>
  <c r="E118" i="2"/>
  <c r="F118" i="2" s="1"/>
  <c r="C118" i="2"/>
  <c r="B118" i="2"/>
  <c r="AD117" i="2"/>
  <c r="AC117" i="2"/>
  <c r="AA117" i="2"/>
  <c r="W117" i="2"/>
  <c r="X117" i="2" s="1"/>
  <c r="U117" i="2"/>
  <c r="R117" i="2"/>
  <c r="N117" i="2"/>
  <c r="O117" i="2" s="1"/>
  <c r="L117" i="2"/>
  <c r="H117" i="2"/>
  <c r="I117" i="2" s="1"/>
  <c r="F117" i="2"/>
  <c r="C117" i="2"/>
  <c r="AD116" i="2"/>
  <c r="AC116" i="2"/>
  <c r="AA116" i="2"/>
  <c r="W116" i="2"/>
  <c r="X116" i="2" s="1"/>
  <c r="U116" i="2"/>
  <c r="R116" i="2"/>
  <c r="N116" i="2"/>
  <c r="O116" i="2" s="1"/>
  <c r="L116" i="2"/>
  <c r="I116" i="2"/>
  <c r="H116" i="2"/>
  <c r="F116" i="2"/>
  <c r="C116" i="2"/>
  <c r="AD115" i="2"/>
  <c r="AC115" i="2"/>
  <c r="AA115" i="2"/>
  <c r="W115" i="2"/>
  <c r="X115" i="2" s="1"/>
  <c r="U115" i="2"/>
  <c r="R115" i="2"/>
  <c r="O115" i="2"/>
  <c r="N115" i="2"/>
  <c r="L115" i="2"/>
  <c r="I115" i="2"/>
  <c r="H115" i="2"/>
  <c r="F115" i="2"/>
  <c r="C115" i="2"/>
  <c r="AC114" i="2"/>
  <c r="AD114" i="2" s="1"/>
  <c r="AA114" i="2"/>
  <c r="W114" i="2"/>
  <c r="X114" i="2" s="1"/>
  <c r="U114" i="2"/>
  <c r="R114" i="2"/>
  <c r="N114" i="2"/>
  <c r="O114" i="2" s="1"/>
  <c r="L114" i="2"/>
  <c r="I114" i="2"/>
  <c r="H114" i="2"/>
  <c r="F114" i="2"/>
  <c r="C114" i="2"/>
  <c r="AD113" i="2"/>
  <c r="AC113" i="2"/>
  <c r="AA113" i="2"/>
  <c r="W113" i="2"/>
  <c r="X113" i="2" s="1"/>
  <c r="U113" i="2"/>
  <c r="R113" i="2"/>
  <c r="N113" i="2"/>
  <c r="O113" i="2" s="1"/>
  <c r="L113" i="2"/>
  <c r="H113" i="2"/>
  <c r="I113" i="2" s="1"/>
  <c r="F113" i="2"/>
  <c r="C113" i="2"/>
  <c r="AD112" i="2"/>
  <c r="AC112" i="2"/>
  <c r="AA112" i="2"/>
  <c r="W112" i="2"/>
  <c r="X112" i="2" s="1"/>
  <c r="U112" i="2"/>
  <c r="R112" i="2"/>
  <c r="N112" i="2"/>
  <c r="O112" i="2" s="1"/>
  <c r="L112" i="2"/>
  <c r="I112" i="2"/>
  <c r="H112" i="2"/>
  <c r="F112" i="2"/>
  <c r="C112" i="2"/>
  <c r="AD111" i="2"/>
  <c r="AC111" i="2"/>
  <c r="AA111" i="2"/>
  <c r="W111" i="2"/>
  <c r="X111" i="2" s="1"/>
  <c r="U111" i="2"/>
  <c r="R111" i="2"/>
  <c r="O111" i="2"/>
  <c r="N111" i="2"/>
  <c r="L111" i="2"/>
  <c r="I111" i="2"/>
  <c r="H111" i="2"/>
  <c r="F111" i="2"/>
  <c r="C111" i="2"/>
  <c r="AC110" i="2"/>
  <c r="AD110" i="2" s="1"/>
  <c r="AA110" i="2"/>
  <c r="W110" i="2"/>
  <c r="X110" i="2" s="1"/>
  <c r="U110" i="2"/>
  <c r="R110" i="2"/>
  <c r="N110" i="2"/>
  <c r="O110" i="2" s="1"/>
  <c r="L110" i="2"/>
  <c r="I110" i="2"/>
  <c r="H110" i="2"/>
  <c r="F110" i="2"/>
  <c r="C110" i="2"/>
  <c r="AD109" i="2"/>
  <c r="AC109" i="2"/>
  <c r="AA109" i="2"/>
  <c r="W109" i="2"/>
  <c r="X109" i="2" s="1"/>
  <c r="U109" i="2"/>
  <c r="R109" i="2"/>
  <c r="N109" i="2"/>
  <c r="O109" i="2" s="1"/>
  <c r="L109" i="2"/>
  <c r="H109" i="2"/>
  <c r="I109" i="2" s="1"/>
  <c r="F109" i="2"/>
  <c r="C109" i="2"/>
  <c r="AD108" i="2"/>
  <c r="AC108" i="2"/>
  <c r="AA108" i="2"/>
  <c r="W108" i="2"/>
  <c r="X108" i="2" s="1"/>
  <c r="U108" i="2"/>
  <c r="R108" i="2"/>
  <c r="N108" i="2"/>
  <c r="O108" i="2" s="1"/>
  <c r="L108" i="2"/>
  <c r="I108" i="2"/>
  <c r="H108" i="2"/>
  <c r="F108" i="2"/>
  <c r="C108" i="2"/>
  <c r="AD107" i="2"/>
  <c r="AC107" i="2"/>
  <c r="AA107" i="2"/>
  <c r="W107" i="2"/>
  <c r="X107" i="2" s="1"/>
  <c r="U107" i="2"/>
  <c r="R107" i="2"/>
  <c r="O107" i="2"/>
  <c r="N107" i="2"/>
  <c r="L107" i="2"/>
  <c r="I107" i="2"/>
  <c r="H107" i="2"/>
  <c r="F107" i="2"/>
  <c r="C107" i="2"/>
  <c r="AC106" i="2"/>
  <c r="AD106" i="2" s="1"/>
  <c r="AA106" i="2"/>
  <c r="W106" i="2"/>
  <c r="X106" i="2" s="1"/>
  <c r="U106" i="2"/>
  <c r="R106" i="2"/>
  <c r="N106" i="2"/>
  <c r="O106" i="2" s="1"/>
  <c r="L106" i="2"/>
  <c r="I106" i="2"/>
  <c r="H106" i="2"/>
  <c r="F106" i="2"/>
  <c r="C106" i="2"/>
  <c r="AD105" i="2"/>
  <c r="AC105" i="2"/>
  <c r="AA105" i="2"/>
  <c r="W105" i="2"/>
  <c r="X105" i="2" s="1"/>
  <c r="U105" i="2"/>
  <c r="R105" i="2"/>
  <c r="N105" i="2"/>
  <c r="O105" i="2" s="1"/>
  <c r="L105" i="2"/>
  <c r="H105" i="2"/>
  <c r="I105" i="2" s="1"/>
  <c r="F105" i="2"/>
  <c r="C105" i="2"/>
  <c r="AD104" i="2"/>
  <c r="AC104" i="2"/>
  <c r="AA104" i="2"/>
  <c r="W104" i="2"/>
  <c r="X104" i="2" s="1"/>
  <c r="U104" i="2"/>
  <c r="R104" i="2"/>
  <c r="N104" i="2"/>
  <c r="O104" i="2" s="1"/>
  <c r="L104" i="2"/>
  <c r="I104" i="2"/>
  <c r="H104" i="2"/>
  <c r="F104" i="2"/>
  <c r="C104" i="2"/>
  <c r="AD103" i="2"/>
  <c r="AC103" i="2"/>
  <c r="AA103" i="2"/>
  <c r="W103" i="2"/>
  <c r="X103" i="2" s="1"/>
  <c r="U103" i="2"/>
  <c r="R103" i="2"/>
  <c r="O103" i="2"/>
  <c r="N103" i="2"/>
  <c r="L103" i="2"/>
  <c r="I103" i="2"/>
  <c r="H103" i="2"/>
  <c r="F103" i="2"/>
  <c r="C103" i="2"/>
  <c r="AC102" i="2"/>
  <c r="AD102" i="2" s="1"/>
  <c r="AA102" i="2"/>
  <c r="W102" i="2"/>
  <c r="X102" i="2" s="1"/>
  <c r="U102" i="2"/>
  <c r="R102" i="2"/>
  <c r="N102" i="2"/>
  <c r="O102" i="2" s="1"/>
  <c r="L102" i="2"/>
  <c r="I102" i="2"/>
  <c r="H102" i="2"/>
  <c r="F102" i="2"/>
  <c r="C102" i="2"/>
  <c r="AD101" i="2"/>
  <c r="AC101" i="2"/>
  <c r="AA101" i="2"/>
  <c r="W101" i="2"/>
  <c r="X101" i="2" s="1"/>
  <c r="U101" i="2"/>
  <c r="R101" i="2"/>
  <c r="N101" i="2"/>
  <c r="O101" i="2" s="1"/>
  <c r="L101" i="2"/>
  <c r="H101" i="2"/>
  <c r="I101" i="2" s="1"/>
  <c r="F101" i="2"/>
  <c r="C101" i="2"/>
  <c r="AD100" i="2"/>
  <c r="AC100" i="2"/>
  <c r="AA100" i="2"/>
  <c r="W100" i="2"/>
  <c r="X100" i="2" s="1"/>
  <c r="U100" i="2"/>
  <c r="R100" i="2"/>
  <c r="N100" i="2"/>
  <c r="O100" i="2" s="1"/>
  <c r="L100" i="2"/>
  <c r="I100" i="2"/>
  <c r="H100" i="2"/>
  <c r="F100" i="2"/>
  <c r="C100" i="2"/>
  <c r="AD99" i="2"/>
  <c r="AC99" i="2"/>
  <c r="AA99" i="2"/>
  <c r="W99" i="2"/>
  <c r="X99" i="2" s="1"/>
  <c r="U99" i="2"/>
  <c r="R99" i="2"/>
  <c r="O99" i="2"/>
  <c r="N99" i="2"/>
  <c r="L99" i="2"/>
  <c r="I99" i="2"/>
  <c r="H99" i="2"/>
  <c r="F99" i="2"/>
  <c r="C99" i="2"/>
  <c r="AC98" i="2"/>
  <c r="AD98" i="2" s="1"/>
  <c r="AA98" i="2"/>
  <c r="W98" i="2"/>
  <c r="X98" i="2" s="1"/>
  <c r="U98" i="2"/>
  <c r="R98" i="2"/>
  <c r="N98" i="2"/>
  <c r="O98" i="2" s="1"/>
  <c r="L98" i="2"/>
  <c r="I98" i="2"/>
  <c r="H98" i="2"/>
  <c r="F98" i="2"/>
  <c r="C98" i="2"/>
  <c r="AD97" i="2"/>
  <c r="AC97" i="2"/>
  <c r="AA97" i="2"/>
  <c r="W97" i="2"/>
  <c r="X97" i="2" s="1"/>
  <c r="U97" i="2"/>
  <c r="R97" i="2"/>
  <c r="N97" i="2"/>
  <c r="O97" i="2" s="1"/>
  <c r="L97" i="2"/>
  <c r="H97" i="2"/>
  <c r="I97" i="2" s="1"/>
  <c r="F97" i="2"/>
  <c r="C97" i="2"/>
  <c r="AD96" i="2"/>
  <c r="AC96" i="2"/>
  <c r="AA96" i="2"/>
  <c r="W96" i="2"/>
  <c r="X96" i="2" s="1"/>
  <c r="U96" i="2"/>
  <c r="R96" i="2"/>
  <c r="N96" i="2"/>
  <c r="O96" i="2" s="1"/>
  <c r="L96" i="2"/>
  <c r="I96" i="2"/>
  <c r="H96" i="2"/>
  <c r="F96" i="2"/>
  <c r="C96" i="2"/>
  <c r="AD95" i="2"/>
  <c r="AC95" i="2"/>
  <c r="AA95" i="2"/>
  <c r="W95" i="2"/>
  <c r="X95" i="2" s="1"/>
  <c r="U95" i="2"/>
  <c r="R95" i="2"/>
  <c r="O95" i="2"/>
  <c r="N95" i="2"/>
  <c r="L95" i="2"/>
  <c r="I95" i="2"/>
  <c r="H95" i="2"/>
  <c r="F95" i="2"/>
  <c r="C95" i="2"/>
  <c r="AC94" i="2"/>
  <c r="AD94" i="2" s="1"/>
  <c r="AA94" i="2"/>
  <c r="W94" i="2"/>
  <c r="X94" i="2" s="1"/>
  <c r="U94" i="2"/>
  <c r="R94" i="2"/>
  <c r="N94" i="2"/>
  <c r="O94" i="2" s="1"/>
  <c r="L94" i="2"/>
  <c r="I94" i="2"/>
  <c r="H94" i="2"/>
  <c r="F94" i="2"/>
  <c r="C94" i="2"/>
  <c r="AD92" i="2"/>
  <c r="AC92" i="2"/>
  <c r="AA92" i="2"/>
  <c r="W92" i="2"/>
  <c r="X92" i="2" s="1"/>
  <c r="U92" i="2"/>
  <c r="R92" i="2"/>
  <c r="N92" i="2"/>
  <c r="O92" i="2" s="1"/>
  <c r="L92" i="2"/>
  <c r="H92" i="2"/>
  <c r="I92" i="2" s="1"/>
  <c r="F92" i="2"/>
  <c r="C92" i="2"/>
  <c r="AD91" i="2"/>
  <c r="AC91" i="2"/>
  <c r="AA91" i="2"/>
  <c r="W91" i="2"/>
  <c r="X91" i="2" s="1"/>
  <c r="U91" i="2"/>
  <c r="R91" i="2"/>
  <c r="N91" i="2"/>
  <c r="O91" i="2" s="1"/>
  <c r="L91" i="2"/>
  <c r="I91" i="2"/>
  <c r="H91" i="2"/>
  <c r="F91" i="2"/>
  <c r="C91" i="2"/>
  <c r="AD90" i="2"/>
  <c r="AC90" i="2"/>
  <c r="AA90" i="2"/>
  <c r="W90" i="2"/>
  <c r="X90" i="2" s="1"/>
  <c r="U90" i="2"/>
  <c r="R90" i="2"/>
  <c r="O90" i="2"/>
  <c r="N90" i="2"/>
  <c r="L90" i="2"/>
  <c r="I90" i="2"/>
  <c r="H90" i="2"/>
  <c r="F90" i="2"/>
  <c r="C90" i="2"/>
  <c r="AC89" i="2"/>
  <c r="AD89" i="2" s="1"/>
  <c r="AA89" i="2"/>
  <c r="W89" i="2"/>
  <c r="X89" i="2" s="1"/>
  <c r="U89" i="2"/>
  <c r="R89" i="2"/>
  <c r="N89" i="2"/>
  <c r="O89" i="2" s="1"/>
  <c r="L89" i="2"/>
  <c r="I89" i="2"/>
  <c r="H89" i="2"/>
  <c r="F89" i="2"/>
  <c r="C89" i="2"/>
  <c r="Z88" i="2"/>
  <c r="AA88" i="2" s="1"/>
  <c r="X88" i="2"/>
  <c r="W88" i="2"/>
  <c r="U88" i="2"/>
  <c r="T88" i="2"/>
  <c r="R88" i="2"/>
  <c r="Q88" i="2"/>
  <c r="AC88" i="2" s="1"/>
  <c r="AD88" i="2" s="1"/>
  <c r="K88" i="2"/>
  <c r="L88" i="2" s="1"/>
  <c r="F88" i="2"/>
  <c r="E88" i="2"/>
  <c r="B88" i="2"/>
  <c r="AD87" i="2"/>
  <c r="AC87" i="2"/>
  <c r="AA87" i="2"/>
  <c r="W87" i="2"/>
  <c r="X87" i="2" s="1"/>
  <c r="U87" i="2"/>
  <c r="R87" i="2"/>
  <c r="N87" i="2"/>
  <c r="O87" i="2" s="1"/>
  <c r="L87" i="2"/>
  <c r="I87" i="2"/>
  <c r="H87" i="2"/>
  <c r="F87" i="2"/>
  <c r="C87" i="2"/>
  <c r="AC86" i="2"/>
  <c r="AD86" i="2" s="1"/>
  <c r="AA86" i="2"/>
  <c r="W86" i="2"/>
  <c r="X86" i="2" s="1"/>
  <c r="U86" i="2"/>
  <c r="R86" i="2"/>
  <c r="N86" i="2"/>
  <c r="O86" i="2" s="1"/>
  <c r="L86" i="2"/>
  <c r="I86" i="2"/>
  <c r="H86" i="2"/>
  <c r="F86" i="2"/>
  <c r="C86" i="2"/>
  <c r="AD85" i="2"/>
  <c r="AC85" i="2"/>
  <c r="AA85" i="2"/>
  <c r="W85" i="2"/>
  <c r="X85" i="2" s="1"/>
  <c r="U85" i="2"/>
  <c r="R85" i="2"/>
  <c r="N85" i="2"/>
  <c r="O85" i="2" s="1"/>
  <c r="L85" i="2"/>
  <c r="H85" i="2"/>
  <c r="I85" i="2" s="1"/>
  <c r="F85" i="2"/>
  <c r="C85" i="2"/>
  <c r="AD84" i="2"/>
  <c r="AC84" i="2"/>
  <c r="AA84" i="2"/>
  <c r="W84" i="2"/>
  <c r="X84" i="2" s="1"/>
  <c r="U84" i="2"/>
  <c r="R84" i="2"/>
  <c r="O84" i="2"/>
  <c r="N84" i="2"/>
  <c r="L84" i="2"/>
  <c r="I84" i="2"/>
  <c r="H84" i="2"/>
  <c r="F84" i="2"/>
  <c r="C84" i="2"/>
  <c r="AC83" i="2"/>
  <c r="AD83" i="2" s="1"/>
  <c r="AA83" i="2"/>
  <c r="W83" i="2"/>
  <c r="X83" i="2" s="1"/>
  <c r="U83" i="2"/>
  <c r="R83" i="2"/>
  <c r="O83" i="2"/>
  <c r="N83" i="2"/>
  <c r="L83" i="2"/>
  <c r="I83" i="2"/>
  <c r="H83" i="2"/>
  <c r="F83" i="2"/>
  <c r="C83" i="2"/>
  <c r="AC82" i="2"/>
  <c r="AD82" i="2" s="1"/>
  <c r="AA82" i="2"/>
  <c r="W82" i="2"/>
  <c r="X82" i="2" s="1"/>
  <c r="U82" i="2"/>
  <c r="R82" i="2"/>
  <c r="N82" i="2"/>
  <c r="O82" i="2" s="1"/>
  <c r="L82" i="2"/>
  <c r="H82" i="2"/>
  <c r="I82" i="2" s="1"/>
  <c r="F82" i="2"/>
  <c r="C82" i="2"/>
  <c r="AD81" i="2"/>
  <c r="AC81" i="2"/>
  <c r="AA81" i="2"/>
  <c r="W81" i="2"/>
  <c r="X81" i="2" s="1"/>
  <c r="U81" i="2"/>
  <c r="R81" i="2"/>
  <c r="N81" i="2"/>
  <c r="O81" i="2" s="1"/>
  <c r="L81" i="2"/>
  <c r="H81" i="2"/>
  <c r="I81" i="2" s="1"/>
  <c r="F81" i="2"/>
  <c r="C81" i="2"/>
  <c r="AD80" i="2"/>
  <c r="AC80" i="2"/>
  <c r="AA80" i="2"/>
  <c r="W80" i="2"/>
  <c r="X80" i="2" s="1"/>
  <c r="U80" i="2"/>
  <c r="R80" i="2"/>
  <c r="O80" i="2"/>
  <c r="N80" i="2"/>
  <c r="L80" i="2"/>
  <c r="I80" i="2"/>
  <c r="H80" i="2"/>
  <c r="F80" i="2"/>
  <c r="C80" i="2"/>
  <c r="AC79" i="2"/>
  <c r="AD79" i="2" s="1"/>
  <c r="AA79" i="2"/>
  <c r="W79" i="2"/>
  <c r="X79" i="2" s="1"/>
  <c r="U79" i="2"/>
  <c r="R79" i="2"/>
  <c r="N79" i="2"/>
  <c r="O79" i="2" s="1"/>
  <c r="L79" i="2"/>
  <c r="I79" i="2"/>
  <c r="H79" i="2"/>
  <c r="F79" i="2"/>
  <c r="C79" i="2"/>
  <c r="AC78" i="2"/>
  <c r="AD78" i="2" s="1"/>
  <c r="AA78" i="2"/>
  <c r="W78" i="2"/>
  <c r="X78" i="2" s="1"/>
  <c r="U78" i="2"/>
  <c r="R78" i="2"/>
  <c r="N78" i="2"/>
  <c r="O78" i="2" s="1"/>
  <c r="L78" i="2"/>
  <c r="H78" i="2"/>
  <c r="I78" i="2" s="1"/>
  <c r="F78" i="2"/>
  <c r="C78" i="2"/>
  <c r="AD77" i="2"/>
  <c r="AC77" i="2"/>
  <c r="AA77" i="2"/>
  <c r="X77" i="2"/>
  <c r="W77" i="2"/>
  <c r="U77" i="2"/>
  <c r="R77" i="2"/>
  <c r="N77" i="2"/>
  <c r="O77" i="2" s="1"/>
  <c r="L77" i="2"/>
  <c r="H77" i="2"/>
  <c r="I77" i="2" s="1"/>
  <c r="F77" i="2"/>
  <c r="C77" i="2"/>
  <c r="AD76" i="2"/>
  <c r="AC76" i="2"/>
  <c r="AA76" i="2"/>
  <c r="W76" i="2"/>
  <c r="X76" i="2" s="1"/>
  <c r="U76" i="2"/>
  <c r="R76" i="2"/>
  <c r="N76" i="2"/>
  <c r="O76" i="2" s="1"/>
  <c r="L76" i="2"/>
  <c r="I76" i="2"/>
  <c r="H76" i="2"/>
  <c r="F76" i="2"/>
  <c r="C76" i="2"/>
  <c r="AC75" i="2"/>
  <c r="AD75" i="2" s="1"/>
  <c r="AA75" i="2"/>
  <c r="W75" i="2"/>
  <c r="X75" i="2" s="1"/>
  <c r="U75" i="2"/>
  <c r="R75" i="2"/>
  <c r="O75" i="2"/>
  <c r="N75" i="2"/>
  <c r="L75" i="2"/>
  <c r="I75" i="2"/>
  <c r="H75" i="2"/>
  <c r="F75" i="2"/>
  <c r="C75" i="2"/>
  <c r="AC73" i="2"/>
  <c r="AD73" i="2" s="1"/>
  <c r="AA73" i="2"/>
  <c r="Z73" i="2"/>
  <c r="W73" i="2"/>
  <c r="X73" i="2" s="1"/>
  <c r="U73" i="2"/>
  <c r="T73" i="2"/>
  <c r="Q73" i="2"/>
  <c r="R73" i="2" s="1"/>
  <c r="K73" i="2"/>
  <c r="L73" i="2" s="1"/>
  <c r="E73" i="2"/>
  <c r="F73" i="2" s="1"/>
  <c r="B73" i="2"/>
  <c r="N73" i="2" s="1"/>
  <c r="O73" i="2" s="1"/>
  <c r="AD72" i="2"/>
  <c r="AC72" i="2"/>
  <c r="AA72" i="2"/>
  <c r="W72" i="2"/>
  <c r="X72" i="2" s="1"/>
  <c r="U72" i="2"/>
  <c r="R72" i="2"/>
  <c r="N72" i="2"/>
  <c r="O72" i="2" s="1"/>
  <c r="L72" i="2"/>
  <c r="I72" i="2"/>
  <c r="H72" i="2"/>
  <c r="F72" i="2"/>
  <c r="C72" i="2"/>
  <c r="AC71" i="2"/>
  <c r="AD71" i="2" s="1"/>
  <c r="AA71" i="2"/>
  <c r="X71" i="2"/>
  <c r="W71" i="2"/>
  <c r="U71" i="2"/>
  <c r="R71" i="2"/>
  <c r="O71" i="2"/>
  <c r="N71" i="2"/>
  <c r="L71" i="2"/>
  <c r="H71" i="2"/>
  <c r="I71" i="2" s="1"/>
  <c r="F71" i="2"/>
  <c r="C71" i="2"/>
  <c r="AC70" i="2"/>
  <c r="AD70" i="2" s="1"/>
  <c r="AA70" i="2"/>
  <c r="W70" i="2"/>
  <c r="X70" i="2" s="1"/>
  <c r="U70" i="2"/>
  <c r="R70" i="2"/>
  <c r="N70" i="2"/>
  <c r="O70" i="2" s="1"/>
  <c r="L70" i="2"/>
  <c r="I70" i="2"/>
  <c r="H70" i="2"/>
  <c r="F70" i="2"/>
  <c r="C70" i="2"/>
  <c r="AD69" i="2"/>
  <c r="AC69" i="2"/>
  <c r="AA69" i="2"/>
  <c r="W69" i="2"/>
  <c r="X69" i="2" s="1"/>
  <c r="U69" i="2"/>
  <c r="R69" i="2"/>
  <c r="N69" i="2"/>
  <c r="O69" i="2" s="1"/>
  <c r="L69" i="2"/>
  <c r="H69" i="2"/>
  <c r="I69" i="2" s="1"/>
  <c r="F69" i="2"/>
  <c r="C69" i="2"/>
  <c r="AD68" i="2"/>
  <c r="AC68" i="2"/>
  <c r="AA68" i="2"/>
  <c r="W68" i="2"/>
  <c r="X68" i="2" s="1"/>
  <c r="U68" i="2"/>
  <c r="R68" i="2"/>
  <c r="N68" i="2"/>
  <c r="O68" i="2" s="1"/>
  <c r="L68" i="2"/>
  <c r="I68" i="2"/>
  <c r="H68" i="2"/>
  <c r="F68" i="2"/>
  <c r="C68" i="2"/>
  <c r="AD67" i="2"/>
  <c r="AC67" i="2"/>
  <c r="AA67" i="2"/>
  <c r="X67" i="2"/>
  <c r="W67" i="2"/>
  <c r="U67" i="2"/>
  <c r="R67" i="2"/>
  <c r="N67" i="2"/>
  <c r="O67" i="2" s="1"/>
  <c r="L67" i="2"/>
  <c r="H67" i="2"/>
  <c r="I67" i="2" s="1"/>
  <c r="F67" i="2"/>
  <c r="C67" i="2"/>
  <c r="AC66" i="2"/>
  <c r="AD66" i="2" s="1"/>
  <c r="AA66" i="2"/>
  <c r="X66" i="2"/>
  <c r="W66" i="2"/>
  <c r="U66" i="2"/>
  <c r="R66" i="2"/>
  <c r="N66" i="2"/>
  <c r="O66" i="2" s="1"/>
  <c r="L66" i="2"/>
  <c r="H66" i="2"/>
  <c r="I66" i="2" s="1"/>
  <c r="F66" i="2"/>
  <c r="C66" i="2"/>
  <c r="AD65" i="2"/>
  <c r="AC65" i="2"/>
  <c r="AA65" i="2"/>
  <c r="W65" i="2"/>
  <c r="X65" i="2" s="1"/>
  <c r="U65" i="2"/>
  <c r="R65" i="2"/>
  <c r="N65" i="2"/>
  <c r="O65" i="2" s="1"/>
  <c r="L65" i="2"/>
  <c r="H65" i="2"/>
  <c r="I65" i="2" s="1"/>
  <c r="F65" i="2"/>
  <c r="C65" i="2"/>
  <c r="AD64" i="2"/>
  <c r="AC64" i="2"/>
  <c r="AA64" i="2"/>
  <c r="W64" i="2"/>
  <c r="X64" i="2" s="1"/>
  <c r="U64" i="2"/>
  <c r="R64" i="2"/>
  <c r="N64" i="2"/>
  <c r="O64" i="2" s="1"/>
  <c r="L64" i="2"/>
  <c r="I64" i="2"/>
  <c r="H64" i="2"/>
  <c r="F64" i="2"/>
  <c r="C64" i="2"/>
  <c r="Z62" i="2"/>
  <c r="AA62" i="2" s="1"/>
  <c r="T62" i="2"/>
  <c r="U62" i="2" s="1"/>
  <c r="R62" i="2"/>
  <c r="Q62" i="2"/>
  <c r="N62" i="2"/>
  <c r="O62" i="2" s="1"/>
  <c r="L62" i="2"/>
  <c r="K62" i="2"/>
  <c r="E62" i="2"/>
  <c r="C62" i="2"/>
  <c r="B62" i="2"/>
  <c r="Z61" i="2"/>
  <c r="AA61" i="2" s="1"/>
  <c r="W61" i="2"/>
  <c r="X61" i="2" s="1"/>
  <c r="T61" i="2"/>
  <c r="U61" i="2" s="1"/>
  <c r="R61" i="2"/>
  <c r="Q61" i="2"/>
  <c r="K61" i="2"/>
  <c r="N61" i="2" s="1"/>
  <c r="O61" i="2" s="1"/>
  <c r="I61" i="2"/>
  <c r="H61" i="2"/>
  <c r="F61" i="2"/>
  <c r="E61" i="2"/>
  <c r="B61" i="2"/>
  <c r="C61" i="2" s="1"/>
  <c r="AC60" i="2"/>
  <c r="AD60" i="2" s="1"/>
  <c r="AA60" i="2"/>
  <c r="X60" i="2"/>
  <c r="W60" i="2"/>
  <c r="U60" i="2"/>
  <c r="R60" i="2"/>
  <c r="N60" i="2"/>
  <c r="O60" i="2" s="1"/>
  <c r="L60" i="2"/>
  <c r="H60" i="2"/>
  <c r="I60" i="2" s="1"/>
  <c r="F60" i="2"/>
  <c r="C60" i="2"/>
  <c r="AC59" i="2"/>
  <c r="AD59" i="2" s="1"/>
  <c r="AA59" i="2"/>
  <c r="W59" i="2"/>
  <c r="X59" i="2" s="1"/>
  <c r="U59" i="2"/>
  <c r="R59" i="2"/>
  <c r="N59" i="2"/>
  <c r="O59" i="2" s="1"/>
  <c r="L59" i="2"/>
  <c r="I59" i="2"/>
  <c r="H59" i="2"/>
  <c r="F59" i="2"/>
  <c r="C59" i="2"/>
  <c r="AD58" i="2"/>
  <c r="AC58" i="2"/>
  <c r="AA58" i="2"/>
  <c r="X58" i="2"/>
  <c r="W58" i="2"/>
  <c r="U58" i="2"/>
  <c r="R58" i="2"/>
  <c r="N58" i="2"/>
  <c r="O58" i="2" s="1"/>
  <c r="L58" i="2"/>
  <c r="H58" i="2"/>
  <c r="I58" i="2" s="1"/>
  <c r="F58" i="2"/>
  <c r="C58" i="2"/>
  <c r="AC57" i="2"/>
  <c r="AD57" i="2" s="1"/>
  <c r="AA57" i="2"/>
  <c r="W57" i="2"/>
  <c r="X57" i="2" s="1"/>
  <c r="U57" i="2"/>
  <c r="R57" i="2"/>
  <c r="N57" i="2"/>
  <c r="O57" i="2" s="1"/>
  <c r="L57" i="2"/>
  <c r="I57" i="2"/>
  <c r="H57" i="2"/>
  <c r="F57" i="2"/>
  <c r="C57" i="2"/>
  <c r="AC56" i="2"/>
  <c r="AD56" i="2" s="1"/>
  <c r="AA56" i="2"/>
  <c r="W56" i="2"/>
  <c r="X56" i="2" s="1"/>
  <c r="U56" i="2"/>
  <c r="R56" i="2"/>
  <c r="O56" i="2"/>
  <c r="N56" i="2"/>
  <c r="L56" i="2"/>
  <c r="I56" i="2"/>
  <c r="H56" i="2"/>
  <c r="F56" i="2"/>
  <c r="C56" i="2"/>
  <c r="AC55" i="2"/>
  <c r="AD55" i="2" s="1"/>
  <c r="AA55" i="2"/>
  <c r="W55" i="2"/>
  <c r="X55" i="2" s="1"/>
  <c r="U55" i="2"/>
  <c r="R55" i="2"/>
  <c r="N55" i="2"/>
  <c r="O55" i="2" s="1"/>
  <c r="L55" i="2"/>
  <c r="H55" i="2"/>
  <c r="I55" i="2" s="1"/>
  <c r="F55" i="2"/>
  <c r="C55" i="2"/>
  <c r="AD54" i="2"/>
  <c r="AC54" i="2"/>
  <c r="AA54" i="2"/>
  <c r="X54" i="2"/>
  <c r="W54" i="2"/>
  <c r="U54" i="2"/>
  <c r="R54" i="2"/>
  <c r="N54" i="2"/>
  <c r="O54" i="2" s="1"/>
  <c r="L54" i="2"/>
  <c r="H54" i="2"/>
  <c r="I54" i="2" s="1"/>
  <c r="F54" i="2"/>
  <c r="C54" i="2"/>
  <c r="AD53" i="2"/>
  <c r="AC53" i="2"/>
  <c r="AA53" i="2"/>
  <c r="W53" i="2"/>
  <c r="X53" i="2" s="1"/>
  <c r="U53" i="2"/>
  <c r="R53" i="2"/>
  <c r="O53" i="2"/>
  <c r="N53" i="2"/>
  <c r="L53" i="2"/>
  <c r="I53" i="2"/>
  <c r="H53" i="2"/>
  <c r="F53" i="2"/>
  <c r="C53" i="2"/>
  <c r="AC52" i="2"/>
  <c r="AD52" i="2" s="1"/>
  <c r="AA52" i="2"/>
  <c r="X52" i="2"/>
  <c r="W52" i="2"/>
  <c r="U52" i="2"/>
  <c r="R52" i="2"/>
  <c r="N52" i="2"/>
  <c r="O52" i="2" s="1"/>
  <c r="L52" i="2"/>
  <c r="H52" i="2"/>
  <c r="I52" i="2" s="1"/>
  <c r="F52" i="2"/>
  <c r="C52" i="2"/>
  <c r="AC51" i="2"/>
  <c r="AD51" i="2" s="1"/>
  <c r="AA51" i="2"/>
  <c r="W51" i="2"/>
  <c r="X51" i="2" s="1"/>
  <c r="U51" i="2"/>
  <c r="R51" i="2"/>
  <c r="N51" i="2"/>
  <c r="O51" i="2" s="1"/>
  <c r="L51" i="2"/>
  <c r="I51" i="2"/>
  <c r="H51" i="2"/>
  <c r="F51" i="2"/>
  <c r="C51" i="2"/>
  <c r="AD50" i="2"/>
  <c r="AC50" i="2"/>
  <c r="AA50" i="2"/>
  <c r="W50" i="2"/>
  <c r="X50" i="2" s="1"/>
  <c r="U50" i="2"/>
  <c r="R50" i="2"/>
  <c r="N50" i="2"/>
  <c r="O50" i="2" s="1"/>
  <c r="L50" i="2"/>
  <c r="H50" i="2"/>
  <c r="I50" i="2" s="1"/>
  <c r="F50" i="2"/>
  <c r="C50" i="2"/>
  <c r="AC49" i="2"/>
  <c r="AD49" i="2" s="1"/>
  <c r="AA49" i="2"/>
  <c r="W49" i="2"/>
  <c r="X49" i="2" s="1"/>
  <c r="U49" i="2"/>
  <c r="R49" i="2"/>
  <c r="O49" i="2"/>
  <c r="N49" i="2"/>
  <c r="L49" i="2"/>
  <c r="I49" i="2"/>
  <c r="H49" i="2"/>
  <c r="F49" i="2"/>
  <c r="C49" i="2"/>
  <c r="AC48" i="2"/>
  <c r="AD48" i="2" s="1"/>
  <c r="AA48" i="2"/>
  <c r="W48" i="2"/>
  <c r="X48" i="2" s="1"/>
  <c r="U48" i="2"/>
  <c r="R48" i="2"/>
  <c r="O48" i="2"/>
  <c r="N48" i="2"/>
  <c r="L48" i="2"/>
  <c r="I48" i="2"/>
  <c r="H48" i="2"/>
  <c r="F48" i="2"/>
  <c r="C48" i="2"/>
  <c r="AC47" i="2"/>
  <c r="AD47" i="2" s="1"/>
  <c r="AA47" i="2"/>
  <c r="W47" i="2"/>
  <c r="X47" i="2" s="1"/>
  <c r="U47" i="2"/>
  <c r="R47" i="2"/>
  <c r="N47" i="2"/>
  <c r="O47" i="2" s="1"/>
  <c r="L47" i="2"/>
  <c r="H47" i="2"/>
  <c r="I47" i="2" s="1"/>
  <c r="F47" i="2"/>
  <c r="C47" i="2"/>
  <c r="AD46" i="2"/>
  <c r="AC46" i="2"/>
  <c r="AA46" i="2"/>
  <c r="W46" i="2"/>
  <c r="X46" i="2" s="1"/>
  <c r="U46" i="2"/>
  <c r="R46" i="2"/>
  <c r="N46" i="2"/>
  <c r="O46" i="2" s="1"/>
  <c r="L46" i="2"/>
  <c r="H46" i="2"/>
  <c r="I46" i="2" s="1"/>
  <c r="F46" i="2"/>
  <c r="C46" i="2"/>
  <c r="AD44" i="2"/>
  <c r="AC44" i="2"/>
  <c r="AA44" i="2"/>
  <c r="W44" i="2"/>
  <c r="X44" i="2" s="1"/>
  <c r="U44" i="2"/>
  <c r="R44" i="2"/>
  <c r="N44" i="2"/>
  <c r="O44" i="2" s="1"/>
  <c r="L44" i="2"/>
  <c r="I44" i="2"/>
  <c r="H44" i="2"/>
  <c r="F44" i="2"/>
  <c r="C44" i="2"/>
  <c r="AC43" i="2"/>
  <c r="AD43" i="2" s="1"/>
  <c r="AA43" i="2"/>
  <c r="X43" i="2"/>
  <c r="W43" i="2"/>
  <c r="U43" i="2"/>
  <c r="R43" i="2"/>
  <c r="N43" i="2"/>
  <c r="O43" i="2" s="1"/>
  <c r="L43" i="2"/>
  <c r="I43" i="2"/>
  <c r="H43" i="2"/>
  <c r="F43" i="2"/>
  <c r="C43" i="2"/>
  <c r="AC42" i="2"/>
  <c r="AD42" i="2" s="1"/>
  <c r="AA42" i="2"/>
  <c r="W42" i="2"/>
  <c r="X42" i="2" s="1"/>
  <c r="U42" i="2"/>
  <c r="R42" i="2"/>
  <c r="N42" i="2"/>
  <c r="O42" i="2" s="1"/>
  <c r="L42" i="2"/>
  <c r="I42" i="2"/>
  <c r="H42" i="2"/>
  <c r="F42" i="2"/>
  <c r="C42" i="2"/>
  <c r="Z40" i="2"/>
  <c r="AA40" i="2" s="1"/>
  <c r="W40" i="2"/>
  <c r="X40" i="2" s="1"/>
  <c r="U40" i="2"/>
  <c r="T40" i="2"/>
  <c r="R40" i="2"/>
  <c r="Q40" i="2"/>
  <c r="N40" i="2"/>
  <c r="O40" i="2" s="1"/>
  <c r="L40" i="2"/>
  <c r="K40" i="2"/>
  <c r="H40" i="2"/>
  <c r="I40" i="2" s="1"/>
  <c r="F40" i="2"/>
  <c r="E40" i="2"/>
  <c r="B40" i="2"/>
  <c r="C40" i="2" s="1"/>
  <c r="AC39" i="2"/>
  <c r="AD39" i="2" s="1"/>
  <c r="AA39" i="2"/>
  <c r="W39" i="2"/>
  <c r="X39" i="2" s="1"/>
  <c r="U39" i="2"/>
  <c r="R39" i="2"/>
  <c r="N39" i="2"/>
  <c r="O39" i="2" s="1"/>
  <c r="L39" i="2"/>
  <c r="H39" i="2"/>
  <c r="I39" i="2" s="1"/>
  <c r="F39" i="2"/>
  <c r="C39" i="2"/>
  <c r="AC38" i="2"/>
  <c r="AD38" i="2" s="1"/>
  <c r="AA38" i="2"/>
  <c r="W38" i="2"/>
  <c r="X38" i="2" s="1"/>
  <c r="U38" i="2"/>
  <c r="R38" i="2"/>
  <c r="N38" i="2"/>
  <c r="O38" i="2" s="1"/>
  <c r="L38" i="2"/>
  <c r="H38" i="2"/>
  <c r="I38" i="2" s="1"/>
  <c r="F38" i="2"/>
  <c r="C38" i="2"/>
  <c r="AD37" i="2"/>
  <c r="AC37" i="2"/>
  <c r="AA37" i="2"/>
  <c r="W37" i="2"/>
  <c r="X37" i="2" s="1"/>
  <c r="U37" i="2"/>
  <c r="R37" i="2"/>
  <c r="O37" i="2"/>
  <c r="N37" i="2"/>
  <c r="L37" i="2"/>
  <c r="H37" i="2"/>
  <c r="I37" i="2" s="1"/>
  <c r="F37" i="2"/>
  <c r="C37" i="2"/>
  <c r="AC36" i="2"/>
  <c r="AD36" i="2" s="1"/>
  <c r="AA36" i="2"/>
  <c r="W36" i="2"/>
  <c r="X36" i="2" s="1"/>
  <c r="U36" i="2"/>
  <c r="R36" i="2"/>
  <c r="N36" i="2"/>
  <c r="O36" i="2" s="1"/>
  <c r="L36" i="2"/>
  <c r="I36" i="2"/>
  <c r="H36" i="2"/>
  <c r="F36" i="2"/>
  <c r="C36" i="2"/>
  <c r="AD35" i="2"/>
  <c r="AC35" i="2"/>
  <c r="AA35" i="2"/>
  <c r="W35" i="2"/>
  <c r="X35" i="2" s="1"/>
  <c r="U35" i="2"/>
  <c r="R35" i="2"/>
  <c r="N35" i="2"/>
  <c r="O35" i="2" s="1"/>
  <c r="L35" i="2"/>
  <c r="H35" i="2"/>
  <c r="I35" i="2" s="1"/>
  <c r="F35" i="2"/>
  <c r="C35" i="2"/>
  <c r="AC34" i="2"/>
  <c r="AD34" i="2" s="1"/>
  <c r="AA34" i="2"/>
  <c r="X34" i="2"/>
  <c r="W34" i="2"/>
  <c r="U34" i="2"/>
  <c r="R34" i="2"/>
  <c r="N34" i="2"/>
  <c r="O34" i="2" s="1"/>
  <c r="L34" i="2"/>
  <c r="H34" i="2"/>
  <c r="I34" i="2" s="1"/>
  <c r="F34" i="2"/>
  <c r="C34" i="2"/>
  <c r="AD33" i="2"/>
  <c r="AC33" i="2"/>
  <c r="AA33" i="2"/>
  <c r="X33" i="2"/>
  <c r="W33" i="2"/>
  <c r="U33" i="2"/>
  <c r="R33" i="2"/>
  <c r="N33" i="2"/>
  <c r="O33" i="2" s="1"/>
  <c r="L33" i="2"/>
  <c r="H33" i="2"/>
  <c r="I33" i="2" s="1"/>
  <c r="F33" i="2"/>
  <c r="C33" i="2"/>
  <c r="AC32" i="2"/>
  <c r="AD32" i="2" s="1"/>
  <c r="AA32" i="2"/>
  <c r="W32" i="2"/>
  <c r="X32" i="2" s="1"/>
  <c r="U32" i="2"/>
  <c r="R32" i="2"/>
  <c r="O32" i="2"/>
  <c r="N32" i="2"/>
  <c r="L32" i="2"/>
  <c r="I32" i="2"/>
  <c r="H32" i="2"/>
  <c r="F32" i="2"/>
  <c r="C32" i="2"/>
  <c r="AC31" i="2"/>
  <c r="AD31" i="2" s="1"/>
  <c r="AA31" i="2"/>
  <c r="W31" i="2"/>
  <c r="X31" i="2" s="1"/>
  <c r="U31" i="2"/>
  <c r="R31" i="2"/>
  <c r="O31" i="2"/>
  <c r="N31" i="2"/>
  <c r="L31" i="2"/>
  <c r="H31" i="2"/>
  <c r="I31" i="2" s="1"/>
  <c r="F31" i="2"/>
  <c r="C31" i="2"/>
  <c r="Z29" i="2"/>
  <c r="AC29" i="2" s="1"/>
  <c r="AD29" i="2" s="1"/>
  <c r="X29" i="2"/>
  <c r="W29" i="2"/>
  <c r="U29" i="2"/>
  <c r="T29" i="2"/>
  <c r="Q29" i="2"/>
  <c r="R29" i="2" s="1"/>
  <c r="N29" i="2"/>
  <c r="O29" i="2" s="1"/>
  <c r="K29" i="2"/>
  <c r="L29" i="2" s="1"/>
  <c r="E29" i="2"/>
  <c r="F29" i="2" s="1"/>
  <c r="C29" i="2"/>
  <c r="B29" i="2"/>
  <c r="AC28" i="2"/>
  <c r="AD28" i="2" s="1"/>
  <c r="AA28" i="2"/>
  <c r="W28" i="2"/>
  <c r="X28" i="2" s="1"/>
  <c r="U28" i="2"/>
  <c r="R28" i="2"/>
  <c r="O28" i="2"/>
  <c r="N28" i="2"/>
  <c r="L28" i="2"/>
  <c r="I28" i="2"/>
  <c r="H28" i="2"/>
  <c r="F28" i="2"/>
  <c r="C28" i="2"/>
  <c r="AC27" i="2"/>
  <c r="AD27" i="2" s="1"/>
  <c r="AA27" i="2"/>
  <c r="W27" i="2"/>
  <c r="X27" i="2" s="1"/>
  <c r="U27" i="2"/>
  <c r="R27" i="2"/>
  <c r="N27" i="2"/>
  <c r="O27" i="2" s="1"/>
  <c r="L27" i="2"/>
  <c r="H27" i="2"/>
  <c r="I27" i="2" s="1"/>
  <c r="F27" i="2"/>
  <c r="C27" i="2"/>
  <c r="AC26" i="2"/>
  <c r="AD26" i="2" s="1"/>
  <c r="AA26" i="2"/>
  <c r="W26" i="2"/>
  <c r="X26" i="2" s="1"/>
  <c r="U26" i="2"/>
  <c r="R26" i="2"/>
  <c r="N26" i="2"/>
  <c r="O26" i="2" s="1"/>
  <c r="L26" i="2"/>
  <c r="I26" i="2"/>
  <c r="H26" i="2"/>
  <c r="F26" i="2"/>
  <c r="C26" i="2"/>
  <c r="AD25" i="2"/>
  <c r="AC25" i="2"/>
  <c r="AA25" i="2"/>
  <c r="W25" i="2"/>
  <c r="X25" i="2" s="1"/>
  <c r="U25" i="2"/>
  <c r="R25" i="2"/>
  <c r="O25" i="2"/>
  <c r="N25" i="2"/>
  <c r="L25" i="2"/>
  <c r="H25" i="2"/>
  <c r="I25" i="2" s="1"/>
  <c r="F25" i="2"/>
  <c r="C25" i="2"/>
  <c r="AC24" i="2"/>
  <c r="AD24" i="2" s="1"/>
  <c r="AA24" i="2"/>
  <c r="W24" i="2"/>
  <c r="X24" i="2" s="1"/>
  <c r="U24" i="2"/>
  <c r="R24" i="2"/>
  <c r="N24" i="2"/>
  <c r="O24" i="2" s="1"/>
  <c r="L24" i="2"/>
  <c r="I24" i="2"/>
  <c r="H24" i="2"/>
  <c r="F24" i="2"/>
  <c r="C24" i="2"/>
  <c r="AC23" i="2"/>
  <c r="AD23" i="2" s="1"/>
  <c r="AA23" i="2"/>
  <c r="W23" i="2"/>
  <c r="X23" i="2" s="1"/>
  <c r="U23" i="2"/>
  <c r="R23" i="2"/>
  <c r="N23" i="2"/>
  <c r="O23" i="2" s="1"/>
  <c r="L23" i="2"/>
  <c r="I23" i="2"/>
  <c r="H23" i="2"/>
  <c r="F23" i="2"/>
  <c r="C23" i="2"/>
  <c r="AC22" i="2"/>
  <c r="AD22" i="2" s="1"/>
  <c r="AA22" i="2"/>
  <c r="X22" i="2"/>
  <c r="W22" i="2"/>
  <c r="U22" i="2"/>
  <c r="R22" i="2"/>
  <c r="N22" i="2"/>
  <c r="O22" i="2" s="1"/>
  <c r="L22" i="2"/>
  <c r="H22" i="2"/>
  <c r="I22" i="2" s="1"/>
  <c r="F22" i="2"/>
  <c r="C22" i="2"/>
  <c r="AD21" i="2"/>
  <c r="AC21" i="2"/>
  <c r="AA21" i="2"/>
  <c r="X21" i="2"/>
  <c r="W21" i="2"/>
  <c r="U21" i="2"/>
  <c r="R21" i="2"/>
  <c r="O21" i="2"/>
  <c r="N21" i="2"/>
  <c r="L21" i="2"/>
  <c r="H21" i="2"/>
  <c r="I21" i="2" s="1"/>
  <c r="F21" i="2"/>
  <c r="C21" i="2"/>
  <c r="AC19" i="2"/>
  <c r="AD19" i="2" s="1"/>
  <c r="AA19" i="2"/>
  <c r="W19" i="2"/>
  <c r="X19" i="2" s="1"/>
  <c r="U19" i="2"/>
  <c r="R19" i="2"/>
  <c r="O19" i="2"/>
  <c r="N19" i="2"/>
  <c r="L19" i="2"/>
  <c r="I19" i="2"/>
  <c r="H19" i="2"/>
  <c r="F19" i="2"/>
  <c r="C19" i="2"/>
  <c r="AC18" i="2"/>
  <c r="AD18" i="2" s="1"/>
  <c r="Z18" i="2"/>
  <c r="AA18" i="2" s="1"/>
  <c r="T18" i="2"/>
  <c r="U18" i="2" s="1"/>
  <c r="R18" i="2"/>
  <c r="Q18" i="2"/>
  <c r="L18" i="2"/>
  <c r="K18" i="2"/>
  <c r="H18" i="2"/>
  <c r="I18" i="2" s="1"/>
  <c r="E18" i="2"/>
  <c r="F18" i="2" s="1"/>
  <c r="B18" i="2"/>
  <c r="AD17" i="2"/>
  <c r="AC17" i="2"/>
  <c r="AA17" i="2"/>
  <c r="W17" i="2"/>
  <c r="X17" i="2" s="1"/>
  <c r="U17" i="2"/>
  <c r="R17" i="2"/>
  <c r="O17" i="2"/>
  <c r="N17" i="2"/>
  <c r="L17" i="2"/>
  <c r="H17" i="2"/>
  <c r="I17" i="2" s="1"/>
  <c r="F17" i="2"/>
  <c r="C17" i="2"/>
  <c r="AD16" i="2"/>
  <c r="AC16" i="2"/>
  <c r="AA16" i="2"/>
  <c r="W16" i="2"/>
  <c r="X16" i="2" s="1"/>
  <c r="U16" i="2"/>
  <c r="R16" i="2"/>
  <c r="N16" i="2"/>
  <c r="O16" i="2" s="1"/>
  <c r="L16" i="2"/>
  <c r="I16" i="2"/>
  <c r="H16" i="2"/>
  <c r="F16" i="2"/>
  <c r="C16" i="2"/>
  <c r="AC15" i="2"/>
  <c r="AD15" i="2" s="1"/>
  <c r="AA15" i="2"/>
  <c r="X15" i="2"/>
  <c r="W15" i="2"/>
  <c r="U15" i="2"/>
  <c r="R15" i="2"/>
  <c r="N15" i="2"/>
  <c r="O15" i="2" s="1"/>
  <c r="L15" i="2"/>
  <c r="I15" i="2"/>
  <c r="H15" i="2"/>
  <c r="F15" i="2"/>
  <c r="C15" i="2"/>
  <c r="AC14" i="2"/>
  <c r="AD14" i="2" s="1"/>
  <c r="AA14" i="2"/>
  <c r="W14" i="2"/>
  <c r="X14" i="2" s="1"/>
  <c r="U14" i="2"/>
  <c r="R14" i="2"/>
  <c r="N14" i="2"/>
  <c r="O14" i="2" s="1"/>
  <c r="L14" i="2"/>
  <c r="I14" i="2"/>
  <c r="H14" i="2"/>
  <c r="F14" i="2"/>
  <c r="C14" i="2"/>
  <c r="AD13" i="2"/>
  <c r="AC13" i="2"/>
  <c r="AA13" i="2"/>
  <c r="X13" i="2"/>
  <c r="W13" i="2"/>
  <c r="U13" i="2"/>
  <c r="R13" i="2"/>
  <c r="N13" i="2"/>
  <c r="O13" i="2" s="1"/>
  <c r="L13" i="2"/>
  <c r="H13" i="2"/>
  <c r="I13" i="2" s="1"/>
  <c r="F13" i="2"/>
  <c r="C13" i="2"/>
  <c r="AC12" i="2"/>
  <c r="AD12" i="2" s="1"/>
  <c r="AA12" i="2"/>
  <c r="W12" i="2"/>
  <c r="X12" i="2" s="1"/>
  <c r="U12" i="2"/>
  <c r="R12" i="2"/>
  <c r="O12" i="2"/>
  <c r="N12" i="2"/>
  <c r="L12" i="2"/>
  <c r="I12" i="2"/>
  <c r="H12" i="2"/>
  <c r="F12" i="2"/>
  <c r="C12" i="2"/>
  <c r="AC11" i="2"/>
  <c r="AD11" i="2" s="1"/>
  <c r="AA11" i="2"/>
  <c r="W11" i="2"/>
  <c r="X11" i="2" s="1"/>
  <c r="U11" i="2"/>
  <c r="R11" i="2"/>
  <c r="O11" i="2"/>
  <c r="N11" i="2"/>
  <c r="L11" i="2"/>
  <c r="I11" i="2"/>
  <c r="H11" i="2"/>
  <c r="F11" i="2"/>
  <c r="C11" i="2"/>
  <c r="AC10" i="2"/>
  <c r="AD10" i="2" s="1"/>
  <c r="AA10" i="2"/>
  <c r="W10" i="2"/>
  <c r="X10" i="2" s="1"/>
  <c r="U10" i="2"/>
  <c r="R10" i="2"/>
  <c r="N10" i="2"/>
  <c r="O10" i="2" s="1"/>
  <c r="L10" i="2"/>
  <c r="H10" i="2"/>
  <c r="I10" i="2" s="1"/>
  <c r="F10" i="2"/>
  <c r="C10" i="2"/>
  <c r="AD8" i="2"/>
  <c r="AC8" i="2"/>
  <c r="AA8" i="2"/>
  <c r="X8" i="2"/>
  <c r="W8" i="2"/>
  <c r="U8" i="2"/>
  <c r="R8" i="2"/>
  <c r="N8" i="2"/>
  <c r="O8" i="2" s="1"/>
  <c r="L8" i="2"/>
  <c r="H8" i="2"/>
  <c r="I8" i="2" s="1"/>
  <c r="F8" i="2"/>
  <c r="C8" i="2"/>
  <c r="AC444" i="1"/>
  <c r="W444" i="1"/>
  <c r="N444" i="1"/>
  <c r="H444" i="1"/>
  <c r="AA442" i="1"/>
  <c r="Z442" i="1"/>
  <c r="W442" i="1"/>
  <c r="X442" i="1" s="1"/>
  <c r="U442" i="1"/>
  <c r="T442" i="1"/>
  <c r="Q442" i="1"/>
  <c r="K442" i="1"/>
  <c r="L442" i="1" s="1"/>
  <c r="I442" i="1"/>
  <c r="H442" i="1"/>
  <c r="F442" i="1"/>
  <c r="E442" i="1"/>
  <c r="C442" i="1"/>
  <c r="B442" i="1"/>
  <c r="N442" i="1" s="1"/>
  <c r="O442" i="1" s="1"/>
  <c r="Z441" i="1"/>
  <c r="AA441" i="1" s="1"/>
  <c r="W441" i="1"/>
  <c r="X441" i="1" s="1"/>
  <c r="U441" i="1"/>
  <c r="T441" i="1"/>
  <c r="Q441" i="1"/>
  <c r="K441" i="1"/>
  <c r="L441" i="1" s="1"/>
  <c r="E441" i="1"/>
  <c r="F441" i="1" s="1"/>
  <c r="C441" i="1"/>
  <c r="B441" i="1"/>
  <c r="AC440" i="1"/>
  <c r="AD440" i="1" s="1"/>
  <c r="AA440" i="1"/>
  <c r="W440" i="1"/>
  <c r="X440" i="1" s="1"/>
  <c r="U440" i="1"/>
  <c r="R440" i="1"/>
  <c r="N440" i="1"/>
  <c r="O440" i="1" s="1"/>
  <c r="L440" i="1"/>
  <c r="I440" i="1"/>
  <c r="H440" i="1"/>
  <c r="F440" i="1"/>
  <c r="C440" i="1"/>
  <c r="AC439" i="1"/>
  <c r="AD439" i="1" s="1"/>
  <c r="AA439" i="1"/>
  <c r="W439" i="1"/>
  <c r="X439" i="1" s="1"/>
  <c r="U439" i="1"/>
  <c r="R439" i="1"/>
  <c r="O439" i="1"/>
  <c r="N439" i="1"/>
  <c r="L439" i="1"/>
  <c r="I439" i="1"/>
  <c r="H439" i="1"/>
  <c r="F439" i="1"/>
  <c r="C439" i="1"/>
  <c r="AC438" i="1"/>
  <c r="AD438" i="1" s="1"/>
  <c r="AA438" i="1"/>
  <c r="W438" i="1"/>
  <c r="X438" i="1" s="1"/>
  <c r="U438" i="1"/>
  <c r="R438" i="1"/>
  <c r="N438" i="1"/>
  <c r="L438" i="1"/>
  <c r="H438" i="1"/>
  <c r="I438" i="1" s="1"/>
  <c r="F438" i="1"/>
  <c r="C438" i="1"/>
  <c r="AC437" i="1"/>
  <c r="AA437" i="1"/>
  <c r="X437" i="1"/>
  <c r="W437" i="1"/>
  <c r="U437" i="1"/>
  <c r="R437" i="1"/>
  <c r="N437" i="1"/>
  <c r="O437" i="1" s="1"/>
  <c r="L437" i="1"/>
  <c r="H437" i="1"/>
  <c r="I437" i="1" s="1"/>
  <c r="F437" i="1"/>
  <c r="C437" i="1"/>
  <c r="AD436" i="1"/>
  <c r="AC436" i="1"/>
  <c r="AA436" i="1"/>
  <c r="W436" i="1"/>
  <c r="X436" i="1" s="1"/>
  <c r="U436" i="1"/>
  <c r="R436" i="1"/>
  <c r="O436" i="1"/>
  <c r="N436" i="1"/>
  <c r="L436" i="1"/>
  <c r="I436" i="1"/>
  <c r="H436" i="1"/>
  <c r="F436" i="1"/>
  <c r="C436" i="1"/>
  <c r="AC435" i="1"/>
  <c r="AD435" i="1" s="1"/>
  <c r="AA435" i="1"/>
  <c r="X435" i="1"/>
  <c r="W435" i="1"/>
  <c r="U435" i="1"/>
  <c r="R435" i="1"/>
  <c r="N435" i="1"/>
  <c r="O435" i="1" s="1"/>
  <c r="L435" i="1"/>
  <c r="H435" i="1"/>
  <c r="I435" i="1" s="1"/>
  <c r="F435" i="1"/>
  <c r="C435" i="1"/>
  <c r="AC434" i="1"/>
  <c r="AD434" i="1" s="1"/>
  <c r="AA434" i="1"/>
  <c r="W434" i="1"/>
  <c r="X434" i="1" s="1"/>
  <c r="U434" i="1"/>
  <c r="R434" i="1"/>
  <c r="N434" i="1"/>
  <c r="L434" i="1"/>
  <c r="I434" i="1"/>
  <c r="H434" i="1"/>
  <c r="F434" i="1"/>
  <c r="C434" i="1"/>
  <c r="AD433" i="1"/>
  <c r="AC433" i="1"/>
  <c r="AA433" i="1"/>
  <c r="W433" i="1"/>
  <c r="X433" i="1" s="1"/>
  <c r="U433" i="1"/>
  <c r="R433" i="1"/>
  <c r="N433" i="1"/>
  <c r="O433" i="1" s="1"/>
  <c r="L433" i="1"/>
  <c r="H433" i="1"/>
  <c r="I433" i="1" s="1"/>
  <c r="F433" i="1"/>
  <c r="C433" i="1"/>
  <c r="AC432" i="1"/>
  <c r="AD432" i="1" s="1"/>
  <c r="AA432" i="1"/>
  <c r="W432" i="1"/>
  <c r="X432" i="1" s="1"/>
  <c r="U432" i="1"/>
  <c r="R432" i="1"/>
  <c r="O432" i="1"/>
  <c r="N432" i="1"/>
  <c r="L432" i="1"/>
  <c r="I432" i="1"/>
  <c r="H432" i="1"/>
  <c r="F432" i="1"/>
  <c r="C432" i="1"/>
  <c r="AC429" i="1"/>
  <c r="AD429" i="1" s="1"/>
  <c r="AA429" i="1"/>
  <c r="Z429" i="1"/>
  <c r="T429" i="1"/>
  <c r="U429" i="1" s="1"/>
  <c r="R429" i="1"/>
  <c r="Q429" i="1"/>
  <c r="N429" i="1"/>
  <c r="O429" i="1" s="1"/>
  <c r="L429" i="1"/>
  <c r="K429" i="1"/>
  <c r="F429" i="1"/>
  <c r="E429" i="1"/>
  <c r="H429" i="1" s="1"/>
  <c r="I429" i="1" s="1"/>
  <c r="C429" i="1"/>
  <c r="B429" i="1"/>
  <c r="Z428" i="1"/>
  <c r="AA428" i="1" s="1"/>
  <c r="T428" i="1"/>
  <c r="W428" i="1" s="1"/>
  <c r="X428" i="1" s="1"/>
  <c r="R428" i="1"/>
  <c r="Q428" i="1"/>
  <c r="N428" i="1"/>
  <c r="O428" i="1" s="1"/>
  <c r="L428" i="1"/>
  <c r="K428" i="1"/>
  <c r="H428" i="1"/>
  <c r="I428" i="1" s="1"/>
  <c r="F428" i="1"/>
  <c r="E428" i="1"/>
  <c r="B428" i="1"/>
  <c r="C428" i="1" s="1"/>
  <c r="AC427" i="1"/>
  <c r="AD427" i="1" s="1"/>
  <c r="AA427" i="1"/>
  <c r="W427" i="1"/>
  <c r="X427" i="1" s="1"/>
  <c r="U427" i="1"/>
  <c r="R427" i="1"/>
  <c r="N427" i="1"/>
  <c r="O427" i="1" s="1"/>
  <c r="L427" i="1"/>
  <c r="H427" i="1"/>
  <c r="I427" i="1" s="1"/>
  <c r="F427" i="1"/>
  <c r="C427" i="1"/>
  <c r="AC426" i="1"/>
  <c r="AA426" i="1"/>
  <c r="W426" i="1"/>
  <c r="X426" i="1" s="1"/>
  <c r="U426" i="1"/>
  <c r="R426" i="1"/>
  <c r="N426" i="1"/>
  <c r="O426" i="1" s="1"/>
  <c r="L426" i="1"/>
  <c r="I426" i="1"/>
  <c r="H426" i="1"/>
  <c r="F426" i="1"/>
  <c r="C426" i="1"/>
  <c r="AC425" i="1"/>
  <c r="AA425" i="1"/>
  <c r="W425" i="1"/>
  <c r="X425" i="1" s="1"/>
  <c r="U425" i="1"/>
  <c r="R425" i="1"/>
  <c r="O425" i="1"/>
  <c r="N425" i="1"/>
  <c r="L425" i="1"/>
  <c r="H425" i="1"/>
  <c r="I425" i="1" s="1"/>
  <c r="F425" i="1"/>
  <c r="C425" i="1"/>
  <c r="AC424" i="1"/>
  <c r="AA424" i="1"/>
  <c r="W424" i="1"/>
  <c r="X424" i="1" s="1"/>
  <c r="U424" i="1"/>
  <c r="R424" i="1"/>
  <c r="N424" i="1"/>
  <c r="O424" i="1" s="1"/>
  <c r="L424" i="1"/>
  <c r="I424" i="1"/>
  <c r="H424" i="1"/>
  <c r="F424" i="1"/>
  <c r="C424" i="1"/>
  <c r="AD423" i="1"/>
  <c r="AC423" i="1"/>
  <c r="AA423" i="1"/>
  <c r="W423" i="1"/>
  <c r="X423" i="1" s="1"/>
  <c r="U423" i="1"/>
  <c r="R423" i="1"/>
  <c r="N423" i="1"/>
  <c r="O423" i="1" s="1"/>
  <c r="L423" i="1"/>
  <c r="I423" i="1"/>
  <c r="H423" i="1"/>
  <c r="F423" i="1"/>
  <c r="C423" i="1"/>
  <c r="AC422" i="1"/>
  <c r="AA422" i="1"/>
  <c r="X422" i="1"/>
  <c r="W422" i="1"/>
  <c r="U422" i="1"/>
  <c r="R422" i="1"/>
  <c r="N422" i="1"/>
  <c r="O422" i="1" s="1"/>
  <c r="L422" i="1"/>
  <c r="H422" i="1"/>
  <c r="I422" i="1" s="1"/>
  <c r="F422" i="1"/>
  <c r="C422" i="1"/>
  <c r="AD421" i="1"/>
  <c r="AC421" i="1"/>
  <c r="AA421" i="1"/>
  <c r="X421" i="1"/>
  <c r="W421" i="1"/>
  <c r="U421" i="1"/>
  <c r="R421" i="1"/>
  <c r="O421" i="1"/>
  <c r="N421" i="1"/>
  <c r="L421" i="1"/>
  <c r="H421" i="1"/>
  <c r="I421" i="1" s="1"/>
  <c r="F421" i="1"/>
  <c r="C421" i="1"/>
  <c r="AC420" i="1"/>
  <c r="AD420" i="1" s="1"/>
  <c r="AA420" i="1"/>
  <c r="W420" i="1"/>
  <c r="X420" i="1" s="1"/>
  <c r="U420" i="1"/>
  <c r="R420" i="1"/>
  <c r="N420" i="1"/>
  <c r="O420" i="1" s="1"/>
  <c r="L420" i="1"/>
  <c r="I420" i="1"/>
  <c r="H420" i="1"/>
  <c r="F420" i="1"/>
  <c r="C420" i="1"/>
  <c r="AC419" i="1"/>
  <c r="AA419" i="1"/>
  <c r="W419" i="1"/>
  <c r="X419" i="1" s="1"/>
  <c r="U419" i="1"/>
  <c r="R419" i="1"/>
  <c r="O419" i="1"/>
  <c r="N419" i="1"/>
  <c r="L419" i="1"/>
  <c r="H419" i="1"/>
  <c r="I419" i="1" s="1"/>
  <c r="F419" i="1"/>
  <c r="C419" i="1"/>
  <c r="AC418" i="1"/>
  <c r="AD418" i="1" s="1"/>
  <c r="AA418" i="1"/>
  <c r="W418" i="1"/>
  <c r="X418" i="1" s="1"/>
  <c r="U418" i="1"/>
  <c r="R418" i="1"/>
  <c r="N418" i="1"/>
  <c r="O418" i="1" s="1"/>
  <c r="L418" i="1"/>
  <c r="H418" i="1"/>
  <c r="I418" i="1" s="1"/>
  <c r="F418" i="1"/>
  <c r="C418" i="1"/>
  <c r="AC417" i="1"/>
  <c r="AA417" i="1"/>
  <c r="W417" i="1"/>
  <c r="X417" i="1" s="1"/>
  <c r="U417" i="1"/>
  <c r="R417" i="1"/>
  <c r="N417" i="1"/>
  <c r="O417" i="1" s="1"/>
  <c r="L417" i="1"/>
  <c r="I417" i="1"/>
  <c r="H417" i="1"/>
  <c r="F417" i="1"/>
  <c r="C417" i="1"/>
  <c r="AC416" i="1"/>
  <c r="AA416" i="1"/>
  <c r="W416" i="1"/>
  <c r="X416" i="1" s="1"/>
  <c r="U416" i="1"/>
  <c r="R416" i="1"/>
  <c r="N416" i="1"/>
  <c r="O416" i="1" s="1"/>
  <c r="L416" i="1"/>
  <c r="I416" i="1"/>
  <c r="H416" i="1"/>
  <c r="F416" i="1"/>
  <c r="C416" i="1"/>
  <c r="AC415" i="1"/>
  <c r="AA415" i="1"/>
  <c r="W415" i="1"/>
  <c r="X415" i="1" s="1"/>
  <c r="U415" i="1"/>
  <c r="R415" i="1"/>
  <c r="O415" i="1"/>
  <c r="N415" i="1"/>
  <c r="L415" i="1"/>
  <c r="I415" i="1"/>
  <c r="H415" i="1"/>
  <c r="F415" i="1"/>
  <c r="C415" i="1"/>
  <c r="AC414" i="1"/>
  <c r="AD414" i="1" s="1"/>
  <c r="AA414" i="1"/>
  <c r="X414" i="1"/>
  <c r="W414" i="1"/>
  <c r="U414" i="1"/>
  <c r="R414" i="1"/>
  <c r="N414" i="1"/>
  <c r="O414" i="1" s="1"/>
  <c r="L414" i="1"/>
  <c r="I414" i="1"/>
  <c r="H414" i="1"/>
  <c r="F414" i="1"/>
  <c r="C414" i="1"/>
  <c r="AC413" i="1"/>
  <c r="AA413" i="1"/>
  <c r="W413" i="1"/>
  <c r="X413" i="1" s="1"/>
  <c r="U413" i="1"/>
  <c r="R413" i="1"/>
  <c r="O413" i="1"/>
  <c r="N413" i="1"/>
  <c r="L413" i="1"/>
  <c r="I413" i="1"/>
  <c r="H413" i="1"/>
  <c r="F413" i="1"/>
  <c r="C413" i="1"/>
  <c r="AC412" i="1"/>
  <c r="AD412" i="1" s="1"/>
  <c r="AA412" i="1"/>
  <c r="W412" i="1"/>
  <c r="X412" i="1" s="1"/>
  <c r="U412" i="1"/>
  <c r="R412" i="1"/>
  <c r="O412" i="1"/>
  <c r="N412" i="1"/>
  <c r="L412" i="1"/>
  <c r="I412" i="1"/>
  <c r="H412" i="1"/>
  <c r="F412" i="1"/>
  <c r="C412" i="1"/>
  <c r="AC411" i="1"/>
  <c r="AD411" i="1" s="1"/>
  <c r="AA411" i="1"/>
  <c r="X411" i="1"/>
  <c r="W411" i="1"/>
  <c r="U411" i="1"/>
  <c r="R411" i="1"/>
  <c r="O411" i="1"/>
  <c r="N411" i="1"/>
  <c r="L411" i="1"/>
  <c r="H411" i="1"/>
  <c r="I411" i="1" s="1"/>
  <c r="F411" i="1"/>
  <c r="C411" i="1"/>
  <c r="AC410" i="1"/>
  <c r="AA410" i="1"/>
  <c r="X410" i="1"/>
  <c r="W410" i="1"/>
  <c r="U410" i="1"/>
  <c r="R410" i="1"/>
  <c r="N410" i="1"/>
  <c r="L410" i="1"/>
  <c r="H410" i="1"/>
  <c r="I410" i="1" s="1"/>
  <c r="F410" i="1"/>
  <c r="C410" i="1"/>
  <c r="AC409" i="1"/>
  <c r="AA409" i="1"/>
  <c r="W409" i="1"/>
  <c r="X409" i="1" s="1"/>
  <c r="U409" i="1"/>
  <c r="R409" i="1"/>
  <c r="N409" i="1"/>
  <c r="O409" i="1" s="1"/>
  <c r="L409" i="1"/>
  <c r="H409" i="1"/>
  <c r="I409" i="1" s="1"/>
  <c r="F409" i="1"/>
  <c r="C409" i="1"/>
  <c r="AD408" i="1"/>
  <c r="AC408" i="1"/>
  <c r="AA408" i="1"/>
  <c r="W408" i="1"/>
  <c r="X408" i="1" s="1"/>
  <c r="U408" i="1"/>
  <c r="R408" i="1"/>
  <c r="N408" i="1"/>
  <c r="O408" i="1" s="1"/>
  <c r="L408" i="1"/>
  <c r="I408" i="1"/>
  <c r="H408" i="1"/>
  <c r="F408" i="1"/>
  <c r="C408" i="1"/>
  <c r="AC407" i="1"/>
  <c r="AA407" i="1"/>
  <c r="X407" i="1"/>
  <c r="W407" i="1"/>
  <c r="U407" i="1"/>
  <c r="R407" i="1"/>
  <c r="N407" i="1"/>
  <c r="O407" i="1" s="1"/>
  <c r="L407" i="1"/>
  <c r="H407" i="1"/>
  <c r="I407" i="1" s="1"/>
  <c r="F407" i="1"/>
  <c r="C407" i="1"/>
  <c r="AA403" i="1"/>
  <c r="Z403" i="1"/>
  <c r="U403" i="1"/>
  <c r="T403" i="1"/>
  <c r="Q403" i="1"/>
  <c r="W403" i="1" s="1"/>
  <c r="X403" i="1" s="1"/>
  <c r="K403" i="1"/>
  <c r="L403" i="1" s="1"/>
  <c r="E403" i="1"/>
  <c r="F403" i="1" s="1"/>
  <c r="C403" i="1"/>
  <c r="B403" i="1"/>
  <c r="AC402" i="1"/>
  <c r="AD402" i="1" s="1"/>
  <c r="AA402" i="1"/>
  <c r="W402" i="1"/>
  <c r="X402" i="1" s="1"/>
  <c r="U402" i="1"/>
  <c r="R402" i="1"/>
  <c r="O402" i="1"/>
  <c r="N402" i="1"/>
  <c r="L402" i="1"/>
  <c r="I402" i="1"/>
  <c r="H402" i="1"/>
  <c r="F402" i="1"/>
  <c r="C402" i="1"/>
  <c r="AC401" i="1"/>
  <c r="AD401" i="1" s="1"/>
  <c r="AA401" i="1"/>
  <c r="W401" i="1"/>
  <c r="X401" i="1" s="1"/>
  <c r="U401" i="1"/>
  <c r="R401" i="1"/>
  <c r="N401" i="1"/>
  <c r="O401" i="1" s="1"/>
  <c r="L401" i="1"/>
  <c r="H401" i="1"/>
  <c r="I401" i="1" s="1"/>
  <c r="F401" i="1"/>
  <c r="C401" i="1"/>
  <c r="AC400" i="1"/>
  <c r="AD400" i="1" s="1"/>
  <c r="AA400" i="1"/>
  <c r="X400" i="1"/>
  <c r="W400" i="1"/>
  <c r="U400" i="1"/>
  <c r="R400" i="1"/>
  <c r="N400" i="1"/>
  <c r="O400" i="1" s="1"/>
  <c r="L400" i="1"/>
  <c r="I400" i="1"/>
  <c r="H400" i="1"/>
  <c r="F400" i="1"/>
  <c r="C400" i="1"/>
  <c r="AD399" i="1"/>
  <c r="AC399" i="1"/>
  <c r="AA399" i="1"/>
  <c r="X399" i="1"/>
  <c r="W399" i="1"/>
  <c r="U399" i="1"/>
  <c r="R399" i="1"/>
  <c r="N399" i="1"/>
  <c r="O399" i="1" s="1"/>
  <c r="L399" i="1"/>
  <c r="H399" i="1"/>
  <c r="I399" i="1" s="1"/>
  <c r="F399" i="1"/>
  <c r="C399" i="1"/>
  <c r="AC398" i="1"/>
  <c r="AA398" i="1"/>
  <c r="W398" i="1"/>
  <c r="X398" i="1" s="1"/>
  <c r="U398" i="1"/>
  <c r="R398" i="1"/>
  <c r="O398" i="1"/>
  <c r="N398" i="1"/>
  <c r="L398" i="1"/>
  <c r="I398" i="1"/>
  <c r="H398" i="1"/>
  <c r="F398" i="1"/>
  <c r="C398" i="1"/>
  <c r="AD397" i="1"/>
  <c r="AC397" i="1"/>
  <c r="AA397" i="1"/>
  <c r="X397" i="1"/>
  <c r="W397" i="1"/>
  <c r="U397" i="1"/>
  <c r="R397" i="1"/>
  <c r="N397" i="1"/>
  <c r="O397" i="1" s="1"/>
  <c r="L397" i="1"/>
  <c r="H397" i="1"/>
  <c r="I397" i="1" s="1"/>
  <c r="F397" i="1"/>
  <c r="C397" i="1"/>
  <c r="AA396" i="1"/>
  <c r="Z396" i="1"/>
  <c r="U396" i="1"/>
  <c r="T396" i="1"/>
  <c r="Q396" i="1"/>
  <c r="K396" i="1"/>
  <c r="L396" i="1" s="1"/>
  <c r="E396" i="1"/>
  <c r="F396" i="1" s="1"/>
  <c r="B396" i="1"/>
  <c r="AC395" i="1"/>
  <c r="AD395" i="1" s="1"/>
  <c r="AA395" i="1"/>
  <c r="W395" i="1"/>
  <c r="X395" i="1" s="1"/>
  <c r="U395" i="1"/>
  <c r="R395" i="1"/>
  <c r="O395" i="1"/>
  <c r="N395" i="1"/>
  <c r="L395" i="1"/>
  <c r="I395" i="1"/>
  <c r="H395" i="1"/>
  <c r="F395" i="1"/>
  <c r="C395" i="1"/>
  <c r="AC394" i="1"/>
  <c r="AD394" i="1" s="1"/>
  <c r="AA394" i="1"/>
  <c r="W394" i="1"/>
  <c r="X394" i="1" s="1"/>
  <c r="U394" i="1"/>
  <c r="R394" i="1"/>
  <c r="O394" i="1"/>
  <c r="N394" i="1"/>
  <c r="L394" i="1"/>
  <c r="H394" i="1"/>
  <c r="I394" i="1" s="1"/>
  <c r="F394" i="1"/>
  <c r="C394" i="1"/>
  <c r="Z393" i="1"/>
  <c r="AA393" i="1" s="1"/>
  <c r="U393" i="1"/>
  <c r="T393" i="1"/>
  <c r="Q393" i="1"/>
  <c r="K393" i="1"/>
  <c r="L393" i="1" s="1"/>
  <c r="E393" i="1"/>
  <c r="F393" i="1" s="1"/>
  <c r="C393" i="1"/>
  <c r="B393" i="1"/>
  <c r="AC392" i="1"/>
  <c r="AD392" i="1" s="1"/>
  <c r="AA392" i="1"/>
  <c r="W392" i="1"/>
  <c r="X392" i="1" s="1"/>
  <c r="U392" i="1"/>
  <c r="R392" i="1"/>
  <c r="O392" i="1"/>
  <c r="N392" i="1"/>
  <c r="L392" i="1"/>
  <c r="I392" i="1"/>
  <c r="H392" i="1"/>
  <c r="F392" i="1"/>
  <c r="C392" i="1"/>
  <c r="AC391" i="1"/>
  <c r="AD391" i="1" s="1"/>
  <c r="AA391" i="1"/>
  <c r="W391" i="1"/>
  <c r="X391" i="1" s="1"/>
  <c r="U391" i="1"/>
  <c r="R391" i="1"/>
  <c r="N391" i="1"/>
  <c r="O391" i="1" s="1"/>
  <c r="L391" i="1"/>
  <c r="H391" i="1"/>
  <c r="I391" i="1" s="1"/>
  <c r="F391" i="1"/>
  <c r="C391" i="1"/>
  <c r="AC390" i="1"/>
  <c r="AD390" i="1" s="1"/>
  <c r="AA390" i="1"/>
  <c r="X390" i="1"/>
  <c r="W390" i="1"/>
  <c r="U390" i="1"/>
  <c r="R390" i="1"/>
  <c r="N390" i="1"/>
  <c r="O390" i="1" s="1"/>
  <c r="L390" i="1"/>
  <c r="I390" i="1"/>
  <c r="H390" i="1"/>
  <c r="F390" i="1"/>
  <c r="C390" i="1"/>
  <c r="AD389" i="1"/>
  <c r="AC389" i="1"/>
  <c r="AA389" i="1"/>
  <c r="W389" i="1"/>
  <c r="X389" i="1" s="1"/>
  <c r="U389" i="1"/>
  <c r="R389" i="1"/>
  <c r="O389" i="1"/>
  <c r="N389" i="1"/>
  <c r="L389" i="1"/>
  <c r="H389" i="1"/>
  <c r="I389" i="1" s="1"/>
  <c r="F389" i="1"/>
  <c r="C389" i="1"/>
  <c r="AC388" i="1"/>
  <c r="AA388" i="1"/>
  <c r="W388" i="1"/>
  <c r="X388" i="1" s="1"/>
  <c r="U388" i="1"/>
  <c r="R388" i="1"/>
  <c r="O388" i="1"/>
  <c r="N388" i="1"/>
  <c r="L388" i="1"/>
  <c r="I388" i="1"/>
  <c r="H388" i="1"/>
  <c r="F388" i="1"/>
  <c r="C388" i="1"/>
  <c r="AD386" i="1"/>
  <c r="AC386" i="1"/>
  <c r="AA386" i="1"/>
  <c r="X386" i="1"/>
  <c r="W386" i="1"/>
  <c r="U386" i="1"/>
  <c r="R386" i="1"/>
  <c r="N386" i="1"/>
  <c r="O386" i="1" s="1"/>
  <c r="L386" i="1"/>
  <c r="H386" i="1"/>
  <c r="I386" i="1" s="1"/>
  <c r="F386" i="1"/>
  <c r="C386" i="1"/>
  <c r="AC385" i="1"/>
  <c r="AA385" i="1"/>
  <c r="X385" i="1"/>
  <c r="W385" i="1"/>
  <c r="U385" i="1"/>
  <c r="R385" i="1"/>
  <c r="N385" i="1"/>
  <c r="O385" i="1" s="1"/>
  <c r="L385" i="1"/>
  <c r="H385" i="1"/>
  <c r="I385" i="1" s="1"/>
  <c r="F385" i="1"/>
  <c r="C385" i="1"/>
  <c r="AC383" i="1"/>
  <c r="AA383" i="1"/>
  <c r="W383" i="1"/>
  <c r="X383" i="1" s="1"/>
  <c r="U383" i="1"/>
  <c r="R383" i="1"/>
  <c r="O383" i="1"/>
  <c r="N383" i="1"/>
  <c r="L383" i="1"/>
  <c r="H383" i="1"/>
  <c r="I383" i="1" s="1"/>
  <c r="F383" i="1"/>
  <c r="C383" i="1"/>
  <c r="AC382" i="1"/>
  <c r="AD382" i="1" s="1"/>
  <c r="AA382" i="1"/>
  <c r="W382" i="1"/>
  <c r="X382" i="1" s="1"/>
  <c r="U382" i="1"/>
  <c r="R382" i="1"/>
  <c r="O382" i="1"/>
  <c r="N382" i="1"/>
  <c r="L382" i="1"/>
  <c r="I382" i="1"/>
  <c r="H382" i="1"/>
  <c r="F382" i="1"/>
  <c r="C382" i="1"/>
  <c r="AC381" i="1"/>
  <c r="AD381" i="1" s="1"/>
  <c r="AA381" i="1"/>
  <c r="W381" i="1"/>
  <c r="X381" i="1" s="1"/>
  <c r="U381" i="1"/>
  <c r="R381" i="1"/>
  <c r="N381" i="1"/>
  <c r="O381" i="1" s="1"/>
  <c r="L381" i="1"/>
  <c r="H381" i="1"/>
  <c r="I381" i="1" s="1"/>
  <c r="F381" i="1"/>
  <c r="C381" i="1"/>
  <c r="AC380" i="1"/>
  <c r="AD380" i="1" s="1"/>
  <c r="AA380" i="1"/>
  <c r="X380" i="1"/>
  <c r="W380" i="1"/>
  <c r="U380" i="1"/>
  <c r="R380" i="1"/>
  <c r="N380" i="1"/>
  <c r="O380" i="1" s="1"/>
  <c r="L380" i="1"/>
  <c r="H380" i="1"/>
  <c r="I380" i="1" s="1"/>
  <c r="F380" i="1"/>
  <c r="C380" i="1"/>
  <c r="AD379" i="1"/>
  <c r="AC379" i="1"/>
  <c r="AA379" i="1"/>
  <c r="W379" i="1"/>
  <c r="X379" i="1" s="1"/>
  <c r="U379" i="1"/>
  <c r="R379" i="1"/>
  <c r="N379" i="1"/>
  <c r="O379" i="1" s="1"/>
  <c r="L379" i="1"/>
  <c r="H379" i="1"/>
  <c r="I379" i="1" s="1"/>
  <c r="F379" i="1"/>
  <c r="C379" i="1"/>
  <c r="AC378" i="1"/>
  <c r="AA378" i="1"/>
  <c r="W378" i="1"/>
  <c r="X378" i="1" s="1"/>
  <c r="U378" i="1"/>
  <c r="R378" i="1"/>
  <c r="O378" i="1"/>
  <c r="N378" i="1"/>
  <c r="L378" i="1"/>
  <c r="I378" i="1"/>
  <c r="H378" i="1"/>
  <c r="F378" i="1"/>
  <c r="C378" i="1"/>
  <c r="AC377" i="1"/>
  <c r="AD377" i="1" s="1"/>
  <c r="AA377" i="1"/>
  <c r="X377" i="1"/>
  <c r="W377" i="1"/>
  <c r="U377" i="1"/>
  <c r="R377" i="1"/>
  <c r="N377" i="1"/>
  <c r="O377" i="1" s="1"/>
  <c r="L377" i="1"/>
  <c r="H377" i="1"/>
  <c r="I377" i="1" s="1"/>
  <c r="F377" i="1"/>
  <c r="C377" i="1"/>
  <c r="AC376" i="1"/>
  <c r="AD376" i="1" s="1"/>
  <c r="AA376" i="1"/>
  <c r="X376" i="1"/>
  <c r="W376" i="1"/>
  <c r="U376" i="1"/>
  <c r="R376" i="1"/>
  <c r="N376" i="1"/>
  <c r="O376" i="1" s="1"/>
  <c r="L376" i="1"/>
  <c r="I376" i="1"/>
  <c r="H376" i="1"/>
  <c r="F376" i="1"/>
  <c r="C376" i="1"/>
  <c r="AD375" i="1"/>
  <c r="AC375" i="1"/>
  <c r="AA375" i="1"/>
  <c r="W375" i="1"/>
  <c r="X375" i="1" s="1"/>
  <c r="U375" i="1"/>
  <c r="R375" i="1"/>
  <c r="O375" i="1"/>
  <c r="N375" i="1"/>
  <c r="L375" i="1"/>
  <c r="H375" i="1"/>
  <c r="I375" i="1" s="1"/>
  <c r="F375" i="1"/>
  <c r="C375" i="1"/>
  <c r="AC374" i="1"/>
  <c r="AA374" i="1"/>
  <c r="W374" i="1"/>
  <c r="X374" i="1" s="1"/>
  <c r="U374" i="1"/>
  <c r="R374" i="1"/>
  <c r="O374" i="1"/>
  <c r="N374" i="1"/>
  <c r="L374" i="1"/>
  <c r="I374" i="1"/>
  <c r="H374" i="1"/>
  <c r="F374" i="1"/>
  <c r="C374" i="1"/>
  <c r="AC373" i="1"/>
  <c r="AD373" i="1" s="1"/>
  <c r="AA373" i="1"/>
  <c r="W373" i="1"/>
  <c r="X373" i="1" s="1"/>
  <c r="U373" i="1"/>
  <c r="R373" i="1"/>
  <c r="O373" i="1"/>
  <c r="N373" i="1"/>
  <c r="L373" i="1"/>
  <c r="H373" i="1"/>
  <c r="I373" i="1" s="1"/>
  <c r="F373" i="1"/>
  <c r="C373" i="1"/>
  <c r="AD372" i="1"/>
  <c r="AC372" i="1"/>
  <c r="AA372" i="1"/>
  <c r="X372" i="1"/>
  <c r="W372" i="1"/>
  <c r="U372" i="1"/>
  <c r="R372" i="1"/>
  <c r="N372" i="1"/>
  <c r="O372" i="1" s="1"/>
  <c r="L372" i="1"/>
  <c r="H372" i="1"/>
  <c r="I372" i="1" s="1"/>
  <c r="F372" i="1"/>
  <c r="C372" i="1"/>
  <c r="AD371" i="1"/>
  <c r="AC371" i="1"/>
  <c r="AA371" i="1"/>
  <c r="X371" i="1"/>
  <c r="W371" i="1"/>
  <c r="U371" i="1"/>
  <c r="R371" i="1"/>
  <c r="N371" i="1"/>
  <c r="O371" i="1" s="1"/>
  <c r="L371" i="1"/>
  <c r="H371" i="1"/>
  <c r="I371" i="1" s="1"/>
  <c r="F371" i="1"/>
  <c r="C371" i="1"/>
  <c r="AC370" i="1"/>
  <c r="AA370" i="1"/>
  <c r="W370" i="1"/>
  <c r="X370" i="1" s="1"/>
  <c r="U370" i="1"/>
  <c r="R370" i="1"/>
  <c r="O370" i="1"/>
  <c r="N370" i="1"/>
  <c r="L370" i="1"/>
  <c r="I370" i="1"/>
  <c r="H370" i="1"/>
  <c r="F370" i="1"/>
  <c r="C370" i="1"/>
  <c r="AC369" i="1"/>
  <c r="AD369" i="1" s="1"/>
  <c r="AA369" i="1"/>
  <c r="X369" i="1"/>
  <c r="W369" i="1"/>
  <c r="U369" i="1"/>
  <c r="R369" i="1"/>
  <c r="N369" i="1"/>
  <c r="O369" i="1" s="1"/>
  <c r="L369" i="1"/>
  <c r="H369" i="1"/>
  <c r="I369" i="1" s="1"/>
  <c r="F369" i="1"/>
  <c r="C369" i="1"/>
  <c r="AC368" i="1"/>
  <c r="AD368" i="1" s="1"/>
  <c r="Z368" i="1"/>
  <c r="AA368" i="1" s="1"/>
  <c r="U368" i="1"/>
  <c r="T368" i="1"/>
  <c r="Q368" i="1"/>
  <c r="R368" i="1" s="1"/>
  <c r="K368" i="1"/>
  <c r="L368" i="1" s="1"/>
  <c r="F368" i="1"/>
  <c r="E368" i="1"/>
  <c r="B368" i="1"/>
  <c r="AC367" i="1"/>
  <c r="AD367" i="1" s="1"/>
  <c r="AA367" i="1"/>
  <c r="W367" i="1"/>
  <c r="X367" i="1" s="1"/>
  <c r="U367" i="1"/>
  <c r="R367" i="1"/>
  <c r="O367" i="1"/>
  <c r="N367" i="1"/>
  <c r="L367" i="1"/>
  <c r="I367" i="1"/>
  <c r="H367" i="1"/>
  <c r="F367" i="1"/>
  <c r="C367" i="1"/>
  <c r="AC366" i="1"/>
  <c r="AD366" i="1" s="1"/>
  <c r="AA366" i="1"/>
  <c r="W366" i="1"/>
  <c r="X366" i="1" s="1"/>
  <c r="U366" i="1"/>
  <c r="R366" i="1"/>
  <c r="N366" i="1"/>
  <c r="O366" i="1" s="1"/>
  <c r="L366" i="1"/>
  <c r="H366" i="1"/>
  <c r="I366" i="1" s="1"/>
  <c r="F366" i="1"/>
  <c r="C366" i="1"/>
  <c r="AC365" i="1"/>
  <c r="AD365" i="1" s="1"/>
  <c r="AA365" i="1"/>
  <c r="X365" i="1"/>
  <c r="W365" i="1"/>
  <c r="U365" i="1"/>
  <c r="R365" i="1"/>
  <c r="N365" i="1"/>
  <c r="O365" i="1" s="1"/>
  <c r="L365" i="1"/>
  <c r="H365" i="1"/>
  <c r="I365" i="1" s="1"/>
  <c r="F365" i="1"/>
  <c r="C365" i="1"/>
  <c r="AC364" i="1"/>
  <c r="AA364" i="1"/>
  <c r="W364" i="1"/>
  <c r="X364" i="1" s="1"/>
  <c r="U364" i="1"/>
  <c r="R364" i="1"/>
  <c r="O364" i="1"/>
  <c r="N364" i="1"/>
  <c r="L364" i="1"/>
  <c r="I364" i="1"/>
  <c r="H364" i="1"/>
  <c r="F364" i="1"/>
  <c r="C364" i="1"/>
  <c r="AC363" i="1"/>
  <c r="AD363" i="1" s="1"/>
  <c r="AA363" i="1"/>
  <c r="W363" i="1"/>
  <c r="X363" i="1" s="1"/>
  <c r="U363" i="1"/>
  <c r="R363" i="1"/>
  <c r="N363" i="1"/>
  <c r="O363" i="1" s="1"/>
  <c r="L363" i="1"/>
  <c r="I363" i="1"/>
  <c r="H363" i="1"/>
  <c r="F363" i="1"/>
  <c r="C363" i="1"/>
  <c r="AD362" i="1"/>
  <c r="AC362" i="1"/>
  <c r="AA362" i="1"/>
  <c r="W362" i="1"/>
  <c r="X362" i="1" s="1"/>
  <c r="U362" i="1"/>
  <c r="R362" i="1"/>
  <c r="O362" i="1"/>
  <c r="N362" i="1"/>
  <c r="L362" i="1"/>
  <c r="H362" i="1"/>
  <c r="I362" i="1" s="1"/>
  <c r="F362" i="1"/>
  <c r="C362" i="1"/>
  <c r="AC361" i="1"/>
  <c r="AD361" i="1" s="1"/>
  <c r="AA361" i="1"/>
  <c r="W361" i="1"/>
  <c r="X361" i="1" s="1"/>
  <c r="U361" i="1"/>
  <c r="R361" i="1"/>
  <c r="O361" i="1"/>
  <c r="N361" i="1"/>
  <c r="L361" i="1"/>
  <c r="I361" i="1"/>
  <c r="H361" i="1"/>
  <c r="F361" i="1"/>
  <c r="C361" i="1"/>
  <c r="AC360" i="1"/>
  <c r="AD360" i="1" s="1"/>
  <c r="AA360" i="1"/>
  <c r="W360" i="1"/>
  <c r="X360" i="1" s="1"/>
  <c r="U360" i="1"/>
  <c r="R360" i="1"/>
  <c r="N360" i="1"/>
  <c r="O360" i="1" s="1"/>
  <c r="L360" i="1"/>
  <c r="H360" i="1"/>
  <c r="I360" i="1" s="1"/>
  <c r="F360" i="1"/>
  <c r="C360" i="1"/>
  <c r="AC358" i="1"/>
  <c r="AD358" i="1" s="1"/>
  <c r="AA358" i="1"/>
  <c r="Z358" i="1"/>
  <c r="W358" i="1"/>
  <c r="X358" i="1" s="1"/>
  <c r="U358" i="1"/>
  <c r="T358" i="1"/>
  <c r="Q358" i="1"/>
  <c r="R358" i="1" s="1"/>
  <c r="N358" i="1"/>
  <c r="O358" i="1" s="1"/>
  <c r="K358" i="1"/>
  <c r="L358" i="1" s="1"/>
  <c r="E358" i="1"/>
  <c r="F358" i="1" s="1"/>
  <c r="C358" i="1"/>
  <c r="B358" i="1"/>
  <c r="AC357" i="1"/>
  <c r="AD357" i="1" s="1"/>
  <c r="AA357" i="1"/>
  <c r="W357" i="1"/>
  <c r="X357" i="1" s="1"/>
  <c r="U357" i="1"/>
  <c r="R357" i="1"/>
  <c r="O357" i="1"/>
  <c r="N357" i="1"/>
  <c r="L357" i="1"/>
  <c r="I357" i="1"/>
  <c r="H357" i="1"/>
  <c r="F357" i="1"/>
  <c r="C357" i="1"/>
  <c r="AC356" i="1"/>
  <c r="AD356" i="1" s="1"/>
  <c r="AA356" i="1"/>
  <c r="W356" i="1"/>
  <c r="X356" i="1" s="1"/>
  <c r="U356" i="1"/>
  <c r="R356" i="1"/>
  <c r="O356" i="1"/>
  <c r="N356" i="1"/>
  <c r="L356" i="1"/>
  <c r="H356" i="1"/>
  <c r="I356" i="1" s="1"/>
  <c r="F356" i="1"/>
  <c r="C356" i="1"/>
  <c r="AC355" i="1"/>
  <c r="AD355" i="1" s="1"/>
  <c r="AA355" i="1"/>
  <c r="X355" i="1"/>
  <c r="W355" i="1"/>
  <c r="U355" i="1"/>
  <c r="R355" i="1"/>
  <c r="N355" i="1"/>
  <c r="O355" i="1" s="1"/>
  <c r="L355" i="1"/>
  <c r="H355" i="1"/>
  <c r="I355" i="1" s="1"/>
  <c r="F355" i="1"/>
  <c r="C355" i="1"/>
  <c r="AD354" i="1"/>
  <c r="AC354" i="1"/>
  <c r="AA354" i="1"/>
  <c r="W354" i="1"/>
  <c r="X354" i="1" s="1"/>
  <c r="U354" i="1"/>
  <c r="R354" i="1"/>
  <c r="N354" i="1"/>
  <c r="O354" i="1" s="1"/>
  <c r="L354" i="1"/>
  <c r="H354" i="1"/>
  <c r="I354" i="1" s="1"/>
  <c r="F354" i="1"/>
  <c r="C354" i="1"/>
  <c r="AC353" i="1"/>
  <c r="AD353" i="1" s="1"/>
  <c r="AA353" i="1"/>
  <c r="W353" i="1"/>
  <c r="X353" i="1" s="1"/>
  <c r="U353" i="1"/>
  <c r="R353" i="1"/>
  <c r="O353" i="1"/>
  <c r="N353" i="1"/>
  <c r="L353" i="1"/>
  <c r="I353" i="1"/>
  <c r="H353" i="1"/>
  <c r="F353" i="1"/>
  <c r="C353" i="1"/>
  <c r="AD352" i="1"/>
  <c r="AC352" i="1"/>
  <c r="AA352" i="1"/>
  <c r="W352" i="1"/>
  <c r="X352" i="1" s="1"/>
  <c r="U352" i="1"/>
  <c r="R352" i="1"/>
  <c r="N352" i="1"/>
  <c r="O352" i="1" s="1"/>
  <c r="L352" i="1"/>
  <c r="H352" i="1"/>
  <c r="I352" i="1" s="1"/>
  <c r="F352" i="1"/>
  <c r="C352" i="1"/>
  <c r="AC351" i="1"/>
  <c r="AD351" i="1" s="1"/>
  <c r="AA351" i="1"/>
  <c r="X351" i="1"/>
  <c r="W351" i="1"/>
  <c r="U351" i="1"/>
  <c r="R351" i="1"/>
  <c r="N351" i="1"/>
  <c r="O351" i="1" s="1"/>
  <c r="L351" i="1"/>
  <c r="I351" i="1"/>
  <c r="H351" i="1"/>
  <c r="F351" i="1"/>
  <c r="C351" i="1"/>
  <c r="AD350" i="1"/>
  <c r="AC350" i="1"/>
  <c r="AA350" i="1"/>
  <c r="X350" i="1"/>
  <c r="W350" i="1"/>
  <c r="U350" i="1"/>
  <c r="R350" i="1"/>
  <c r="O350" i="1"/>
  <c r="N350" i="1"/>
  <c r="L350" i="1"/>
  <c r="H350" i="1"/>
  <c r="I350" i="1" s="1"/>
  <c r="F350" i="1"/>
  <c r="C350" i="1"/>
  <c r="AC349" i="1"/>
  <c r="AD349" i="1" s="1"/>
  <c r="AA349" i="1"/>
  <c r="W349" i="1"/>
  <c r="X349" i="1" s="1"/>
  <c r="U349" i="1"/>
  <c r="R349" i="1"/>
  <c r="O349" i="1"/>
  <c r="N349" i="1"/>
  <c r="L349" i="1"/>
  <c r="I349" i="1"/>
  <c r="H349" i="1"/>
  <c r="F349" i="1"/>
  <c r="C349" i="1"/>
  <c r="AC347" i="1"/>
  <c r="AD347" i="1" s="1"/>
  <c r="AA347" i="1"/>
  <c r="X347" i="1"/>
  <c r="W347" i="1"/>
  <c r="U347" i="1"/>
  <c r="R347" i="1"/>
  <c r="N347" i="1"/>
  <c r="O347" i="1" s="1"/>
  <c r="L347" i="1"/>
  <c r="H347" i="1"/>
  <c r="I347" i="1" s="1"/>
  <c r="F347" i="1"/>
  <c r="C347" i="1"/>
  <c r="AC344" i="1"/>
  <c r="AD344" i="1" s="1"/>
  <c r="AA344" i="1"/>
  <c r="Z344" i="1"/>
  <c r="W344" i="1"/>
  <c r="X344" i="1" s="1"/>
  <c r="U344" i="1"/>
  <c r="T344" i="1"/>
  <c r="Q344" i="1"/>
  <c r="R344" i="1" s="1"/>
  <c r="K344" i="1"/>
  <c r="L344" i="1" s="1"/>
  <c r="E344" i="1"/>
  <c r="F344" i="1" s="1"/>
  <c r="C344" i="1"/>
  <c r="B344" i="1"/>
  <c r="Z343" i="1"/>
  <c r="AA343" i="1" s="1"/>
  <c r="U343" i="1"/>
  <c r="T343" i="1"/>
  <c r="Q343" i="1"/>
  <c r="R343" i="1" s="1"/>
  <c r="K343" i="1"/>
  <c r="L343" i="1" s="1"/>
  <c r="E343" i="1"/>
  <c r="F343" i="1" s="1"/>
  <c r="B343" i="1"/>
  <c r="H343" i="1" s="1"/>
  <c r="I343" i="1" s="1"/>
  <c r="AC342" i="1"/>
  <c r="AD342" i="1" s="1"/>
  <c r="AA342" i="1"/>
  <c r="Z342" i="1"/>
  <c r="U342" i="1"/>
  <c r="T342" i="1"/>
  <c r="W342" i="1" s="1"/>
  <c r="X342" i="1" s="1"/>
  <c r="Q342" i="1"/>
  <c r="R342" i="1" s="1"/>
  <c r="K342" i="1"/>
  <c r="L342" i="1" s="1"/>
  <c r="E342" i="1"/>
  <c r="F342" i="1" s="1"/>
  <c r="C342" i="1"/>
  <c r="B342" i="1"/>
  <c r="AC341" i="1"/>
  <c r="AD341" i="1" s="1"/>
  <c r="AA341" i="1"/>
  <c r="X341" i="1"/>
  <c r="W341" i="1"/>
  <c r="U341" i="1"/>
  <c r="R341" i="1"/>
  <c r="N341" i="1"/>
  <c r="O341" i="1" s="1"/>
  <c r="L341" i="1"/>
  <c r="H341" i="1"/>
  <c r="I341" i="1" s="1"/>
  <c r="F341" i="1"/>
  <c r="C341" i="1"/>
  <c r="AD340" i="1"/>
  <c r="AC340" i="1"/>
  <c r="AA340" i="1"/>
  <c r="X340" i="1"/>
  <c r="W340" i="1"/>
  <c r="U340" i="1"/>
  <c r="R340" i="1"/>
  <c r="N340" i="1"/>
  <c r="O340" i="1" s="1"/>
  <c r="L340" i="1"/>
  <c r="H340" i="1"/>
  <c r="I340" i="1" s="1"/>
  <c r="F340" i="1"/>
  <c r="C340" i="1"/>
  <c r="AC339" i="1"/>
  <c r="AD339" i="1" s="1"/>
  <c r="AA339" i="1"/>
  <c r="W339" i="1"/>
  <c r="X339" i="1" s="1"/>
  <c r="U339" i="1"/>
  <c r="R339" i="1"/>
  <c r="O339" i="1"/>
  <c r="N339" i="1"/>
  <c r="L339" i="1"/>
  <c r="I339" i="1"/>
  <c r="H339" i="1"/>
  <c r="F339" i="1"/>
  <c r="C339" i="1"/>
  <c r="AC338" i="1"/>
  <c r="AD338" i="1" s="1"/>
  <c r="AA338" i="1"/>
  <c r="W338" i="1"/>
  <c r="X338" i="1" s="1"/>
  <c r="U338" i="1"/>
  <c r="R338" i="1"/>
  <c r="N338" i="1"/>
  <c r="O338" i="1" s="1"/>
  <c r="L338" i="1"/>
  <c r="H338" i="1"/>
  <c r="I338" i="1" s="1"/>
  <c r="F338" i="1"/>
  <c r="C338" i="1"/>
  <c r="AC337" i="1"/>
  <c r="AD337" i="1" s="1"/>
  <c r="AA337" i="1"/>
  <c r="X337" i="1"/>
  <c r="W337" i="1"/>
  <c r="U337" i="1"/>
  <c r="R337" i="1"/>
  <c r="N337" i="1"/>
  <c r="O337" i="1" s="1"/>
  <c r="L337" i="1"/>
  <c r="I337" i="1"/>
  <c r="H337" i="1"/>
  <c r="F337" i="1"/>
  <c r="C337" i="1"/>
  <c r="AD335" i="1"/>
  <c r="AC335" i="1"/>
  <c r="AA335" i="1"/>
  <c r="W335" i="1"/>
  <c r="X335" i="1" s="1"/>
  <c r="U335" i="1"/>
  <c r="R335" i="1"/>
  <c r="N335" i="1"/>
  <c r="O335" i="1" s="1"/>
  <c r="L335" i="1"/>
  <c r="H335" i="1"/>
  <c r="I335" i="1" s="1"/>
  <c r="F335" i="1"/>
  <c r="C335" i="1"/>
  <c r="AC334" i="1"/>
  <c r="AD334" i="1" s="1"/>
  <c r="AA334" i="1"/>
  <c r="W334" i="1"/>
  <c r="X334" i="1" s="1"/>
  <c r="U334" i="1"/>
  <c r="R334" i="1"/>
  <c r="O334" i="1"/>
  <c r="N334" i="1"/>
  <c r="L334" i="1"/>
  <c r="I334" i="1"/>
  <c r="H334" i="1"/>
  <c r="F334" i="1"/>
  <c r="C334" i="1"/>
  <c r="AD333" i="1"/>
  <c r="AC333" i="1"/>
  <c r="AA333" i="1"/>
  <c r="X333" i="1"/>
  <c r="W333" i="1"/>
  <c r="U333" i="1"/>
  <c r="R333" i="1"/>
  <c r="O333" i="1"/>
  <c r="N333" i="1"/>
  <c r="L333" i="1"/>
  <c r="H333" i="1"/>
  <c r="I333" i="1" s="1"/>
  <c r="F333" i="1"/>
  <c r="C333" i="1"/>
  <c r="AC332" i="1"/>
  <c r="AD332" i="1" s="1"/>
  <c r="AA332" i="1"/>
  <c r="X332" i="1"/>
  <c r="W332" i="1"/>
  <c r="U332" i="1"/>
  <c r="R332" i="1"/>
  <c r="N332" i="1"/>
  <c r="O332" i="1" s="1"/>
  <c r="L332" i="1"/>
  <c r="H332" i="1"/>
  <c r="I332" i="1" s="1"/>
  <c r="F332" i="1"/>
  <c r="C332" i="1"/>
  <c r="AD331" i="1"/>
  <c r="AC331" i="1"/>
  <c r="AA331" i="1"/>
  <c r="W331" i="1"/>
  <c r="X331" i="1" s="1"/>
  <c r="U331" i="1"/>
  <c r="R331" i="1"/>
  <c r="O331" i="1"/>
  <c r="N331" i="1"/>
  <c r="L331" i="1"/>
  <c r="H331" i="1"/>
  <c r="I331" i="1" s="1"/>
  <c r="F331" i="1"/>
  <c r="C331" i="1"/>
  <c r="AC330" i="1"/>
  <c r="AD330" i="1" s="1"/>
  <c r="AA330" i="1"/>
  <c r="W330" i="1"/>
  <c r="X330" i="1" s="1"/>
  <c r="U330" i="1"/>
  <c r="R330" i="1"/>
  <c r="O330" i="1"/>
  <c r="N330" i="1"/>
  <c r="L330" i="1"/>
  <c r="I330" i="1"/>
  <c r="H330" i="1"/>
  <c r="F330" i="1"/>
  <c r="C330" i="1"/>
  <c r="AC329" i="1"/>
  <c r="AD329" i="1" s="1"/>
  <c r="AA329" i="1"/>
  <c r="W329" i="1"/>
  <c r="X329" i="1" s="1"/>
  <c r="U329" i="1"/>
  <c r="R329" i="1"/>
  <c r="N329" i="1"/>
  <c r="O329" i="1" s="1"/>
  <c r="L329" i="1"/>
  <c r="H329" i="1"/>
  <c r="I329" i="1" s="1"/>
  <c r="F329" i="1"/>
  <c r="C329" i="1"/>
  <c r="AC328" i="1"/>
  <c r="AD328" i="1" s="1"/>
  <c r="AA328" i="1"/>
  <c r="X328" i="1"/>
  <c r="W328" i="1"/>
  <c r="U328" i="1"/>
  <c r="R328" i="1"/>
  <c r="N328" i="1"/>
  <c r="O328" i="1" s="1"/>
  <c r="L328" i="1"/>
  <c r="I328" i="1"/>
  <c r="H328" i="1"/>
  <c r="F328" i="1"/>
  <c r="C328" i="1"/>
  <c r="Z325" i="1"/>
  <c r="AA325" i="1" s="1"/>
  <c r="T325" i="1"/>
  <c r="U325" i="1" s="1"/>
  <c r="R325" i="1"/>
  <c r="Q325" i="1"/>
  <c r="N325" i="1"/>
  <c r="O325" i="1" s="1"/>
  <c r="L325" i="1"/>
  <c r="K325" i="1"/>
  <c r="F325" i="1"/>
  <c r="E325" i="1"/>
  <c r="B325" i="1"/>
  <c r="C325" i="1" s="1"/>
  <c r="Z324" i="1"/>
  <c r="AA324" i="1" s="1"/>
  <c r="T324" i="1"/>
  <c r="U324" i="1" s="1"/>
  <c r="Q324" i="1"/>
  <c r="W324" i="1" s="1"/>
  <c r="X324" i="1" s="1"/>
  <c r="N324" i="1"/>
  <c r="O324" i="1" s="1"/>
  <c r="L324" i="1"/>
  <c r="K324" i="1"/>
  <c r="H324" i="1"/>
  <c r="I324" i="1" s="1"/>
  <c r="F324" i="1"/>
  <c r="E324" i="1"/>
  <c r="B324" i="1"/>
  <c r="C324" i="1" s="1"/>
  <c r="AD323" i="1"/>
  <c r="AC323" i="1"/>
  <c r="AA323" i="1"/>
  <c r="W323" i="1"/>
  <c r="X323" i="1" s="1"/>
  <c r="U323" i="1"/>
  <c r="R323" i="1"/>
  <c r="N323" i="1"/>
  <c r="O323" i="1" s="1"/>
  <c r="L323" i="1"/>
  <c r="H323" i="1"/>
  <c r="I323" i="1" s="1"/>
  <c r="F323" i="1"/>
  <c r="C323" i="1"/>
  <c r="AC322" i="1"/>
  <c r="AD322" i="1" s="1"/>
  <c r="AA322" i="1"/>
  <c r="W322" i="1"/>
  <c r="X322" i="1" s="1"/>
  <c r="U322" i="1"/>
  <c r="R322" i="1"/>
  <c r="O322" i="1"/>
  <c r="N322" i="1"/>
  <c r="L322" i="1"/>
  <c r="I322" i="1"/>
  <c r="H322" i="1"/>
  <c r="F322" i="1"/>
  <c r="C322" i="1"/>
  <c r="AD321" i="1"/>
  <c r="AC321" i="1"/>
  <c r="AA321" i="1"/>
  <c r="X321" i="1"/>
  <c r="W321" i="1"/>
  <c r="U321" i="1"/>
  <c r="R321" i="1"/>
  <c r="N321" i="1"/>
  <c r="O321" i="1" s="1"/>
  <c r="L321" i="1"/>
  <c r="H321" i="1"/>
  <c r="I321" i="1" s="1"/>
  <c r="F321" i="1"/>
  <c r="C321" i="1"/>
  <c r="AC320" i="1"/>
  <c r="AD320" i="1" s="1"/>
  <c r="AA320" i="1"/>
  <c r="X320" i="1"/>
  <c r="W320" i="1"/>
  <c r="U320" i="1"/>
  <c r="R320" i="1"/>
  <c r="N320" i="1"/>
  <c r="O320" i="1" s="1"/>
  <c r="L320" i="1"/>
  <c r="H320" i="1"/>
  <c r="I320" i="1" s="1"/>
  <c r="F320" i="1"/>
  <c r="C320" i="1"/>
  <c r="AD319" i="1"/>
  <c r="AC319" i="1"/>
  <c r="AA319" i="1"/>
  <c r="X319" i="1"/>
  <c r="W319" i="1"/>
  <c r="U319" i="1"/>
  <c r="R319" i="1"/>
  <c r="O319" i="1"/>
  <c r="N319" i="1"/>
  <c r="L319" i="1"/>
  <c r="H319" i="1"/>
  <c r="I319" i="1" s="1"/>
  <c r="F319" i="1"/>
  <c r="C319" i="1"/>
  <c r="AC318" i="1"/>
  <c r="AD318" i="1" s="1"/>
  <c r="AA318" i="1"/>
  <c r="W318" i="1"/>
  <c r="X318" i="1" s="1"/>
  <c r="U318" i="1"/>
  <c r="R318" i="1"/>
  <c r="O318" i="1"/>
  <c r="N318" i="1"/>
  <c r="L318" i="1"/>
  <c r="I318" i="1"/>
  <c r="H318" i="1"/>
  <c r="F318" i="1"/>
  <c r="C318" i="1"/>
  <c r="AC317" i="1"/>
  <c r="AD317" i="1" s="1"/>
  <c r="AA317" i="1"/>
  <c r="W317" i="1"/>
  <c r="X317" i="1" s="1"/>
  <c r="U317" i="1"/>
  <c r="R317" i="1"/>
  <c r="N317" i="1"/>
  <c r="O317" i="1" s="1"/>
  <c r="L317" i="1"/>
  <c r="H317" i="1"/>
  <c r="I317" i="1" s="1"/>
  <c r="F317" i="1"/>
  <c r="C317" i="1"/>
  <c r="AC316" i="1"/>
  <c r="AD316" i="1" s="1"/>
  <c r="AA316" i="1"/>
  <c r="X316" i="1"/>
  <c r="W316" i="1"/>
  <c r="U316" i="1"/>
  <c r="R316" i="1"/>
  <c r="N316" i="1"/>
  <c r="O316" i="1" s="1"/>
  <c r="L316" i="1"/>
  <c r="H316" i="1"/>
  <c r="I316" i="1" s="1"/>
  <c r="F316" i="1"/>
  <c r="C316" i="1"/>
  <c r="AD315" i="1"/>
  <c r="AC315" i="1"/>
  <c r="AA315" i="1"/>
  <c r="W315" i="1"/>
  <c r="X315" i="1" s="1"/>
  <c r="U315" i="1"/>
  <c r="R315" i="1"/>
  <c r="N315" i="1"/>
  <c r="O315" i="1" s="1"/>
  <c r="L315" i="1"/>
  <c r="H315" i="1"/>
  <c r="I315" i="1" s="1"/>
  <c r="F315" i="1"/>
  <c r="C315" i="1"/>
  <c r="AC314" i="1"/>
  <c r="AD314" i="1" s="1"/>
  <c r="AA314" i="1"/>
  <c r="W314" i="1"/>
  <c r="X314" i="1" s="1"/>
  <c r="U314" i="1"/>
  <c r="R314" i="1"/>
  <c r="O314" i="1"/>
  <c r="N314" i="1"/>
  <c r="L314" i="1"/>
  <c r="I314" i="1"/>
  <c r="H314" i="1"/>
  <c r="F314" i="1"/>
  <c r="C314" i="1"/>
  <c r="AD313" i="1"/>
  <c r="AC313" i="1"/>
  <c r="AA313" i="1"/>
  <c r="W313" i="1"/>
  <c r="X313" i="1" s="1"/>
  <c r="U313" i="1"/>
  <c r="R313" i="1"/>
  <c r="O313" i="1"/>
  <c r="N313" i="1"/>
  <c r="L313" i="1"/>
  <c r="H313" i="1"/>
  <c r="I313" i="1" s="1"/>
  <c r="F313" i="1"/>
  <c r="C313" i="1"/>
  <c r="AC312" i="1"/>
  <c r="AD312" i="1" s="1"/>
  <c r="AA312" i="1"/>
  <c r="X312" i="1"/>
  <c r="W312" i="1"/>
  <c r="U312" i="1"/>
  <c r="R312" i="1"/>
  <c r="N312" i="1"/>
  <c r="O312" i="1" s="1"/>
  <c r="L312" i="1"/>
  <c r="H312" i="1"/>
  <c r="I312" i="1" s="1"/>
  <c r="F312" i="1"/>
  <c r="C312" i="1"/>
  <c r="AD311" i="1"/>
  <c r="AC311" i="1"/>
  <c r="AA311" i="1"/>
  <c r="X311" i="1"/>
  <c r="W311" i="1"/>
  <c r="U311" i="1"/>
  <c r="R311" i="1"/>
  <c r="O311" i="1"/>
  <c r="N311" i="1"/>
  <c r="L311" i="1"/>
  <c r="H311" i="1"/>
  <c r="I311" i="1" s="1"/>
  <c r="F311" i="1"/>
  <c r="C311" i="1"/>
  <c r="AC310" i="1"/>
  <c r="AD310" i="1" s="1"/>
  <c r="AA310" i="1"/>
  <c r="W310" i="1"/>
  <c r="X310" i="1" s="1"/>
  <c r="U310" i="1"/>
  <c r="R310" i="1"/>
  <c r="O310" i="1"/>
  <c r="N310" i="1"/>
  <c r="L310" i="1"/>
  <c r="I310" i="1"/>
  <c r="H310" i="1"/>
  <c r="F310" i="1"/>
  <c r="C310" i="1"/>
  <c r="AC309" i="1"/>
  <c r="AD309" i="1" s="1"/>
  <c r="AA309" i="1"/>
  <c r="W309" i="1"/>
  <c r="X309" i="1" s="1"/>
  <c r="U309" i="1"/>
  <c r="R309" i="1"/>
  <c r="N309" i="1"/>
  <c r="O309" i="1" s="1"/>
  <c r="L309" i="1"/>
  <c r="H309" i="1"/>
  <c r="I309" i="1" s="1"/>
  <c r="F309" i="1"/>
  <c r="C309" i="1"/>
  <c r="AC308" i="1"/>
  <c r="AD308" i="1" s="1"/>
  <c r="AA308" i="1"/>
  <c r="X308" i="1"/>
  <c r="W308" i="1"/>
  <c r="U308" i="1"/>
  <c r="R308" i="1"/>
  <c r="N308" i="1"/>
  <c r="O308" i="1" s="1"/>
  <c r="L308" i="1"/>
  <c r="I308" i="1"/>
  <c r="H308" i="1"/>
  <c r="F308" i="1"/>
  <c r="C308" i="1"/>
  <c r="AD307" i="1"/>
  <c r="AC307" i="1"/>
  <c r="AA307" i="1"/>
  <c r="W307" i="1"/>
  <c r="X307" i="1" s="1"/>
  <c r="U307" i="1"/>
  <c r="R307" i="1"/>
  <c r="N307" i="1"/>
  <c r="O307" i="1" s="1"/>
  <c r="L307" i="1"/>
  <c r="H307" i="1"/>
  <c r="I307" i="1" s="1"/>
  <c r="F307" i="1"/>
  <c r="C307" i="1"/>
  <c r="AC306" i="1"/>
  <c r="AD306" i="1" s="1"/>
  <c r="AA306" i="1"/>
  <c r="W306" i="1"/>
  <c r="X306" i="1" s="1"/>
  <c r="U306" i="1"/>
  <c r="R306" i="1"/>
  <c r="O306" i="1"/>
  <c r="N306" i="1"/>
  <c r="L306" i="1"/>
  <c r="I306" i="1"/>
  <c r="H306" i="1"/>
  <c r="F306" i="1"/>
  <c r="C306" i="1"/>
  <c r="AD305" i="1"/>
  <c r="AC305" i="1"/>
  <c r="AA305" i="1"/>
  <c r="X305" i="1"/>
  <c r="W305" i="1"/>
  <c r="U305" i="1"/>
  <c r="R305" i="1"/>
  <c r="N305" i="1"/>
  <c r="O305" i="1" s="1"/>
  <c r="L305" i="1"/>
  <c r="H305" i="1"/>
  <c r="I305" i="1" s="1"/>
  <c r="F305" i="1"/>
  <c r="C305" i="1"/>
  <c r="AC304" i="1"/>
  <c r="AD304" i="1" s="1"/>
  <c r="AA304" i="1"/>
  <c r="X304" i="1"/>
  <c r="W304" i="1"/>
  <c r="U304" i="1"/>
  <c r="R304" i="1"/>
  <c r="N304" i="1"/>
  <c r="O304" i="1" s="1"/>
  <c r="L304" i="1"/>
  <c r="H304" i="1"/>
  <c r="I304" i="1" s="1"/>
  <c r="F304" i="1"/>
  <c r="C304" i="1"/>
  <c r="AD303" i="1"/>
  <c r="AC303" i="1"/>
  <c r="AA303" i="1"/>
  <c r="X303" i="1"/>
  <c r="W303" i="1"/>
  <c r="U303" i="1"/>
  <c r="R303" i="1"/>
  <c r="O303" i="1"/>
  <c r="N303" i="1"/>
  <c r="L303" i="1"/>
  <c r="H303" i="1"/>
  <c r="I303" i="1" s="1"/>
  <c r="F303" i="1"/>
  <c r="C303" i="1"/>
  <c r="AC302" i="1"/>
  <c r="AD302" i="1" s="1"/>
  <c r="AA302" i="1"/>
  <c r="W302" i="1"/>
  <c r="X302" i="1" s="1"/>
  <c r="U302" i="1"/>
  <c r="R302" i="1"/>
  <c r="O302" i="1"/>
  <c r="N302" i="1"/>
  <c r="L302" i="1"/>
  <c r="I302" i="1"/>
  <c r="H302" i="1"/>
  <c r="F302" i="1"/>
  <c r="C302" i="1"/>
  <c r="AC301" i="1"/>
  <c r="AD301" i="1" s="1"/>
  <c r="AA301" i="1"/>
  <c r="W301" i="1"/>
  <c r="X301" i="1" s="1"/>
  <c r="U301" i="1"/>
  <c r="R301" i="1"/>
  <c r="N301" i="1"/>
  <c r="O301" i="1" s="1"/>
  <c r="L301" i="1"/>
  <c r="H301" i="1"/>
  <c r="I301" i="1" s="1"/>
  <c r="F301" i="1"/>
  <c r="C301" i="1"/>
  <c r="AC300" i="1"/>
  <c r="AD300" i="1" s="1"/>
  <c r="AA300" i="1"/>
  <c r="X300" i="1"/>
  <c r="W300" i="1"/>
  <c r="U300" i="1"/>
  <c r="R300" i="1"/>
  <c r="N300" i="1"/>
  <c r="O300" i="1" s="1"/>
  <c r="L300" i="1"/>
  <c r="H300" i="1"/>
  <c r="I300" i="1" s="1"/>
  <c r="F300" i="1"/>
  <c r="C300" i="1"/>
  <c r="AD299" i="1"/>
  <c r="AC299" i="1"/>
  <c r="AA299" i="1"/>
  <c r="W299" i="1"/>
  <c r="X299" i="1" s="1"/>
  <c r="U299" i="1"/>
  <c r="R299" i="1"/>
  <c r="N299" i="1"/>
  <c r="O299" i="1" s="1"/>
  <c r="L299" i="1"/>
  <c r="H299" i="1"/>
  <c r="I299" i="1" s="1"/>
  <c r="F299" i="1"/>
  <c r="C299" i="1"/>
  <c r="AC298" i="1"/>
  <c r="AD298" i="1" s="1"/>
  <c r="AA298" i="1"/>
  <c r="W298" i="1"/>
  <c r="X298" i="1" s="1"/>
  <c r="U298" i="1"/>
  <c r="R298" i="1"/>
  <c r="O298" i="1"/>
  <c r="N298" i="1"/>
  <c r="L298" i="1"/>
  <c r="I298" i="1"/>
  <c r="H298" i="1"/>
  <c r="F298" i="1"/>
  <c r="C298" i="1"/>
  <c r="AD297" i="1"/>
  <c r="AC297" i="1"/>
  <c r="AA297" i="1"/>
  <c r="W297" i="1"/>
  <c r="X297" i="1" s="1"/>
  <c r="U297" i="1"/>
  <c r="R297" i="1"/>
  <c r="O297" i="1"/>
  <c r="N297" i="1"/>
  <c r="L297" i="1"/>
  <c r="H297" i="1"/>
  <c r="I297" i="1" s="1"/>
  <c r="F297" i="1"/>
  <c r="C297" i="1"/>
  <c r="Z295" i="1"/>
  <c r="AA295" i="1" s="1"/>
  <c r="U295" i="1"/>
  <c r="T295" i="1"/>
  <c r="Q295" i="1"/>
  <c r="R295" i="1" s="1"/>
  <c r="K295" i="1"/>
  <c r="L295" i="1" s="1"/>
  <c r="I295" i="1"/>
  <c r="E295" i="1"/>
  <c r="F295" i="1" s="1"/>
  <c r="B295" i="1"/>
  <c r="H295" i="1" s="1"/>
  <c r="AC294" i="1"/>
  <c r="AD294" i="1" s="1"/>
  <c r="AA294" i="1"/>
  <c r="W294" i="1"/>
  <c r="X294" i="1" s="1"/>
  <c r="U294" i="1"/>
  <c r="R294" i="1"/>
  <c r="O294" i="1"/>
  <c r="N294" i="1"/>
  <c r="L294" i="1"/>
  <c r="I294" i="1"/>
  <c r="H294" i="1"/>
  <c r="F294" i="1"/>
  <c r="C294" i="1"/>
  <c r="AD293" i="1"/>
  <c r="AC293" i="1"/>
  <c r="AA293" i="1"/>
  <c r="W293" i="1"/>
  <c r="X293" i="1" s="1"/>
  <c r="U293" i="1"/>
  <c r="R293" i="1"/>
  <c r="N293" i="1"/>
  <c r="O293" i="1" s="1"/>
  <c r="L293" i="1"/>
  <c r="H293" i="1"/>
  <c r="I293" i="1" s="1"/>
  <c r="F293" i="1"/>
  <c r="C293" i="1"/>
  <c r="AC292" i="1"/>
  <c r="AD292" i="1" s="1"/>
  <c r="AA292" i="1"/>
  <c r="X292" i="1"/>
  <c r="W292" i="1"/>
  <c r="U292" i="1"/>
  <c r="R292" i="1"/>
  <c r="N292" i="1"/>
  <c r="O292" i="1" s="1"/>
  <c r="L292" i="1"/>
  <c r="I292" i="1"/>
  <c r="H292" i="1"/>
  <c r="F292" i="1"/>
  <c r="C292" i="1"/>
  <c r="AD291" i="1"/>
  <c r="AC291" i="1"/>
  <c r="AA291" i="1"/>
  <c r="X291" i="1"/>
  <c r="W291" i="1"/>
  <c r="U291" i="1"/>
  <c r="R291" i="1"/>
  <c r="O291" i="1"/>
  <c r="N291" i="1"/>
  <c r="L291" i="1"/>
  <c r="H291" i="1"/>
  <c r="I291" i="1" s="1"/>
  <c r="F291" i="1"/>
  <c r="C291" i="1"/>
  <c r="AC290" i="1"/>
  <c r="AD290" i="1" s="1"/>
  <c r="AA290" i="1"/>
  <c r="W290" i="1"/>
  <c r="X290" i="1" s="1"/>
  <c r="U290" i="1"/>
  <c r="R290" i="1"/>
  <c r="O290" i="1"/>
  <c r="N290" i="1"/>
  <c r="L290" i="1"/>
  <c r="I290" i="1"/>
  <c r="H290" i="1"/>
  <c r="F290" i="1"/>
  <c r="C290" i="1"/>
  <c r="AC289" i="1"/>
  <c r="AD289" i="1" s="1"/>
  <c r="AA289" i="1"/>
  <c r="X289" i="1"/>
  <c r="W289" i="1"/>
  <c r="U289" i="1"/>
  <c r="R289" i="1"/>
  <c r="O289" i="1"/>
  <c r="N289" i="1"/>
  <c r="L289" i="1"/>
  <c r="H289" i="1"/>
  <c r="I289" i="1" s="1"/>
  <c r="F289" i="1"/>
  <c r="C289" i="1"/>
  <c r="AC288" i="1"/>
  <c r="AD288" i="1" s="1"/>
  <c r="AA288" i="1"/>
  <c r="X288" i="1"/>
  <c r="W288" i="1"/>
  <c r="U288" i="1"/>
  <c r="R288" i="1"/>
  <c r="N288" i="1"/>
  <c r="O288" i="1" s="1"/>
  <c r="L288" i="1"/>
  <c r="H288" i="1"/>
  <c r="I288" i="1" s="1"/>
  <c r="F288" i="1"/>
  <c r="C288" i="1"/>
  <c r="AD287" i="1"/>
  <c r="AC287" i="1"/>
  <c r="AA287" i="1"/>
  <c r="W287" i="1"/>
  <c r="X287" i="1" s="1"/>
  <c r="U287" i="1"/>
  <c r="R287" i="1"/>
  <c r="N287" i="1"/>
  <c r="O287" i="1" s="1"/>
  <c r="L287" i="1"/>
  <c r="H287" i="1"/>
  <c r="I287" i="1" s="1"/>
  <c r="F287" i="1"/>
  <c r="C287" i="1"/>
  <c r="AC286" i="1"/>
  <c r="AD286" i="1" s="1"/>
  <c r="AA286" i="1"/>
  <c r="W286" i="1"/>
  <c r="X286" i="1" s="1"/>
  <c r="U286" i="1"/>
  <c r="R286" i="1"/>
  <c r="O286" i="1"/>
  <c r="N286" i="1"/>
  <c r="L286" i="1"/>
  <c r="I286" i="1"/>
  <c r="H286" i="1"/>
  <c r="F286" i="1"/>
  <c r="C286" i="1"/>
  <c r="AC284" i="1"/>
  <c r="AD284" i="1" s="1"/>
  <c r="Z284" i="1"/>
  <c r="AA284" i="1" s="1"/>
  <c r="T284" i="1"/>
  <c r="U284" i="1" s="1"/>
  <c r="R284" i="1"/>
  <c r="Q284" i="1"/>
  <c r="N284" i="1"/>
  <c r="O284" i="1" s="1"/>
  <c r="L284" i="1"/>
  <c r="K284" i="1"/>
  <c r="E284" i="1"/>
  <c r="F284" i="1" s="1"/>
  <c r="B284" i="1"/>
  <c r="C284" i="1" s="1"/>
  <c r="AD283" i="1"/>
  <c r="AC283" i="1"/>
  <c r="AA283" i="1"/>
  <c r="X283" i="1"/>
  <c r="W283" i="1"/>
  <c r="U283" i="1"/>
  <c r="R283" i="1"/>
  <c r="O283" i="1"/>
  <c r="N283" i="1"/>
  <c r="L283" i="1"/>
  <c r="H283" i="1"/>
  <c r="I283" i="1" s="1"/>
  <c r="F283" i="1"/>
  <c r="C283" i="1"/>
  <c r="AC282" i="1"/>
  <c r="AD282" i="1" s="1"/>
  <c r="AA282" i="1"/>
  <c r="W282" i="1"/>
  <c r="X282" i="1" s="1"/>
  <c r="U282" i="1"/>
  <c r="R282" i="1"/>
  <c r="O282" i="1"/>
  <c r="N282" i="1"/>
  <c r="L282" i="1"/>
  <c r="I282" i="1"/>
  <c r="H282" i="1"/>
  <c r="F282" i="1"/>
  <c r="C282" i="1"/>
  <c r="AC281" i="1"/>
  <c r="AD281" i="1" s="1"/>
  <c r="AA281" i="1"/>
  <c r="W281" i="1"/>
  <c r="X281" i="1" s="1"/>
  <c r="U281" i="1"/>
  <c r="R281" i="1"/>
  <c r="N281" i="1"/>
  <c r="O281" i="1" s="1"/>
  <c r="L281" i="1"/>
  <c r="H281" i="1"/>
  <c r="I281" i="1" s="1"/>
  <c r="F281" i="1"/>
  <c r="C281" i="1"/>
  <c r="AC280" i="1"/>
  <c r="AD280" i="1" s="1"/>
  <c r="AA280" i="1"/>
  <c r="X280" i="1"/>
  <c r="W280" i="1"/>
  <c r="U280" i="1"/>
  <c r="R280" i="1"/>
  <c r="N280" i="1"/>
  <c r="O280" i="1" s="1"/>
  <c r="L280" i="1"/>
  <c r="I280" i="1"/>
  <c r="H280" i="1"/>
  <c r="F280" i="1"/>
  <c r="C280" i="1"/>
  <c r="AD279" i="1"/>
  <c r="AC279" i="1"/>
  <c r="AA279" i="1"/>
  <c r="W279" i="1"/>
  <c r="X279" i="1" s="1"/>
  <c r="U279" i="1"/>
  <c r="R279" i="1"/>
  <c r="N279" i="1"/>
  <c r="O279" i="1" s="1"/>
  <c r="L279" i="1"/>
  <c r="H279" i="1"/>
  <c r="I279" i="1" s="1"/>
  <c r="F279" i="1"/>
  <c r="C279" i="1"/>
  <c r="AC278" i="1"/>
  <c r="AD278" i="1" s="1"/>
  <c r="AA278" i="1"/>
  <c r="W278" i="1"/>
  <c r="X278" i="1" s="1"/>
  <c r="U278" i="1"/>
  <c r="R278" i="1"/>
  <c r="O278" i="1"/>
  <c r="N278" i="1"/>
  <c r="L278" i="1"/>
  <c r="I278" i="1"/>
  <c r="H278" i="1"/>
  <c r="F278" i="1"/>
  <c r="C278" i="1"/>
  <c r="AD277" i="1"/>
  <c r="AC277" i="1"/>
  <c r="AA277" i="1"/>
  <c r="X277" i="1"/>
  <c r="W277" i="1"/>
  <c r="U277" i="1"/>
  <c r="R277" i="1"/>
  <c r="O277" i="1"/>
  <c r="N277" i="1"/>
  <c r="L277" i="1"/>
  <c r="H277" i="1"/>
  <c r="I277" i="1" s="1"/>
  <c r="F277" i="1"/>
  <c r="C277" i="1"/>
  <c r="AC276" i="1"/>
  <c r="AD276" i="1" s="1"/>
  <c r="AA276" i="1"/>
  <c r="X276" i="1"/>
  <c r="W276" i="1"/>
  <c r="U276" i="1"/>
  <c r="R276" i="1"/>
  <c r="N276" i="1"/>
  <c r="O276" i="1" s="1"/>
  <c r="L276" i="1"/>
  <c r="H276" i="1"/>
  <c r="I276" i="1" s="1"/>
  <c r="F276" i="1"/>
  <c r="C276" i="1"/>
  <c r="AD275" i="1"/>
  <c r="AC275" i="1"/>
  <c r="AA275" i="1"/>
  <c r="X275" i="1"/>
  <c r="W275" i="1"/>
  <c r="U275" i="1"/>
  <c r="R275" i="1"/>
  <c r="O275" i="1"/>
  <c r="N275" i="1"/>
  <c r="L275" i="1"/>
  <c r="H275" i="1"/>
  <c r="I275" i="1" s="1"/>
  <c r="F275" i="1"/>
  <c r="C275" i="1"/>
  <c r="AC273" i="1"/>
  <c r="AD273" i="1" s="1"/>
  <c r="AA273" i="1"/>
  <c r="Z273" i="1"/>
  <c r="T273" i="1"/>
  <c r="U273" i="1" s="1"/>
  <c r="Q273" i="1"/>
  <c r="R273" i="1" s="1"/>
  <c r="K273" i="1"/>
  <c r="L273" i="1" s="1"/>
  <c r="H273" i="1"/>
  <c r="I273" i="1" s="1"/>
  <c r="E273" i="1"/>
  <c r="F273" i="1" s="1"/>
  <c r="C273" i="1"/>
  <c r="B273" i="1"/>
  <c r="N273" i="1" s="1"/>
  <c r="O273" i="1" s="1"/>
  <c r="AC272" i="1"/>
  <c r="AD272" i="1" s="1"/>
  <c r="AA272" i="1"/>
  <c r="X272" i="1"/>
  <c r="W272" i="1"/>
  <c r="U272" i="1"/>
  <c r="R272" i="1"/>
  <c r="N272" i="1"/>
  <c r="O272" i="1" s="1"/>
  <c r="L272" i="1"/>
  <c r="I272" i="1"/>
  <c r="H272" i="1"/>
  <c r="F272" i="1"/>
  <c r="C272" i="1"/>
  <c r="AD271" i="1"/>
  <c r="AC271" i="1"/>
  <c r="AA271" i="1"/>
  <c r="X271" i="1"/>
  <c r="W271" i="1"/>
  <c r="U271" i="1"/>
  <c r="R271" i="1"/>
  <c r="O271" i="1"/>
  <c r="N271" i="1"/>
  <c r="L271" i="1"/>
  <c r="H271" i="1"/>
  <c r="I271" i="1" s="1"/>
  <c r="F271" i="1"/>
  <c r="C271" i="1"/>
  <c r="AC270" i="1"/>
  <c r="AD270" i="1" s="1"/>
  <c r="AA270" i="1"/>
  <c r="W270" i="1"/>
  <c r="X270" i="1" s="1"/>
  <c r="U270" i="1"/>
  <c r="R270" i="1"/>
  <c r="O270" i="1"/>
  <c r="N270" i="1"/>
  <c r="L270" i="1"/>
  <c r="I270" i="1"/>
  <c r="H270" i="1"/>
  <c r="F270" i="1"/>
  <c r="C270" i="1"/>
  <c r="AC269" i="1"/>
  <c r="AD269" i="1" s="1"/>
  <c r="AA269" i="1"/>
  <c r="X269" i="1"/>
  <c r="W269" i="1"/>
  <c r="U269" i="1"/>
  <c r="R269" i="1"/>
  <c r="O269" i="1"/>
  <c r="N269" i="1"/>
  <c r="L269" i="1"/>
  <c r="H269" i="1"/>
  <c r="I269" i="1" s="1"/>
  <c r="F269" i="1"/>
  <c r="C269" i="1"/>
  <c r="Z267" i="1"/>
  <c r="AC267" i="1" s="1"/>
  <c r="AD267" i="1" s="1"/>
  <c r="U267" i="1"/>
  <c r="T267" i="1"/>
  <c r="Q267" i="1"/>
  <c r="R267" i="1" s="1"/>
  <c r="K267" i="1"/>
  <c r="L267" i="1" s="1"/>
  <c r="E267" i="1"/>
  <c r="F267" i="1" s="1"/>
  <c r="B267" i="1"/>
  <c r="H267" i="1" s="1"/>
  <c r="I267" i="1" s="1"/>
  <c r="AC266" i="1"/>
  <c r="AD266" i="1" s="1"/>
  <c r="AA266" i="1"/>
  <c r="W266" i="1"/>
  <c r="X266" i="1" s="1"/>
  <c r="U266" i="1"/>
  <c r="R266" i="1"/>
  <c r="O266" i="1"/>
  <c r="N266" i="1"/>
  <c r="L266" i="1"/>
  <c r="I266" i="1"/>
  <c r="H266" i="1"/>
  <c r="F266" i="1"/>
  <c r="C266" i="1"/>
  <c r="AD265" i="1"/>
  <c r="AC265" i="1"/>
  <c r="AA265" i="1"/>
  <c r="X265" i="1"/>
  <c r="W265" i="1"/>
  <c r="U265" i="1"/>
  <c r="R265" i="1"/>
  <c r="N265" i="1"/>
  <c r="O265" i="1" s="1"/>
  <c r="L265" i="1"/>
  <c r="H265" i="1"/>
  <c r="I265" i="1" s="1"/>
  <c r="F265" i="1"/>
  <c r="C265" i="1"/>
  <c r="Z263" i="1"/>
  <c r="AA263" i="1" s="1"/>
  <c r="U263" i="1"/>
  <c r="T263" i="1"/>
  <c r="Q263" i="1"/>
  <c r="R263" i="1" s="1"/>
  <c r="K263" i="1"/>
  <c r="L263" i="1" s="1"/>
  <c r="E263" i="1"/>
  <c r="F263" i="1" s="1"/>
  <c r="B263" i="1"/>
  <c r="H263" i="1" s="1"/>
  <c r="I263" i="1" s="1"/>
  <c r="AC262" i="1"/>
  <c r="AD262" i="1" s="1"/>
  <c r="AA262" i="1"/>
  <c r="Z262" i="1"/>
  <c r="T262" i="1"/>
  <c r="W262" i="1" s="1"/>
  <c r="X262" i="1" s="1"/>
  <c r="Q262" i="1"/>
  <c r="R262" i="1" s="1"/>
  <c r="K262" i="1"/>
  <c r="L262" i="1" s="1"/>
  <c r="E262" i="1"/>
  <c r="F262" i="1" s="1"/>
  <c r="C262" i="1"/>
  <c r="B262" i="1"/>
  <c r="AC261" i="1"/>
  <c r="AD261" i="1" s="1"/>
  <c r="AA261" i="1"/>
  <c r="X261" i="1"/>
  <c r="W261" i="1"/>
  <c r="U261" i="1"/>
  <c r="R261" i="1"/>
  <c r="N261" i="1"/>
  <c r="O261" i="1" s="1"/>
  <c r="L261" i="1"/>
  <c r="H261" i="1"/>
  <c r="I261" i="1" s="1"/>
  <c r="F261" i="1"/>
  <c r="C261" i="1"/>
  <c r="AD260" i="1"/>
  <c r="AC260" i="1"/>
  <c r="AA260" i="1"/>
  <c r="X260" i="1"/>
  <c r="W260" i="1"/>
  <c r="U260" i="1"/>
  <c r="R260" i="1"/>
  <c r="O260" i="1"/>
  <c r="N260" i="1"/>
  <c r="L260" i="1"/>
  <c r="H260" i="1"/>
  <c r="I260" i="1" s="1"/>
  <c r="F260" i="1"/>
  <c r="C260" i="1"/>
  <c r="AC259" i="1"/>
  <c r="AD259" i="1" s="1"/>
  <c r="AA259" i="1"/>
  <c r="W259" i="1"/>
  <c r="X259" i="1" s="1"/>
  <c r="U259" i="1"/>
  <c r="R259" i="1"/>
  <c r="O259" i="1"/>
  <c r="N259" i="1"/>
  <c r="L259" i="1"/>
  <c r="I259" i="1"/>
  <c r="H259" i="1"/>
  <c r="F259" i="1"/>
  <c r="C259" i="1"/>
  <c r="AC258" i="1"/>
  <c r="AD258" i="1" s="1"/>
  <c r="AA258" i="1"/>
  <c r="W258" i="1"/>
  <c r="X258" i="1" s="1"/>
  <c r="U258" i="1"/>
  <c r="R258" i="1"/>
  <c r="N258" i="1"/>
  <c r="O258" i="1" s="1"/>
  <c r="L258" i="1"/>
  <c r="H258" i="1"/>
  <c r="I258" i="1" s="1"/>
  <c r="F258" i="1"/>
  <c r="C258" i="1"/>
  <c r="AC257" i="1"/>
  <c r="AD257" i="1" s="1"/>
  <c r="AA257" i="1"/>
  <c r="X257" i="1"/>
  <c r="W257" i="1"/>
  <c r="U257" i="1"/>
  <c r="R257" i="1"/>
  <c r="N257" i="1"/>
  <c r="O257" i="1" s="1"/>
  <c r="L257" i="1"/>
  <c r="I257" i="1"/>
  <c r="H257" i="1"/>
  <c r="F257" i="1"/>
  <c r="C257" i="1"/>
  <c r="AD256" i="1"/>
  <c r="AC256" i="1"/>
  <c r="AA256" i="1"/>
  <c r="W256" i="1"/>
  <c r="X256" i="1" s="1"/>
  <c r="U256" i="1"/>
  <c r="R256" i="1"/>
  <c r="N256" i="1"/>
  <c r="O256" i="1" s="1"/>
  <c r="L256" i="1"/>
  <c r="H256" i="1"/>
  <c r="I256" i="1" s="1"/>
  <c r="F256" i="1"/>
  <c r="C256" i="1"/>
  <c r="AC255" i="1"/>
  <c r="AD255" i="1" s="1"/>
  <c r="AA255" i="1"/>
  <c r="W255" i="1"/>
  <c r="X255" i="1" s="1"/>
  <c r="U255" i="1"/>
  <c r="R255" i="1"/>
  <c r="O255" i="1"/>
  <c r="N255" i="1"/>
  <c r="L255" i="1"/>
  <c r="I255" i="1"/>
  <c r="H255" i="1"/>
  <c r="F255" i="1"/>
  <c r="C255" i="1"/>
  <c r="AD254" i="1"/>
  <c r="AC254" i="1"/>
  <c r="AA254" i="1"/>
  <c r="X254" i="1"/>
  <c r="W254" i="1"/>
  <c r="U254" i="1"/>
  <c r="R254" i="1"/>
  <c r="N254" i="1"/>
  <c r="O254" i="1" s="1"/>
  <c r="L254" i="1"/>
  <c r="H254" i="1"/>
  <c r="I254" i="1" s="1"/>
  <c r="F254" i="1"/>
  <c r="C254" i="1"/>
  <c r="AC253" i="1"/>
  <c r="AD253" i="1" s="1"/>
  <c r="AA253" i="1"/>
  <c r="X253" i="1"/>
  <c r="W253" i="1"/>
  <c r="U253" i="1"/>
  <c r="R253" i="1"/>
  <c r="N253" i="1"/>
  <c r="O253" i="1" s="1"/>
  <c r="L253" i="1"/>
  <c r="H253" i="1"/>
  <c r="I253" i="1" s="1"/>
  <c r="F253" i="1"/>
  <c r="C253" i="1"/>
  <c r="AD252" i="1"/>
  <c r="AC252" i="1"/>
  <c r="AA252" i="1"/>
  <c r="X252" i="1"/>
  <c r="W252" i="1"/>
  <c r="U252" i="1"/>
  <c r="R252" i="1"/>
  <c r="O252" i="1"/>
  <c r="N252" i="1"/>
  <c r="L252" i="1"/>
  <c r="H252" i="1"/>
  <c r="I252" i="1" s="1"/>
  <c r="F252" i="1"/>
  <c r="C252" i="1"/>
  <c r="AC251" i="1"/>
  <c r="AD251" i="1" s="1"/>
  <c r="AA251" i="1"/>
  <c r="W251" i="1"/>
  <c r="X251" i="1" s="1"/>
  <c r="U251" i="1"/>
  <c r="R251" i="1"/>
  <c r="O251" i="1"/>
  <c r="N251" i="1"/>
  <c r="L251" i="1"/>
  <c r="I251" i="1"/>
  <c r="H251" i="1"/>
  <c r="F251" i="1"/>
  <c r="C251" i="1"/>
  <c r="AC250" i="1"/>
  <c r="AD250" i="1" s="1"/>
  <c r="AA250" i="1"/>
  <c r="W250" i="1"/>
  <c r="X250" i="1" s="1"/>
  <c r="U250" i="1"/>
  <c r="R250" i="1"/>
  <c r="N250" i="1"/>
  <c r="O250" i="1" s="1"/>
  <c r="L250" i="1"/>
  <c r="H250" i="1"/>
  <c r="I250" i="1" s="1"/>
  <c r="F250" i="1"/>
  <c r="C250" i="1"/>
  <c r="AC249" i="1"/>
  <c r="AD249" i="1" s="1"/>
  <c r="AA249" i="1"/>
  <c r="X249" i="1"/>
  <c r="W249" i="1"/>
  <c r="U249" i="1"/>
  <c r="R249" i="1"/>
  <c r="N249" i="1"/>
  <c r="O249" i="1" s="1"/>
  <c r="L249" i="1"/>
  <c r="H249" i="1"/>
  <c r="I249" i="1" s="1"/>
  <c r="F249" i="1"/>
  <c r="C249" i="1"/>
  <c r="AD248" i="1"/>
  <c r="AC248" i="1"/>
  <c r="AA248" i="1"/>
  <c r="W248" i="1"/>
  <c r="X248" i="1" s="1"/>
  <c r="U248" i="1"/>
  <c r="R248" i="1"/>
  <c r="N248" i="1"/>
  <c r="O248" i="1" s="1"/>
  <c r="L248" i="1"/>
  <c r="H248" i="1"/>
  <c r="I248" i="1" s="1"/>
  <c r="F248" i="1"/>
  <c r="C248" i="1"/>
  <c r="AC247" i="1"/>
  <c r="AD247" i="1" s="1"/>
  <c r="AA247" i="1"/>
  <c r="W247" i="1"/>
  <c r="X247" i="1" s="1"/>
  <c r="U247" i="1"/>
  <c r="R247" i="1"/>
  <c r="O247" i="1"/>
  <c r="N247" i="1"/>
  <c r="L247" i="1"/>
  <c r="I247" i="1"/>
  <c r="H247" i="1"/>
  <c r="F247" i="1"/>
  <c r="C247" i="1"/>
  <c r="AD246" i="1"/>
  <c r="AC246" i="1"/>
  <c r="AA246" i="1"/>
  <c r="W246" i="1"/>
  <c r="X246" i="1" s="1"/>
  <c r="U246" i="1"/>
  <c r="R246" i="1"/>
  <c r="O246" i="1"/>
  <c r="N246" i="1"/>
  <c r="L246" i="1"/>
  <c r="H246" i="1"/>
  <c r="I246" i="1" s="1"/>
  <c r="F246" i="1"/>
  <c r="C246" i="1"/>
  <c r="AC245" i="1"/>
  <c r="AD245" i="1" s="1"/>
  <c r="AA245" i="1"/>
  <c r="X245" i="1"/>
  <c r="W245" i="1"/>
  <c r="U245" i="1"/>
  <c r="R245" i="1"/>
  <c r="N245" i="1"/>
  <c r="O245" i="1" s="1"/>
  <c r="L245" i="1"/>
  <c r="H245" i="1"/>
  <c r="I245" i="1" s="1"/>
  <c r="F245" i="1"/>
  <c r="C245" i="1"/>
  <c r="AD244" i="1"/>
  <c r="AC244" i="1"/>
  <c r="AA244" i="1"/>
  <c r="X244" i="1"/>
  <c r="W244" i="1"/>
  <c r="U244" i="1"/>
  <c r="R244" i="1"/>
  <c r="O244" i="1"/>
  <c r="N244" i="1"/>
  <c r="L244" i="1"/>
  <c r="H244" i="1"/>
  <c r="I244" i="1" s="1"/>
  <c r="F244" i="1"/>
  <c r="C244" i="1"/>
  <c r="AC243" i="1"/>
  <c r="AD243" i="1" s="1"/>
  <c r="AA243" i="1"/>
  <c r="W243" i="1"/>
  <c r="X243" i="1" s="1"/>
  <c r="U243" i="1"/>
  <c r="R243" i="1"/>
  <c r="O243" i="1"/>
  <c r="N243" i="1"/>
  <c r="L243" i="1"/>
  <c r="I243" i="1"/>
  <c r="H243" i="1"/>
  <c r="F243" i="1"/>
  <c r="C243" i="1"/>
  <c r="AC242" i="1"/>
  <c r="AD242" i="1" s="1"/>
  <c r="AA242" i="1"/>
  <c r="W242" i="1"/>
  <c r="X242" i="1" s="1"/>
  <c r="U242" i="1"/>
  <c r="R242" i="1"/>
  <c r="N242" i="1"/>
  <c r="O242" i="1" s="1"/>
  <c r="L242" i="1"/>
  <c r="H242" i="1"/>
  <c r="I242" i="1" s="1"/>
  <c r="F242" i="1"/>
  <c r="C242" i="1"/>
  <c r="AC241" i="1"/>
  <c r="AD241" i="1" s="1"/>
  <c r="AA241" i="1"/>
  <c r="X241" i="1"/>
  <c r="W241" i="1"/>
  <c r="U241" i="1"/>
  <c r="R241" i="1"/>
  <c r="N241" i="1"/>
  <c r="O241" i="1" s="1"/>
  <c r="L241" i="1"/>
  <c r="I241" i="1"/>
  <c r="H241" i="1"/>
  <c r="F241" i="1"/>
  <c r="C241" i="1"/>
  <c r="AD240" i="1"/>
  <c r="AC240" i="1"/>
  <c r="AA240" i="1"/>
  <c r="W240" i="1"/>
  <c r="X240" i="1" s="1"/>
  <c r="U240" i="1"/>
  <c r="R240" i="1"/>
  <c r="N240" i="1"/>
  <c r="O240" i="1" s="1"/>
  <c r="L240" i="1"/>
  <c r="H240" i="1"/>
  <c r="I240" i="1" s="1"/>
  <c r="F240" i="1"/>
  <c r="C240" i="1"/>
  <c r="AC238" i="1"/>
  <c r="AD238" i="1" s="1"/>
  <c r="AA238" i="1"/>
  <c r="W238" i="1"/>
  <c r="X238" i="1" s="1"/>
  <c r="U238" i="1"/>
  <c r="R238" i="1"/>
  <c r="O238" i="1"/>
  <c r="N238" i="1"/>
  <c r="L238" i="1"/>
  <c r="I238" i="1"/>
  <c r="H238" i="1"/>
  <c r="F238" i="1"/>
  <c r="C238" i="1"/>
  <c r="Z236" i="1"/>
  <c r="AA236" i="1" s="1"/>
  <c r="X236" i="1"/>
  <c r="T236" i="1"/>
  <c r="U236" i="1" s="1"/>
  <c r="Q236" i="1"/>
  <c r="W236" i="1" s="1"/>
  <c r="N236" i="1"/>
  <c r="O236" i="1" s="1"/>
  <c r="L236" i="1"/>
  <c r="K236" i="1"/>
  <c r="H236" i="1"/>
  <c r="I236" i="1" s="1"/>
  <c r="F236" i="1"/>
  <c r="E236" i="1"/>
  <c r="B236" i="1"/>
  <c r="C236" i="1" s="1"/>
  <c r="AD235" i="1"/>
  <c r="AC235" i="1"/>
  <c r="AA235" i="1"/>
  <c r="W235" i="1"/>
  <c r="X235" i="1" s="1"/>
  <c r="U235" i="1"/>
  <c r="R235" i="1"/>
  <c r="N235" i="1"/>
  <c r="O235" i="1" s="1"/>
  <c r="L235" i="1"/>
  <c r="H235" i="1"/>
  <c r="I235" i="1" s="1"/>
  <c r="F235" i="1"/>
  <c r="C235" i="1"/>
  <c r="AC234" i="1"/>
  <c r="AD234" i="1" s="1"/>
  <c r="AA234" i="1"/>
  <c r="W234" i="1"/>
  <c r="X234" i="1" s="1"/>
  <c r="U234" i="1"/>
  <c r="R234" i="1"/>
  <c r="O234" i="1"/>
  <c r="N234" i="1"/>
  <c r="L234" i="1"/>
  <c r="I234" i="1"/>
  <c r="H234" i="1"/>
  <c r="F234" i="1"/>
  <c r="C234" i="1"/>
  <c r="AC233" i="1"/>
  <c r="AD233" i="1" s="1"/>
  <c r="AA233" i="1"/>
  <c r="W233" i="1"/>
  <c r="X233" i="1" s="1"/>
  <c r="U233" i="1"/>
  <c r="R233" i="1"/>
  <c r="N233" i="1"/>
  <c r="O233" i="1" s="1"/>
  <c r="L233" i="1"/>
  <c r="H233" i="1"/>
  <c r="I233" i="1" s="1"/>
  <c r="F233" i="1"/>
  <c r="C233" i="1"/>
  <c r="AC232" i="1"/>
  <c r="AD232" i="1" s="1"/>
  <c r="AA232" i="1"/>
  <c r="X232" i="1"/>
  <c r="W232" i="1"/>
  <c r="U232" i="1"/>
  <c r="R232" i="1"/>
  <c r="N232" i="1"/>
  <c r="O232" i="1" s="1"/>
  <c r="L232" i="1"/>
  <c r="I232" i="1"/>
  <c r="H232" i="1"/>
  <c r="F232" i="1"/>
  <c r="C232" i="1"/>
  <c r="AD231" i="1"/>
  <c r="AC231" i="1"/>
  <c r="AA231" i="1"/>
  <c r="X231" i="1"/>
  <c r="W231" i="1"/>
  <c r="U231" i="1"/>
  <c r="R231" i="1"/>
  <c r="N231" i="1"/>
  <c r="O231" i="1" s="1"/>
  <c r="L231" i="1"/>
  <c r="H231" i="1"/>
  <c r="I231" i="1" s="1"/>
  <c r="F231" i="1"/>
  <c r="C231" i="1"/>
  <c r="AC230" i="1"/>
  <c r="AD230" i="1" s="1"/>
  <c r="AA230" i="1"/>
  <c r="W230" i="1"/>
  <c r="X230" i="1" s="1"/>
  <c r="U230" i="1"/>
  <c r="R230" i="1"/>
  <c r="O230" i="1"/>
  <c r="N230" i="1"/>
  <c r="L230" i="1"/>
  <c r="I230" i="1"/>
  <c r="H230" i="1"/>
  <c r="F230" i="1"/>
  <c r="C230" i="1"/>
  <c r="AC229" i="1"/>
  <c r="AD229" i="1" s="1"/>
  <c r="AA229" i="1"/>
  <c r="X229" i="1"/>
  <c r="W229" i="1"/>
  <c r="U229" i="1"/>
  <c r="R229" i="1"/>
  <c r="O229" i="1"/>
  <c r="N229" i="1"/>
  <c r="L229" i="1"/>
  <c r="H229" i="1"/>
  <c r="I229" i="1" s="1"/>
  <c r="F229" i="1"/>
  <c r="C229" i="1"/>
  <c r="Z227" i="1"/>
  <c r="AC227" i="1" s="1"/>
  <c r="AD227" i="1" s="1"/>
  <c r="U227" i="1"/>
  <c r="T227" i="1"/>
  <c r="Q227" i="1"/>
  <c r="R227" i="1" s="1"/>
  <c r="K227" i="1"/>
  <c r="L227" i="1" s="1"/>
  <c r="E227" i="1"/>
  <c r="F227" i="1" s="1"/>
  <c r="B227" i="1"/>
  <c r="H227" i="1" s="1"/>
  <c r="I227" i="1" s="1"/>
  <c r="AC226" i="1"/>
  <c r="AD226" i="1" s="1"/>
  <c r="AA226" i="1"/>
  <c r="W226" i="1"/>
  <c r="X226" i="1" s="1"/>
  <c r="U226" i="1"/>
  <c r="R226" i="1"/>
  <c r="O226" i="1"/>
  <c r="N226" i="1"/>
  <c r="L226" i="1"/>
  <c r="I226" i="1"/>
  <c r="H226" i="1"/>
  <c r="F226" i="1"/>
  <c r="C226" i="1"/>
  <c r="AD225" i="1"/>
  <c r="AC225" i="1"/>
  <c r="AA225" i="1"/>
  <c r="X225" i="1"/>
  <c r="W225" i="1"/>
  <c r="U225" i="1"/>
  <c r="R225" i="1"/>
  <c r="N225" i="1"/>
  <c r="O225" i="1" s="1"/>
  <c r="L225" i="1"/>
  <c r="H225" i="1"/>
  <c r="I225" i="1" s="1"/>
  <c r="F225" i="1"/>
  <c r="C225" i="1"/>
  <c r="AC224" i="1"/>
  <c r="AD224" i="1" s="1"/>
  <c r="AA224" i="1"/>
  <c r="X224" i="1"/>
  <c r="W224" i="1"/>
  <c r="U224" i="1"/>
  <c r="R224" i="1"/>
  <c r="N224" i="1"/>
  <c r="O224" i="1" s="1"/>
  <c r="L224" i="1"/>
  <c r="H224" i="1"/>
  <c r="I224" i="1" s="1"/>
  <c r="F224" i="1"/>
  <c r="C224" i="1"/>
  <c r="AD223" i="1"/>
  <c r="AC223" i="1"/>
  <c r="AA223" i="1"/>
  <c r="X223" i="1"/>
  <c r="W223" i="1"/>
  <c r="U223" i="1"/>
  <c r="R223" i="1"/>
  <c r="O223" i="1"/>
  <c r="N223" i="1"/>
  <c r="L223" i="1"/>
  <c r="H223" i="1"/>
  <c r="I223" i="1" s="1"/>
  <c r="F223" i="1"/>
  <c r="C223" i="1"/>
  <c r="AC222" i="1"/>
  <c r="AD222" i="1" s="1"/>
  <c r="AA222" i="1"/>
  <c r="W222" i="1"/>
  <c r="X222" i="1" s="1"/>
  <c r="U222" i="1"/>
  <c r="R222" i="1"/>
  <c r="O222" i="1"/>
  <c r="N222" i="1"/>
  <c r="L222" i="1"/>
  <c r="I222" i="1"/>
  <c r="H222" i="1"/>
  <c r="F222" i="1"/>
  <c r="C222" i="1"/>
  <c r="AC221" i="1"/>
  <c r="AD221" i="1" s="1"/>
  <c r="AA221" i="1"/>
  <c r="W221" i="1"/>
  <c r="X221" i="1" s="1"/>
  <c r="U221" i="1"/>
  <c r="R221" i="1"/>
  <c r="N221" i="1"/>
  <c r="O221" i="1" s="1"/>
  <c r="L221" i="1"/>
  <c r="H221" i="1"/>
  <c r="I221" i="1" s="1"/>
  <c r="F221" i="1"/>
  <c r="C221" i="1"/>
  <c r="AC220" i="1"/>
  <c r="AD220" i="1" s="1"/>
  <c r="AA220" i="1"/>
  <c r="X220" i="1"/>
  <c r="W220" i="1"/>
  <c r="U220" i="1"/>
  <c r="R220" i="1"/>
  <c r="N220" i="1"/>
  <c r="O220" i="1" s="1"/>
  <c r="L220" i="1"/>
  <c r="H220" i="1"/>
  <c r="I220" i="1" s="1"/>
  <c r="F220" i="1"/>
  <c r="C220" i="1"/>
  <c r="AD219" i="1"/>
  <c r="AC219" i="1"/>
  <c r="AA219" i="1"/>
  <c r="W219" i="1"/>
  <c r="X219" i="1" s="1"/>
  <c r="U219" i="1"/>
  <c r="R219" i="1"/>
  <c r="N219" i="1"/>
  <c r="O219" i="1" s="1"/>
  <c r="L219" i="1"/>
  <c r="H219" i="1"/>
  <c r="I219" i="1" s="1"/>
  <c r="F219" i="1"/>
  <c r="C219" i="1"/>
  <c r="AC218" i="1"/>
  <c r="AD218" i="1" s="1"/>
  <c r="AA218" i="1"/>
  <c r="Z218" i="1"/>
  <c r="W218" i="1"/>
  <c r="X218" i="1" s="1"/>
  <c r="U218" i="1"/>
  <c r="T218" i="1"/>
  <c r="Q218" i="1"/>
  <c r="R218" i="1" s="1"/>
  <c r="K218" i="1"/>
  <c r="L218" i="1" s="1"/>
  <c r="E218" i="1"/>
  <c r="F218" i="1" s="1"/>
  <c r="C218" i="1"/>
  <c r="B218" i="1"/>
  <c r="AC217" i="1"/>
  <c r="AD217" i="1" s="1"/>
  <c r="AA217" i="1"/>
  <c r="X217" i="1"/>
  <c r="W217" i="1"/>
  <c r="U217" i="1"/>
  <c r="R217" i="1"/>
  <c r="N217" i="1"/>
  <c r="O217" i="1" s="1"/>
  <c r="L217" i="1"/>
  <c r="H217" i="1"/>
  <c r="I217" i="1" s="1"/>
  <c r="F217" i="1"/>
  <c r="C217" i="1"/>
  <c r="AD216" i="1"/>
  <c r="AC216" i="1"/>
  <c r="AA216" i="1"/>
  <c r="W216" i="1"/>
  <c r="X216" i="1" s="1"/>
  <c r="U216" i="1"/>
  <c r="R216" i="1"/>
  <c r="N216" i="1"/>
  <c r="O216" i="1" s="1"/>
  <c r="L216" i="1"/>
  <c r="H216" i="1"/>
  <c r="I216" i="1" s="1"/>
  <c r="F216" i="1"/>
  <c r="C216" i="1"/>
  <c r="AC215" i="1"/>
  <c r="AD215" i="1" s="1"/>
  <c r="AA215" i="1"/>
  <c r="W215" i="1"/>
  <c r="X215" i="1" s="1"/>
  <c r="U215" i="1"/>
  <c r="R215" i="1"/>
  <c r="O215" i="1"/>
  <c r="N215" i="1"/>
  <c r="L215" i="1"/>
  <c r="I215" i="1"/>
  <c r="H215" i="1"/>
  <c r="F215" i="1"/>
  <c r="C215" i="1"/>
  <c r="AD214" i="1"/>
  <c r="AC214" i="1"/>
  <c r="AA214" i="1"/>
  <c r="W214" i="1"/>
  <c r="X214" i="1" s="1"/>
  <c r="U214" i="1"/>
  <c r="R214" i="1"/>
  <c r="N214" i="1"/>
  <c r="O214" i="1" s="1"/>
  <c r="L214" i="1"/>
  <c r="H214" i="1"/>
  <c r="I214" i="1" s="1"/>
  <c r="F214" i="1"/>
  <c r="C214" i="1"/>
  <c r="AC213" i="1"/>
  <c r="AD213" i="1" s="1"/>
  <c r="AA213" i="1"/>
  <c r="X213" i="1"/>
  <c r="W213" i="1"/>
  <c r="U213" i="1"/>
  <c r="R213" i="1"/>
  <c r="N213" i="1"/>
  <c r="O213" i="1" s="1"/>
  <c r="L213" i="1"/>
  <c r="I213" i="1"/>
  <c r="H213" i="1"/>
  <c r="F213" i="1"/>
  <c r="C213" i="1"/>
  <c r="AD211" i="1"/>
  <c r="AC211" i="1"/>
  <c r="AA211" i="1"/>
  <c r="W211" i="1"/>
  <c r="X211" i="1" s="1"/>
  <c r="U211" i="1"/>
  <c r="R211" i="1"/>
  <c r="O211" i="1"/>
  <c r="N211" i="1"/>
  <c r="L211" i="1"/>
  <c r="H211" i="1"/>
  <c r="I211" i="1" s="1"/>
  <c r="F211" i="1"/>
  <c r="C211" i="1"/>
  <c r="AA209" i="1"/>
  <c r="Z209" i="1"/>
  <c r="T209" i="1"/>
  <c r="U209" i="1" s="1"/>
  <c r="Q209" i="1"/>
  <c r="R209" i="1" s="1"/>
  <c r="O209" i="1"/>
  <c r="K209" i="1"/>
  <c r="L209" i="1" s="1"/>
  <c r="H209" i="1"/>
  <c r="I209" i="1" s="1"/>
  <c r="E209" i="1"/>
  <c r="F209" i="1" s="1"/>
  <c r="C209" i="1"/>
  <c r="B209" i="1"/>
  <c r="N209" i="1" s="1"/>
  <c r="AC208" i="1"/>
  <c r="AD208" i="1" s="1"/>
  <c r="AA208" i="1"/>
  <c r="X208" i="1"/>
  <c r="W208" i="1"/>
  <c r="U208" i="1"/>
  <c r="R208" i="1"/>
  <c r="N208" i="1"/>
  <c r="O208" i="1" s="1"/>
  <c r="L208" i="1"/>
  <c r="H208" i="1"/>
  <c r="I208" i="1" s="1"/>
  <c r="F208" i="1"/>
  <c r="C208" i="1"/>
  <c r="AD207" i="1"/>
  <c r="AC207" i="1"/>
  <c r="AA207" i="1"/>
  <c r="W207" i="1"/>
  <c r="X207" i="1" s="1"/>
  <c r="U207" i="1"/>
  <c r="R207" i="1"/>
  <c r="N207" i="1"/>
  <c r="O207" i="1" s="1"/>
  <c r="L207" i="1"/>
  <c r="H207" i="1"/>
  <c r="I207" i="1" s="1"/>
  <c r="F207" i="1"/>
  <c r="C207" i="1"/>
  <c r="AC206" i="1"/>
  <c r="AD206" i="1" s="1"/>
  <c r="AA206" i="1"/>
  <c r="W206" i="1"/>
  <c r="X206" i="1" s="1"/>
  <c r="U206" i="1"/>
  <c r="R206" i="1"/>
  <c r="O206" i="1"/>
  <c r="N206" i="1"/>
  <c r="L206" i="1"/>
  <c r="I206" i="1"/>
  <c r="H206" i="1"/>
  <c r="F206" i="1"/>
  <c r="C206" i="1"/>
  <c r="AD205" i="1"/>
  <c r="AC205" i="1"/>
  <c r="AA205" i="1"/>
  <c r="W205" i="1"/>
  <c r="X205" i="1" s="1"/>
  <c r="U205" i="1"/>
  <c r="R205" i="1"/>
  <c r="O205" i="1"/>
  <c r="N205" i="1"/>
  <c r="L205" i="1"/>
  <c r="H205" i="1"/>
  <c r="I205" i="1" s="1"/>
  <c r="F205" i="1"/>
  <c r="C205" i="1"/>
  <c r="AC204" i="1"/>
  <c r="AD204" i="1" s="1"/>
  <c r="AA204" i="1"/>
  <c r="X204" i="1"/>
  <c r="W204" i="1"/>
  <c r="U204" i="1"/>
  <c r="R204" i="1"/>
  <c r="N204" i="1"/>
  <c r="O204" i="1" s="1"/>
  <c r="L204" i="1"/>
  <c r="H204" i="1"/>
  <c r="I204" i="1" s="1"/>
  <c r="F204" i="1"/>
  <c r="C204" i="1"/>
  <c r="AD203" i="1"/>
  <c r="AC203" i="1"/>
  <c r="AA203" i="1"/>
  <c r="X203" i="1"/>
  <c r="W203" i="1"/>
  <c r="U203" i="1"/>
  <c r="R203" i="1"/>
  <c r="O203" i="1"/>
  <c r="N203" i="1"/>
  <c r="L203" i="1"/>
  <c r="H203" i="1"/>
  <c r="I203" i="1" s="1"/>
  <c r="F203" i="1"/>
  <c r="C203" i="1"/>
  <c r="AC202" i="1"/>
  <c r="AD202" i="1" s="1"/>
  <c r="AA202" i="1"/>
  <c r="W202" i="1"/>
  <c r="X202" i="1" s="1"/>
  <c r="U202" i="1"/>
  <c r="R202" i="1"/>
  <c r="O202" i="1"/>
  <c r="N202" i="1"/>
  <c r="L202" i="1"/>
  <c r="I202" i="1"/>
  <c r="H202" i="1"/>
  <c r="F202" i="1"/>
  <c r="C202" i="1"/>
  <c r="AC201" i="1"/>
  <c r="AD201" i="1" s="1"/>
  <c r="AA201" i="1"/>
  <c r="W201" i="1"/>
  <c r="X201" i="1" s="1"/>
  <c r="U201" i="1"/>
  <c r="R201" i="1"/>
  <c r="N201" i="1"/>
  <c r="O201" i="1" s="1"/>
  <c r="L201" i="1"/>
  <c r="H201" i="1"/>
  <c r="I201" i="1" s="1"/>
  <c r="F201" i="1"/>
  <c r="C201" i="1"/>
  <c r="K198" i="1"/>
  <c r="L198" i="1" s="1"/>
  <c r="AC197" i="1"/>
  <c r="AD197" i="1" s="1"/>
  <c r="AA197" i="1"/>
  <c r="Z197" i="1"/>
  <c r="W197" i="1"/>
  <c r="X197" i="1" s="1"/>
  <c r="T197" i="1"/>
  <c r="U197" i="1" s="1"/>
  <c r="Q197" i="1"/>
  <c r="R197" i="1" s="1"/>
  <c r="K197" i="1"/>
  <c r="L197" i="1" s="1"/>
  <c r="E197" i="1"/>
  <c r="F197" i="1" s="1"/>
  <c r="C197" i="1"/>
  <c r="B197" i="1"/>
  <c r="Z196" i="1"/>
  <c r="AC196" i="1" s="1"/>
  <c r="AD196" i="1" s="1"/>
  <c r="U196" i="1"/>
  <c r="T196" i="1"/>
  <c r="Q196" i="1"/>
  <c r="R196" i="1" s="1"/>
  <c r="K196" i="1"/>
  <c r="L196" i="1" s="1"/>
  <c r="E196" i="1"/>
  <c r="F196" i="1" s="1"/>
  <c r="B196" i="1"/>
  <c r="H196" i="1" s="1"/>
  <c r="I196" i="1" s="1"/>
  <c r="AC195" i="1"/>
  <c r="AD195" i="1" s="1"/>
  <c r="AA195" i="1"/>
  <c r="W195" i="1"/>
  <c r="X195" i="1" s="1"/>
  <c r="U195" i="1"/>
  <c r="R195" i="1"/>
  <c r="O195" i="1"/>
  <c r="N195" i="1"/>
  <c r="L195" i="1"/>
  <c r="I195" i="1"/>
  <c r="H195" i="1"/>
  <c r="F195" i="1"/>
  <c r="C195" i="1"/>
  <c r="AD194" i="1"/>
  <c r="AC194" i="1"/>
  <c r="AA194" i="1"/>
  <c r="X194" i="1"/>
  <c r="W194" i="1"/>
  <c r="U194" i="1"/>
  <c r="R194" i="1"/>
  <c r="N194" i="1"/>
  <c r="O194" i="1" s="1"/>
  <c r="L194" i="1"/>
  <c r="H194" i="1"/>
  <c r="I194" i="1" s="1"/>
  <c r="F194" i="1"/>
  <c r="C194" i="1"/>
  <c r="Z193" i="1"/>
  <c r="AA193" i="1" s="1"/>
  <c r="U193" i="1"/>
  <c r="T193" i="1"/>
  <c r="Q193" i="1"/>
  <c r="R193" i="1" s="1"/>
  <c r="K193" i="1"/>
  <c r="L193" i="1" s="1"/>
  <c r="E193" i="1"/>
  <c r="F193" i="1" s="1"/>
  <c r="B193" i="1"/>
  <c r="H193" i="1" s="1"/>
  <c r="I193" i="1" s="1"/>
  <c r="AC192" i="1"/>
  <c r="AD192" i="1" s="1"/>
  <c r="AA192" i="1"/>
  <c r="W192" i="1"/>
  <c r="X192" i="1" s="1"/>
  <c r="U192" i="1"/>
  <c r="R192" i="1"/>
  <c r="O192" i="1"/>
  <c r="N192" i="1"/>
  <c r="L192" i="1"/>
  <c r="I192" i="1"/>
  <c r="H192" i="1"/>
  <c r="F192" i="1"/>
  <c r="C192" i="1"/>
  <c r="AC191" i="1"/>
  <c r="AD191" i="1" s="1"/>
  <c r="AA191" i="1"/>
  <c r="W191" i="1"/>
  <c r="X191" i="1" s="1"/>
  <c r="U191" i="1"/>
  <c r="R191" i="1"/>
  <c r="N191" i="1"/>
  <c r="O191" i="1" s="1"/>
  <c r="L191" i="1"/>
  <c r="H191" i="1"/>
  <c r="I191" i="1" s="1"/>
  <c r="F191" i="1"/>
  <c r="C191" i="1"/>
  <c r="AC190" i="1"/>
  <c r="AD190" i="1" s="1"/>
  <c r="AA190" i="1"/>
  <c r="X190" i="1"/>
  <c r="W190" i="1"/>
  <c r="U190" i="1"/>
  <c r="R190" i="1"/>
  <c r="N190" i="1"/>
  <c r="O190" i="1" s="1"/>
  <c r="L190" i="1"/>
  <c r="I190" i="1"/>
  <c r="H190" i="1"/>
  <c r="F190" i="1"/>
  <c r="C190" i="1"/>
  <c r="AD189" i="1"/>
  <c r="AC189" i="1"/>
  <c r="AA189" i="1"/>
  <c r="X189" i="1"/>
  <c r="W189" i="1"/>
  <c r="U189" i="1"/>
  <c r="R189" i="1"/>
  <c r="N189" i="1"/>
  <c r="O189" i="1" s="1"/>
  <c r="L189" i="1"/>
  <c r="H189" i="1"/>
  <c r="I189" i="1" s="1"/>
  <c r="F189" i="1"/>
  <c r="C189" i="1"/>
  <c r="AC188" i="1"/>
  <c r="AD188" i="1" s="1"/>
  <c r="AA188" i="1"/>
  <c r="W188" i="1"/>
  <c r="X188" i="1" s="1"/>
  <c r="U188" i="1"/>
  <c r="R188" i="1"/>
  <c r="N188" i="1"/>
  <c r="O188" i="1" s="1"/>
  <c r="L188" i="1"/>
  <c r="I188" i="1"/>
  <c r="H188" i="1"/>
  <c r="F188" i="1"/>
  <c r="C188" i="1"/>
  <c r="AC187" i="1"/>
  <c r="AD187" i="1" s="1"/>
  <c r="AA187" i="1"/>
  <c r="X187" i="1"/>
  <c r="W187" i="1"/>
  <c r="U187" i="1"/>
  <c r="R187" i="1"/>
  <c r="O187" i="1"/>
  <c r="N187" i="1"/>
  <c r="L187" i="1"/>
  <c r="I187" i="1"/>
  <c r="H187" i="1"/>
  <c r="F187" i="1"/>
  <c r="C187" i="1"/>
  <c r="AC186" i="1"/>
  <c r="AD186" i="1" s="1"/>
  <c r="AA186" i="1"/>
  <c r="W186" i="1"/>
  <c r="X186" i="1" s="1"/>
  <c r="U186" i="1"/>
  <c r="R186" i="1"/>
  <c r="N186" i="1"/>
  <c r="O186" i="1" s="1"/>
  <c r="L186" i="1"/>
  <c r="H186" i="1"/>
  <c r="I186" i="1" s="1"/>
  <c r="F186" i="1"/>
  <c r="C186" i="1"/>
  <c r="AD184" i="1"/>
  <c r="AC184" i="1"/>
  <c r="AA184" i="1"/>
  <c r="W184" i="1"/>
  <c r="X184" i="1" s="1"/>
  <c r="U184" i="1"/>
  <c r="R184" i="1"/>
  <c r="N184" i="1"/>
  <c r="O184" i="1" s="1"/>
  <c r="L184" i="1"/>
  <c r="H184" i="1"/>
  <c r="I184" i="1" s="1"/>
  <c r="F184" i="1"/>
  <c r="C184" i="1"/>
  <c r="AD183" i="1"/>
  <c r="AC183" i="1"/>
  <c r="AA183" i="1"/>
  <c r="W183" i="1"/>
  <c r="X183" i="1" s="1"/>
  <c r="U183" i="1"/>
  <c r="R183" i="1"/>
  <c r="N183" i="1"/>
  <c r="O183" i="1" s="1"/>
  <c r="L183" i="1"/>
  <c r="I183" i="1"/>
  <c r="H183" i="1"/>
  <c r="F183" i="1"/>
  <c r="C183" i="1"/>
  <c r="Z182" i="1"/>
  <c r="AC182" i="1" s="1"/>
  <c r="AD182" i="1" s="1"/>
  <c r="T182" i="1"/>
  <c r="U182" i="1" s="1"/>
  <c r="R182" i="1"/>
  <c r="Q182" i="1"/>
  <c r="N182" i="1"/>
  <c r="O182" i="1" s="1"/>
  <c r="L182" i="1"/>
  <c r="K182" i="1"/>
  <c r="E182" i="1"/>
  <c r="F182" i="1" s="1"/>
  <c r="C182" i="1"/>
  <c r="B182" i="1"/>
  <c r="H182" i="1" s="1"/>
  <c r="I182" i="1" s="1"/>
  <c r="AD181" i="1"/>
  <c r="AC181" i="1"/>
  <c r="AA181" i="1"/>
  <c r="W181" i="1"/>
  <c r="X181" i="1" s="1"/>
  <c r="U181" i="1"/>
  <c r="R181" i="1"/>
  <c r="N181" i="1"/>
  <c r="O181" i="1" s="1"/>
  <c r="L181" i="1"/>
  <c r="H181" i="1"/>
  <c r="I181" i="1" s="1"/>
  <c r="F181" i="1"/>
  <c r="C181" i="1"/>
  <c r="AD180" i="1"/>
  <c r="AC180" i="1"/>
  <c r="AA180" i="1"/>
  <c r="W180" i="1"/>
  <c r="X180" i="1" s="1"/>
  <c r="U180" i="1"/>
  <c r="R180" i="1"/>
  <c r="N180" i="1"/>
  <c r="O180" i="1" s="1"/>
  <c r="L180" i="1"/>
  <c r="I180" i="1"/>
  <c r="H180" i="1"/>
  <c r="F180" i="1"/>
  <c r="C180" i="1"/>
  <c r="AD179" i="1"/>
  <c r="AC179" i="1"/>
  <c r="AA179" i="1"/>
  <c r="X179" i="1"/>
  <c r="W179" i="1"/>
  <c r="U179" i="1"/>
  <c r="R179" i="1"/>
  <c r="N179" i="1"/>
  <c r="O179" i="1" s="1"/>
  <c r="L179" i="1"/>
  <c r="H179" i="1"/>
  <c r="I179" i="1" s="1"/>
  <c r="F179" i="1"/>
  <c r="C179" i="1"/>
  <c r="AC178" i="1"/>
  <c r="AD178" i="1" s="1"/>
  <c r="AA178" i="1"/>
  <c r="X178" i="1"/>
  <c r="W178" i="1"/>
  <c r="U178" i="1"/>
  <c r="R178" i="1"/>
  <c r="N178" i="1"/>
  <c r="O178" i="1" s="1"/>
  <c r="L178" i="1"/>
  <c r="H178" i="1"/>
  <c r="I178" i="1" s="1"/>
  <c r="F178" i="1"/>
  <c r="C178" i="1"/>
  <c r="AD177" i="1"/>
  <c r="AC177" i="1"/>
  <c r="AA177" i="1"/>
  <c r="W177" i="1"/>
  <c r="X177" i="1" s="1"/>
  <c r="U177" i="1"/>
  <c r="R177" i="1"/>
  <c r="N177" i="1"/>
  <c r="O177" i="1" s="1"/>
  <c r="L177" i="1"/>
  <c r="H177" i="1"/>
  <c r="I177" i="1" s="1"/>
  <c r="F177" i="1"/>
  <c r="C177" i="1"/>
  <c r="AC175" i="1"/>
  <c r="AD175" i="1" s="1"/>
  <c r="AA175" i="1"/>
  <c r="W175" i="1"/>
  <c r="X175" i="1" s="1"/>
  <c r="U175" i="1"/>
  <c r="R175" i="1"/>
  <c r="N175" i="1"/>
  <c r="O175" i="1" s="1"/>
  <c r="L175" i="1"/>
  <c r="I175" i="1"/>
  <c r="H175" i="1"/>
  <c r="F175" i="1"/>
  <c r="C175" i="1"/>
  <c r="Z172" i="1"/>
  <c r="Z198" i="1" s="1"/>
  <c r="Q172" i="1"/>
  <c r="Q198" i="1" s="1"/>
  <c r="Z171" i="1"/>
  <c r="AA171" i="1" s="1"/>
  <c r="W171" i="1"/>
  <c r="X171" i="1" s="1"/>
  <c r="U171" i="1"/>
  <c r="T171" i="1"/>
  <c r="R171" i="1"/>
  <c r="Q171" i="1"/>
  <c r="AC171" i="1" s="1"/>
  <c r="AD171" i="1" s="1"/>
  <c r="K171" i="1"/>
  <c r="L171" i="1" s="1"/>
  <c r="F171" i="1"/>
  <c r="E171" i="1"/>
  <c r="B171" i="1"/>
  <c r="C171" i="1" s="1"/>
  <c r="Z170" i="1"/>
  <c r="AA170" i="1" s="1"/>
  <c r="T170" i="1"/>
  <c r="U170" i="1" s="1"/>
  <c r="Q170" i="1"/>
  <c r="W170" i="1" s="1"/>
  <c r="X170" i="1" s="1"/>
  <c r="L170" i="1"/>
  <c r="K170" i="1"/>
  <c r="E170" i="1"/>
  <c r="H170" i="1" s="1"/>
  <c r="I170" i="1" s="1"/>
  <c r="C170" i="1"/>
  <c r="B170" i="1"/>
  <c r="N170" i="1" s="1"/>
  <c r="O170" i="1" s="1"/>
  <c r="AD169" i="1"/>
  <c r="AC169" i="1"/>
  <c r="AA169" i="1"/>
  <c r="X169" i="1"/>
  <c r="W169" i="1"/>
  <c r="U169" i="1"/>
  <c r="R169" i="1"/>
  <c r="O169" i="1"/>
  <c r="N169" i="1"/>
  <c r="L169" i="1"/>
  <c r="H169" i="1"/>
  <c r="I169" i="1" s="1"/>
  <c r="F169" i="1"/>
  <c r="C169" i="1"/>
  <c r="AC168" i="1"/>
  <c r="AD168" i="1" s="1"/>
  <c r="AA168" i="1"/>
  <c r="W168" i="1"/>
  <c r="X168" i="1" s="1"/>
  <c r="U168" i="1"/>
  <c r="R168" i="1"/>
  <c r="O168" i="1"/>
  <c r="N168" i="1"/>
  <c r="L168" i="1"/>
  <c r="I168" i="1"/>
  <c r="H168" i="1"/>
  <c r="F168" i="1"/>
  <c r="C168" i="1"/>
  <c r="AC167" i="1"/>
  <c r="AD167" i="1" s="1"/>
  <c r="AA167" i="1"/>
  <c r="W167" i="1"/>
  <c r="X167" i="1" s="1"/>
  <c r="U167" i="1"/>
  <c r="R167" i="1"/>
  <c r="N167" i="1"/>
  <c r="O167" i="1" s="1"/>
  <c r="L167" i="1"/>
  <c r="H167" i="1"/>
  <c r="I167" i="1" s="1"/>
  <c r="F167" i="1"/>
  <c r="C167" i="1"/>
  <c r="Z166" i="1"/>
  <c r="AA166" i="1" s="1"/>
  <c r="U166" i="1"/>
  <c r="T166" i="1"/>
  <c r="Q166" i="1"/>
  <c r="R166" i="1" s="1"/>
  <c r="K166" i="1"/>
  <c r="N166" i="1" s="1"/>
  <c r="O166" i="1" s="1"/>
  <c r="E166" i="1"/>
  <c r="F166" i="1" s="1"/>
  <c r="C166" i="1"/>
  <c r="B166" i="1"/>
  <c r="AC165" i="1"/>
  <c r="AD165" i="1" s="1"/>
  <c r="AA165" i="1"/>
  <c r="W165" i="1"/>
  <c r="X165" i="1" s="1"/>
  <c r="U165" i="1"/>
  <c r="R165" i="1"/>
  <c r="O165" i="1"/>
  <c r="N165" i="1"/>
  <c r="L165" i="1"/>
  <c r="I165" i="1"/>
  <c r="H165" i="1"/>
  <c r="F165" i="1"/>
  <c r="C165" i="1"/>
  <c r="AC164" i="1"/>
  <c r="AD164" i="1" s="1"/>
  <c r="AA164" i="1"/>
  <c r="W164" i="1"/>
  <c r="X164" i="1" s="1"/>
  <c r="U164" i="1"/>
  <c r="R164" i="1"/>
  <c r="N164" i="1"/>
  <c r="O164" i="1" s="1"/>
  <c r="L164" i="1"/>
  <c r="I164" i="1"/>
  <c r="H164" i="1"/>
  <c r="F164" i="1"/>
  <c r="C164" i="1"/>
  <c r="AC163" i="1"/>
  <c r="AD163" i="1" s="1"/>
  <c r="AA163" i="1"/>
  <c r="W163" i="1"/>
  <c r="X163" i="1" s="1"/>
  <c r="U163" i="1"/>
  <c r="R163" i="1"/>
  <c r="N163" i="1"/>
  <c r="O163" i="1" s="1"/>
  <c r="L163" i="1"/>
  <c r="I163" i="1"/>
  <c r="H163" i="1"/>
  <c r="F163" i="1"/>
  <c r="C163" i="1"/>
  <c r="AD162" i="1"/>
  <c r="AC162" i="1"/>
  <c r="AA162" i="1"/>
  <c r="W162" i="1"/>
  <c r="X162" i="1" s="1"/>
  <c r="U162" i="1"/>
  <c r="R162" i="1"/>
  <c r="O162" i="1"/>
  <c r="N162" i="1"/>
  <c r="L162" i="1"/>
  <c r="H162" i="1"/>
  <c r="I162" i="1" s="1"/>
  <c r="F162" i="1"/>
  <c r="C162" i="1"/>
  <c r="AC161" i="1"/>
  <c r="AD161" i="1" s="1"/>
  <c r="AA161" i="1"/>
  <c r="W161" i="1"/>
  <c r="X161" i="1" s="1"/>
  <c r="U161" i="1"/>
  <c r="R161" i="1"/>
  <c r="N161" i="1"/>
  <c r="O161" i="1" s="1"/>
  <c r="L161" i="1"/>
  <c r="I161" i="1"/>
  <c r="H161" i="1"/>
  <c r="F161" i="1"/>
  <c r="C161" i="1"/>
  <c r="AC160" i="1"/>
  <c r="AD160" i="1" s="1"/>
  <c r="AA160" i="1"/>
  <c r="W160" i="1"/>
  <c r="X160" i="1" s="1"/>
  <c r="U160" i="1"/>
  <c r="R160" i="1"/>
  <c r="N160" i="1"/>
  <c r="O160" i="1" s="1"/>
  <c r="L160" i="1"/>
  <c r="I160" i="1"/>
  <c r="H160" i="1"/>
  <c r="F160" i="1"/>
  <c r="C160" i="1"/>
  <c r="Z158" i="1"/>
  <c r="AA158" i="1" s="1"/>
  <c r="U158" i="1"/>
  <c r="T158" i="1"/>
  <c r="Q158" i="1"/>
  <c r="R158" i="1" s="1"/>
  <c r="K158" i="1"/>
  <c r="L158" i="1" s="1"/>
  <c r="E158" i="1"/>
  <c r="F158" i="1" s="1"/>
  <c r="B158" i="1"/>
  <c r="H158" i="1" s="1"/>
  <c r="I158" i="1" s="1"/>
  <c r="AD157" i="1"/>
  <c r="AC157" i="1"/>
  <c r="AA157" i="1"/>
  <c r="W157" i="1"/>
  <c r="X157" i="1" s="1"/>
  <c r="U157" i="1"/>
  <c r="R157" i="1"/>
  <c r="N157" i="1"/>
  <c r="O157" i="1" s="1"/>
  <c r="L157" i="1"/>
  <c r="I157" i="1"/>
  <c r="H157" i="1"/>
  <c r="F157" i="1"/>
  <c r="C157" i="1"/>
  <c r="AC156" i="1"/>
  <c r="AD156" i="1" s="1"/>
  <c r="AA156" i="1"/>
  <c r="X156" i="1"/>
  <c r="W156" i="1"/>
  <c r="U156" i="1"/>
  <c r="R156" i="1"/>
  <c r="O156" i="1"/>
  <c r="N156" i="1"/>
  <c r="L156" i="1"/>
  <c r="I156" i="1"/>
  <c r="H156" i="1"/>
  <c r="F156" i="1"/>
  <c r="C156" i="1"/>
  <c r="AC155" i="1"/>
  <c r="AD155" i="1" s="1"/>
  <c r="AA155" i="1"/>
  <c r="W155" i="1"/>
  <c r="X155" i="1" s="1"/>
  <c r="U155" i="1"/>
  <c r="R155" i="1"/>
  <c r="O155" i="1"/>
  <c r="N155" i="1"/>
  <c r="L155" i="1"/>
  <c r="I155" i="1"/>
  <c r="H155" i="1"/>
  <c r="F155" i="1"/>
  <c r="C155" i="1"/>
  <c r="AD154" i="1"/>
  <c r="AC154" i="1"/>
  <c r="AA154" i="1"/>
  <c r="W154" i="1"/>
  <c r="X154" i="1" s="1"/>
  <c r="U154" i="1"/>
  <c r="R154" i="1"/>
  <c r="O154" i="1"/>
  <c r="N154" i="1"/>
  <c r="L154" i="1"/>
  <c r="H154" i="1"/>
  <c r="I154" i="1" s="1"/>
  <c r="F154" i="1"/>
  <c r="C154" i="1"/>
  <c r="AC153" i="1"/>
  <c r="AD153" i="1" s="1"/>
  <c r="AA153" i="1"/>
  <c r="W153" i="1"/>
  <c r="X153" i="1" s="1"/>
  <c r="U153" i="1"/>
  <c r="R153" i="1"/>
  <c r="N153" i="1"/>
  <c r="O153" i="1" s="1"/>
  <c r="L153" i="1"/>
  <c r="I153" i="1"/>
  <c r="H153" i="1"/>
  <c r="F153" i="1"/>
  <c r="C153" i="1"/>
  <c r="AD151" i="1"/>
  <c r="AC151" i="1"/>
  <c r="AA151" i="1"/>
  <c r="X151" i="1"/>
  <c r="W151" i="1"/>
  <c r="U151" i="1"/>
  <c r="R151" i="1"/>
  <c r="N151" i="1"/>
  <c r="O151" i="1" s="1"/>
  <c r="L151" i="1"/>
  <c r="H151" i="1"/>
  <c r="I151" i="1" s="1"/>
  <c r="F151" i="1"/>
  <c r="C151" i="1"/>
  <c r="AA149" i="1"/>
  <c r="Z149" i="1"/>
  <c r="W149" i="1"/>
  <c r="X149" i="1" s="1"/>
  <c r="U149" i="1"/>
  <c r="T149" i="1"/>
  <c r="Q149" i="1"/>
  <c r="R149" i="1" s="1"/>
  <c r="K149" i="1"/>
  <c r="L149" i="1" s="1"/>
  <c r="E149" i="1"/>
  <c r="F149" i="1" s="1"/>
  <c r="C149" i="1"/>
  <c r="B149" i="1"/>
  <c r="N149" i="1" s="1"/>
  <c r="O149" i="1" s="1"/>
  <c r="AA148" i="1"/>
  <c r="Z148" i="1"/>
  <c r="U148" i="1"/>
  <c r="T148" i="1"/>
  <c r="Q148" i="1"/>
  <c r="AC148" i="1" s="1"/>
  <c r="AD148" i="1" s="1"/>
  <c r="K148" i="1"/>
  <c r="L148" i="1" s="1"/>
  <c r="E148" i="1"/>
  <c r="F148" i="1" s="1"/>
  <c r="B148" i="1"/>
  <c r="C148" i="1" s="1"/>
  <c r="AC147" i="1"/>
  <c r="AD147" i="1" s="1"/>
  <c r="AA147" i="1"/>
  <c r="W147" i="1"/>
  <c r="X147" i="1" s="1"/>
  <c r="U147" i="1"/>
  <c r="R147" i="1"/>
  <c r="N147" i="1"/>
  <c r="O147" i="1" s="1"/>
  <c r="L147" i="1"/>
  <c r="I147" i="1"/>
  <c r="H147" i="1"/>
  <c r="F147" i="1"/>
  <c r="C147" i="1"/>
  <c r="AC146" i="1"/>
  <c r="AD146" i="1" s="1"/>
  <c r="AA146" i="1"/>
  <c r="W146" i="1"/>
  <c r="X146" i="1" s="1"/>
  <c r="U146" i="1"/>
  <c r="R146" i="1"/>
  <c r="O146" i="1"/>
  <c r="N146" i="1"/>
  <c r="L146" i="1"/>
  <c r="H146" i="1"/>
  <c r="I146" i="1" s="1"/>
  <c r="F146" i="1"/>
  <c r="C146" i="1"/>
  <c r="AC145" i="1"/>
  <c r="AD145" i="1" s="1"/>
  <c r="AA145" i="1"/>
  <c r="W145" i="1"/>
  <c r="X145" i="1" s="1"/>
  <c r="U145" i="1"/>
  <c r="R145" i="1"/>
  <c r="N145" i="1"/>
  <c r="O145" i="1" s="1"/>
  <c r="L145" i="1"/>
  <c r="H145" i="1"/>
  <c r="I145" i="1" s="1"/>
  <c r="F145" i="1"/>
  <c r="C145" i="1"/>
  <c r="AD144" i="1"/>
  <c r="AC144" i="1"/>
  <c r="AA144" i="1"/>
  <c r="X144" i="1"/>
  <c r="W144" i="1"/>
  <c r="U144" i="1"/>
  <c r="R144" i="1"/>
  <c r="N144" i="1"/>
  <c r="O144" i="1" s="1"/>
  <c r="L144" i="1"/>
  <c r="H144" i="1"/>
  <c r="I144" i="1" s="1"/>
  <c r="F144" i="1"/>
  <c r="C144" i="1"/>
  <c r="AC143" i="1"/>
  <c r="AD143" i="1" s="1"/>
  <c r="AA143" i="1"/>
  <c r="W143" i="1"/>
  <c r="X143" i="1" s="1"/>
  <c r="U143" i="1"/>
  <c r="R143" i="1"/>
  <c r="N143" i="1"/>
  <c r="O143" i="1" s="1"/>
  <c r="L143" i="1"/>
  <c r="I143" i="1"/>
  <c r="H143" i="1"/>
  <c r="F143" i="1"/>
  <c r="C143" i="1"/>
  <c r="Z141" i="1"/>
  <c r="AA141" i="1" s="1"/>
  <c r="T141" i="1"/>
  <c r="U141" i="1" s="1"/>
  <c r="Q141" i="1"/>
  <c r="R141" i="1" s="1"/>
  <c r="L141" i="1"/>
  <c r="K141" i="1"/>
  <c r="H141" i="1"/>
  <c r="I141" i="1" s="1"/>
  <c r="E141" i="1"/>
  <c r="F141" i="1" s="1"/>
  <c r="B141" i="1"/>
  <c r="C141" i="1" s="1"/>
  <c r="AD140" i="1"/>
  <c r="AC140" i="1"/>
  <c r="AA140" i="1"/>
  <c r="X140" i="1"/>
  <c r="W140" i="1"/>
  <c r="U140" i="1"/>
  <c r="R140" i="1"/>
  <c r="N140" i="1"/>
  <c r="O140" i="1" s="1"/>
  <c r="L140" i="1"/>
  <c r="H140" i="1"/>
  <c r="I140" i="1" s="1"/>
  <c r="F140" i="1"/>
  <c r="C140" i="1"/>
  <c r="AC139" i="1"/>
  <c r="AD139" i="1" s="1"/>
  <c r="AA139" i="1"/>
  <c r="W139" i="1"/>
  <c r="X139" i="1" s="1"/>
  <c r="U139" i="1"/>
  <c r="R139" i="1"/>
  <c r="N139" i="1"/>
  <c r="O139" i="1" s="1"/>
  <c r="L139" i="1"/>
  <c r="I139" i="1"/>
  <c r="H139" i="1"/>
  <c r="F139" i="1"/>
  <c r="C139" i="1"/>
  <c r="AC138" i="1"/>
  <c r="AD138" i="1" s="1"/>
  <c r="AA138" i="1"/>
  <c r="W138" i="1"/>
  <c r="X138" i="1" s="1"/>
  <c r="U138" i="1"/>
  <c r="R138" i="1"/>
  <c r="O138" i="1"/>
  <c r="N138" i="1"/>
  <c r="L138" i="1"/>
  <c r="H138" i="1"/>
  <c r="I138" i="1" s="1"/>
  <c r="F138" i="1"/>
  <c r="C138" i="1"/>
  <c r="AC137" i="1"/>
  <c r="AD137" i="1" s="1"/>
  <c r="AA137" i="1"/>
  <c r="W137" i="1"/>
  <c r="X137" i="1" s="1"/>
  <c r="U137" i="1"/>
  <c r="R137" i="1"/>
  <c r="N137" i="1"/>
  <c r="O137" i="1" s="1"/>
  <c r="L137" i="1"/>
  <c r="H137" i="1"/>
  <c r="I137" i="1" s="1"/>
  <c r="F137" i="1"/>
  <c r="C137" i="1"/>
  <c r="AD136" i="1"/>
  <c r="AC136" i="1"/>
  <c r="AA136" i="1"/>
  <c r="X136" i="1"/>
  <c r="W136" i="1"/>
  <c r="U136" i="1"/>
  <c r="R136" i="1"/>
  <c r="N136" i="1"/>
  <c r="O136" i="1" s="1"/>
  <c r="L136" i="1"/>
  <c r="H136" i="1"/>
  <c r="I136" i="1" s="1"/>
  <c r="F136" i="1"/>
  <c r="C136" i="1"/>
  <c r="AC135" i="1"/>
  <c r="AD135" i="1" s="1"/>
  <c r="AA135" i="1"/>
  <c r="W135" i="1"/>
  <c r="X135" i="1" s="1"/>
  <c r="U135" i="1"/>
  <c r="R135" i="1"/>
  <c r="N135" i="1"/>
  <c r="O135" i="1" s="1"/>
  <c r="L135" i="1"/>
  <c r="I135" i="1"/>
  <c r="H135" i="1"/>
  <c r="F135" i="1"/>
  <c r="C135" i="1"/>
  <c r="AC134" i="1"/>
  <c r="AD134" i="1" s="1"/>
  <c r="AA134" i="1"/>
  <c r="W134" i="1"/>
  <c r="X134" i="1" s="1"/>
  <c r="U134" i="1"/>
  <c r="R134" i="1"/>
  <c r="O134" i="1"/>
  <c r="N134" i="1"/>
  <c r="L134" i="1"/>
  <c r="H134" i="1"/>
  <c r="I134" i="1" s="1"/>
  <c r="F134" i="1"/>
  <c r="C134" i="1"/>
  <c r="AC133" i="1"/>
  <c r="AD133" i="1" s="1"/>
  <c r="AA133" i="1"/>
  <c r="W133" i="1"/>
  <c r="X133" i="1" s="1"/>
  <c r="U133" i="1"/>
  <c r="R133" i="1"/>
  <c r="N133" i="1"/>
  <c r="O133" i="1" s="1"/>
  <c r="L133" i="1"/>
  <c r="H133" i="1"/>
  <c r="I133" i="1" s="1"/>
  <c r="F133" i="1"/>
  <c r="C133" i="1"/>
  <c r="AD132" i="1"/>
  <c r="AC132" i="1"/>
  <c r="AA132" i="1"/>
  <c r="X132" i="1"/>
  <c r="W132" i="1"/>
  <c r="U132" i="1"/>
  <c r="R132" i="1"/>
  <c r="N132" i="1"/>
  <c r="O132" i="1" s="1"/>
  <c r="L132" i="1"/>
  <c r="H132" i="1"/>
  <c r="I132" i="1" s="1"/>
  <c r="F132" i="1"/>
  <c r="C132" i="1"/>
  <c r="AC131" i="1"/>
  <c r="AD131" i="1" s="1"/>
  <c r="AA131" i="1"/>
  <c r="W131" i="1"/>
  <c r="X131" i="1" s="1"/>
  <c r="U131" i="1"/>
  <c r="R131" i="1"/>
  <c r="N131" i="1"/>
  <c r="O131" i="1" s="1"/>
  <c r="L131" i="1"/>
  <c r="I131" i="1"/>
  <c r="H131" i="1"/>
  <c r="F131" i="1"/>
  <c r="C131" i="1"/>
  <c r="AD130" i="1"/>
  <c r="AC130" i="1"/>
  <c r="AA130" i="1"/>
  <c r="W130" i="1"/>
  <c r="X130" i="1" s="1"/>
  <c r="U130" i="1"/>
  <c r="R130" i="1"/>
  <c r="O130" i="1"/>
  <c r="N130" i="1"/>
  <c r="L130" i="1"/>
  <c r="H130" i="1"/>
  <c r="I130" i="1" s="1"/>
  <c r="F130" i="1"/>
  <c r="C130" i="1"/>
  <c r="AC129" i="1"/>
  <c r="AD129" i="1" s="1"/>
  <c r="AA129" i="1"/>
  <c r="W129" i="1"/>
  <c r="X129" i="1" s="1"/>
  <c r="U129" i="1"/>
  <c r="R129" i="1"/>
  <c r="N129" i="1"/>
  <c r="O129" i="1" s="1"/>
  <c r="L129" i="1"/>
  <c r="I129" i="1"/>
  <c r="H129" i="1"/>
  <c r="F129" i="1"/>
  <c r="C129" i="1"/>
  <c r="AD127" i="1"/>
  <c r="AC127" i="1"/>
  <c r="AA127" i="1"/>
  <c r="X127" i="1"/>
  <c r="W127" i="1"/>
  <c r="U127" i="1"/>
  <c r="R127" i="1"/>
  <c r="N127" i="1"/>
  <c r="O127" i="1" s="1"/>
  <c r="L127" i="1"/>
  <c r="H127" i="1"/>
  <c r="I127" i="1" s="1"/>
  <c r="F127" i="1"/>
  <c r="C127" i="1"/>
  <c r="AA124" i="1"/>
  <c r="Z124" i="1"/>
  <c r="W124" i="1"/>
  <c r="X124" i="1" s="1"/>
  <c r="T124" i="1"/>
  <c r="U124" i="1" s="1"/>
  <c r="Q124" i="1"/>
  <c r="R124" i="1" s="1"/>
  <c r="K124" i="1"/>
  <c r="K172" i="1" s="1"/>
  <c r="L172" i="1" s="1"/>
  <c r="E124" i="1"/>
  <c r="H124" i="1" s="1"/>
  <c r="I124" i="1" s="1"/>
  <c r="C124" i="1"/>
  <c r="B124" i="1"/>
  <c r="N124" i="1" s="1"/>
  <c r="O124" i="1" s="1"/>
  <c r="AC123" i="1"/>
  <c r="AD123" i="1" s="1"/>
  <c r="AA123" i="1"/>
  <c r="W123" i="1"/>
  <c r="X123" i="1" s="1"/>
  <c r="U123" i="1"/>
  <c r="R123" i="1"/>
  <c r="N123" i="1"/>
  <c r="O123" i="1" s="1"/>
  <c r="L123" i="1"/>
  <c r="H123" i="1"/>
  <c r="I123" i="1" s="1"/>
  <c r="F123" i="1"/>
  <c r="C123" i="1"/>
  <c r="Z122" i="1"/>
  <c r="AA122" i="1" s="1"/>
  <c r="T122" i="1"/>
  <c r="W122" i="1" s="1"/>
  <c r="X122" i="1" s="1"/>
  <c r="R122" i="1"/>
  <c r="Q122" i="1"/>
  <c r="AC122" i="1" s="1"/>
  <c r="AD122" i="1" s="1"/>
  <c r="K122" i="1"/>
  <c r="L122" i="1" s="1"/>
  <c r="F122" i="1"/>
  <c r="E122" i="1"/>
  <c r="B122" i="1"/>
  <c r="N122" i="1" s="1"/>
  <c r="O122" i="1" s="1"/>
  <c r="AC121" i="1"/>
  <c r="AD121" i="1" s="1"/>
  <c r="AA121" i="1"/>
  <c r="W121" i="1"/>
  <c r="X121" i="1" s="1"/>
  <c r="U121" i="1"/>
  <c r="R121" i="1"/>
  <c r="O121" i="1"/>
  <c r="N121" i="1"/>
  <c r="L121" i="1"/>
  <c r="H121" i="1"/>
  <c r="I121" i="1" s="1"/>
  <c r="F121" i="1"/>
  <c r="C121" i="1"/>
  <c r="AC120" i="1"/>
  <c r="AD120" i="1" s="1"/>
  <c r="AA120" i="1"/>
  <c r="W120" i="1"/>
  <c r="X120" i="1" s="1"/>
  <c r="U120" i="1"/>
  <c r="R120" i="1"/>
  <c r="N120" i="1"/>
  <c r="O120" i="1" s="1"/>
  <c r="L120" i="1"/>
  <c r="H120" i="1"/>
  <c r="I120" i="1" s="1"/>
  <c r="F120" i="1"/>
  <c r="C120" i="1"/>
  <c r="AD119" i="1"/>
  <c r="AC119" i="1"/>
  <c r="AA119" i="1"/>
  <c r="X119" i="1"/>
  <c r="W119" i="1"/>
  <c r="U119" i="1"/>
  <c r="R119" i="1"/>
  <c r="N119" i="1"/>
  <c r="O119" i="1" s="1"/>
  <c r="L119" i="1"/>
  <c r="H119" i="1"/>
  <c r="I119" i="1" s="1"/>
  <c r="F119" i="1"/>
  <c r="C119" i="1"/>
  <c r="AA118" i="1"/>
  <c r="Z118" i="1"/>
  <c r="W118" i="1"/>
  <c r="X118" i="1" s="1"/>
  <c r="T118" i="1"/>
  <c r="U118" i="1" s="1"/>
  <c r="Q118" i="1"/>
  <c r="R118" i="1" s="1"/>
  <c r="K118" i="1"/>
  <c r="L118" i="1" s="1"/>
  <c r="E118" i="1"/>
  <c r="F118" i="1" s="1"/>
  <c r="C118" i="1"/>
  <c r="B118" i="1"/>
  <c r="N118" i="1" s="1"/>
  <c r="O118" i="1" s="1"/>
  <c r="AC117" i="1"/>
  <c r="AD117" i="1" s="1"/>
  <c r="AA117" i="1"/>
  <c r="W117" i="1"/>
  <c r="X117" i="1" s="1"/>
  <c r="U117" i="1"/>
  <c r="R117" i="1"/>
  <c r="N117" i="1"/>
  <c r="O117" i="1" s="1"/>
  <c r="L117" i="1"/>
  <c r="H117" i="1"/>
  <c r="I117" i="1" s="1"/>
  <c r="F117" i="1"/>
  <c r="C117" i="1"/>
  <c r="AD116" i="1"/>
  <c r="AC116" i="1"/>
  <c r="AA116" i="1"/>
  <c r="X116" i="1"/>
  <c r="W116" i="1"/>
  <c r="U116" i="1"/>
  <c r="R116" i="1"/>
  <c r="N116" i="1"/>
  <c r="O116" i="1" s="1"/>
  <c r="L116" i="1"/>
  <c r="H116" i="1"/>
  <c r="I116" i="1" s="1"/>
  <c r="F116" i="1"/>
  <c r="C116" i="1"/>
  <c r="AC115" i="1"/>
  <c r="AD115" i="1" s="1"/>
  <c r="AA115" i="1"/>
  <c r="W115" i="1"/>
  <c r="X115" i="1" s="1"/>
  <c r="U115" i="1"/>
  <c r="R115" i="1"/>
  <c r="N115" i="1"/>
  <c r="O115" i="1" s="1"/>
  <c r="L115" i="1"/>
  <c r="I115" i="1"/>
  <c r="H115" i="1"/>
  <c r="F115" i="1"/>
  <c r="C115" i="1"/>
  <c r="AC114" i="1"/>
  <c r="AD114" i="1" s="1"/>
  <c r="AA114" i="1"/>
  <c r="W114" i="1"/>
  <c r="X114" i="1" s="1"/>
  <c r="U114" i="1"/>
  <c r="R114" i="1"/>
  <c r="O114" i="1"/>
  <c r="N114" i="1"/>
  <c r="L114" i="1"/>
  <c r="H114" i="1"/>
  <c r="I114" i="1" s="1"/>
  <c r="F114" i="1"/>
  <c r="C114" i="1"/>
  <c r="AC113" i="1"/>
  <c r="AD113" i="1" s="1"/>
  <c r="AA113" i="1"/>
  <c r="W113" i="1"/>
  <c r="X113" i="1" s="1"/>
  <c r="U113" i="1"/>
  <c r="R113" i="1"/>
  <c r="N113" i="1"/>
  <c r="O113" i="1" s="1"/>
  <c r="L113" i="1"/>
  <c r="H113" i="1"/>
  <c r="I113" i="1" s="1"/>
  <c r="F113" i="1"/>
  <c r="C113" i="1"/>
  <c r="AD112" i="1"/>
  <c r="AC112" i="1"/>
  <c r="AA112" i="1"/>
  <c r="X112" i="1"/>
  <c r="W112" i="1"/>
  <c r="U112" i="1"/>
  <c r="R112" i="1"/>
  <c r="N112" i="1"/>
  <c r="O112" i="1" s="1"/>
  <c r="L112" i="1"/>
  <c r="H112" i="1"/>
  <c r="I112" i="1" s="1"/>
  <c r="F112" i="1"/>
  <c r="C112" i="1"/>
  <c r="AC111" i="1"/>
  <c r="AD111" i="1" s="1"/>
  <c r="AA111" i="1"/>
  <c r="W111" i="1"/>
  <c r="X111" i="1" s="1"/>
  <c r="U111" i="1"/>
  <c r="R111" i="1"/>
  <c r="N111" i="1"/>
  <c r="O111" i="1" s="1"/>
  <c r="L111" i="1"/>
  <c r="I111" i="1"/>
  <c r="H111" i="1"/>
  <c r="F111" i="1"/>
  <c r="C111" i="1"/>
  <c r="AC110" i="1"/>
  <c r="AD110" i="1" s="1"/>
  <c r="AA110" i="1"/>
  <c r="W110" i="1"/>
  <c r="X110" i="1" s="1"/>
  <c r="U110" i="1"/>
  <c r="R110" i="1"/>
  <c r="O110" i="1"/>
  <c r="N110" i="1"/>
  <c r="L110" i="1"/>
  <c r="H110" i="1"/>
  <c r="I110" i="1" s="1"/>
  <c r="F110" i="1"/>
  <c r="C110" i="1"/>
  <c r="AC109" i="1"/>
  <c r="AD109" i="1" s="1"/>
  <c r="AA109" i="1"/>
  <c r="W109" i="1"/>
  <c r="X109" i="1" s="1"/>
  <c r="U109" i="1"/>
  <c r="R109" i="1"/>
  <c r="N109" i="1"/>
  <c r="O109" i="1" s="1"/>
  <c r="L109" i="1"/>
  <c r="H109" i="1"/>
  <c r="I109" i="1" s="1"/>
  <c r="F109" i="1"/>
  <c r="C109" i="1"/>
  <c r="AD108" i="1"/>
  <c r="AC108" i="1"/>
  <c r="AA108" i="1"/>
  <c r="X108" i="1"/>
  <c r="W108" i="1"/>
  <c r="U108" i="1"/>
  <c r="R108" i="1"/>
  <c r="N108" i="1"/>
  <c r="O108" i="1" s="1"/>
  <c r="L108" i="1"/>
  <c r="H108" i="1"/>
  <c r="I108" i="1" s="1"/>
  <c r="F108" i="1"/>
  <c r="C108" i="1"/>
  <c r="AC107" i="1"/>
  <c r="AD107" i="1" s="1"/>
  <c r="AA107" i="1"/>
  <c r="W107" i="1"/>
  <c r="X107" i="1" s="1"/>
  <c r="U107" i="1"/>
  <c r="R107" i="1"/>
  <c r="N107" i="1"/>
  <c r="O107" i="1" s="1"/>
  <c r="L107" i="1"/>
  <c r="I107" i="1"/>
  <c r="H107" i="1"/>
  <c r="F107" i="1"/>
  <c r="C107" i="1"/>
  <c r="AC106" i="1"/>
  <c r="AD106" i="1" s="1"/>
  <c r="AA106" i="1"/>
  <c r="W106" i="1"/>
  <c r="X106" i="1" s="1"/>
  <c r="U106" i="1"/>
  <c r="R106" i="1"/>
  <c r="O106" i="1"/>
  <c r="N106" i="1"/>
  <c r="L106" i="1"/>
  <c r="H106" i="1"/>
  <c r="I106" i="1" s="1"/>
  <c r="F106" i="1"/>
  <c r="C106" i="1"/>
  <c r="AC105" i="1"/>
  <c r="AD105" i="1" s="1"/>
  <c r="AA105" i="1"/>
  <c r="W105" i="1"/>
  <c r="X105" i="1" s="1"/>
  <c r="U105" i="1"/>
  <c r="R105" i="1"/>
  <c r="N105" i="1"/>
  <c r="O105" i="1" s="1"/>
  <c r="L105" i="1"/>
  <c r="H105" i="1"/>
  <c r="I105" i="1" s="1"/>
  <c r="F105" i="1"/>
  <c r="C105" i="1"/>
  <c r="AD104" i="1"/>
  <c r="AC104" i="1"/>
  <c r="AA104" i="1"/>
  <c r="X104" i="1"/>
  <c r="W104" i="1"/>
  <c r="U104" i="1"/>
  <c r="R104" i="1"/>
  <c r="N104" i="1"/>
  <c r="O104" i="1" s="1"/>
  <c r="L104" i="1"/>
  <c r="H104" i="1"/>
  <c r="I104" i="1" s="1"/>
  <c r="F104" i="1"/>
  <c r="C104" i="1"/>
  <c r="AC103" i="1"/>
  <c r="AD103" i="1" s="1"/>
  <c r="AA103" i="1"/>
  <c r="W103" i="1"/>
  <c r="X103" i="1" s="1"/>
  <c r="U103" i="1"/>
  <c r="R103" i="1"/>
  <c r="N103" i="1"/>
  <c r="O103" i="1" s="1"/>
  <c r="L103" i="1"/>
  <c r="I103" i="1"/>
  <c r="H103" i="1"/>
  <c r="F103" i="1"/>
  <c r="C103" i="1"/>
  <c r="AC102" i="1"/>
  <c r="AD102" i="1" s="1"/>
  <c r="AA102" i="1"/>
  <c r="W102" i="1"/>
  <c r="X102" i="1" s="1"/>
  <c r="U102" i="1"/>
  <c r="R102" i="1"/>
  <c r="O102" i="1"/>
  <c r="N102" i="1"/>
  <c r="L102" i="1"/>
  <c r="H102" i="1"/>
  <c r="I102" i="1" s="1"/>
  <c r="F102" i="1"/>
  <c r="C102" i="1"/>
  <c r="AC101" i="1"/>
  <c r="AD101" i="1" s="1"/>
  <c r="AA101" i="1"/>
  <c r="W101" i="1"/>
  <c r="X101" i="1" s="1"/>
  <c r="U101" i="1"/>
  <c r="R101" i="1"/>
  <c r="N101" i="1"/>
  <c r="O101" i="1" s="1"/>
  <c r="L101" i="1"/>
  <c r="H101" i="1"/>
  <c r="I101" i="1" s="1"/>
  <c r="F101" i="1"/>
  <c r="C101" i="1"/>
  <c r="AD100" i="1"/>
  <c r="AC100" i="1"/>
  <c r="AA100" i="1"/>
  <c r="X100" i="1"/>
  <c r="W100" i="1"/>
  <c r="U100" i="1"/>
  <c r="R100" i="1"/>
  <c r="N100" i="1"/>
  <c r="O100" i="1" s="1"/>
  <c r="L100" i="1"/>
  <c r="H100" i="1"/>
  <c r="I100" i="1" s="1"/>
  <c r="F100" i="1"/>
  <c r="C100" i="1"/>
  <c r="AC99" i="1"/>
  <c r="AD99" i="1" s="1"/>
  <c r="AA99" i="1"/>
  <c r="W99" i="1"/>
  <c r="X99" i="1" s="1"/>
  <c r="U99" i="1"/>
  <c r="R99" i="1"/>
  <c r="N99" i="1"/>
  <c r="O99" i="1" s="1"/>
  <c r="L99" i="1"/>
  <c r="I99" i="1"/>
  <c r="H99" i="1"/>
  <c r="F99" i="1"/>
  <c r="C99" i="1"/>
  <c r="AC98" i="1"/>
  <c r="AD98" i="1" s="1"/>
  <c r="AA98" i="1"/>
  <c r="W98" i="1"/>
  <c r="X98" i="1" s="1"/>
  <c r="U98" i="1"/>
  <c r="R98" i="1"/>
  <c r="O98" i="1"/>
  <c r="N98" i="1"/>
  <c r="L98" i="1"/>
  <c r="H98" i="1"/>
  <c r="I98" i="1" s="1"/>
  <c r="F98" i="1"/>
  <c r="C98" i="1"/>
  <c r="AC97" i="1"/>
  <c r="AD97" i="1" s="1"/>
  <c r="AA97" i="1"/>
  <c r="W97" i="1"/>
  <c r="X97" i="1" s="1"/>
  <c r="U97" i="1"/>
  <c r="R97" i="1"/>
  <c r="N97" i="1"/>
  <c r="O97" i="1" s="1"/>
  <c r="L97" i="1"/>
  <c r="H97" i="1"/>
  <c r="I97" i="1" s="1"/>
  <c r="F97" i="1"/>
  <c r="C97" i="1"/>
  <c r="AD96" i="1"/>
  <c r="AC96" i="1"/>
  <c r="AA96" i="1"/>
  <c r="X96" i="1"/>
  <c r="W96" i="1"/>
  <c r="U96" i="1"/>
  <c r="R96" i="1"/>
  <c r="N96" i="1"/>
  <c r="O96" i="1" s="1"/>
  <c r="L96" i="1"/>
  <c r="H96" i="1"/>
  <c r="I96" i="1" s="1"/>
  <c r="F96" i="1"/>
  <c r="C96" i="1"/>
  <c r="AC95" i="1"/>
  <c r="AD95" i="1" s="1"/>
  <c r="AA95" i="1"/>
  <c r="W95" i="1"/>
  <c r="X95" i="1" s="1"/>
  <c r="U95" i="1"/>
  <c r="R95" i="1"/>
  <c r="N95" i="1"/>
  <c r="O95" i="1" s="1"/>
  <c r="L95" i="1"/>
  <c r="I95" i="1"/>
  <c r="H95" i="1"/>
  <c r="F95" i="1"/>
  <c r="C95" i="1"/>
  <c r="AC94" i="1"/>
  <c r="AD94" i="1" s="1"/>
  <c r="AA94" i="1"/>
  <c r="W94" i="1"/>
  <c r="X94" i="1" s="1"/>
  <c r="U94" i="1"/>
  <c r="R94" i="1"/>
  <c r="O94" i="1"/>
  <c r="N94" i="1"/>
  <c r="L94" i="1"/>
  <c r="H94" i="1"/>
  <c r="I94" i="1" s="1"/>
  <c r="F94" i="1"/>
  <c r="C94" i="1"/>
  <c r="AC92" i="1"/>
  <c r="AD92" i="1" s="1"/>
  <c r="AA92" i="1"/>
  <c r="W92" i="1"/>
  <c r="X92" i="1" s="1"/>
  <c r="U92" i="1"/>
  <c r="R92" i="1"/>
  <c r="N92" i="1"/>
  <c r="O92" i="1" s="1"/>
  <c r="L92" i="1"/>
  <c r="H92" i="1"/>
  <c r="I92" i="1" s="1"/>
  <c r="F92" i="1"/>
  <c r="C92" i="1"/>
  <c r="AD91" i="1"/>
  <c r="AC91" i="1"/>
  <c r="AA91" i="1"/>
  <c r="X91" i="1"/>
  <c r="W91" i="1"/>
  <c r="U91" i="1"/>
  <c r="R91" i="1"/>
  <c r="N91" i="1"/>
  <c r="O91" i="1" s="1"/>
  <c r="L91" i="1"/>
  <c r="H91" i="1"/>
  <c r="I91" i="1" s="1"/>
  <c r="F91" i="1"/>
  <c r="C91" i="1"/>
  <c r="AC90" i="1"/>
  <c r="AD90" i="1" s="1"/>
  <c r="AA90" i="1"/>
  <c r="W90" i="1"/>
  <c r="X90" i="1" s="1"/>
  <c r="U90" i="1"/>
  <c r="R90" i="1"/>
  <c r="N90" i="1"/>
  <c r="O90" i="1" s="1"/>
  <c r="L90" i="1"/>
  <c r="I90" i="1"/>
  <c r="H90" i="1"/>
  <c r="F90" i="1"/>
  <c r="C90" i="1"/>
  <c r="AC89" i="1"/>
  <c r="AD89" i="1" s="1"/>
  <c r="AA89" i="1"/>
  <c r="W89" i="1"/>
  <c r="X89" i="1" s="1"/>
  <c r="U89" i="1"/>
  <c r="R89" i="1"/>
  <c r="O89" i="1"/>
  <c r="N89" i="1"/>
  <c r="L89" i="1"/>
  <c r="H89" i="1"/>
  <c r="I89" i="1" s="1"/>
  <c r="F89" i="1"/>
  <c r="C89" i="1"/>
  <c r="Z88" i="1"/>
  <c r="AA88" i="1" s="1"/>
  <c r="U88" i="1"/>
  <c r="T88" i="1"/>
  <c r="Q88" i="1"/>
  <c r="W88" i="1" s="1"/>
  <c r="X88" i="1" s="1"/>
  <c r="K88" i="1"/>
  <c r="L88" i="1" s="1"/>
  <c r="E88" i="1"/>
  <c r="F88" i="1" s="1"/>
  <c r="B88" i="1"/>
  <c r="C88" i="1" s="1"/>
  <c r="AC87" i="1"/>
  <c r="AD87" i="1" s="1"/>
  <c r="AA87" i="1"/>
  <c r="W87" i="1"/>
  <c r="X87" i="1" s="1"/>
  <c r="U87" i="1"/>
  <c r="R87" i="1"/>
  <c r="N87" i="1"/>
  <c r="O87" i="1" s="1"/>
  <c r="L87" i="1"/>
  <c r="I87" i="1"/>
  <c r="H87" i="1"/>
  <c r="F87" i="1"/>
  <c r="C87" i="1"/>
  <c r="AC86" i="1"/>
  <c r="AD86" i="1" s="1"/>
  <c r="AA86" i="1"/>
  <c r="W86" i="1"/>
  <c r="X86" i="1" s="1"/>
  <c r="U86" i="1"/>
  <c r="R86" i="1"/>
  <c r="O86" i="1"/>
  <c r="N86" i="1"/>
  <c r="L86" i="1"/>
  <c r="H86" i="1"/>
  <c r="I86" i="1" s="1"/>
  <c r="F86" i="1"/>
  <c r="C86" i="1"/>
  <c r="AC85" i="1"/>
  <c r="AD85" i="1" s="1"/>
  <c r="AA85" i="1"/>
  <c r="W85" i="1"/>
  <c r="X85" i="1" s="1"/>
  <c r="U85" i="1"/>
  <c r="R85" i="1"/>
  <c r="N85" i="1"/>
  <c r="O85" i="1" s="1"/>
  <c r="L85" i="1"/>
  <c r="H85" i="1"/>
  <c r="I85" i="1" s="1"/>
  <c r="F85" i="1"/>
  <c r="C85" i="1"/>
  <c r="AD84" i="1"/>
  <c r="AC84" i="1"/>
  <c r="AA84" i="1"/>
  <c r="X84" i="1"/>
  <c r="W84" i="1"/>
  <c r="U84" i="1"/>
  <c r="R84" i="1"/>
  <c r="N84" i="1"/>
  <c r="O84" i="1" s="1"/>
  <c r="L84" i="1"/>
  <c r="H84" i="1"/>
  <c r="I84" i="1" s="1"/>
  <c r="F84" i="1"/>
  <c r="C84" i="1"/>
  <c r="AC83" i="1"/>
  <c r="AD83" i="1" s="1"/>
  <c r="AA83" i="1"/>
  <c r="W83" i="1"/>
  <c r="X83" i="1" s="1"/>
  <c r="U83" i="1"/>
  <c r="R83" i="1"/>
  <c r="N83" i="1"/>
  <c r="O83" i="1" s="1"/>
  <c r="L83" i="1"/>
  <c r="I83" i="1"/>
  <c r="H83" i="1"/>
  <c r="F83" i="1"/>
  <c r="C83" i="1"/>
  <c r="AC82" i="1"/>
  <c r="AD82" i="1" s="1"/>
  <c r="AA82" i="1"/>
  <c r="W82" i="1"/>
  <c r="X82" i="1" s="1"/>
  <c r="U82" i="1"/>
  <c r="R82" i="1"/>
  <c r="O82" i="1"/>
  <c r="N82" i="1"/>
  <c r="L82" i="1"/>
  <c r="H82" i="1"/>
  <c r="I82" i="1" s="1"/>
  <c r="F82" i="1"/>
  <c r="C82" i="1"/>
  <c r="AC81" i="1"/>
  <c r="AD81" i="1" s="1"/>
  <c r="AA81" i="1"/>
  <c r="W81" i="1"/>
  <c r="X81" i="1" s="1"/>
  <c r="U81" i="1"/>
  <c r="R81" i="1"/>
  <c r="N81" i="1"/>
  <c r="O81" i="1" s="1"/>
  <c r="L81" i="1"/>
  <c r="H81" i="1"/>
  <c r="I81" i="1" s="1"/>
  <c r="F81" i="1"/>
  <c r="C81" i="1"/>
  <c r="AD80" i="1"/>
  <c r="AC80" i="1"/>
  <c r="AA80" i="1"/>
  <c r="X80" i="1"/>
  <c r="W80" i="1"/>
  <c r="U80" i="1"/>
  <c r="R80" i="1"/>
  <c r="N80" i="1"/>
  <c r="O80" i="1" s="1"/>
  <c r="L80" i="1"/>
  <c r="H80" i="1"/>
  <c r="I80" i="1" s="1"/>
  <c r="F80" i="1"/>
  <c r="C80" i="1"/>
  <c r="AC79" i="1"/>
  <c r="AD79" i="1" s="1"/>
  <c r="AA79" i="1"/>
  <c r="W79" i="1"/>
  <c r="X79" i="1" s="1"/>
  <c r="U79" i="1"/>
  <c r="R79" i="1"/>
  <c r="N79" i="1"/>
  <c r="O79" i="1" s="1"/>
  <c r="L79" i="1"/>
  <c r="I79" i="1"/>
  <c r="H79" i="1"/>
  <c r="F79" i="1"/>
  <c r="C79" i="1"/>
  <c r="AC78" i="1"/>
  <c r="AD78" i="1" s="1"/>
  <c r="AA78" i="1"/>
  <c r="W78" i="1"/>
  <c r="X78" i="1" s="1"/>
  <c r="U78" i="1"/>
  <c r="R78" i="1"/>
  <c r="O78" i="1"/>
  <c r="N78" i="1"/>
  <c r="L78" i="1"/>
  <c r="H78" i="1"/>
  <c r="I78" i="1" s="1"/>
  <c r="F78" i="1"/>
  <c r="C78" i="1"/>
  <c r="AC77" i="1"/>
  <c r="AD77" i="1" s="1"/>
  <c r="AA77" i="1"/>
  <c r="W77" i="1"/>
  <c r="X77" i="1" s="1"/>
  <c r="U77" i="1"/>
  <c r="R77" i="1"/>
  <c r="N77" i="1"/>
  <c r="O77" i="1" s="1"/>
  <c r="L77" i="1"/>
  <c r="H77" i="1"/>
  <c r="I77" i="1" s="1"/>
  <c r="F77" i="1"/>
  <c r="C77" i="1"/>
  <c r="AD76" i="1"/>
  <c r="AC76" i="1"/>
  <c r="AA76" i="1"/>
  <c r="X76" i="1"/>
  <c r="W76" i="1"/>
  <c r="U76" i="1"/>
  <c r="R76" i="1"/>
  <c r="N76" i="1"/>
  <c r="O76" i="1" s="1"/>
  <c r="L76" i="1"/>
  <c r="H76" i="1"/>
  <c r="I76" i="1" s="1"/>
  <c r="F76" i="1"/>
  <c r="C76" i="1"/>
  <c r="AC75" i="1"/>
  <c r="AD75" i="1" s="1"/>
  <c r="AA75" i="1"/>
  <c r="W75" i="1"/>
  <c r="X75" i="1" s="1"/>
  <c r="U75" i="1"/>
  <c r="R75" i="1"/>
  <c r="N75" i="1"/>
  <c r="O75" i="1" s="1"/>
  <c r="L75" i="1"/>
  <c r="I75" i="1"/>
  <c r="H75" i="1"/>
  <c r="F75" i="1"/>
  <c r="C75" i="1"/>
  <c r="Z73" i="1"/>
  <c r="AA73" i="1" s="1"/>
  <c r="T73" i="1"/>
  <c r="U73" i="1" s="1"/>
  <c r="Q73" i="1"/>
  <c r="R73" i="1" s="1"/>
  <c r="L73" i="1"/>
  <c r="K73" i="1"/>
  <c r="H73" i="1"/>
  <c r="I73" i="1" s="1"/>
  <c r="E73" i="1"/>
  <c r="F73" i="1" s="1"/>
  <c r="B73" i="1"/>
  <c r="C73" i="1" s="1"/>
  <c r="AD72" i="1"/>
  <c r="AC72" i="1"/>
  <c r="AA72" i="1"/>
  <c r="X72" i="1"/>
  <c r="W72" i="1"/>
  <c r="U72" i="1"/>
  <c r="R72" i="1"/>
  <c r="N72" i="1"/>
  <c r="O72" i="1" s="1"/>
  <c r="L72" i="1"/>
  <c r="H72" i="1"/>
  <c r="I72" i="1" s="1"/>
  <c r="F72" i="1"/>
  <c r="C72" i="1"/>
  <c r="AC71" i="1"/>
  <c r="AD71" i="1" s="1"/>
  <c r="AA71" i="1"/>
  <c r="W71" i="1"/>
  <c r="X71" i="1" s="1"/>
  <c r="U71" i="1"/>
  <c r="R71" i="1"/>
  <c r="N71" i="1"/>
  <c r="O71" i="1" s="1"/>
  <c r="L71" i="1"/>
  <c r="I71" i="1"/>
  <c r="H71" i="1"/>
  <c r="F71" i="1"/>
  <c r="C71" i="1"/>
  <c r="AC70" i="1"/>
  <c r="AD70" i="1" s="1"/>
  <c r="AA70" i="1"/>
  <c r="W70" i="1"/>
  <c r="X70" i="1" s="1"/>
  <c r="U70" i="1"/>
  <c r="R70" i="1"/>
  <c r="O70" i="1"/>
  <c r="N70" i="1"/>
  <c r="L70" i="1"/>
  <c r="H70" i="1"/>
  <c r="I70" i="1" s="1"/>
  <c r="F70" i="1"/>
  <c r="C70" i="1"/>
  <c r="AC69" i="1"/>
  <c r="AD69" i="1" s="1"/>
  <c r="AA69" i="1"/>
  <c r="W69" i="1"/>
  <c r="X69" i="1" s="1"/>
  <c r="U69" i="1"/>
  <c r="R69" i="1"/>
  <c r="N69" i="1"/>
  <c r="O69" i="1" s="1"/>
  <c r="L69" i="1"/>
  <c r="H69" i="1"/>
  <c r="I69" i="1" s="1"/>
  <c r="F69" i="1"/>
  <c r="C69" i="1"/>
  <c r="AD68" i="1"/>
  <c r="AC68" i="1"/>
  <c r="AA68" i="1"/>
  <c r="X68" i="1"/>
  <c r="W68" i="1"/>
  <c r="U68" i="1"/>
  <c r="R68" i="1"/>
  <c r="N68" i="1"/>
  <c r="O68" i="1" s="1"/>
  <c r="L68" i="1"/>
  <c r="H68" i="1"/>
  <c r="I68" i="1" s="1"/>
  <c r="F68" i="1"/>
  <c r="C68" i="1"/>
  <c r="AC67" i="1"/>
  <c r="AD67" i="1" s="1"/>
  <c r="AA67" i="1"/>
  <c r="W67" i="1"/>
  <c r="X67" i="1" s="1"/>
  <c r="U67" i="1"/>
  <c r="R67" i="1"/>
  <c r="N67" i="1"/>
  <c r="O67" i="1" s="1"/>
  <c r="L67" i="1"/>
  <c r="I67" i="1"/>
  <c r="H67" i="1"/>
  <c r="F67" i="1"/>
  <c r="C67" i="1"/>
  <c r="AC66" i="1"/>
  <c r="AD66" i="1" s="1"/>
  <c r="AA66" i="1"/>
  <c r="W66" i="1"/>
  <c r="X66" i="1" s="1"/>
  <c r="U66" i="1"/>
  <c r="R66" i="1"/>
  <c r="O66" i="1"/>
  <c r="N66" i="1"/>
  <c r="L66" i="1"/>
  <c r="H66" i="1"/>
  <c r="I66" i="1" s="1"/>
  <c r="F66" i="1"/>
  <c r="C66" i="1"/>
  <c r="AC65" i="1"/>
  <c r="AD65" i="1" s="1"/>
  <c r="AA65" i="1"/>
  <c r="W65" i="1"/>
  <c r="X65" i="1" s="1"/>
  <c r="U65" i="1"/>
  <c r="R65" i="1"/>
  <c r="N65" i="1"/>
  <c r="O65" i="1" s="1"/>
  <c r="L65" i="1"/>
  <c r="H65" i="1"/>
  <c r="I65" i="1" s="1"/>
  <c r="F65" i="1"/>
  <c r="C65" i="1"/>
  <c r="AD64" i="1"/>
  <c r="AC64" i="1"/>
  <c r="AA64" i="1"/>
  <c r="X64" i="1"/>
  <c r="W64" i="1"/>
  <c r="U64" i="1"/>
  <c r="R64" i="1"/>
  <c r="N64" i="1"/>
  <c r="O64" i="1" s="1"/>
  <c r="L64" i="1"/>
  <c r="H64" i="1"/>
  <c r="I64" i="1" s="1"/>
  <c r="F64" i="1"/>
  <c r="C64" i="1"/>
  <c r="AC62" i="1"/>
  <c r="AD62" i="1" s="1"/>
  <c r="AA62" i="1"/>
  <c r="Z62" i="1"/>
  <c r="W62" i="1"/>
  <c r="X62" i="1" s="1"/>
  <c r="T62" i="1"/>
  <c r="U62" i="1" s="1"/>
  <c r="Q62" i="1"/>
  <c r="R62" i="1" s="1"/>
  <c r="K62" i="1"/>
  <c r="L62" i="1" s="1"/>
  <c r="E62" i="1"/>
  <c r="F62" i="1" s="1"/>
  <c r="C62" i="1"/>
  <c r="B62" i="1"/>
  <c r="N62" i="1" s="1"/>
  <c r="O62" i="1" s="1"/>
  <c r="Z61" i="1"/>
  <c r="AA61" i="1" s="1"/>
  <c r="U61" i="1"/>
  <c r="T61" i="1"/>
  <c r="Q61" i="1"/>
  <c r="W61" i="1" s="1"/>
  <c r="X61" i="1" s="1"/>
  <c r="K61" i="1"/>
  <c r="L61" i="1" s="1"/>
  <c r="E61" i="1"/>
  <c r="F61" i="1" s="1"/>
  <c r="B61" i="1"/>
  <c r="C61" i="1" s="1"/>
  <c r="AC60" i="1"/>
  <c r="AD60" i="1" s="1"/>
  <c r="AA60" i="1"/>
  <c r="W60" i="1"/>
  <c r="X60" i="1" s="1"/>
  <c r="U60" i="1"/>
  <c r="R60" i="1"/>
  <c r="N60" i="1"/>
  <c r="O60" i="1" s="1"/>
  <c r="L60" i="1"/>
  <c r="I60" i="1"/>
  <c r="H60" i="1"/>
  <c r="F60" i="1"/>
  <c r="C60" i="1"/>
  <c r="AC59" i="1"/>
  <c r="AD59" i="1" s="1"/>
  <c r="AA59" i="1"/>
  <c r="W59" i="1"/>
  <c r="X59" i="1" s="1"/>
  <c r="U59" i="1"/>
  <c r="R59" i="1"/>
  <c r="O59" i="1"/>
  <c r="N59" i="1"/>
  <c r="L59" i="1"/>
  <c r="H59" i="1"/>
  <c r="I59" i="1" s="1"/>
  <c r="F59" i="1"/>
  <c r="C59" i="1"/>
  <c r="AC58" i="1"/>
  <c r="AD58" i="1" s="1"/>
  <c r="AA58" i="1"/>
  <c r="W58" i="1"/>
  <c r="X58" i="1" s="1"/>
  <c r="U58" i="1"/>
  <c r="R58" i="1"/>
  <c r="N58" i="1"/>
  <c r="O58" i="1" s="1"/>
  <c r="L58" i="1"/>
  <c r="H58" i="1"/>
  <c r="I58" i="1" s="1"/>
  <c r="F58" i="1"/>
  <c r="C58" i="1"/>
  <c r="AD57" i="1"/>
  <c r="AC57" i="1"/>
  <c r="AA57" i="1"/>
  <c r="X57" i="1"/>
  <c r="W57" i="1"/>
  <c r="U57" i="1"/>
  <c r="R57" i="1"/>
  <c r="N57" i="1"/>
  <c r="O57" i="1" s="1"/>
  <c r="L57" i="1"/>
  <c r="H57" i="1"/>
  <c r="I57" i="1" s="1"/>
  <c r="F57" i="1"/>
  <c r="C57" i="1"/>
  <c r="AC56" i="1"/>
  <c r="AD56" i="1" s="1"/>
  <c r="AA56" i="1"/>
  <c r="W56" i="1"/>
  <c r="X56" i="1" s="1"/>
  <c r="U56" i="1"/>
  <c r="R56" i="1"/>
  <c r="N56" i="1"/>
  <c r="O56" i="1" s="1"/>
  <c r="L56" i="1"/>
  <c r="I56" i="1"/>
  <c r="H56" i="1"/>
  <c r="F56" i="1"/>
  <c r="C56" i="1"/>
  <c r="AC55" i="1"/>
  <c r="AD55" i="1" s="1"/>
  <c r="AA55" i="1"/>
  <c r="W55" i="1"/>
  <c r="X55" i="1" s="1"/>
  <c r="U55" i="1"/>
  <c r="R55" i="1"/>
  <c r="O55" i="1"/>
  <c r="N55" i="1"/>
  <c r="L55" i="1"/>
  <c r="H55" i="1"/>
  <c r="I55" i="1" s="1"/>
  <c r="F55" i="1"/>
  <c r="C55" i="1"/>
  <c r="AC54" i="1"/>
  <c r="AD54" i="1" s="1"/>
  <c r="AA54" i="1"/>
  <c r="W54" i="1"/>
  <c r="X54" i="1" s="1"/>
  <c r="U54" i="1"/>
  <c r="R54" i="1"/>
  <c r="N54" i="1"/>
  <c r="O54" i="1" s="1"/>
  <c r="L54" i="1"/>
  <c r="H54" i="1"/>
  <c r="I54" i="1" s="1"/>
  <c r="F54" i="1"/>
  <c r="C54" i="1"/>
  <c r="AD53" i="1"/>
  <c r="AC53" i="1"/>
  <c r="AA53" i="1"/>
  <c r="X53" i="1"/>
  <c r="W53" i="1"/>
  <c r="U53" i="1"/>
  <c r="R53" i="1"/>
  <c r="N53" i="1"/>
  <c r="O53" i="1" s="1"/>
  <c r="L53" i="1"/>
  <c r="H53" i="1"/>
  <c r="I53" i="1" s="1"/>
  <c r="F53" i="1"/>
  <c r="C53" i="1"/>
  <c r="AC52" i="1"/>
  <c r="AD52" i="1" s="1"/>
  <c r="AA52" i="1"/>
  <c r="W52" i="1"/>
  <c r="X52" i="1" s="1"/>
  <c r="U52" i="1"/>
  <c r="R52" i="1"/>
  <c r="N52" i="1"/>
  <c r="O52" i="1" s="1"/>
  <c r="L52" i="1"/>
  <c r="I52" i="1"/>
  <c r="H52" i="1"/>
  <c r="F52" i="1"/>
  <c r="C52" i="1"/>
  <c r="AC51" i="1"/>
  <c r="AD51" i="1" s="1"/>
  <c r="AA51" i="1"/>
  <c r="W51" i="1"/>
  <c r="X51" i="1" s="1"/>
  <c r="U51" i="1"/>
  <c r="R51" i="1"/>
  <c r="O51" i="1"/>
  <c r="N51" i="1"/>
  <c r="L51" i="1"/>
  <c r="H51" i="1"/>
  <c r="I51" i="1" s="1"/>
  <c r="F51" i="1"/>
  <c r="C51" i="1"/>
  <c r="AC50" i="1"/>
  <c r="AD50" i="1" s="1"/>
  <c r="AA50" i="1"/>
  <c r="W50" i="1"/>
  <c r="X50" i="1" s="1"/>
  <c r="U50" i="1"/>
  <c r="R50" i="1"/>
  <c r="N50" i="1"/>
  <c r="O50" i="1" s="1"/>
  <c r="L50" i="1"/>
  <c r="H50" i="1"/>
  <c r="I50" i="1" s="1"/>
  <c r="F50" i="1"/>
  <c r="C50" i="1"/>
  <c r="AD49" i="1"/>
  <c r="AC49" i="1"/>
  <c r="AA49" i="1"/>
  <c r="X49" i="1"/>
  <c r="W49" i="1"/>
  <c r="U49" i="1"/>
  <c r="R49" i="1"/>
  <c r="N49" i="1"/>
  <c r="O49" i="1" s="1"/>
  <c r="L49" i="1"/>
  <c r="H49" i="1"/>
  <c r="I49" i="1" s="1"/>
  <c r="F49" i="1"/>
  <c r="C49" i="1"/>
  <c r="AC48" i="1"/>
  <c r="AD48" i="1" s="1"/>
  <c r="AA48" i="1"/>
  <c r="W48" i="1"/>
  <c r="X48" i="1" s="1"/>
  <c r="U48" i="1"/>
  <c r="R48" i="1"/>
  <c r="N48" i="1"/>
  <c r="O48" i="1" s="1"/>
  <c r="L48" i="1"/>
  <c r="I48" i="1"/>
  <c r="H48" i="1"/>
  <c r="F48" i="1"/>
  <c r="C48" i="1"/>
  <c r="AC47" i="1"/>
  <c r="AD47" i="1" s="1"/>
  <c r="AA47" i="1"/>
  <c r="W47" i="1"/>
  <c r="X47" i="1" s="1"/>
  <c r="U47" i="1"/>
  <c r="R47" i="1"/>
  <c r="O47" i="1"/>
  <c r="N47" i="1"/>
  <c r="L47" i="1"/>
  <c r="H47" i="1"/>
  <c r="I47" i="1" s="1"/>
  <c r="F47" i="1"/>
  <c r="C47" i="1"/>
  <c r="AC46" i="1"/>
  <c r="AD46" i="1" s="1"/>
  <c r="AA46" i="1"/>
  <c r="W46" i="1"/>
  <c r="X46" i="1" s="1"/>
  <c r="U46" i="1"/>
  <c r="R46" i="1"/>
  <c r="N46" i="1"/>
  <c r="O46" i="1" s="1"/>
  <c r="L46" i="1"/>
  <c r="H46" i="1"/>
  <c r="I46" i="1" s="1"/>
  <c r="F46" i="1"/>
  <c r="C46" i="1"/>
  <c r="AD44" i="1"/>
  <c r="AC44" i="1"/>
  <c r="AA44" i="1"/>
  <c r="X44" i="1"/>
  <c r="W44" i="1"/>
  <c r="U44" i="1"/>
  <c r="R44" i="1"/>
  <c r="N44" i="1"/>
  <c r="O44" i="1" s="1"/>
  <c r="L44" i="1"/>
  <c r="H44" i="1"/>
  <c r="I44" i="1" s="1"/>
  <c r="F44" i="1"/>
  <c r="C44" i="1"/>
  <c r="AC43" i="1"/>
  <c r="AD43" i="1" s="1"/>
  <c r="AA43" i="1"/>
  <c r="W43" i="1"/>
  <c r="X43" i="1" s="1"/>
  <c r="U43" i="1"/>
  <c r="R43" i="1"/>
  <c r="N43" i="1"/>
  <c r="O43" i="1" s="1"/>
  <c r="L43" i="1"/>
  <c r="I43" i="1"/>
  <c r="H43" i="1"/>
  <c r="F43" i="1"/>
  <c r="C43" i="1"/>
  <c r="AC42" i="1"/>
  <c r="AD42" i="1" s="1"/>
  <c r="AA42" i="1"/>
  <c r="W42" i="1"/>
  <c r="X42" i="1" s="1"/>
  <c r="U42" i="1"/>
  <c r="R42" i="1"/>
  <c r="O42" i="1"/>
  <c r="N42" i="1"/>
  <c r="L42" i="1"/>
  <c r="H42" i="1"/>
  <c r="I42" i="1" s="1"/>
  <c r="F42" i="1"/>
  <c r="C42" i="1"/>
  <c r="Z40" i="1"/>
  <c r="AA40" i="1" s="1"/>
  <c r="U40" i="1"/>
  <c r="T40" i="1"/>
  <c r="Q40" i="1"/>
  <c r="W40" i="1" s="1"/>
  <c r="X40" i="1" s="1"/>
  <c r="K40" i="1"/>
  <c r="L40" i="1" s="1"/>
  <c r="E40" i="1"/>
  <c r="F40" i="1" s="1"/>
  <c r="B40" i="1"/>
  <c r="C40" i="1" s="1"/>
  <c r="AC39" i="1"/>
  <c r="AD39" i="1" s="1"/>
  <c r="AA39" i="1"/>
  <c r="W39" i="1"/>
  <c r="X39" i="1" s="1"/>
  <c r="U39" i="1"/>
  <c r="R39" i="1"/>
  <c r="N39" i="1"/>
  <c r="O39" i="1" s="1"/>
  <c r="L39" i="1"/>
  <c r="I39" i="1"/>
  <c r="H39" i="1"/>
  <c r="F39" i="1"/>
  <c r="C39" i="1"/>
  <c r="AC38" i="1"/>
  <c r="AD38" i="1" s="1"/>
  <c r="AA38" i="1"/>
  <c r="W38" i="1"/>
  <c r="X38" i="1" s="1"/>
  <c r="U38" i="1"/>
  <c r="R38" i="1"/>
  <c r="O38" i="1"/>
  <c r="N38" i="1"/>
  <c r="L38" i="1"/>
  <c r="H38" i="1"/>
  <c r="I38" i="1" s="1"/>
  <c r="F38" i="1"/>
  <c r="C38" i="1"/>
  <c r="AC37" i="1"/>
  <c r="AD37" i="1" s="1"/>
  <c r="AA37" i="1"/>
  <c r="W37" i="1"/>
  <c r="X37" i="1" s="1"/>
  <c r="U37" i="1"/>
  <c r="R37" i="1"/>
  <c r="N37" i="1"/>
  <c r="O37" i="1" s="1"/>
  <c r="L37" i="1"/>
  <c r="H37" i="1"/>
  <c r="I37" i="1" s="1"/>
  <c r="F37" i="1"/>
  <c r="C37" i="1"/>
  <c r="AD36" i="1"/>
  <c r="AC36" i="1"/>
  <c r="AA36" i="1"/>
  <c r="X36" i="1"/>
  <c r="W36" i="1"/>
  <c r="U36" i="1"/>
  <c r="R36" i="1"/>
  <c r="N36" i="1"/>
  <c r="O36" i="1" s="1"/>
  <c r="L36" i="1"/>
  <c r="H36" i="1"/>
  <c r="I36" i="1" s="1"/>
  <c r="F36" i="1"/>
  <c r="C36" i="1"/>
  <c r="AC35" i="1"/>
  <c r="AD35" i="1" s="1"/>
  <c r="AA35" i="1"/>
  <c r="W35" i="1"/>
  <c r="X35" i="1" s="1"/>
  <c r="U35" i="1"/>
  <c r="R35" i="1"/>
  <c r="N35" i="1"/>
  <c r="O35" i="1" s="1"/>
  <c r="L35" i="1"/>
  <c r="I35" i="1"/>
  <c r="H35" i="1"/>
  <c r="F35" i="1"/>
  <c r="C35" i="1"/>
  <c r="AC34" i="1"/>
  <c r="AD34" i="1" s="1"/>
  <c r="AA34" i="1"/>
  <c r="W34" i="1"/>
  <c r="X34" i="1" s="1"/>
  <c r="U34" i="1"/>
  <c r="R34" i="1"/>
  <c r="O34" i="1"/>
  <c r="N34" i="1"/>
  <c r="L34" i="1"/>
  <c r="H34" i="1"/>
  <c r="I34" i="1" s="1"/>
  <c r="F34" i="1"/>
  <c r="C34" i="1"/>
  <c r="AC33" i="1"/>
  <c r="AD33" i="1" s="1"/>
  <c r="AA33" i="1"/>
  <c r="W33" i="1"/>
  <c r="X33" i="1" s="1"/>
  <c r="U33" i="1"/>
  <c r="R33" i="1"/>
  <c r="N33" i="1"/>
  <c r="O33" i="1" s="1"/>
  <c r="L33" i="1"/>
  <c r="H33" i="1"/>
  <c r="I33" i="1" s="1"/>
  <c r="F33" i="1"/>
  <c r="C33" i="1"/>
  <c r="AD32" i="1"/>
  <c r="AC32" i="1"/>
  <c r="AA32" i="1"/>
  <c r="X32" i="1"/>
  <c r="W32" i="1"/>
  <c r="U32" i="1"/>
  <c r="R32" i="1"/>
  <c r="N32" i="1"/>
  <c r="O32" i="1" s="1"/>
  <c r="L32" i="1"/>
  <c r="H32" i="1"/>
  <c r="I32" i="1" s="1"/>
  <c r="F32" i="1"/>
  <c r="C32" i="1"/>
  <c r="AC31" i="1"/>
  <c r="AD31" i="1" s="1"/>
  <c r="AA31" i="1"/>
  <c r="W31" i="1"/>
  <c r="X31" i="1" s="1"/>
  <c r="U31" i="1"/>
  <c r="R31" i="1"/>
  <c r="N31" i="1"/>
  <c r="O31" i="1" s="1"/>
  <c r="L31" i="1"/>
  <c r="I31" i="1"/>
  <c r="H31" i="1"/>
  <c r="F31" i="1"/>
  <c r="C31" i="1"/>
  <c r="Z29" i="1"/>
  <c r="AA29" i="1" s="1"/>
  <c r="T29" i="1"/>
  <c r="U29" i="1" s="1"/>
  <c r="Q29" i="1"/>
  <c r="R29" i="1" s="1"/>
  <c r="L29" i="1"/>
  <c r="K29" i="1"/>
  <c r="H29" i="1"/>
  <c r="I29" i="1" s="1"/>
  <c r="E29" i="1"/>
  <c r="F29" i="1" s="1"/>
  <c r="B29" i="1"/>
  <c r="C29" i="1" s="1"/>
  <c r="AD28" i="1"/>
  <c r="AC28" i="1"/>
  <c r="AA28" i="1"/>
  <c r="X28" i="1"/>
  <c r="W28" i="1"/>
  <c r="U28" i="1"/>
  <c r="R28" i="1"/>
  <c r="N28" i="1"/>
  <c r="O28" i="1" s="1"/>
  <c r="L28" i="1"/>
  <c r="H28" i="1"/>
  <c r="I28" i="1" s="1"/>
  <c r="F28" i="1"/>
  <c r="C28" i="1"/>
  <c r="AC27" i="1"/>
  <c r="AD27" i="1" s="1"/>
  <c r="AA27" i="1"/>
  <c r="W27" i="1"/>
  <c r="X27" i="1" s="1"/>
  <c r="U27" i="1"/>
  <c r="R27" i="1"/>
  <c r="N27" i="1"/>
  <c r="O27" i="1" s="1"/>
  <c r="L27" i="1"/>
  <c r="I27" i="1"/>
  <c r="H27" i="1"/>
  <c r="F27" i="1"/>
  <c r="C27" i="1"/>
  <c r="AC26" i="1"/>
  <c r="AD26" i="1" s="1"/>
  <c r="AA26" i="1"/>
  <c r="W26" i="1"/>
  <c r="X26" i="1" s="1"/>
  <c r="U26" i="1"/>
  <c r="R26" i="1"/>
  <c r="O26" i="1"/>
  <c r="N26" i="1"/>
  <c r="L26" i="1"/>
  <c r="H26" i="1"/>
  <c r="I26" i="1" s="1"/>
  <c r="F26" i="1"/>
  <c r="C26" i="1"/>
  <c r="AC25" i="1"/>
  <c r="AD25" i="1" s="1"/>
  <c r="AA25" i="1"/>
  <c r="W25" i="1"/>
  <c r="X25" i="1" s="1"/>
  <c r="U25" i="1"/>
  <c r="R25" i="1"/>
  <c r="N25" i="1"/>
  <c r="O25" i="1" s="1"/>
  <c r="L25" i="1"/>
  <c r="H25" i="1"/>
  <c r="I25" i="1" s="1"/>
  <c r="F25" i="1"/>
  <c r="C25" i="1"/>
  <c r="AD24" i="1"/>
  <c r="AC24" i="1"/>
  <c r="AA24" i="1"/>
  <c r="X24" i="1"/>
  <c r="W24" i="1"/>
  <c r="U24" i="1"/>
  <c r="R24" i="1"/>
  <c r="N24" i="1"/>
  <c r="O24" i="1" s="1"/>
  <c r="L24" i="1"/>
  <c r="H24" i="1"/>
  <c r="I24" i="1" s="1"/>
  <c r="F24" i="1"/>
  <c r="C24" i="1"/>
  <c r="AC23" i="1"/>
  <c r="AD23" i="1" s="1"/>
  <c r="AA23" i="1"/>
  <c r="W23" i="1"/>
  <c r="X23" i="1" s="1"/>
  <c r="U23" i="1"/>
  <c r="R23" i="1"/>
  <c r="N23" i="1"/>
  <c r="O23" i="1" s="1"/>
  <c r="L23" i="1"/>
  <c r="I23" i="1"/>
  <c r="H23" i="1"/>
  <c r="F23" i="1"/>
  <c r="C23" i="1"/>
  <c r="AC22" i="1"/>
  <c r="AD22" i="1" s="1"/>
  <c r="AA22" i="1"/>
  <c r="W22" i="1"/>
  <c r="X22" i="1" s="1"/>
  <c r="U22" i="1"/>
  <c r="R22" i="1"/>
  <c r="O22" i="1"/>
  <c r="N22" i="1"/>
  <c r="L22" i="1"/>
  <c r="H22" i="1"/>
  <c r="I22" i="1" s="1"/>
  <c r="F22" i="1"/>
  <c r="C22" i="1"/>
  <c r="AC21" i="1"/>
  <c r="AD21" i="1" s="1"/>
  <c r="AA21" i="1"/>
  <c r="W21" i="1"/>
  <c r="X21" i="1" s="1"/>
  <c r="U21" i="1"/>
  <c r="R21" i="1"/>
  <c r="N21" i="1"/>
  <c r="O21" i="1" s="1"/>
  <c r="L21" i="1"/>
  <c r="H21" i="1"/>
  <c r="I21" i="1" s="1"/>
  <c r="F21" i="1"/>
  <c r="C21" i="1"/>
  <c r="AD19" i="1"/>
  <c r="AC19" i="1"/>
  <c r="AA19" i="1"/>
  <c r="X19" i="1"/>
  <c r="W19" i="1"/>
  <c r="U19" i="1"/>
  <c r="R19" i="1"/>
  <c r="N19" i="1"/>
  <c r="O19" i="1" s="1"/>
  <c r="L19" i="1"/>
  <c r="H19" i="1"/>
  <c r="I19" i="1" s="1"/>
  <c r="F19" i="1"/>
  <c r="C19" i="1"/>
  <c r="AC18" i="1"/>
  <c r="AD18" i="1" s="1"/>
  <c r="AA18" i="1"/>
  <c r="Z18" i="1"/>
  <c r="W18" i="1"/>
  <c r="X18" i="1" s="1"/>
  <c r="T18" i="1"/>
  <c r="U18" i="1" s="1"/>
  <c r="Q18" i="1"/>
  <c r="R18" i="1" s="1"/>
  <c r="K18" i="1"/>
  <c r="L18" i="1" s="1"/>
  <c r="E18" i="1"/>
  <c r="H18" i="1" s="1"/>
  <c r="I18" i="1" s="1"/>
  <c r="C18" i="1"/>
  <c r="B18" i="1"/>
  <c r="N18" i="1" s="1"/>
  <c r="O18" i="1" s="1"/>
  <c r="AC17" i="1"/>
  <c r="AD17" i="1" s="1"/>
  <c r="AA17" i="1"/>
  <c r="W17" i="1"/>
  <c r="X17" i="1" s="1"/>
  <c r="U17" i="1"/>
  <c r="R17" i="1"/>
  <c r="N17" i="1"/>
  <c r="O17" i="1" s="1"/>
  <c r="L17" i="1"/>
  <c r="H17" i="1"/>
  <c r="I17" i="1" s="1"/>
  <c r="F17" i="1"/>
  <c r="C17" i="1"/>
  <c r="AD16" i="1"/>
  <c r="AC16" i="1"/>
  <c r="AA16" i="1"/>
  <c r="X16" i="1"/>
  <c r="W16" i="1"/>
  <c r="U16" i="1"/>
  <c r="R16" i="1"/>
  <c r="N16" i="1"/>
  <c r="O16" i="1" s="1"/>
  <c r="L16" i="1"/>
  <c r="H16" i="1"/>
  <c r="I16" i="1" s="1"/>
  <c r="F16" i="1"/>
  <c r="C16" i="1"/>
  <c r="AC15" i="1"/>
  <c r="AD15" i="1" s="1"/>
  <c r="AA15" i="1"/>
  <c r="W15" i="1"/>
  <c r="X15" i="1" s="1"/>
  <c r="U15" i="1"/>
  <c r="R15" i="1"/>
  <c r="N15" i="1"/>
  <c r="O15" i="1" s="1"/>
  <c r="L15" i="1"/>
  <c r="I15" i="1"/>
  <c r="H15" i="1"/>
  <c r="F15" i="1"/>
  <c r="C15" i="1"/>
  <c r="AC14" i="1"/>
  <c r="AD14" i="1" s="1"/>
  <c r="AA14" i="1"/>
  <c r="W14" i="1"/>
  <c r="X14" i="1" s="1"/>
  <c r="U14" i="1"/>
  <c r="R14" i="1"/>
  <c r="O14" i="1"/>
  <c r="N14" i="1"/>
  <c r="L14" i="1"/>
  <c r="H14" i="1"/>
  <c r="I14" i="1" s="1"/>
  <c r="F14" i="1"/>
  <c r="C14" i="1"/>
  <c r="AC13" i="1"/>
  <c r="AD13" i="1" s="1"/>
  <c r="AA13" i="1"/>
  <c r="W13" i="1"/>
  <c r="X13" i="1" s="1"/>
  <c r="U13" i="1"/>
  <c r="R13" i="1"/>
  <c r="N13" i="1"/>
  <c r="O13" i="1" s="1"/>
  <c r="L13" i="1"/>
  <c r="H13" i="1"/>
  <c r="I13" i="1" s="1"/>
  <c r="F13" i="1"/>
  <c r="C13" i="1"/>
  <c r="AD12" i="1"/>
  <c r="AC12" i="1"/>
  <c r="AA12" i="1"/>
  <c r="X12" i="1"/>
  <c r="W12" i="1"/>
  <c r="U12" i="1"/>
  <c r="R12" i="1"/>
  <c r="N12" i="1"/>
  <c r="O12" i="1" s="1"/>
  <c r="L12" i="1"/>
  <c r="H12" i="1"/>
  <c r="I12" i="1" s="1"/>
  <c r="F12" i="1"/>
  <c r="C12" i="1"/>
  <c r="AC11" i="1"/>
  <c r="AD11" i="1" s="1"/>
  <c r="AA11" i="1"/>
  <c r="W11" i="1"/>
  <c r="X11" i="1" s="1"/>
  <c r="U11" i="1"/>
  <c r="R11" i="1"/>
  <c r="N11" i="1"/>
  <c r="O11" i="1" s="1"/>
  <c r="L11" i="1"/>
  <c r="I11" i="1"/>
  <c r="H11" i="1"/>
  <c r="F11" i="1"/>
  <c r="C11" i="1"/>
  <c r="AC10" i="1"/>
  <c r="AD10" i="1" s="1"/>
  <c r="AA10" i="1"/>
  <c r="W10" i="1"/>
  <c r="X10" i="1" s="1"/>
  <c r="U10" i="1"/>
  <c r="R10" i="1"/>
  <c r="O10" i="1"/>
  <c r="N10" i="1"/>
  <c r="L10" i="1"/>
  <c r="H10" i="1"/>
  <c r="I10" i="1" s="1"/>
  <c r="F10" i="1"/>
  <c r="C10" i="1"/>
  <c r="AC8" i="1"/>
  <c r="AD8" i="1" s="1"/>
  <c r="AA8" i="1"/>
  <c r="W8" i="1"/>
  <c r="X8" i="1" s="1"/>
  <c r="U8" i="1"/>
  <c r="R8" i="1"/>
  <c r="N8" i="1"/>
  <c r="O8" i="1" s="1"/>
  <c r="L8" i="1"/>
  <c r="H8" i="1"/>
  <c r="I8" i="1" s="1"/>
  <c r="F8" i="1"/>
  <c r="C8" i="1"/>
  <c r="R198" i="1" l="1"/>
  <c r="AC198" i="1"/>
  <c r="AD198" i="1" s="1"/>
  <c r="Q345" i="1"/>
  <c r="Z345" i="1"/>
  <c r="AA198" i="1"/>
  <c r="R61" i="1"/>
  <c r="AC40" i="1"/>
  <c r="AD40" i="1" s="1"/>
  <c r="AC88" i="1"/>
  <c r="AD88" i="1" s="1"/>
  <c r="R172" i="1"/>
  <c r="C227" i="1"/>
  <c r="C267" i="1"/>
  <c r="AC324" i="1"/>
  <c r="AD324" i="1" s="1"/>
  <c r="K345" i="1"/>
  <c r="R393" i="1"/>
  <c r="AC393" i="1"/>
  <c r="AD393" i="1" s="1"/>
  <c r="U428" i="1"/>
  <c r="R122" i="2"/>
  <c r="AC122" i="2"/>
  <c r="AD122" i="2" s="1"/>
  <c r="W122" i="2"/>
  <c r="X122" i="2" s="1"/>
  <c r="C124" i="2"/>
  <c r="B172" i="2"/>
  <c r="N124" i="2"/>
  <c r="O124" i="2" s="1"/>
  <c r="H124" i="2"/>
  <c r="I124" i="2" s="1"/>
  <c r="R209" i="2"/>
  <c r="AC209" i="2"/>
  <c r="AD209" i="2" s="1"/>
  <c r="W209" i="2"/>
  <c r="X209" i="2" s="1"/>
  <c r="W273" i="4"/>
  <c r="X273" i="4" s="1"/>
  <c r="U273" i="4"/>
  <c r="W29" i="1"/>
  <c r="X29" i="1" s="1"/>
  <c r="H40" i="1"/>
  <c r="I40" i="1" s="1"/>
  <c r="H61" i="1"/>
  <c r="I61" i="1" s="1"/>
  <c r="W73" i="1"/>
  <c r="X73" i="1" s="1"/>
  <c r="H88" i="1"/>
  <c r="I88" i="1" s="1"/>
  <c r="W141" i="1"/>
  <c r="X141" i="1" s="1"/>
  <c r="H148" i="1"/>
  <c r="I148" i="1" s="1"/>
  <c r="W166" i="1"/>
  <c r="X166" i="1" s="1"/>
  <c r="F170" i="1"/>
  <c r="E172" i="1"/>
  <c r="T172" i="1"/>
  <c r="C193" i="1"/>
  <c r="W196" i="1"/>
  <c r="X196" i="1" s="1"/>
  <c r="AC209" i="1"/>
  <c r="AD209" i="1" s="1"/>
  <c r="W227" i="1"/>
  <c r="X227" i="1" s="1"/>
  <c r="AC236" i="1"/>
  <c r="AD236" i="1" s="1"/>
  <c r="C263" i="1"/>
  <c r="W267" i="1"/>
  <c r="X267" i="1" s="1"/>
  <c r="W273" i="1"/>
  <c r="X273" i="1" s="1"/>
  <c r="H284" i="1"/>
  <c r="I284" i="1" s="1"/>
  <c r="N295" i="1"/>
  <c r="O295" i="1" s="1"/>
  <c r="AC295" i="1"/>
  <c r="AD295" i="1" s="1"/>
  <c r="AC325" i="1"/>
  <c r="AD325" i="1" s="1"/>
  <c r="C343" i="1"/>
  <c r="H344" i="1"/>
  <c r="I344" i="1" s="1"/>
  <c r="AC442" i="1"/>
  <c r="AD442" i="1" s="1"/>
  <c r="R442" i="1"/>
  <c r="AD425" i="1"/>
  <c r="AD413" i="1"/>
  <c r="AD437" i="1"/>
  <c r="AD409" i="1"/>
  <c r="AD419" i="1"/>
  <c r="AD417" i="1"/>
  <c r="AD383" i="1"/>
  <c r="AD364" i="1"/>
  <c r="R166" i="2"/>
  <c r="AC166" i="2"/>
  <c r="AD166" i="2" s="1"/>
  <c r="W166" i="2"/>
  <c r="X166" i="2" s="1"/>
  <c r="W170" i="2"/>
  <c r="X170" i="2" s="1"/>
  <c r="AC170" i="2"/>
  <c r="AD170" i="2" s="1"/>
  <c r="R170" i="2"/>
  <c r="AC441" i="2"/>
  <c r="AD441" i="2" s="1"/>
  <c r="AA441" i="2"/>
  <c r="L124" i="1"/>
  <c r="C158" i="1"/>
  <c r="W158" i="1"/>
  <c r="X158" i="1" s="1"/>
  <c r="H171" i="1"/>
  <c r="I171" i="1" s="1"/>
  <c r="W193" i="1"/>
  <c r="X193" i="1" s="1"/>
  <c r="N262" i="1"/>
  <c r="O262" i="1" s="1"/>
  <c r="W263" i="1"/>
  <c r="X263" i="1" s="1"/>
  <c r="N342" i="1"/>
  <c r="O342" i="1" s="1"/>
  <c r="W343" i="1"/>
  <c r="X343" i="1" s="1"/>
  <c r="R396" i="1"/>
  <c r="AC396" i="1"/>
  <c r="AD396" i="1" s="1"/>
  <c r="R141" i="2"/>
  <c r="AC141" i="2"/>
  <c r="AD141" i="2" s="1"/>
  <c r="W141" i="2"/>
  <c r="X141" i="2" s="1"/>
  <c r="R40" i="1"/>
  <c r="R88" i="1"/>
  <c r="L166" i="1"/>
  <c r="W393" i="1"/>
  <c r="X393" i="1" s="1"/>
  <c r="L61" i="2"/>
  <c r="R197" i="2"/>
  <c r="AC197" i="2"/>
  <c r="AD197" i="2" s="1"/>
  <c r="W197" i="2"/>
  <c r="X197" i="2" s="1"/>
  <c r="C122" i="1"/>
  <c r="R148" i="1"/>
  <c r="AC118" i="1"/>
  <c r="AD118" i="1" s="1"/>
  <c r="H122" i="1"/>
  <c r="I122" i="1" s="1"/>
  <c r="W148" i="1"/>
  <c r="X148" i="1" s="1"/>
  <c r="U262" i="1"/>
  <c r="R124" i="2"/>
  <c r="W124" i="2"/>
  <c r="X124" i="2" s="1"/>
  <c r="AC124" i="2"/>
  <c r="AD124" i="2" s="1"/>
  <c r="R149" i="2"/>
  <c r="AC149" i="2"/>
  <c r="AD149" i="2" s="1"/>
  <c r="C171" i="2"/>
  <c r="H171" i="2"/>
  <c r="I171" i="2" s="1"/>
  <c r="N171" i="2"/>
  <c r="O171" i="2" s="1"/>
  <c r="B172" i="1"/>
  <c r="W172" i="1"/>
  <c r="X172" i="1" s="1"/>
  <c r="R403" i="1"/>
  <c r="AC403" i="1"/>
  <c r="AD403" i="1" s="1"/>
  <c r="R170" i="1"/>
  <c r="C196" i="1"/>
  <c r="H197" i="1"/>
  <c r="I197" i="1" s="1"/>
  <c r="H218" i="1"/>
  <c r="I218" i="1" s="1"/>
  <c r="N73" i="1"/>
  <c r="O73" i="1" s="1"/>
  <c r="AC124" i="1"/>
  <c r="AD124" i="1" s="1"/>
  <c r="N141" i="1"/>
  <c r="O141" i="1" s="1"/>
  <c r="AC149" i="1"/>
  <c r="AD149" i="1" s="1"/>
  <c r="AA182" i="1"/>
  <c r="AA196" i="1"/>
  <c r="AA227" i="1"/>
  <c r="AA267" i="1"/>
  <c r="F18" i="1"/>
  <c r="U122" i="1"/>
  <c r="F124" i="1"/>
  <c r="AA172" i="1"/>
  <c r="N196" i="1"/>
  <c r="O196" i="1" s="1"/>
  <c r="AC29" i="1"/>
  <c r="AD29" i="1" s="1"/>
  <c r="N40" i="1"/>
  <c r="O40" i="1" s="1"/>
  <c r="N61" i="1"/>
  <c r="O61" i="1" s="1"/>
  <c r="H62" i="1"/>
  <c r="I62" i="1" s="1"/>
  <c r="AC73" i="1"/>
  <c r="AD73" i="1" s="1"/>
  <c r="N88" i="1"/>
  <c r="O88" i="1" s="1"/>
  <c r="H118" i="1"/>
  <c r="I118" i="1" s="1"/>
  <c r="AC141" i="1"/>
  <c r="AD141" i="1" s="1"/>
  <c r="N148" i="1"/>
  <c r="O148" i="1" s="1"/>
  <c r="H149" i="1"/>
  <c r="I149" i="1" s="1"/>
  <c r="N158" i="1"/>
  <c r="O158" i="1" s="1"/>
  <c r="AC166" i="1"/>
  <c r="AD166" i="1" s="1"/>
  <c r="AC170" i="1"/>
  <c r="AD170" i="1" s="1"/>
  <c r="AC172" i="1"/>
  <c r="AD172" i="1" s="1"/>
  <c r="N193" i="1"/>
  <c r="O193" i="1" s="1"/>
  <c r="AC193" i="1"/>
  <c r="AD193" i="1" s="1"/>
  <c r="N197" i="1"/>
  <c r="O197" i="1" s="1"/>
  <c r="N218" i="1"/>
  <c r="O218" i="1" s="1"/>
  <c r="R236" i="1"/>
  <c r="H262" i="1"/>
  <c r="I262" i="1" s="1"/>
  <c r="N263" i="1"/>
  <c r="O263" i="1" s="1"/>
  <c r="AC263" i="1"/>
  <c r="AD263" i="1" s="1"/>
  <c r="W284" i="1"/>
  <c r="X284" i="1" s="1"/>
  <c r="C295" i="1"/>
  <c r="H325" i="1"/>
  <c r="I325" i="1" s="1"/>
  <c r="H342" i="1"/>
  <c r="I342" i="1" s="1"/>
  <c r="N343" i="1"/>
  <c r="O343" i="1" s="1"/>
  <c r="AC343" i="1"/>
  <c r="AD343" i="1" s="1"/>
  <c r="H368" i="1"/>
  <c r="I368" i="1" s="1"/>
  <c r="N368" i="1"/>
  <c r="O368" i="1" s="1"/>
  <c r="C368" i="1"/>
  <c r="W396" i="1"/>
  <c r="X396" i="1" s="1"/>
  <c r="C18" i="2"/>
  <c r="N18" i="2"/>
  <c r="O18" i="2" s="1"/>
  <c r="C122" i="2"/>
  <c r="N122" i="2"/>
  <c r="O122" i="2" s="1"/>
  <c r="H122" i="2"/>
  <c r="I122" i="2" s="1"/>
  <c r="H166" i="2"/>
  <c r="I166" i="2" s="1"/>
  <c r="N166" i="2"/>
  <c r="O166" i="2" s="1"/>
  <c r="Q172" i="2"/>
  <c r="F273" i="2"/>
  <c r="H273" i="2"/>
  <c r="I273" i="2" s="1"/>
  <c r="R442" i="2"/>
  <c r="AC442" i="2"/>
  <c r="AD442" i="2" s="1"/>
  <c r="W442" i="2"/>
  <c r="X442" i="2" s="1"/>
  <c r="AC61" i="1"/>
  <c r="AD61" i="1" s="1"/>
  <c r="N29" i="1"/>
  <c r="O29" i="1" s="1"/>
  <c r="N227" i="1"/>
  <c r="O227" i="1" s="1"/>
  <c r="N267" i="1"/>
  <c r="O267" i="1" s="1"/>
  <c r="R324" i="1"/>
  <c r="W325" i="1"/>
  <c r="X325" i="1" s="1"/>
  <c r="R441" i="1"/>
  <c r="AC441" i="1"/>
  <c r="AD441" i="1" s="1"/>
  <c r="F62" i="2"/>
  <c r="H62" i="2"/>
  <c r="I62" i="2" s="1"/>
  <c r="AC158" i="1"/>
  <c r="AD158" i="1" s="1"/>
  <c r="H166" i="1"/>
  <c r="I166" i="1" s="1"/>
  <c r="N171" i="1"/>
  <c r="O171" i="1" s="1"/>
  <c r="W182" i="1"/>
  <c r="X182" i="1" s="1"/>
  <c r="W209" i="1"/>
  <c r="X209" i="1" s="1"/>
  <c r="W295" i="1"/>
  <c r="X295" i="1" s="1"/>
  <c r="N344" i="1"/>
  <c r="O344" i="1" s="1"/>
  <c r="H358" i="1"/>
  <c r="I358" i="1" s="1"/>
  <c r="W368" i="1"/>
  <c r="X368" i="1" s="1"/>
  <c r="H396" i="1"/>
  <c r="I396" i="1" s="1"/>
  <c r="N396" i="1"/>
  <c r="O396" i="1" s="1"/>
  <c r="C396" i="1"/>
  <c r="H73" i="2"/>
  <c r="I73" i="2" s="1"/>
  <c r="C73" i="2"/>
  <c r="W149" i="2"/>
  <c r="X149" i="2" s="1"/>
  <c r="AC158" i="2"/>
  <c r="AD158" i="2" s="1"/>
  <c r="L198" i="2"/>
  <c r="K345" i="2"/>
  <c r="AA227" i="2"/>
  <c r="AC227" i="2"/>
  <c r="AD227" i="2" s="1"/>
  <c r="AD370" i="1"/>
  <c r="AD378" i="1"/>
  <c r="H393" i="1"/>
  <c r="I393" i="1" s="1"/>
  <c r="H403" i="1"/>
  <c r="I403" i="1" s="1"/>
  <c r="AD410" i="1"/>
  <c r="AD415" i="1"/>
  <c r="H441" i="1"/>
  <c r="I441" i="1" s="1"/>
  <c r="N441" i="1"/>
  <c r="O441" i="1" s="1"/>
  <c r="W62" i="2"/>
  <c r="X62" i="2" s="1"/>
  <c r="AC62" i="2"/>
  <c r="AD62" i="2" s="1"/>
  <c r="L149" i="2"/>
  <c r="N149" i="2"/>
  <c r="O149" i="2" s="1"/>
  <c r="R158" i="2"/>
  <c r="W158" i="2"/>
  <c r="X158" i="2" s="1"/>
  <c r="F197" i="2"/>
  <c r="H197" i="2"/>
  <c r="I197" i="2" s="1"/>
  <c r="C236" i="2"/>
  <c r="N236" i="2"/>
  <c r="O236" i="2" s="1"/>
  <c r="H236" i="2"/>
  <c r="I236" i="2" s="1"/>
  <c r="F344" i="2"/>
  <c r="H344" i="2"/>
  <c r="I344" i="2" s="1"/>
  <c r="N428" i="2"/>
  <c r="O428" i="2" s="1"/>
  <c r="L428" i="2"/>
  <c r="U40" i="3"/>
  <c r="W40" i="3"/>
  <c r="X40" i="3" s="1"/>
  <c r="AD374" i="1"/>
  <c r="AD385" i="1"/>
  <c r="AD407" i="1"/>
  <c r="AD416" i="1"/>
  <c r="AC40" i="2"/>
  <c r="AD40" i="2" s="1"/>
  <c r="H88" i="2"/>
  <c r="I88" i="2" s="1"/>
  <c r="C88" i="2"/>
  <c r="N88" i="2"/>
  <c r="O88" i="2" s="1"/>
  <c r="T198" i="2"/>
  <c r="U172" i="2"/>
  <c r="R193" i="2"/>
  <c r="W193" i="2"/>
  <c r="X193" i="2" s="1"/>
  <c r="AC193" i="2"/>
  <c r="AD193" i="2" s="1"/>
  <c r="W236" i="2"/>
  <c r="X236" i="2" s="1"/>
  <c r="R236" i="2"/>
  <c r="L263" i="2"/>
  <c r="N263" i="2"/>
  <c r="O263" i="2" s="1"/>
  <c r="C429" i="2"/>
  <c r="N429" i="2"/>
  <c r="O429" i="2" s="1"/>
  <c r="H429" i="2"/>
  <c r="I429" i="2" s="1"/>
  <c r="AD388" i="1"/>
  <c r="N393" i="1"/>
  <c r="O393" i="1" s="1"/>
  <c r="AD398" i="1"/>
  <c r="N403" i="1"/>
  <c r="O403" i="1" s="1"/>
  <c r="AD424" i="1"/>
  <c r="AD426" i="1"/>
  <c r="W429" i="1"/>
  <c r="X429" i="1" s="1"/>
  <c r="AA29" i="2"/>
  <c r="W182" i="2"/>
  <c r="X182" i="2" s="1"/>
  <c r="AC182" i="2"/>
  <c r="AD182" i="2" s="1"/>
  <c r="E198" i="2"/>
  <c r="C284" i="2"/>
  <c r="H284" i="2"/>
  <c r="I284" i="2" s="1"/>
  <c r="N295" i="2"/>
  <c r="O295" i="2" s="1"/>
  <c r="AC295" i="2"/>
  <c r="AD295" i="2" s="1"/>
  <c r="AC428" i="1"/>
  <c r="AD428" i="1" s="1"/>
  <c r="O434" i="1"/>
  <c r="W18" i="2"/>
  <c r="X18" i="2" s="1"/>
  <c r="C148" i="2"/>
  <c r="H148" i="2"/>
  <c r="I148" i="2" s="1"/>
  <c r="F209" i="2"/>
  <c r="H209" i="2"/>
  <c r="I209" i="2" s="1"/>
  <c r="R295" i="2"/>
  <c r="W295" i="2"/>
  <c r="X295" i="2" s="1"/>
  <c r="U325" i="2"/>
  <c r="W325" i="2"/>
  <c r="X325" i="2" s="1"/>
  <c r="N358" i="2"/>
  <c r="O358" i="2" s="1"/>
  <c r="F396" i="2"/>
  <c r="H396" i="2"/>
  <c r="I396" i="2" s="1"/>
  <c r="F172" i="3"/>
  <c r="E198" i="3"/>
  <c r="K198" i="3"/>
  <c r="L172" i="3"/>
  <c r="O438" i="1"/>
  <c r="Z172" i="2"/>
  <c r="N148" i="2"/>
  <c r="O148" i="2" s="1"/>
  <c r="C170" i="2"/>
  <c r="N170" i="2"/>
  <c r="O170" i="2" s="1"/>
  <c r="H170" i="2"/>
  <c r="I170" i="2" s="1"/>
  <c r="W403" i="2"/>
  <c r="X403" i="2" s="1"/>
  <c r="U403" i="2"/>
  <c r="O410" i="1"/>
  <c r="AD422" i="1"/>
  <c r="H29" i="2"/>
  <c r="I29" i="2" s="1"/>
  <c r="AC61" i="2"/>
  <c r="AD61" i="2" s="1"/>
  <c r="N193" i="2"/>
  <c r="O193" i="2" s="1"/>
  <c r="F218" i="2"/>
  <c r="H218" i="2"/>
  <c r="I218" i="2" s="1"/>
  <c r="H267" i="2"/>
  <c r="I267" i="2" s="1"/>
  <c r="N267" i="2"/>
  <c r="O267" i="2" s="1"/>
  <c r="C267" i="2"/>
  <c r="H29" i="3"/>
  <c r="I29" i="3" s="1"/>
  <c r="N29" i="3"/>
  <c r="O29" i="3" s="1"/>
  <c r="C29" i="3"/>
  <c r="W236" i="6"/>
  <c r="X236" i="6" s="1"/>
  <c r="U236" i="6"/>
  <c r="X119" i="2"/>
  <c r="X129" i="2"/>
  <c r="X137" i="2"/>
  <c r="X144" i="2"/>
  <c r="X179" i="2"/>
  <c r="N182" i="2"/>
  <c r="O182" i="2" s="1"/>
  <c r="X186" i="2"/>
  <c r="H196" i="2"/>
  <c r="I196" i="2" s="1"/>
  <c r="W196" i="2"/>
  <c r="X196" i="2" s="1"/>
  <c r="X204" i="2"/>
  <c r="X232" i="2"/>
  <c r="X242" i="2"/>
  <c r="X257" i="2"/>
  <c r="X259" i="2"/>
  <c r="X261" i="2"/>
  <c r="AC273" i="2"/>
  <c r="AD273" i="2" s="1"/>
  <c r="X329" i="2"/>
  <c r="X333" i="2"/>
  <c r="X338" i="2"/>
  <c r="AC344" i="2"/>
  <c r="AD344" i="2" s="1"/>
  <c r="W368" i="2"/>
  <c r="X368" i="2" s="1"/>
  <c r="X370" i="2"/>
  <c r="X372" i="2"/>
  <c r="X374" i="2"/>
  <c r="X376" i="2"/>
  <c r="X378" i="2"/>
  <c r="X380" i="2"/>
  <c r="X382" i="2"/>
  <c r="X385" i="2"/>
  <c r="X388" i="2"/>
  <c r="X390" i="2"/>
  <c r="X392" i="2"/>
  <c r="AC396" i="2"/>
  <c r="AD396" i="2" s="1"/>
  <c r="X407" i="2"/>
  <c r="X411" i="2"/>
  <c r="X415" i="2"/>
  <c r="X419" i="2"/>
  <c r="X423" i="2"/>
  <c r="O22" i="3"/>
  <c r="O26" i="3"/>
  <c r="O33" i="3"/>
  <c r="O37" i="3"/>
  <c r="O42" i="3"/>
  <c r="O52" i="3"/>
  <c r="O54" i="3"/>
  <c r="C62" i="3"/>
  <c r="H62" i="3"/>
  <c r="I62" i="3" s="1"/>
  <c r="O65" i="3"/>
  <c r="O67" i="3"/>
  <c r="O77" i="3"/>
  <c r="O79" i="3"/>
  <c r="O81" i="3"/>
  <c r="AA88" i="3"/>
  <c r="AC88" i="3"/>
  <c r="AD88" i="3" s="1"/>
  <c r="O113" i="3"/>
  <c r="O191" i="3"/>
  <c r="O232" i="3"/>
  <c r="O260" i="3"/>
  <c r="O275" i="3"/>
  <c r="O277" i="3"/>
  <c r="O302" i="3"/>
  <c r="AA324" i="3"/>
  <c r="AC324" i="3"/>
  <c r="AD324" i="3" s="1"/>
  <c r="N73" i="3"/>
  <c r="O73" i="3" s="1"/>
  <c r="C73" i="3"/>
  <c r="H196" i="3"/>
  <c r="I196" i="3" s="1"/>
  <c r="F196" i="3"/>
  <c r="O440" i="3"/>
  <c r="O436" i="3"/>
  <c r="O432" i="3"/>
  <c r="O424" i="3"/>
  <c r="O420" i="3"/>
  <c r="O416" i="3"/>
  <c r="O412" i="3"/>
  <c r="O408" i="3"/>
  <c r="O414" i="3"/>
  <c r="O365" i="3"/>
  <c r="O338" i="3"/>
  <c r="O334" i="3"/>
  <c r="O316" i="3"/>
  <c r="O270" i="3"/>
  <c r="O410" i="3"/>
  <c r="O390" i="3"/>
  <c r="O380" i="3"/>
  <c r="O372" i="3"/>
  <c r="O360" i="3"/>
  <c r="O331" i="3"/>
  <c r="O328" i="3"/>
  <c r="O313" i="3"/>
  <c r="O310" i="3"/>
  <c r="O297" i="3"/>
  <c r="O254" i="3"/>
  <c r="O251" i="3"/>
  <c r="O244" i="3"/>
  <c r="O240" i="3"/>
  <c r="O235" i="3"/>
  <c r="O231" i="3"/>
  <c r="O223" i="3"/>
  <c r="O219" i="3"/>
  <c r="O216" i="3"/>
  <c r="O211" i="3"/>
  <c r="O207" i="3"/>
  <c r="O203" i="3"/>
  <c r="O189" i="3"/>
  <c r="O184" i="3"/>
  <c r="O181" i="3"/>
  <c r="O177" i="3"/>
  <c r="O169" i="3"/>
  <c r="O162" i="3"/>
  <c r="O154" i="3"/>
  <c r="O146" i="3"/>
  <c r="O138" i="3"/>
  <c r="O134" i="3"/>
  <c r="O130" i="3"/>
  <c r="O353" i="3"/>
  <c r="O339" i="3"/>
  <c r="O426" i="3"/>
  <c r="O357" i="3"/>
  <c r="O349" i="3"/>
  <c r="O330" i="3"/>
  <c r="O392" i="3"/>
  <c r="O385" i="3"/>
  <c r="O340" i="3"/>
  <c r="O290" i="3"/>
  <c r="O242" i="3"/>
  <c r="O222" i="3"/>
  <c r="O201" i="3"/>
  <c r="O187" i="3"/>
  <c r="O167" i="3"/>
  <c r="O165" i="3"/>
  <c r="O136" i="3"/>
  <c r="O116" i="3"/>
  <c r="O108" i="3"/>
  <c r="O100" i="3"/>
  <c r="O91" i="3"/>
  <c r="O70" i="3"/>
  <c r="O57" i="3"/>
  <c r="O49" i="3"/>
  <c r="O382" i="3"/>
  <c r="O376" i="3"/>
  <c r="O364" i="3"/>
  <c r="O321" i="3"/>
  <c r="O305" i="3"/>
  <c r="O298" i="3"/>
  <c r="O278" i="3"/>
  <c r="O266" i="3"/>
  <c r="O214" i="3"/>
  <c r="O161" i="3"/>
  <c r="O156" i="3"/>
  <c r="O132" i="3"/>
  <c r="O80" i="3"/>
  <c r="O374" i="3"/>
  <c r="O314" i="3"/>
  <c r="O293" i="3"/>
  <c r="O286" i="3"/>
  <c r="O247" i="3"/>
  <c r="O234" i="3"/>
  <c r="O206" i="3"/>
  <c r="O151" i="3"/>
  <c r="O144" i="3"/>
  <c r="O127" i="3"/>
  <c r="O114" i="3"/>
  <c r="O106" i="3"/>
  <c r="O98" i="3"/>
  <c r="O89" i="3"/>
  <c r="O68" i="3"/>
  <c r="O55" i="3"/>
  <c r="O47" i="3"/>
  <c r="O400" i="3"/>
  <c r="O281" i="3"/>
  <c r="O259" i="3"/>
  <c r="O230" i="3"/>
  <c r="O225" i="3"/>
  <c r="O194" i="3"/>
  <c r="O192" i="3"/>
  <c r="O180" i="3"/>
  <c r="O123" i="3"/>
  <c r="O434" i="3"/>
  <c r="O418" i="3"/>
  <c r="O402" i="3"/>
  <c r="O398" i="3"/>
  <c r="O341" i="3"/>
  <c r="O337" i="3"/>
  <c r="O308" i="3"/>
  <c r="O301" i="3"/>
  <c r="O250" i="3"/>
  <c r="O243" i="3"/>
  <c r="O221" i="3"/>
  <c r="O202" i="3"/>
  <c r="O190" i="3"/>
  <c r="O188" i="3"/>
  <c r="O178" i="3"/>
  <c r="O175" i="3"/>
  <c r="O168" i="3"/>
  <c r="O164" i="3"/>
  <c r="O137" i="3"/>
  <c r="O361" i="3"/>
  <c r="O352" i="3"/>
  <c r="O322" i="3"/>
  <c r="O317" i="3"/>
  <c r="O306" i="3"/>
  <c r="O289" i="3"/>
  <c r="O272" i="3"/>
  <c r="O255" i="3"/>
  <c r="O217" i="3"/>
  <c r="O215" i="3"/>
  <c r="O160" i="3"/>
  <c r="O157" i="3"/>
  <c r="O135" i="3"/>
  <c r="O133" i="3"/>
  <c r="O121" i="3"/>
  <c r="O294" i="3"/>
  <c r="O246" i="3"/>
  <c r="O233" i="3"/>
  <c r="O205" i="3"/>
  <c r="O153" i="3"/>
  <c r="O145" i="3"/>
  <c r="O129" i="3"/>
  <c r="O110" i="3"/>
  <c r="O102" i="3"/>
  <c r="O94" i="3"/>
  <c r="O72" i="3"/>
  <c r="O64" i="3"/>
  <c r="O59" i="3"/>
  <c r="O51" i="3"/>
  <c r="U393" i="2"/>
  <c r="N441" i="2"/>
  <c r="O441" i="2" s="1"/>
  <c r="X255" i="2"/>
  <c r="X251" i="2"/>
  <c r="X247" i="2"/>
  <c r="X243" i="2"/>
  <c r="X238" i="2"/>
  <c r="X234" i="2"/>
  <c r="X230" i="2"/>
  <c r="X226" i="2"/>
  <c r="X222" i="2"/>
  <c r="X215" i="2"/>
  <c r="X206" i="2"/>
  <c r="X202" i="2"/>
  <c r="X195" i="2"/>
  <c r="X192" i="2"/>
  <c r="X188" i="2"/>
  <c r="X183" i="2"/>
  <c r="X180" i="2"/>
  <c r="X175" i="2"/>
  <c r="X168" i="2"/>
  <c r="X165" i="2"/>
  <c r="X161" i="2"/>
  <c r="X157" i="2"/>
  <c r="X153" i="2"/>
  <c r="AC29" i="3"/>
  <c r="AD29" i="3" s="1"/>
  <c r="W61" i="3"/>
  <c r="X61" i="3" s="1"/>
  <c r="R61" i="3"/>
  <c r="O441" i="3"/>
  <c r="W284" i="2"/>
  <c r="X284" i="2" s="1"/>
  <c r="R324" i="2"/>
  <c r="C343" i="2"/>
  <c r="X395" i="2"/>
  <c r="H403" i="2"/>
  <c r="I403" i="2" s="1"/>
  <c r="X432" i="2"/>
  <c r="X434" i="2"/>
  <c r="X436" i="2"/>
  <c r="X438" i="2"/>
  <c r="X440" i="2"/>
  <c r="N62" i="3"/>
  <c r="O62" i="3" s="1"/>
  <c r="H73" i="3"/>
  <c r="I73" i="3" s="1"/>
  <c r="U148" i="3"/>
  <c r="W148" i="3"/>
  <c r="X148" i="3" s="1"/>
  <c r="N209" i="3"/>
  <c r="O209" i="3" s="1"/>
  <c r="L209" i="3"/>
  <c r="N324" i="3"/>
  <c r="O324" i="3" s="1"/>
  <c r="L324" i="3"/>
  <c r="X133" i="2"/>
  <c r="X151" i="2"/>
  <c r="H158" i="2"/>
  <c r="I158" i="2" s="1"/>
  <c r="X178" i="2"/>
  <c r="X187" i="2"/>
  <c r="H193" i="2"/>
  <c r="I193" i="2" s="1"/>
  <c r="N196" i="2"/>
  <c r="O196" i="2" s="1"/>
  <c r="X205" i="2"/>
  <c r="X233" i="2"/>
  <c r="X241" i="2"/>
  <c r="X258" i="2"/>
  <c r="R284" i="2"/>
  <c r="H295" i="2"/>
  <c r="I295" i="2" s="1"/>
  <c r="X328" i="2"/>
  <c r="X330" i="2"/>
  <c r="X332" i="2"/>
  <c r="X334" i="2"/>
  <c r="X337" i="2"/>
  <c r="X339" i="2"/>
  <c r="X341" i="2"/>
  <c r="H358" i="2"/>
  <c r="I358" i="2" s="1"/>
  <c r="W358" i="2"/>
  <c r="X358" i="2" s="1"/>
  <c r="X371" i="2"/>
  <c r="X375" i="2"/>
  <c r="X379" i="2"/>
  <c r="X383" i="2"/>
  <c r="X389" i="2"/>
  <c r="X408" i="2"/>
  <c r="X410" i="2"/>
  <c r="X412" i="2"/>
  <c r="X414" i="2"/>
  <c r="X416" i="2"/>
  <c r="X418" i="2"/>
  <c r="X420" i="2"/>
  <c r="X422" i="2"/>
  <c r="X424" i="2"/>
  <c r="X426" i="2"/>
  <c r="W428" i="2"/>
  <c r="X428" i="2" s="1"/>
  <c r="H442" i="2"/>
  <c r="I442" i="2" s="1"/>
  <c r="O21" i="3"/>
  <c r="O25" i="3"/>
  <c r="O34" i="3"/>
  <c r="O38" i="3"/>
  <c r="W62" i="3"/>
  <c r="X62" i="3" s="1"/>
  <c r="AC62" i="3"/>
  <c r="AD62" i="3" s="1"/>
  <c r="O78" i="3"/>
  <c r="O84" i="3"/>
  <c r="O96" i="3"/>
  <c r="O103" i="3"/>
  <c r="O105" i="3"/>
  <c r="AC141" i="3"/>
  <c r="AD141" i="3" s="1"/>
  <c r="AA141" i="3"/>
  <c r="F182" i="3"/>
  <c r="H182" i="3"/>
  <c r="I182" i="3" s="1"/>
  <c r="H227" i="3"/>
  <c r="I227" i="3" s="1"/>
  <c r="F227" i="3"/>
  <c r="O241" i="3"/>
  <c r="O332" i="3"/>
  <c r="L344" i="3"/>
  <c r="N344" i="3"/>
  <c r="O344" i="3" s="1"/>
  <c r="O356" i="3"/>
  <c r="O403" i="3"/>
  <c r="W429" i="2"/>
  <c r="X429" i="2" s="1"/>
  <c r="W295" i="3"/>
  <c r="X295" i="3" s="1"/>
  <c r="U295" i="3"/>
  <c r="W368" i="3"/>
  <c r="X368" i="3" s="1"/>
  <c r="U368" i="3"/>
  <c r="X163" i="2"/>
  <c r="X167" i="2"/>
  <c r="H182" i="2"/>
  <c r="I182" i="2" s="1"/>
  <c r="X217" i="2"/>
  <c r="X221" i="2"/>
  <c r="X227" i="2"/>
  <c r="X249" i="2"/>
  <c r="X263" i="2"/>
  <c r="W273" i="2"/>
  <c r="X273" i="2" s="1"/>
  <c r="X276" i="2"/>
  <c r="X278" i="2"/>
  <c r="X280" i="2"/>
  <c r="X282" i="2"/>
  <c r="AC324" i="2"/>
  <c r="AD324" i="2" s="1"/>
  <c r="N343" i="2"/>
  <c r="O343" i="2" s="1"/>
  <c r="W344" i="2"/>
  <c r="X344" i="2" s="1"/>
  <c r="W396" i="2"/>
  <c r="X396" i="2" s="1"/>
  <c r="X398" i="2"/>
  <c r="X400" i="2"/>
  <c r="X402" i="2"/>
  <c r="R429" i="2"/>
  <c r="X441" i="2"/>
  <c r="O12" i="3"/>
  <c r="O16" i="3"/>
  <c r="AC61" i="3"/>
  <c r="AD61" i="3" s="1"/>
  <c r="R73" i="3"/>
  <c r="AC73" i="3"/>
  <c r="AD73" i="3" s="1"/>
  <c r="C88" i="3"/>
  <c r="N88" i="3"/>
  <c r="O88" i="3" s="1"/>
  <c r="O99" i="3"/>
  <c r="O117" i="3"/>
  <c r="O120" i="3"/>
  <c r="O147" i="3"/>
  <c r="O179" i="3"/>
  <c r="O186" i="3"/>
  <c r="O204" i="3"/>
  <c r="O224" i="3"/>
  <c r="O295" i="3"/>
  <c r="O388" i="3"/>
  <c r="N118" i="3"/>
  <c r="O118" i="3" s="1"/>
  <c r="N149" i="3"/>
  <c r="O149" i="3" s="1"/>
  <c r="H171" i="3"/>
  <c r="I171" i="3" s="1"/>
  <c r="Q172" i="3"/>
  <c r="W193" i="3"/>
  <c r="X193" i="3" s="1"/>
  <c r="AC196" i="3"/>
  <c r="AD196" i="3" s="1"/>
  <c r="AC227" i="3"/>
  <c r="AD227" i="3" s="1"/>
  <c r="O248" i="3"/>
  <c r="O265" i="3"/>
  <c r="H273" i="3"/>
  <c r="I273" i="3" s="1"/>
  <c r="N273" i="3"/>
  <c r="O273" i="3" s="1"/>
  <c r="O287" i="3"/>
  <c r="O304" i="3"/>
  <c r="O315" i="3"/>
  <c r="O320" i="3"/>
  <c r="O363" i="3"/>
  <c r="O367" i="3"/>
  <c r="O371" i="3"/>
  <c r="O373" i="3"/>
  <c r="O375" i="3"/>
  <c r="O394" i="3"/>
  <c r="O411" i="3"/>
  <c r="O413" i="3"/>
  <c r="O415" i="3"/>
  <c r="H122" i="4"/>
  <c r="I122" i="4" s="1"/>
  <c r="N122" i="4"/>
  <c r="O122" i="4" s="1"/>
  <c r="C122" i="4"/>
  <c r="T172" i="3"/>
  <c r="AC182" i="3"/>
  <c r="AD182" i="3" s="1"/>
  <c r="O253" i="3"/>
  <c r="O257" i="3"/>
  <c r="O279" i="3"/>
  <c r="O299" i="3"/>
  <c r="O379" i="3"/>
  <c r="O381" i="3"/>
  <c r="O383" i="3"/>
  <c r="O438" i="3"/>
  <c r="B172" i="3"/>
  <c r="C124" i="3"/>
  <c r="N141" i="3"/>
  <c r="O141" i="3" s="1"/>
  <c r="R149" i="3"/>
  <c r="F158" i="3"/>
  <c r="AC158" i="3"/>
  <c r="AD158" i="3" s="1"/>
  <c r="O166" i="3"/>
  <c r="AA171" i="3"/>
  <c r="W197" i="3"/>
  <c r="X197" i="3" s="1"/>
  <c r="O262" i="3"/>
  <c r="O291" i="3"/>
  <c r="N342" i="3"/>
  <c r="O342" i="3" s="1"/>
  <c r="C342" i="3"/>
  <c r="R344" i="3"/>
  <c r="W344" i="3"/>
  <c r="X344" i="3" s="1"/>
  <c r="N358" i="3"/>
  <c r="O358" i="3" s="1"/>
  <c r="C358" i="3"/>
  <c r="O389" i="3"/>
  <c r="O391" i="3"/>
  <c r="O396" i="3"/>
  <c r="H403" i="3"/>
  <c r="I403" i="3" s="1"/>
  <c r="C403" i="3"/>
  <c r="O422" i="3"/>
  <c r="H122" i="3"/>
  <c r="I122" i="3" s="1"/>
  <c r="W124" i="3"/>
  <c r="X124" i="3" s="1"/>
  <c r="O196" i="3"/>
  <c r="O227" i="3"/>
  <c r="H267" i="3"/>
  <c r="I267" i="3" s="1"/>
  <c r="N267" i="3"/>
  <c r="O267" i="3" s="1"/>
  <c r="O269" i="3"/>
  <c r="O276" i="3"/>
  <c r="O283" i="3"/>
  <c r="O303" i="3"/>
  <c r="O319" i="3"/>
  <c r="H325" i="3"/>
  <c r="I325" i="3" s="1"/>
  <c r="U342" i="3"/>
  <c r="F343" i="3"/>
  <c r="O355" i="3"/>
  <c r="F124" i="3"/>
  <c r="Z172" i="3"/>
  <c r="AA124" i="3"/>
  <c r="R166" i="3"/>
  <c r="N171" i="3"/>
  <c r="O171" i="3" s="1"/>
  <c r="AC193" i="3"/>
  <c r="AD193" i="3" s="1"/>
  <c r="H197" i="3"/>
  <c r="I197" i="3" s="1"/>
  <c r="W209" i="3"/>
  <c r="X209" i="3" s="1"/>
  <c r="O261" i="3"/>
  <c r="C267" i="3"/>
  <c r="O288" i="3"/>
  <c r="O312" i="3"/>
  <c r="O333" i="3"/>
  <c r="H342" i="3"/>
  <c r="I342" i="3" s="1"/>
  <c r="O366" i="3"/>
  <c r="O395" i="3"/>
  <c r="AC171" i="2"/>
  <c r="AD171" i="2" s="1"/>
  <c r="N197" i="2"/>
  <c r="O197" i="2" s="1"/>
  <c r="N209" i="2"/>
  <c r="O209" i="2" s="1"/>
  <c r="N218" i="2"/>
  <c r="O218" i="2" s="1"/>
  <c r="N262" i="2"/>
  <c r="O262" i="2" s="1"/>
  <c r="N273" i="2"/>
  <c r="O273" i="2" s="1"/>
  <c r="AC325" i="2"/>
  <c r="AD325" i="2" s="1"/>
  <c r="N342" i="2"/>
  <c r="O342" i="2" s="1"/>
  <c r="N344" i="2"/>
  <c r="O344" i="2" s="1"/>
  <c r="N368" i="2"/>
  <c r="O368" i="2" s="1"/>
  <c r="N393" i="2"/>
  <c r="O393" i="2" s="1"/>
  <c r="N396" i="2"/>
  <c r="O396" i="2" s="1"/>
  <c r="N403" i="2"/>
  <c r="O403" i="2" s="1"/>
  <c r="AC428" i="2"/>
  <c r="AD428" i="2" s="1"/>
  <c r="N442" i="2"/>
  <c r="O442" i="2" s="1"/>
  <c r="AC40" i="3"/>
  <c r="AD40" i="3" s="1"/>
  <c r="H118" i="3"/>
  <c r="I118" i="3" s="1"/>
  <c r="AC122" i="3"/>
  <c r="AD122" i="3" s="1"/>
  <c r="H124" i="3"/>
  <c r="I124" i="3" s="1"/>
  <c r="N148" i="3"/>
  <c r="O148" i="3" s="1"/>
  <c r="AC149" i="3"/>
  <c r="AD149" i="3" s="1"/>
  <c r="N158" i="3"/>
  <c r="O158" i="3" s="1"/>
  <c r="W170" i="3"/>
  <c r="X170" i="3" s="1"/>
  <c r="H193" i="3"/>
  <c r="I193" i="3" s="1"/>
  <c r="R196" i="3"/>
  <c r="R227" i="3"/>
  <c r="O256" i="3"/>
  <c r="AC267" i="3"/>
  <c r="AD267" i="3" s="1"/>
  <c r="O300" i="3"/>
  <c r="O307" i="3"/>
  <c r="O323" i="3"/>
  <c r="O343" i="3"/>
  <c r="C344" i="3"/>
  <c r="H358" i="3"/>
  <c r="I358" i="3" s="1"/>
  <c r="O368" i="3"/>
  <c r="U396" i="3"/>
  <c r="H197" i="4"/>
  <c r="I197" i="4" s="1"/>
  <c r="F197" i="4"/>
  <c r="H141" i="3"/>
  <c r="I141" i="3" s="1"/>
  <c r="W141" i="3"/>
  <c r="X141" i="3" s="1"/>
  <c r="H149" i="3"/>
  <c r="I149" i="3" s="1"/>
  <c r="W158" i="3"/>
  <c r="X158" i="3" s="1"/>
  <c r="W182" i="3"/>
  <c r="X182" i="3" s="1"/>
  <c r="H209" i="3"/>
  <c r="I209" i="3" s="1"/>
  <c r="N218" i="3"/>
  <c r="O218" i="3" s="1"/>
  <c r="AC263" i="3"/>
  <c r="AD263" i="3" s="1"/>
  <c r="R273" i="3"/>
  <c r="W273" i="3"/>
  <c r="X273" i="3" s="1"/>
  <c r="O280" i="3"/>
  <c r="AC284" i="3"/>
  <c r="AD284" i="3" s="1"/>
  <c r="AC295" i="3"/>
  <c r="AD295" i="3" s="1"/>
  <c r="R295" i="3"/>
  <c r="AC325" i="3"/>
  <c r="AD325" i="3" s="1"/>
  <c r="W343" i="3"/>
  <c r="X343" i="3" s="1"/>
  <c r="AC343" i="3"/>
  <c r="AD343" i="3" s="1"/>
  <c r="N393" i="3"/>
  <c r="O393" i="3" s="1"/>
  <c r="C393" i="3"/>
  <c r="O417" i="3"/>
  <c r="O419" i="3"/>
  <c r="W262" i="3"/>
  <c r="X262" i="3" s="1"/>
  <c r="O354" i="3"/>
  <c r="W358" i="3"/>
  <c r="X358" i="3" s="1"/>
  <c r="O407" i="3"/>
  <c r="O409" i="3"/>
  <c r="I415" i="3"/>
  <c r="I417" i="3"/>
  <c r="I433" i="3"/>
  <c r="H182" i="4"/>
  <c r="I182" i="4" s="1"/>
  <c r="N182" i="4"/>
  <c r="O182" i="4" s="1"/>
  <c r="W196" i="4"/>
  <c r="X196" i="4" s="1"/>
  <c r="AC196" i="4"/>
  <c r="AD196" i="4" s="1"/>
  <c r="H209" i="4"/>
  <c r="I209" i="4" s="1"/>
  <c r="F209" i="4"/>
  <c r="AC236" i="4"/>
  <c r="AD236" i="4" s="1"/>
  <c r="W262" i="4"/>
  <c r="X262" i="4" s="1"/>
  <c r="U262" i="4"/>
  <c r="AC428" i="3"/>
  <c r="AD428" i="3" s="1"/>
  <c r="W29" i="4"/>
  <c r="X29" i="4" s="1"/>
  <c r="U198" i="4"/>
  <c r="T345" i="4"/>
  <c r="AC170" i="4"/>
  <c r="AD170" i="4" s="1"/>
  <c r="W197" i="4"/>
  <c r="X197" i="4" s="1"/>
  <c r="AC197" i="4"/>
  <c r="AD197" i="4" s="1"/>
  <c r="AC218" i="4"/>
  <c r="AD218" i="4" s="1"/>
  <c r="O433" i="3"/>
  <c r="E198" i="4"/>
  <c r="O421" i="3"/>
  <c r="O435" i="3"/>
  <c r="O437" i="3"/>
  <c r="U172" i="4"/>
  <c r="C196" i="4"/>
  <c r="R209" i="4"/>
  <c r="H273" i="4"/>
  <c r="I273" i="4" s="1"/>
  <c r="F273" i="4"/>
  <c r="AC262" i="3"/>
  <c r="AD262" i="3" s="1"/>
  <c r="N263" i="3"/>
  <c r="O263" i="3" s="1"/>
  <c r="N325" i="3"/>
  <c r="O325" i="3" s="1"/>
  <c r="O350" i="3"/>
  <c r="O397" i="3"/>
  <c r="O423" i="3"/>
  <c r="O425" i="3"/>
  <c r="H428" i="3"/>
  <c r="I428" i="3" s="1"/>
  <c r="R428" i="3"/>
  <c r="O439" i="3"/>
  <c r="N442" i="3"/>
  <c r="O442" i="3" s="1"/>
  <c r="AC40" i="4"/>
  <c r="AD40" i="4" s="1"/>
  <c r="AC61" i="4"/>
  <c r="AD61" i="4" s="1"/>
  <c r="R218" i="4"/>
  <c r="R236" i="4"/>
  <c r="H262" i="4"/>
  <c r="I262" i="4" s="1"/>
  <c r="F262" i="4"/>
  <c r="AC148" i="3"/>
  <c r="AD148" i="3" s="1"/>
  <c r="N170" i="3"/>
  <c r="O170" i="3" s="1"/>
  <c r="N182" i="3"/>
  <c r="O182" i="3" s="1"/>
  <c r="AC197" i="3"/>
  <c r="AD197" i="3" s="1"/>
  <c r="AC209" i="3"/>
  <c r="AD209" i="3" s="1"/>
  <c r="AC218" i="3"/>
  <c r="AD218" i="3" s="1"/>
  <c r="N236" i="3"/>
  <c r="O236" i="3" s="1"/>
  <c r="O369" i="3"/>
  <c r="O377" i="3"/>
  <c r="O386" i="3"/>
  <c r="O399" i="3"/>
  <c r="O427" i="3"/>
  <c r="W73" i="4"/>
  <c r="X73" i="4" s="1"/>
  <c r="H88" i="4"/>
  <c r="I88" i="4" s="1"/>
  <c r="L172" i="4"/>
  <c r="K198" i="4"/>
  <c r="C170" i="4"/>
  <c r="W182" i="4"/>
  <c r="X182" i="4" s="1"/>
  <c r="AC182" i="4"/>
  <c r="AD182" i="4" s="1"/>
  <c r="AC193" i="4"/>
  <c r="AD193" i="4" s="1"/>
  <c r="H236" i="4"/>
  <c r="I236" i="4" s="1"/>
  <c r="O362" i="3"/>
  <c r="O401" i="3"/>
  <c r="L124" i="4"/>
  <c r="R148" i="4"/>
  <c r="W170" i="4"/>
  <c r="X170" i="4" s="1"/>
  <c r="R182" i="4"/>
  <c r="N428" i="3"/>
  <c r="O428" i="3" s="1"/>
  <c r="AC441" i="3"/>
  <c r="AD441" i="3" s="1"/>
  <c r="AC29" i="4"/>
  <c r="AD29" i="4" s="1"/>
  <c r="N40" i="4"/>
  <c r="O40" i="4" s="1"/>
  <c r="N61" i="4"/>
  <c r="O61" i="4" s="1"/>
  <c r="AC73" i="4"/>
  <c r="AD73" i="4" s="1"/>
  <c r="N88" i="4"/>
  <c r="O88" i="4" s="1"/>
  <c r="H124" i="4"/>
  <c r="I124" i="4" s="1"/>
  <c r="AC141" i="4"/>
  <c r="AD141" i="4" s="1"/>
  <c r="N148" i="4"/>
  <c r="O148" i="4" s="1"/>
  <c r="Z172" i="4"/>
  <c r="AC267" i="4"/>
  <c r="AD267" i="4" s="1"/>
  <c r="AC343" i="4"/>
  <c r="AD343" i="4" s="1"/>
  <c r="AC441" i="4"/>
  <c r="AD441" i="4" s="1"/>
  <c r="AD437" i="4"/>
  <c r="AD433" i="4"/>
  <c r="AD425" i="4"/>
  <c r="AD421" i="4"/>
  <c r="AD417" i="4"/>
  <c r="AD413" i="4"/>
  <c r="AD409" i="4"/>
  <c r="AD401" i="4"/>
  <c r="AD397" i="4"/>
  <c r="AD394" i="4"/>
  <c r="AD391" i="4"/>
  <c r="AD386" i="4"/>
  <c r="AD381" i="4"/>
  <c r="AD377" i="4"/>
  <c r="AD373" i="4"/>
  <c r="AD369" i="4"/>
  <c r="AD366" i="4"/>
  <c r="AD362" i="4"/>
  <c r="AD354" i="4"/>
  <c r="AD350" i="4"/>
  <c r="AD340" i="4"/>
  <c r="AD335" i="4"/>
  <c r="AD331" i="4"/>
  <c r="AD323" i="4"/>
  <c r="AD319" i="4"/>
  <c r="AD315" i="4"/>
  <c r="AD311" i="4"/>
  <c r="AD307" i="4"/>
  <c r="AD303" i="4"/>
  <c r="AD299" i="4"/>
  <c r="AD291" i="4"/>
  <c r="AD252" i="4"/>
  <c r="AD216" i="4"/>
  <c r="AD211" i="4"/>
  <c r="W18" i="5"/>
  <c r="X18" i="5" s="1"/>
  <c r="N40" i="5"/>
  <c r="O40" i="5" s="1"/>
  <c r="R197" i="5"/>
  <c r="AC197" i="5"/>
  <c r="AD197" i="5" s="1"/>
  <c r="W197" i="5"/>
  <c r="X197" i="5" s="1"/>
  <c r="F209" i="5"/>
  <c r="H209" i="5"/>
  <c r="I209" i="5" s="1"/>
  <c r="C325" i="5"/>
  <c r="N325" i="5"/>
  <c r="O325" i="5" s="1"/>
  <c r="H325" i="5"/>
  <c r="I325" i="5" s="1"/>
  <c r="H267" i="4"/>
  <c r="I267" i="4" s="1"/>
  <c r="W429" i="4"/>
  <c r="X429" i="4" s="1"/>
  <c r="AC29" i="5"/>
  <c r="AD29" i="5" s="1"/>
  <c r="AC196" i="5"/>
  <c r="AD196" i="5" s="1"/>
  <c r="W196" i="5"/>
  <c r="X196" i="5" s="1"/>
  <c r="R196" i="5"/>
  <c r="C267" i="4"/>
  <c r="R267" i="4"/>
  <c r="AC295" i="4"/>
  <c r="AD295" i="4" s="1"/>
  <c r="N342" i="4"/>
  <c r="O342" i="4" s="1"/>
  <c r="R343" i="4"/>
  <c r="N344" i="4"/>
  <c r="O344" i="4" s="1"/>
  <c r="N442" i="4"/>
  <c r="O442" i="4" s="1"/>
  <c r="AC40" i="5"/>
  <c r="AD40" i="5" s="1"/>
  <c r="N61" i="5"/>
  <c r="O61" i="5" s="1"/>
  <c r="Q198" i="5"/>
  <c r="AC172" i="5"/>
  <c r="AD172" i="5" s="1"/>
  <c r="W172" i="5"/>
  <c r="X172" i="5" s="1"/>
  <c r="R29" i="5"/>
  <c r="W73" i="5"/>
  <c r="X73" i="5" s="1"/>
  <c r="R73" i="5"/>
  <c r="L198" i="5"/>
  <c r="K345" i="5"/>
  <c r="AC368" i="3"/>
  <c r="AD368" i="3" s="1"/>
  <c r="AC393" i="3"/>
  <c r="AD393" i="3" s="1"/>
  <c r="AC396" i="3"/>
  <c r="AD396" i="3" s="1"/>
  <c r="AC403" i="3"/>
  <c r="AD403" i="3" s="1"/>
  <c r="N429" i="3"/>
  <c r="O429" i="3" s="1"/>
  <c r="AC442" i="3"/>
  <c r="AD442" i="3" s="1"/>
  <c r="N18" i="4"/>
  <c r="O18" i="4" s="1"/>
  <c r="N62" i="4"/>
  <c r="O62" i="4" s="1"/>
  <c r="N118" i="4"/>
  <c r="O118" i="4" s="1"/>
  <c r="AC122" i="4"/>
  <c r="AD122" i="4" s="1"/>
  <c r="N124" i="4"/>
  <c r="O124" i="4" s="1"/>
  <c r="N149" i="4"/>
  <c r="O149" i="4" s="1"/>
  <c r="N158" i="4"/>
  <c r="O158" i="4" s="1"/>
  <c r="N166" i="4"/>
  <c r="O166" i="4" s="1"/>
  <c r="B172" i="4"/>
  <c r="Q172" i="4"/>
  <c r="N193" i="4"/>
  <c r="O193" i="4" s="1"/>
  <c r="H227" i="4"/>
  <c r="I227" i="4" s="1"/>
  <c r="N263" i="4"/>
  <c r="O263" i="4" s="1"/>
  <c r="N396" i="4"/>
  <c r="O396" i="4" s="1"/>
  <c r="C61" i="5"/>
  <c r="AC61" i="5"/>
  <c r="AD61" i="5" s="1"/>
  <c r="W62" i="5"/>
  <c r="X62" i="5" s="1"/>
  <c r="F198" i="5"/>
  <c r="E345" i="5"/>
  <c r="R172" i="5"/>
  <c r="C227" i="4"/>
  <c r="H358" i="4"/>
  <c r="I358" i="4" s="1"/>
  <c r="R358" i="4"/>
  <c r="AD389" i="4"/>
  <c r="AD420" i="4"/>
  <c r="AD439" i="4"/>
  <c r="AA172" i="5"/>
  <c r="Z198" i="5"/>
  <c r="N197" i="5"/>
  <c r="O197" i="5" s="1"/>
  <c r="H197" i="5"/>
  <c r="I197" i="5" s="1"/>
  <c r="C197" i="5"/>
  <c r="AC262" i="5"/>
  <c r="AD262" i="5" s="1"/>
  <c r="AA262" i="5"/>
  <c r="R267" i="5"/>
  <c r="AC267" i="5"/>
  <c r="AD267" i="5" s="1"/>
  <c r="W267" i="5"/>
  <c r="X267" i="5" s="1"/>
  <c r="W324" i="4"/>
  <c r="X324" i="4" s="1"/>
  <c r="AC325" i="4"/>
  <c r="AD325" i="4" s="1"/>
  <c r="AC284" i="4"/>
  <c r="AD284" i="4" s="1"/>
  <c r="N295" i="4"/>
  <c r="O295" i="4" s="1"/>
  <c r="AC324" i="4"/>
  <c r="AD324" i="4" s="1"/>
  <c r="N343" i="4"/>
  <c r="O343" i="4" s="1"/>
  <c r="N358" i="4"/>
  <c r="O358" i="4" s="1"/>
  <c r="AC429" i="4"/>
  <c r="AD429" i="4" s="1"/>
  <c r="N441" i="4"/>
  <c r="O441" i="4" s="1"/>
  <c r="AC18" i="5"/>
  <c r="AD18" i="5" s="1"/>
  <c r="N29" i="5"/>
  <c r="O29" i="5" s="1"/>
  <c r="AC62" i="5"/>
  <c r="AD62" i="5" s="1"/>
  <c r="N73" i="5"/>
  <c r="O73" i="5" s="1"/>
  <c r="AC118" i="5"/>
  <c r="AD118" i="5" s="1"/>
  <c r="AC124" i="5"/>
  <c r="AD124" i="5" s="1"/>
  <c r="N141" i="5"/>
  <c r="O141" i="5" s="1"/>
  <c r="AC149" i="5"/>
  <c r="AD149" i="5" s="1"/>
  <c r="AC158" i="5"/>
  <c r="AD158" i="5" s="1"/>
  <c r="AC166" i="5"/>
  <c r="AD166" i="5" s="1"/>
  <c r="N171" i="5"/>
  <c r="O171" i="5" s="1"/>
  <c r="T172" i="5"/>
  <c r="AC193" i="5"/>
  <c r="AD193" i="5" s="1"/>
  <c r="N218" i="5"/>
  <c r="O218" i="5" s="1"/>
  <c r="AC218" i="5"/>
  <c r="AD218" i="5" s="1"/>
  <c r="N324" i="5"/>
  <c r="O324" i="5" s="1"/>
  <c r="H344" i="5"/>
  <c r="I344" i="5" s="1"/>
  <c r="W118" i="6"/>
  <c r="X118" i="6" s="1"/>
  <c r="U118" i="6"/>
  <c r="N88" i="5"/>
  <c r="O88" i="5" s="1"/>
  <c r="AC141" i="5"/>
  <c r="AD141" i="5" s="1"/>
  <c r="N148" i="5"/>
  <c r="O148" i="5" s="1"/>
  <c r="AC171" i="5"/>
  <c r="AD171" i="5" s="1"/>
  <c r="AA209" i="5"/>
  <c r="C227" i="5"/>
  <c r="W236" i="5"/>
  <c r="X236" i="5" s="1"/>
  <c r="N263" i="5"/>
  <c r="O263" i="5" s="1"/>
  <c r="U263" i="5"/>
  <c r="AC325" i="5"/>
  <c r="AD325" i="5" s="1"/>
  <c r="C88" i="5"/>
  <c r="R141" i="5"/>
  <c r="C148" i="5"/>
  <c r="R171" i="5"/>
  <c r="L172" i="5"/>
  <c r="N209" i="5"/>
  <c r="O209" i="5" s="1"/>
  <c r="C218" i="5"/>
  <c r="C273" i="5"/>
  <c r="AC171" i="4"/>
  <c r="AD171" i="4" s="1"/>
  <c r="N197" i="4"/>
  <c r="O197" i="4" s="1"/>
  <c r="N209" i="4"/>
  <c r="O209" i="4" s="1"/>
  <c r="N262" i="4"/>
  <c r="O262" i="4" s="1"/>
  <c r="N273" i="4"/>
  <c r="O273" i="4" s="1"/>
  <c r="W124" i="5"/>
  <c r="X124" i="5" s="1"/>
  <c r="B172" i="5"/>
  <c r="W227" i="5"/>
  <c r="X227" i="5" s="1"/>
  <c r="H236" i="5"/>
  <c r="I236" i="5" s="1"/>
  <c r="H267" i="5"/>
  <c r="I267" i="5" s="1"/>
  <c r="W324" i="5"/>
  <c r="X324" i="5" s="1"/>
  <c r="W343" i="5"/>
  <c r="X343" i="5" s="1"/>
  <c r="N344" i="5"/>
  <c r="O344" i="5" s="1"/>
  <c r="AC344" i="5"/>
  <c r="AD344" i="5" s="1"/>
  <c r="W358" i="5"/>
  <c r="X358" i="5" s="1"/>
  <c r="C368" i="5"/>
  <c r="W218" i="5"/>
  <c r="X218" i="5" s="1"/>
  <c r="H262" i="5"/>
  <c r="I262" i="5" s="1"/>
  <c r="H324" i="5"/>
  <c r="I324" i="5" s="1"/>
  <c r="H61" i="6"/>
  <c r="I61" i="6" s="1"/>
  <c r="N61" i="6"/>
  <c r="O61" i="6" s="1"/>
  <c r="C61" i="6"/>
  <c r="W166" i="6"/>
  <c r="X166" i="6" s="1"/>
  <c r="U166" i="6"/>
  <c r="C262" i="5"/>
  <c r="W262" i="5"/>
  <c r="X262" i="5" s="1"/>
  <c r="AC263" i="5"/>
  <c r="AD263" i="5" s="1"/>
  <c r="N273" i="5"/>
  <c r="O273" i="5" s="1"/>
  <c r="AC273" i="5"/>
  <c r="AD273" i="5" s="1"/>
  <c r="W284" i="5"/>
  <c r="X284" i="5" s="1"/>
  <c r="N295" i="5"/>
  <c r="O295" i="5" s="1"/>
  <c r="W325" i="5"/>
  <c r="X325" i="5" s="1"/>
  <c r="H342" i="5"/>
  <c r="I342" i="5" s="1"/>
  <c r="H343" i="5"/>
  <c r="I343" i="5" s="1"/>
  <c r="H358" i="5"/>
  <c r="I358" i="5" s="1"/>
  <c r="O388" i="5"/>
  <c r="O402" i="5"/>
  <c r="O410" i="5"/>
  <c r="O426" i="5"/>
  <c r="AC73" i="6"/>
  <c r="AD73" i="6" s="1"/>
  <c r="AA193" i="6"/>
  <c r="AC193" i="6"/>
  <c r="AD193" i="6" s="1"/>
  <c r="AC172" i="6"/>
  <c r="AD172" i="6" s="1"/>
  <c r="Q198" i="6"/>
  <c r="W172" i="6"/>
  <c r="X172" i="6" s="1"/>
  <c r="R172" i="6"/>
  <c r="W158" i="6"/>
  <c r="X158" i="6" s="1"/>
  <c r="U158" i="6"/>
  <c r="AC29" i="6"/>
  <c r="AD29" i="6" s="1"/>
  <c r="R73" i="6"/>
  <c r="N122" i="6"/>
  <c r="O122" i="6" s="1"/>
  <c r="E198" i="6"/>
  <c r="F172" i="6"/>
  <c r="H148" i="6"/>
  <c r="I148" i="6" s="1"/>
  <c r="C148" i="6"/>
  <c r="W149" i="6"/>
  <c r="X149" i="6" s="1"/>
  <c r="U149" i="6"/>
  <c r="AC368" i="5"/>
  <c r="AD368" i="5" s="1"/>
  <c r="W124" i="6"/>
  <c r="X124" i="6" s="1"/>
  <c r="T172" i="6"/>
  <c r="W284" i="6"/>
  <c r="X284" i="6" s="1"/>
  <c r="U284" i="6"/>
  <c r="O418" i="5"/>
  <c r="O434" i="5"/>
  <c r="R29" i="6"/>
  <c r="U62" i="6"/>
  <c r="F73" i="6"/>
  <c r="U124" i="6"/>
  <c r="R141" i="6"/>
  <c r="H263" i="6"/>
  <c r="I263" i="6" s="1"/>
  <c r="F263" i="6"/>
  <c r="AC236" i="5"/>
  <c r="AD236" i="5" s="1"/>
  <c r="O391" i="5"/>
  <c r="O413" i="5"/>
  <c r="O420" i="5"/>
  <c r="C428" i="5"/>
  <c r="AC428" i="5"/>
  <c r="AD428" i="5" s="1"/>
  <c r="O436" i="5"/>
  <c r="AC441" i="5"/>
  <c r="AD441" i="5" s="1"/>
  <c r="AC40" i="6"/>
  <c r="AD40" i="6" s="1"/>
  <c r="AC88" i="6"/>
  <c r="AD88" i="6" s="1"/>
  <c r="Z345" i="6"/>
  <c r="AA198" i="6"/>
  <c r="N197" i="6"/>
  <c r="O197" i="6" s="1"/>
  <c r="AC218" i="6"/>
  <c r="AD218" i="6" s="1"/>
  <c r="AC358" i="6"/>
  <c r="AD358" i="6" s="1"/>
  <c r="W358" i="6"/>
  <c r="X358" i="6" s="1"/>
  <c r="R358" i="6"/>
  <c r="H393" i="5"/>
  <c r="I393" i="5" s="1"/>
  <c r="H396" i="5"/>
  <c r="I396" i="5" s="1"/>
  <c r="H403" i="5"/>
  <c r="I403" i="5" s="1"/>
  <c r="W428" i="5"/>
  <c r="X428" i="5" s="1"/>
  <c r="H442" i="5"/>
  <c r="I442" i="5" s="1"/>
  <c r="W40" i="6"/>
  <c r="X40" i="6" s="1"/>
  <c r="W61" i="6"/>
  <c r="X61" i="6" s="1"/>
  <c r="W88" i="6"/>
  <c r="X88" i="6" s="1"/>
  <c r="H122" i="6"/>
  <c r="I122" i="6" s="1"/>
  <c r="AC124" i="6"/>
  <c r="AD124" i="6" s="1"/>
  <c r="W148" i="6"/>
  <c r="X148" i="6" s="1"/>
  <c r="H170" i="6"/>
  <c r="I170" i="6" s="1"/>
  <c r="W193" i="6"/>
  <c r="X193" i="6" s="1"/>
  <c r="H196" i="6"/>
  <c r="I196" i="6" s="1"/>
  <c r="C197" i="6"/>
  <c r="C218" i="6"/>
  <c r="H218" i="6"/>
  <c r="I218" i="6" s="1"/>
  <c r="R227" i="6"/>
  <c r="AC263" i="6"/>
  <c r="AD263" i="6" s="1"/>
  <c r="F295" i="6"/>
  <c r="AC171" i="6"/>
  <c r="AD171" i="6" s="1"/>
  <c r="K198" i="6"/>
  <c r="AC182" i="6"/>
  <c r="AD182" i="6" s="1"/>
  <c r="R267" i="6"/>
  <c r="F40" i="7"/>
  <c r="H40" i="7"/>
  <c r="I40" i="7" s="1"/>
  <c r="F171" i="6"/>
  <c r="R171" i="6"/>
  <c r="L172" i="6"/>
  <c r="R182" i="6"/>
  <c r="F227" i="6"/>
  <c r="R263" i="6"/>
  <c r="C429" i="6"/>
  <c r="H429" i="6"/>
  <c r="I429" i="6" s="1"/>
  <c r="N429" i="6"/>
  <c r="O429" i="6" s="1"/>
  <c r="W88" i="7"/>
  <c r="X88" i="7" s="1"/>
  <c r="U88" i="7"/>
  <c r="B172" i="6"/>
  <c r="R344" i="6"/>
  <c r="AC344" i="6"/>
  <c r="AD344" i="6" s="1"/>
  <c r="W344" i="6"/>
  <c r="X344" i="6" s="1"/>
  <c r="N358" i="6"/>
  <c r="O358" i="6" s="1"/>
  <c r="H358" i="6"/>
  <c r="I358" i="6" s="1"/>
  <c r="C358" i="6"/>
  <c r="H262" i="6"/>
  <c r="I262" i="6" s="1"/>
  <c r="H273" i="6"/>
  <c r="I273" i="6" s="1"/>
  <c r="W325" i="6"/>
  <c r="X325" i="6" s="1"/>
  <c r="N342" i="6"/>
  <c r="O342" i="6" s="1"/>
  <c r="H442" i="6"/>
  <c r="I442" i="6" s="1"/>
  <c r="C442" i="6"/>
  <c r="X438" i="6"/>
  <c r="X434" i="6"/>
  <c r="X426" i="6"/>
  <c r="X422" i="6"/>
  <c r="X418" i="6"/>
  <c r="X414" i="6"/>
  <c r="X410" i="6"/>
  <c r="X402" i="6"/>
  <c r="X398" i="6"/>
  <c r="X395" i="6"/>
  <c r="X392" i="6"/>
  <c r="X388" i="6"/>
  <c r="X382" i="6"/>
  <c r="X378" i="6"/>
  <c r="X374" i="6"/>
  <c r="X370" i="6"/>
  <c r="X367" i="6"/>
  <c r="X363" i="6"/>
  <c r="U172" i="7"/>
  <c r="T198" i="7"/>
  <c r="N324" i="6"/>
  <c r="O324" i="6" s="1"/>
  <c r="AC368" i="6"/>
  <c r="AD368" i="6" s="1"/>
  <c r="R403" i="6"/>
  <c r="W403" i="6"/>
  <c r="X403" i="6" s="1"/>
  <c r="W428" i="6"/>
  <c r="X428" i="6" s="1"/>
  <c r="R428" i="6"/>
  <c r="C62" i="7"/>
  <c r="H62" i="7"/>
  <c r="I62" i="7" s="1"/>
  <c r="AA141" i="7"/>
  <c r="AC141" i="7"/>
  <c r="AD141" i="7" s="1"/>
  <c r="H344" i="6"/>
  <c r="I344" i="6" s="1"/>
  <c r="H396" i="6"/>
  <c r="I396" i="6" s="1"/>
  <c r="C396" i="6"/>
  <c r="N441" i="6"/>
  <c r="O441" i="6" s="1"/>
  <c r="C18" i="7"/>
  <c r="H18" i="7"/>
  <c r="I18" i="7" s="1"/>
  <c r="H122" i="7"/>
  <c r="I122" i="7" s="1"/>
  <c r="F122" i="7"/>
  <c r="C324" i="6"/>
  <c r="F343" i="6"/>
  <c r="W343" i="6"/>
  <c r="X343" i="6" s="1"/>
  <c r="H393" i="6"/>
  <c r="I393" i="6" s="1"/>
  <c r="C393" i="6"/>
  <c r="H403" i="6"/>
  <c r="I403" i="6" s="1"/>
  <c r="C403" i="6"/>
  <c r="AC442" i="6"/>
  <c r="AD442" i="6" s="1"/>
  <c r="W61" i="7"/>
  <c r="X61" i="7" s="1"/>
  <c r="R61" i="7"/>
  <c r="N262" i="6"/>
  <c r="O262" i="6" s="1"/>
  <c r="N273" i="6"/>
  <c r="O273" i="6" s="1"/>
  <c r="AC325" i="6"/>
  <c r="AD325" i="6" s="1"/>
  <c r="H342" i="6"/>
  <c r="I342" i="6" s="1"/>
  <c r="W342" i="6"/>
  <c r="X342" i="6" s="1"/>
  <c r="W393" i="6"/>
  <c r="X393" i="6" s="1"/>
  <c r="W441" i="6"/>
  <c r="X441" i="6" s="1"/>
  <c r="W40" i="7"/>
  <c r="X40" i="7" s="1"/>
  <c r="R40" i="7"/>
  <c r="N73" i="7"/>
  <c r="O73" i="7" s="1"/>
  <c r="L73" i="7"/>
  <c r="W158" i="7"/>
  <c r="X158" i="7" s="1"/>
  <c r="R158" i="7"/>
  <c r="AC158" i="7"/>
  <c r="AD158" i="7" s="1"/>
  <c r="H368" i="6"/>
  <c r="I368" i="6" s="1"/>
  <c r="C368" i="6"/>
  <c r="H428" i="6"/>
  <c r="I428" i="6" s="1"/>
  <c r="AC429" i="6"/>
  <c r="AD429" i="6" s="1"/>
  <c r="N344" i="6"/>
  <c r="O344" i="6" s="1"/>
  <c r="W368" i="6"/>
  <c r="X368" i="6" s="1"/>
  <c r="AC396" i="6"/>
  <c r="AD396" i="6" s="1"/>
  <c r="AC403" i="6"/>
  <c r="AD403" i="6" s="1"/>
  <c r="X427" i="6"/>
  <c r="AC428" i="6"/>
  <c r="AD428" i="6" s="1"/>
  <c r="R442" i="6"/>
  <c r="W442" i="6"/>
  <c r="X442" i="6" s="1"/>
  <c r="N62" i="7"/>
  <c r="O62" i="7" s="1"/>
  <c r="AA171" i="7"/>
  <c r="AC171" i="7"/>
  <c r="AD171" i="7" s="1"/>
  <c r="N118" i="7"/>
  <c r="O118" i="7" s="1"/>
  <c r="AC209" i="7"/>
  <c r="AD209" i="7" s="1"/>
  <c r="AA209" i="7"/>
  <c r="B198" i="7"/>
  <c r="N172" i="7"/>
  <c r="O172" i="7" s="1"/>
  <c r="W124" i="7"/>
  <c r="X124" i="7" s="1"/>
  <c r="R124" i="7"/>
  <c r="Q172" i="7"/>
  <c r="W149" i="7"/>
  <c r="X149" i="7" s="1"/>
  <c r="R149" i="7"/>
  <c r="C172" i="7"/>
  <c r="K198" i="7"/>
  <c r="H73" i="7"/>
  <c r="I73" i="7" s="1"/>
  <c r="W118" i="7"/>
  <c r="X118" i="7" s="1"/>
  <c r="R118" i="7"/>
  <c r="AC122" i="7"/>
  <c r="AD122" i="7" s="1"/>
  <c r="C124" i="7"/>
  <c r="W197" i="7"/>
  <c r="X197" i="7" s="1"/>
  <c r="C73" i="7"/>
  <c r="C118" i="7"/>
  <c r="F124" i="7"/>
  <c r="E172" i="7"/>
  <c r="R141" i="7"/>
  <c r="W141" i="7"/>
  <c r="X141" i="7" s="1"/>
  <c r="AC148" i="7"/>
  <c r="AD148" i="7" s="1"/>
  <c r="H158" i="7"/>
  <c r="I158" i="7" s="1"/>
  <c r="R171" i="7"/>
  <c r="W171" i="7"/>
  <c r="X171" i="7" s="1"/>
  <c r="H172" i="7"/>
  <c r="I172" i="7" s="1"/>
  <c r="H124" i="7"/>
  <c r="I124" i="7" s="1"/>
  <c r="Z172" i="7"/>
  <c r="N193" i="7"/>
  <c r="O193" i="7" s="1"/>
  <c r="H193" i="7"/>
  <c r="I193" i="7" s="1"/>
  <c r="C193" i="7"/>
  <c r="F197" i="7"/>
  <c r="H197" i="7"/>
  <c r="I197" i="7" s="1"/>
  <c r="F273" i="7"/>
  <c r="H273" i="7"/>
  <c r="I273" i="7" s="1"/>
  <c r="W324" i="7"/>
  <c r="X324" i="7" s="1"/>
  <c r="AC324" i="7"/>
  <c r="AD324" i="7" s="1"/>
  <c r="R324" i="7"/>
  <c r="AC88" i="7"/>
  <c r="AD88" i="7" s="1"/>
  <c r="N122" i="7"/>
  <c r="O122" i="7" s="1"/>
  <c r="AA124" i="7"/>
  <c r="H141" i="7"/>
  <c r="I141" i="7" s="1"/>
  <c r="C141" i="7"/>
  <c r="C148" i="7"/>
  <c r="H148" i="7"/>
  <c r="I148" i="7" s="1"/>
  <c r="H149" i="7"/>
  <c r="I149" i="7" s="1"/>
  <c r="W166" i="7"/>
  <c r="X166" i="7" s="1"/>
  <c r="R166" i="7"/>
  <c r="H171" i="7"/>
  <c r="I171" i="7" s="1"/>
  <c r="C171" i="7"/>
  <c r="W193" i="7"/>
  <c r="X193" i="7" s="1"/>
  <c r="R196" i="7"/>
  <c r="AC196" i="7"/>
  <c r="AD196" i="7" s="1"/>
  <c r="W196" i="7"/>
  <c r="X196" i="7" s="1"/>
  <c r="C209" i="7"/>
  <c r="N209" i="7"/>
  <c r="O209" i="7" s="1"/>
  <c r="AC124" i="7"/>
  <c r="AD124" i="7" s="1"/>
  <c r="AC149" i="7"/>
  <c r="AD149" i="7" s="1"/>
  <c r="H227" i="7"/>
  <c r="I227" i="7" s="1"/>
  <c r="C227" i="7"/>
  <c r="N227" i="7"/>
  <c r="O227" i="7" s="1"/>
  <c r="AC263" i="7"/>
  <c r="AD263" i="7" s="1"/>
  <c r="H236" i="7"/>
  <c r="I236" i="7" s="1"/>
  <c r="W262" i="7"/>
  <c r="X262" i="7" s="1"/>
  <c r="H267" i="7"/>
  <c r="I267" i="7" s="1"/>
  <c r="C267" i="7"/>
  <c r="H284" i="7"/>
  <c r="I284" i="7" s="1"/>
  <c r="W218" i="7"/>
  <c r="X218" i="7" s="1"/>
  <c r="R263" i="7"/>
  <c r="AC267" i="7"/>
  <c r="AD267" i="7" s="1"/>
  <c r="AC295" i="7"/>
  <c r="AD295" i="7" s="1"/>
  <c r="R227" i="7"/>
  <c r="W236" i="7"/>
  <c r="X236" i="7" s="1"/>
  <c r="R236" i="7"/>
  <c r="H263" i="7"/>
  <c r="I263" i="7" s="1"/>
  <c r="C263" i="7"/>
  <c r="W273" i="7"/>
  <c r="X273" i="7" s="1"/>
  <c r="C358" i="7"/>
  <c r="N428" i="7"/>
  <c r="O428" i="7" s="1"/>
  <c r="C441" i="7"/>
  <c r="AC218" i="7"/>
  <c r="AD218" i="7" s="1"/>
  <c r="N236" i="7"/>
  <c r="O236" i="7" s="1"/>
  <c r="AC262" i="7"/>
  <c r="AD262" i="7" s="1"/>
  <c r="H295" i="7"/>
  <c r="I295" i="7" s="1"/>
  <c r="W295" i="7"/>
  <c r="X295" i="7" s="1"/>
  <c r="R295" i="7"/>
  <c r="C295" i="7"/>
  <c r="H324" i="7"/>
  <c r="I324" i="7" s="1"/>
  <c r="W342" i="7"/>
  <c r="X342" i="7" s="1"/>
  <c r="W344" i="7"/>
  <c r="X344" i="7" s="1"/>
  <c r="W368" i="7"/>
  <c r="X368" i="7" s="1"/>
  <c r="W393" i="7"/>
  <c r="X393" i="7" s="1"/>
  <c r="W396" i="7"/>
  <c r="X396" i="7" s="1"/>
  <c r="W403" i="7"/>
  <c r="X403" i="7" s="1"/>
  <c r="H429" i="7"/>
  <c r="I429" i="7" s="1"/>
  <c r="AC441" i="7"/>
  <c r="AD441" i="7" s="1"/>
  <c r="W442" i="7"/>
  <c r="X442" i="7" s="1"/>
  <c r="O272" i="7"/>
  <c r="O276" i="7"/>
  <c r="O280" i="7"/>
  <c r="O288" i="7"/>
  <c r="O300" i="7"/>
  <c r="O304" i="7"/>
  <c r="O312" i="7"/>
  <c r="O316" i="7"/>
  <c r="AC342" i="7"/>
  <c r="AD342" i="7" s="1"/>
  <c r="AC344" i="7"/>
  <c r="AD344" i="7" s="1"/>
  <c r="AC368" i="7"/>
  <c r="AD368" i="7" s="1"/>
  <c r="AC393" i="7"/>
  <c r="AD393" i="7" s="1"/>
  <c r="AC396" i="7"/>
  <c r="AD396" i="7" s="1"/>
  <c r="AC403" i="7"/>
  <c r="AD403" i="7" s="1"/>
  <c r="N429" i="7"/>
  <c r="O429" i="7" s="1"/>
  <c r="AC442" i="7"/>
  <c r="AD442" i="7" s="1"/>
  <c r="Z198" i="7" l="1"/>
  <c r="AA172" i="7"/>
  <c r="Q345" i="6"/>
  <c r="R198" i="6"/>
  <c r="AC198" i="6"/>
  <c r="AD198" i="6" s="1"/>
  <c r="AC172" i="7"/>
  <c r="AD172" i="7" s="1"/>
  <c r="R172" i="7"/>
  <c r="Q198" i="7"/>
  <c r="W172" i="7"/>
  <c r="X172" i="7" s="1"/>
  <c r="B198" i="5"/>
  <c r="C172" i="5"/>
  <c r="N172" i="5"/>
  <c r="O172" i="5" s="1"/>
  <c r="H172" i="5"/>
  <c r="I172" i="5" s="1"/>
  <c r="U172" i="5"/>
  <c r="T198" i="5"/>
  <c r="C172" i="4"/>
  <c r="H172" i="4"/>
  <c r="I172" i="4" s="1"/>
  <c r="B198" i="4"/>
  <c r="N172" i="4"/>
  <c r="O172" i="4" s="1"/>
  <c r="AA172" i="3"/>
  <c r="Z198" i="3"/>
  <c r="E345" i="3"/>
  <c r="F198" i="3"/>
  <c r="T198" i="1"/>
  <c r="U172" i="1"/>
  <c r="T198" i="3"/>
  <c r="U172" i="3"/>
  <c r="R172" i="3"/>
  <c r="AC172" i="3"/>
  <c r="AD172" i="3" s="1"/>
  <c r="W172" i="3"/>
  <c r="X172" i="3" s="1"/>
  <c r="Q198" i="3"/>
  <c r="E198" i="1"/>
  <c r="F172" i="1"/>
  <c r="U345" i="4"/>
  <c r="T404" i="4"/>
  <c r="U198" i="2"/>
  <c r="T345" i="2"/>
  <c r="C172" i="2"/>
  <c r="N172" i="2"/>
  <c r="O172" i="2" s="1"/>
  <c r="H172" i="2"/>
  <c r="I172" i="2" s="1"/>
  <c r="B198" i="2"/>
  <c r="L345" i="1"/>
  <c r="K404" i="1"/>
  <c r="K345" i="6"/>
  <c r="L198" i="6"/>
  <c r="N172" i="1"/>
  <c r="O172" i="1" s="1"/>
  <c r="B198" i="1"/>
  <c r="H172" i="1"/>
  <c r="I172" i="1" s="1"/>
  <c r="C172" i="1"/>
  <c r="AA345" i="1"/>
  <c r="Z404" i="1"/>
  <c r="U172" i="6"/>
  <c r="T198" i="6"/>
  <c r="F198" i="4"/>
  <c r="E345" i="4"/>
  <c r="AA172" i="2"/>
  <c r="Z198" i="2"/>
  <c r="F198" i="2"/>
  <c r="E345" i="2"/>
  <c r="R345" i="1"/>
  <c r="AC345" i="1"/>
  <c r="AD345" i="1" s="1"/>
  <c r="Q404" i="1"/>
  <c r="T345" i="7"/>
  <c r="U198" i="7"/>
  <c r="E345" i="6"/>
  <c r="F198" i="6"/>
  <c r="K345" i="7"/>
  <c r="L198" i="7"/>
  <c r="Z345" i="5"/>
  <c r="AA198" i="5"/>
  <c r="Z198" i="4"/>
  <c r="AA172" i="4"/>
  <c r="E198" i="7"/>
  <c r="F172" i="7"/>
  <c r="K345" i="4"/>
  <c r="L198" i="4"/>
  <c r="B345" i="7"/>
  <c r="N198" i="7"/>
  <c r="O198" i="7" s="1"/>
  <c r="C198" i="7"/>
  <c r="Z404" i="6"/>
  <c r="AA345" i="6"/>
  <c r="E404" i="5"/>
  <c r="F345" i="5"/>
  <c r="R198" i="5"/>
  <c r="AC198" i="5"/>
  <c r="AD198" i="5" s="1"/>
  <c r="Q345" i="5"/>
  <c r="W198" i="5"/>
  <c r="X198" i="5" s="1"/>
  <c r="L345" i="2"/>
  <c r="K404" i="2"/>
  <c r="N172" i="6"/>
  <c r="O172" i="6" s="1"/>
  <c r="B198" i="6"/>
  <c r="H172" i="6"/>
  <c r="I172" i="6" s="1"/>
  <c r="C172" i="6"/>
  <c r="W172" i="4"/>
  <c r="X172" i="4" s="1"/>
  <c r="R172" i="4"/>
  <c r="AC172" i="4"/>
  <c r="AD172" i="4" s="1"/>
  <c r="Q198" i="4"/>
  <c r="K404" i="5"/>
  <c r="L345" i="5"/>
  <c r="C172" i="3"/>
  <c r="N172" i="3"/>
  <c r="O172" i="3" s="1"/>
  <c r="B198" i="3"/>
  <c r="H172" i="3"/>
  <c r="I172" i="3" s="1"/>
  <c r="L198" i="3"/>
  <c r="K345" i="3"/>
  <c r="W172" i="2"/>
  <c r="X172" i="2" s="1"/>
  <c r="R172" i="2"/>
  <c r="Q198" i="2"/>
  <c r="AC172" i="2"/>
  <c r="AD172" i="2" s="1"/>
  <c r="AC404" i="1" l="1"/>
  <c r="AD404" i="1" s="1"/>
  <c r="R404" i="1"/>
  <c r="Q443" i="1"/>
  <c r="F345" i="4"/>
  <c r="E404" i="4"/>
  <c r="H198" i="1"/>
  <c r="I198" i="1" s="1"/>
  <c r="B345" i="1"/>
  <c r="C198" i="1"/>
  <c r="N198" i="1"/>
  <c r="O198" i="1" s="1"/>
  <c r="W198" i="3"/>
  <c r="X198" i="3" s="1"/>
  <c r="Q345" i="3"/>
  <c r="AC198" i="3"/>
  <c r="AD198" i="3" s="1"/>
  <c r="R198" i="3"/>
  <c r="T345" i="5"/>
  <c r="U198" i="5"/>
  <c r="Z345" i="4"/>
  <c r="AA198" i="4"/>
  <c r="E404" i="3"/>
  <c r="F345" i="3"/>
  <c r="B345" i="6"/>
  <c r="H198" i="6"/>
  <c r="I198" i="6" s="1"/>
  <c r="C198" i="6"/>
  <c r="N198" i="6"/>
  <c r="O198" i="6" s="1"/>
  <c r="T345" i="6"/>
  <c r="U198" i="6"/>
  <c r="U345" i="2"/>
  <c r="T404" i="2"/>
  <c r="AA198" i="3"/>
  <c r="Z345" i="3"/>
  <c r="K443" i="5"/>
  <c r="L443" i="5" s="1"/>
  <c r="L404" i="5"/>
  <c r="F404" i="5"/>
  <c r="E443" i="5"/>
  <c r="F443" i="5" s="1"/>
  <c r="K404" i="4"/>
  <c r="L345" i="4"/>
  <c r="L345" i="7"/>
  <c r="K404" i="7"/>
  <c r="L345" i="6"/>
  <c r="K404" i="6"/>
  <c r="R198" i="2"/>
  <c r="W198" i="2"/>
  <c r="X198" i="2" s="1"/>
  <c r="Q345" i="2"/>
  <c r="AC198" i="2"/>
  <c r="AD198" i="2" s="1"/>
  <c r="L345" i="3"/>
  <c r="K404" i="3"/>
  <c r="L404" i="2"/>
  <c r="K443" i="2"/>
  <c r="L443" i="2" s="1"/>
  <c r="K443" i="1"/>
  <c r="L443" i="1" s="1"/>
  <c r="L404" i="1"/>
  <c r="U404" i="4"/>
  <c r="T443" i="4"/>
  <c r="U443" i="4" s="1"/>
  <c r="W198" i="6"/>
  <c r="X198" i="6" s="1"/>
  <c r="N345" i="7"/>
  <c r="O345" i="7" s="1"/>
  <c r="C345" i="7"/>
  <c r="B404" i="7"/>
  <c r="W198" i="4"/>
  <c r="X198" i="4" s="1"/>
  <c r="AC198" i="4"/>
  <c r="AD198" i="4" s="1"/>
  <c r="R198" i="4"/>
  <c r="Q345" i="4"/>
  <c r="E345" i="7"/>
  <c r="F198" i="7"/>
  <c r="E404" i="6"/>
  <c r="F345" i="6"/>
  <c r="T345" i="3"/>
  <c r="U198" i="3"/>
  <c r="H198" i="4"/>
  <c r="I198" i="4" s="1"/>
  <c r="B345" i="4"/>
  <c r="N198" i="4"/>
  <c r="O198" i="4" s="1"/>
  <c r="C198" i="4"/>
  <c r="B345" i="5"/>
  <c r="N198" i="5"/>
  <c r="O198" i="5" s="1"/>
  <c r="H198" i="5"/>
  <c r="I198" i="5" s="1"/>
  <c r="C198" i="5"/>
  <c r="Q404" i="6"/>
  <c r="AC345" i="6"/>
  <c r="AD345" i="6" s="1"/>
  <c r="W345" i="6"/>
  <c r="X345" i="6" s="1"/>
  <c r="R345" i="6"/>
  <c r="C198" i="3"/>
  <c r="B345" i="3"/>
  <c r="N198" i="3"/>
  <c r="O198" i="3" s="1"/>
  <c r="H198" i="3"/>
  <c r="I198" i="3" s="1"/>
  <c r="Z404" i="5"/>
  <c r="AA345" i="5"/>
  <c r="F345" i="2"/>
  <c r="E404" i="2"/>
  <c r="AA404" i="1"/>
  <c r="Z443" i="1"/>
  <c r="AA443" i="1" s="1"/>
  <c r="Z443" i="6"/>
  <c r="AA443" i="6" s="1"/>
  <c r="AA404" i="6"/>
  <c r="H198" i="7"/>
  <c r="I198" i="7" s="1"/>
  <c r="Z345" i="2"/>
  <c r="AA198" i="2"/>
  <c r="H198" i="2"/>
  <c r="I198" i="2" s="1"/>
  <c r="N198" i="2"/>
  <c r="O198" i="2" s="1"/>
  <c r="B345" i="2"/>
  <c r="C198" i="2"/>
  <c r="Q404" i="5"/>
  <c r="R345" i="5"/>
  <c r="AC345" i="5"/>
  <c r="AD345" i="5" s="1"/>
  <c r="W345" i="5"/>
  <c r="X345" i="5" s="1"/>
  <c r="T404" i="7"/>
  <c r="U345" i="7"/>
  <c r="F198" i="1"/>
  <c r="E345" i="1"/>
  <c r="T345" i="1"/>
  <c r="U198" i="1"/>
  <c r="W198" i="1"/>
  <c r="X198" i="1" s="1"/>
  <c r="Q345" i="7"/>
  <c r="AC198" i="7"/>
  <c r="AD198" i="7" s="1"/>
  <c r="W198" i="7"/>
  <c r="X198" i="7" s="1"/>
  <c r="R198" i="7"/>
  <c r="Z345" i="7"/>
  <c r="AA198" i="7"/>
  <c r="W345" i="7" l="1"/>
  <c r="X345" i="7" s="1"/>
  <c r="R345" i="7"/>
  <c r="Q404" i="7"/>
  <c r="AC345" i="7"/>
  <c r="AD345" i="7" s="1"/>
  <c r="B404" i="3"/>
  <c r="C345" i="3"/>
  <c r="N345" i="3"/>
  <c r="O345" i="3" s="1"/>
  <c r="H345" i="3"/>
  <c r="I345" i="3" s="1"/>
  <c r="B443" i="7"/>
  <c r="N404" i="7"/>
  <c r="O404" i="7" s="1"/>
  <c r="C404" i="7"/>
  <c r="B404" i="5"/>
  <c r="C345" i="5"/>
  <c r="N345" i="5"/>
  <c r="O345" i="5" s="1"/>
  <c r="H345" i="5"/>
  <c r="I345" i="5" s="1"/>
  <c r="E443" i="6"/>
  <c r="F443" i="6" s="1"/>
  <c r="F404" i="6"/>
  <c r="L404" i="6"/>
  <c r="K443" i="6"/>
  <c r="L443" i="6" s="1"/>
  <c r="B404" i="1"/>
  <c r="H345" i="1"/>
  <c r="I345" i="1" s="1"/>
  <c r="C345" i="1"/>
  <c r="N345" i="1"/>
  <c r="O345" i="1" s="1"/>
  <c r="T443" i="7"/>
  <c r="U443" i="7" s="1"/>
  <c r="U404" i="7"/>
  <c r="F404" i="2"/>
  <c r="E443" i="2"/>
  <c r="F443" i="2" s="1"/>
  <c r="T404" i="5"/>
  <c r="U345" i="5"/>
  <c r="F345" i="7"/>
  <c r="E404" i="7"/>
  <c r="H345" i="7"/>
  <c r="I345" i="7" s="1"/>
  <c r="L404" i="3"/>
  <c r="K443" i="3"/>
  <c r="L443" i="3" s="1"/>
  <c r="L404" i="7"/>
  <c r="K443" i="7"/>
  <c r="L443" i="7" s="1"/>
  <c r="Z404" i="3"/>
  <c r="AA345" i="3"/>
  <c r="E443" i="4"/>
  <c r="F443" i="4" s="1"/>
  <c r="F404" i="4"/>
  <c r="H345" i="4"/>
  <c r="I345" i="4" s="1"/>
  <c r="B404" i="4"/>
  <c r="N345" i="4"/>
  <c r="O345" i="4" s="1"/>
  <c r="C345" i="4"/>
  <c r="W345" i="4"/>
  <c r="X345" i="4" s="1"/>
  <c r="Q404" i="4"/>
  <c r="AC345" i="4"/>
  <c r="AD345" i="4" s="1"/>
  <c r="R345" i="4"/>
  <c r="B404" i="6"/>
  <c r="N345" i="6"/>
  <c r="O345" i="6" s="1"/>
  <c r="H345" i="6"/>
  <c r="I345" i="6" s="1"/>
  <c r="C345" i="6"/>
  <c r="Z404" i="2"/>
  <c r="AA345" i="2"/>
  <c r="Z443" i="5"/>
  <c r="AA443" i="5" s="1"/>
  <c r="AA404" i="5"/>
  <c r="Q443" i="6"/>
  <c r="AC404" i="6"/>
  <c r="AD404" i="6" s="1"/>
  <c r="R404" i="6"/>
  <c r="U404" i="2"/>
  <c r="T443" i="2"/>
  <c r="U443" i="2" s="1"/>
  <c r="Q404" i="3"/>
  <c r="R345" i="3"/>
  <c r="W345" i="3"/>
  <c r="X345" i="3" s="1"/>
  <c r="AC345" i="3"/>
  <c r="AD345" i="3" s="1"/>
  <c r="R443" i="1"/>
  <c r="AC443" i="1"/>
  <c r="AD443" i="1" s="1"/>
  <c r="T404" i="1"/>
  <c r="U345" i="1"/>
  <c r="W345" i="1"/>
  <c r="X345" i="1" s="1"/>
  <c r="Q443" i="5"/>
  <c r="AC404" i="5"/>
  <c r="AD404" i="5" s="1"/>
  <c r="R404" i="5"/>
  <c r="R345" i="2"/>
  <c r="AC345" i="2"/>
  <c r="AD345" i="2" s="1"/>
  <c r="Q404" i="2"/>
  <c r="W345" i="2"/>
  <c r="X345" i="2" s="1"/>
  <c r="K443" i="4"/>
  <c r="L443" i="4" s="1"/>
  <c r="L404" i="4"/>
  <c r="E443" i="3"/>
  <c r="F443" i="3" s="1"/>
  <c r="F404" i="3"/>
  <c r="Z404" i="7"/>
  <c r="AA345" i="7"/>
  <c r="F345" i="1"/>
  <c r="E404" i="1"/>
  <c r="T404" i="3"/>
  <c r="U345" i="3"/>
  <c r="H345" i="2"/>
  <c r="I345" i="2" s="1"/>
  <c r="N345" i="2"/>
  <c r="O345" i="2" s="1"/>
  <c r="B404" i="2"/>
  <c r="C345" i="2"/>
  <c r="U345" i="6"/>
  <c r="T404" i="6"/>
  <c r="W404" i="6" s="1"/>
  <c r="X404" i="6" s="1"/>
  <c r="Z404" i="4"/>
  <c r="AA345" i="4"/>
  <c r="R404" i="2" l="1"/>
  <c r="AC404" i="2"/>
  <c r="AD404" i="2" s="1"/>
  <c r="Q443" i="2"/>
  <c r="W404" i="2"/>
  <c r="X404" i="2" s="1"/>
  <c r="W404" i="3"/>
  <c r="X404" i="3" s="1"/>
  <c r="Q443" i="3"/>
  <c r="AC404" i="3"/>
  <c r="AD404" i="3" s="1"/>
  <c r="R404" i="3"/>
  <c r="F404" i="7"/>
  <c r="E443" i="7"/>
  <c r="F443" i="7" s="1"/>
  <c r="T443" i="1"/>
  <c r="U404" i="1"/>
  <c r="W404" i="1"/>
  <c r="X404" i="1" s="1"/>
  <c r="W404" i="4"/>
  <c r="X404" i="4" s="1"/>
  <c r="R404" i="4"/>
  <c r="AC404" i="4"/>
  <c r="AD404" i="4" s="1"/>
  <c r="Q443" i="4"/>
  <c r="Z443" i="3"/>
  <c r="AA443" i="3" s="1"/>
  <c r="AA404" i="3"/>
  <c r="T443" i="5"/>
  <c r="U443" i="5" s="1"/>
  <c r="U404" i="5"/>
  <c r="H404" i="1"/>
  <c r="I404" i="1" s="1"/>
  <c r="N404" i="1"/>
  <c r="O404" i="1" s="1"/>
  <c r="C404" i="1"/>
  <c r="B443" i="1"/>
  <c r="H404" i="5"/>
  <c r="I404" i="5" s="1"/>
  <c r="B443" i="5"/>
  <c r="N404" i="5"/>
  <c r="O404" i="5" s="1"/>
  <c r="C404" i="5"/>
  <c r="B443" i="3"/>
  <c r="N404" i="3"/>
  <c r="O404" i="3" s="1"/>
  <c r="H404" i="3"/>
  <c r="I404" i="3" s="1"/>
  <c r="C404" i="3"/>
  <c r="H404" i="2"/>
  <c r="I404" i="2" s="1"/>
  <c r="B443" i="2"/>
  <c r="C404" i="2"/>
  <c r="N404" i="2"/>
  <c r="O404" i="2" s="1"/>
  <c r="W443" i="5"/>
  <c r="X443" i="5" s="1"/>
  <c r="AC443" i="5"/>
  <c r="AD443" i="5" s="1"/>
  <c r="R443" i="5"/>
  <c r="W404" i="7"/>
  <c r="X404" i="7" s="1"/>
  <c r="R404" i="7"/>
  <c r="Q443" i="7"/>
  <c r="AC404" i="7"/>
  <c r="AD404" i="7" s="1"/>
  <c r="H404" i="4"/>
  <c r="I404" i="4" s="1"/>
  <c r="B443" i="4"/>
  <c r="N404" i="4"/>
  <c r="O404" i="4" s="1"/>
  <c r="C404" i="4"/>
  <c r="Z443" i="4"/>
  <c r="AA443" i="4" s="1"/>
  <c r="AA404" i="4"/>
  <c r="T443" i="3"/>
  <c r="U443" i="3" s="1"/>
  <c r="U404" i="3"/>
  <c r="W404" i="5"/>
  <c r="X404" i="5" s="1"/>
  <c r="AC443" i="6"/>
  <c r="AD443" i="6" s="1"/>
  <c r="R443" i="6"/>
  <c r="B443" i="6"/>
  <c r="N404" i="6"/>
  <c r="O404" i="6" s="1"/>
  <c r="H404" i="6"/>
  <c r="I404" i="6" s="1"/>
  <c r="C404" i="6"/>
  <c r="H443" i="7"/>
  <c r="I443" i="7" s="1"/>
  <c r="N443" i="7"/>
  <c r="O443" i="7" s="1"/>
  <c r="C443" i="7"/>
  <c r="AA404" i="7"/>
  <c r="Z443" i="7"/>
  <c r="AA443" i="7" s="1"/>
  <c r="Z443" i="2"/>
  <c r="AA443" i="2" s="1"/>
  <c r="AA404" i="2"/>
  <c r="U404" i="6"/>
  <c r="T443" i="6"/>
  <c r="U443" i="6" s="1"/>
  <c r="F404" i="1"/>
  <c r="E443" i="1"/>
  <c r="F443" i="1" s="1"/>
  <c r="H404" i="7"/>
  <c r="I404" i="7" s="1"/>
  <c r="W443" i="4" l="1"/>
  <c r="X443" i="4" s="1"/>
  <c r="AC443" i="4"/>
  <c r="AD443" i="4" s="1"/>
  <c r="R443" i="4"/>
  <c r="W443" i="6"/>
  <c r="X443" i="6" s="1"/>
  <c r="H443" i="4"/>
  <c r="I443" i="4" s="1"/>
  <c r="N443" i="4"/>
  <c r="O443" i="4" s="1"/>
  <c r="C443" i="4"/>
  <c r="N443" i="3"/>
  <c r="O443" i="3" s="1"/>
  <c r="H443" i="3"/>
  <c r="I443" i="3" s="1"/>
  <c r="C443" i="3"/>
  <c r="W443" i="3"/>
  <c r="X443" i="3" s="1"/>
  <c r="AC443" i="3"/>
  <c r="AD443" i="3" s="1"/>
  <c r="R443" i="3"/>
  <c r="W443" i="7"/>
  <c r="X443" i="7" s="1"/>
  <c r="R443" i="7"/>
  <c r="AC443" i="7"/>
  <c r="AD443" i="7" s="1"/>
  <c r="H443" i="2"/>
  <c r="I443" i="2" s="1"/>
  <c r="C443" i="2"/>
  <c r="N443" i="2"/>
  <c r="O443" i="2" s="1"/>
  <c r="H443" i="5"/>
  <c r="I443" i="5" s="1"/>
  <c r="N443" i="5"/>
  <c r="O443" i="5" s="1"/>
  <c r="C443" i="5"/>
  <c r="U443" i="1"/>
  <c r="W443" i="1"/>
  <c r="X443" i="1" s="1"/>
  <c r="R443" i="2"/>
  <c r="W443" i="2"/>
  <c r="X443" i="2" s="1"/>
  <c r="AC443" i="2"/>
  <c r="AD443" i="2" s="1"/>
  <c r="N443" i="6"/>
  <c r="O443" i="6" s="1"/>
  <c r="H443" i="6"/>
  <c r="I443" i="6" s="1"/>
  <c r="C443" i="6"/>
  <c r="H443" i="1"/>
  <c r="I443" i="1" s="1"/>
  <c r="N443" i="1"/>
  <c r="O443" i="1" s="1"/>
  <c r="C443" i="1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<sst xmlns="http://schemas.openxmlformats.org/spreadsheetml/2006/main" count="3934" uniqueCount="417">
  <si>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</si>
  <si>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02/22/2026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</si>
  <si>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</si>
  <si>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</si>
  <si>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</si>
  <si>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</si>
  <si>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</si>
  <si>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</si>
  <si>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</si>
  <si>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</si>
  <si>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</si>
  <si>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</si>
  <si>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</si>
  <si>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</si>
  <si>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</si>
  <si>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</si>
  <si>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</si>
  <si>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</si>
  <si>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</si>
  <si>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</si>
  <si>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</si>
  <si>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</si>
  <si>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</si>
  <si>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</si>
  <si>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</si>
  <si>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</si>
  <si>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</si>
  <si>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</si>
  <si>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</si>
  <si>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</si>
  <si>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</si>
  <si>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</si>
  <si>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</si>
  <si>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</si>
  <si>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</si>
  <si>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</si>
  <si>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</si>
  <si>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</si>
  <si>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</si>
  <si>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</si>
  <si>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</si>
  <si>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</si>
  <si>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</si>
  <si>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</si>
  <si>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</si>
  <si>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</si>
  <si>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</si>
  <si>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</si>
  <si>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</si>
  <si>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</si>
  <si>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</si>
  <si>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</si>
  <si>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</si>
  <si>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</si>
  <si>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</si>
  <si>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</si>
  <si>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</si>
  <si>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</si>
  <si>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</si>
  <si>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</si>
  <si>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</si>
  <si>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</si>
  <si>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</si>
  <si>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</si>
  <si>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</si>
  <si>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</si>
  <si>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</si>
  <si>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</si>
  <si>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</si>
  <si>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</si>
  <si>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</si>
  <si>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</si>
  <si>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</si>
  <si>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</si>
  <si>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</si>
  <si>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</si>
  <si>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</si>
  <si>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</si>
  <si>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</si>
  <si>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</si>
  <si>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</si>
  <si>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</si>
  <si>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</si>
  <si>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</si>
  <si>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</si>
  <si>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</si>
  <si>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</si>
  <si>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</si>
  <si>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</si>
  <si>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</si>
  <si>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</si>
  <si>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</si>
  <si>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</si>
  <si>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</si>
  <si>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</si>
  <si>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</si>
  <si>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</si>
  <si>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</si>
  <si>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</si>
  <si>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</si>
  <si>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</si>
  <si>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</si>
  <si>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</si>
  <si>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</si>
  <si>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</si>
  <si>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</si>
  <si>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</si>
  <si>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</si>
  <si>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</si>
  <si>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</si>
  <si>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</si>
  <si>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</si>
  <si>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</si>
  <si>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</si>
  <si>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</si>
  <si>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</si>
  <si>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</si>
  <si>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</si>
  <si>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</si>
  <si>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</si>
  <si>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</si>
  <si>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</si>
  <si>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</si>
  <si>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</si>
  <si>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</si>
  <si>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</si>
  <si>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</si>
  <si>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</si>
  <si>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</si>
  <si>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</si>
  <si>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</si>
  <si>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</si>
  <si>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</si>
  <si>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</si>
  <si>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</si>
  <si>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</si>
  <si>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</si>
  <si>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</si>
  <si>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</si>
  <si>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</si>
  <si>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</si>
  <si>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</si>
  <si>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</si>
  <si>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</si>
  <si>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</si>
  <si>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</si>
  <si>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</si>
  <si>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</si>
  <si>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</si>
  <si>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</si>
  <si>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</si>
  <si>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</si>
  <si>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</si>
  <si>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</si>
  <si>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</si>
  <si>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</si>
  <si>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</si>
  <si>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</si>
  <si>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</si>
  <si>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</si>
  <si>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</si>
  <si>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</si>
  <si>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</si>
  <si>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</si>
  <si>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</si>
  <si>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</si>
  <si>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</si>
  <si>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</si>
  <si>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</si>
  <si>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</si>
  <si>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</si>
  <si>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</si>
  <si>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</si>
  <si>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</si>
  <si>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</si>
  <si>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</si>
  <si>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</si>
  <si>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</si>
  <si>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</si>
  <si>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</si>
  <si>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</si>
  <si>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</si>
  <si>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</si>
  <si>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</si>
  <si>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</si>
  <si>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</si>
  <si>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</si>
  <si>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</si>
  <si>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</si>
  <si>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</si>
  <si>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</si>
  <si>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</si>
  <si>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</si>
  <si>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</si>
  <si>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</si>
  <si>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</si>
  <si>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</si>
  <si>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</si>
  <si>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</si>
  <si>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</si>
  <si>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</si>
  <si>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</si>
  <si>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</si>
  <si>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</si>
  <si>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</si>
  <si>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</si>
  <si>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</si>
  <si>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</si>
  <si>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</si>
  <si>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</si>
  <si>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</si>
  <si>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</si>
  <si>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Thanx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</si>
  <si>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</si>
  <si>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</si>
  <si>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</si>
  <si>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</si>
  <si>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</si>
  <si>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</si>
  <si>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</si>
  <si>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</si>
  <si>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</si>
  <si>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</si>
  <si>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</si>
  <si>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</si>
  <si>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</si>
  <si>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</si>
  <si>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</si>
  <si>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</si>
  <si>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</si>
  <si>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</si>
  <si>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</si>
  <si>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</si>
  <si>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</si>
  <si>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</si>
  <si>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</si>
  <si>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</si>
  <si>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</si>
  <si>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</si>
  <si>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</si>
  <si>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</si>
  <si>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</si>
  <si>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</si>
  <si>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</si>
  <si>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</si>
  <si>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</si>
  <si>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</si>
  <si>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</si>
  <si>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</si>
  <si>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</si>
  <si>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</si>
  <si>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</si>
  <si>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</si>
  <si>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</si>
  <si>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</si>
  <si>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</si>
  <si>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</si>
  <si>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</si>
  <si>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</si>
  <si>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</si>
  <si>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</si>
  <si>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</si>
  <si>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</si>
  <si>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</si>
  <si>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</si>
  <si>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</si>
  <si>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</si>
  <si>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</si>
  <si>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</si>
  <si>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</si>
  <si>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</si>
  <si>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</si>
  <si>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</si>
  <si>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</si>
  <si>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</si>
  <si>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</si>
  <si>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</si>
  <si>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</si>
  <si>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</si>
  <si>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</si>
  <si>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</si>
  <si>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</si>
  <si>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</si>
  <si>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</si>
  <si>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</si>
  <si>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</si>
  <si>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</si>
  <si>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</si>
  <si>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</si>
  <si>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</si>
  <si>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</si>
  <si>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</si>
  <si>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</si>
  <si>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</si>
  <si>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</si>
  <si>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</si>
  <si>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</si>
  <si>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</si>
  <si>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</si>
  <si>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</si>
  <si>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</si>
  <si>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</si>
  <si>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</si>
  <si>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</si>
  <si>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</si>
  <si>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</si>
  <si>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</si>
  <si>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</si>
  <si>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</si>
  <si>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</si>
  <si>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</si>
  <si>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</si>
  <si>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</si>
  <si>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</si>
  <si>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</si>
  <si>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</si>
  <si>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</si>
  <si>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</si>
  <si>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</si>
  <si>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</si>
  <si>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</si>
  <si>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</si>
  <si>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</si>
  <si>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</si>
  <si>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</si>
  <si>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</si>
  <si>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</si>
  <si>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</si>
  <si>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</si>
  <si>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</si>
  <si>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</si>
  <si>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</si>
  <si>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</si>
  <si>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</si>
  <si>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</si>
  <si>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</si>
  <si>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</si>
  <si>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</si>
  <si>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</si>
  <si>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</si>
  <si>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</si>
  <si>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</si>
  <si>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</si>
  <si>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</si>
  <si>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</si>
  <si>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</si>
  <si>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</si>
  <si>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</si>
  <si>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</si>
  <si>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</si>
  <si>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</si>
  <si>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</si>
  <si>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</si>
  <si>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</si>
  <si>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</si>
  <si>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</si>
  <si>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</si>
  <si>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</si>
  <si>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</si>
  <si>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</si>
  <si>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</si>
  <si>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</si>
  <si>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</si>
  <si>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</si>
  <si>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</si>
  <si>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</si>
  <si>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</si>
  <si>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</si>
  <si>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</si>
  <si>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</si>
  <si>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</si>
  <si>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</si>
  <si>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</si>
  <si>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</si>
  <si>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</si>
  <si>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</si>
  <si>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</si>
  <si>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</si>
  <si>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</si>
  <si>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</si>
  <si>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</si>
  <si>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</si>
  <si>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</si>
  <si>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</si>
  <si>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</si>
  <si>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</si>
  <si>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</si>
  <si>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</si>
  <si>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</si>
  <si>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</si>
  <si>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</si>
  <si>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</si>
  <si>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</si>
  <si>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</si>
  <si>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</si>
  <si>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</si>
  <si>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</si>
  <si>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</si>
  <si>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</si>
  <si>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</si>
  <si>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</si>
  <si>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</si>
  <si>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</si>
  <si>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</si>
  <si>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</si>
  <si>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</si>
  <si>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</si>
  <si>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</si>
  <si>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</si>
  <si>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</si>
  <si>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04/06/2026 07:06 PM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</si>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</sst>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209385.56</v>
      </c>
      <c r="F10" s="8">
        <f>IFERROR(E10/E444, "NA")</f>
        <v>0.41642806252054437</v>
      </c>
      <c r="G10" s="9"/>
      <c r="H10" s="10">
        <f t="shared" ref="H10:H19" si="0">IFERROR(B10-E10, "NA")</f>
        <v>-209385.56</v>
      </c>
      <c r="I10" s="8">
        <f>IFERROR(H10/H444, "NA")</f>
        <v>10.017489235479859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396525.13</v>
      </c>
      <c r="U10" s="8">
        <f>IFERROR(T10/T444, "NA")</f>
        <v>0.41672746052984533</v>
      </c>
      <c r="V10" s="9"/>
      <c r="W10" s="10">
        <f t="shared" ref="W10:W19" si="2">IFERROR(Q10-T10, "NA")</f>
        <v>-396525.13</v>
      </c>
      <c r="X10" s="8">
        <f>IFERROR(W10/W444, "NA")</f>
        <v>11.474158880262522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148902.21</v>
      </c>
      <c r="C11" s="8">
        <f>IFERROR(B11/B444, "NA")</f>
        <v>0.30898262020345318</v>
      </c>
      <c r="D11" s="9"/>
      <c r="E11" s="7">
        <v>0</v>
      </c>
      <c r="F11" s="8">
        <f>IFERROR(E11/E444, "NA")</f>
        <v>0</v>
      </c>
      <c r="G11" s="9"/>
      <c r="H11" s="10">
        <f t="shared" si="0"/>
        <v>148902.21</v>
      </c>
      <c r="I11" s="8">
        <f>IFERROR(H11/H444, "NA")</f>
        <v>-7.1238259496698877</v>
      </c>
      <c r="J11" s="9"/>
      <c r="K11" s="7">
        <v>175033.71</v>
      </c>
      <c r="L11" s="8">
        <f>IFERROR(K11/K444, "NA")</f>
        <v>0.36607085156067354</v>
      </c>
      <c r="M11" s="9"/>
      <c r="N11" s="10">
        <f t="shared" si="1"/>
        <v>-26131.5</v>
      </c>
      <c r="O11" s="8">
        <f>IFERROR(N11/N444, "NA")</f>
        <v>-6.9320575330401617</v>
      </c>
      <c r="P11" s="9"/>
      <c r="Q11" s="7">
        <v>323539.58</v>
      </c>
      <c r="R11" s="8">
        <f>IFERROR(Q11/Q444, "NA")</f>
        <v>0.35283805990158518</v>
      </c>
      <c r="S11" s="9"/>
      <c r="T11" s="7">
        <v>0</v>
      </c>
      <c r="U11" s="8">
        <f>IFERROR(T11/T444, "NA")</f>
        <v>0</v>
      </c>
      <c r="V11" s="9"/>
      <c r="W11" s="10">
        <f t="shared" si="2"/>
        <v>323539.58</v>
      </c>
      <c r="X11" s="8">
        <f>IFERROR(W11/W444, "NA")</f>
        <v>-9.3621923658997517</v>
      </c>
      <c r="Y11" s="9"/>
      <c r="Z11" s="7">
        <v>333026.74</v>
      </c>
      <c r="AA11" s="8">
        <f>IFERROR(Z11/Z444, "NA")</f>
        <v>0.36448266961133347</v>
      </c>
      <c r="AB11" s="9"/>
      <c r="AC11" s="10">
        <f t="shared" si="3"/>
        <v>-9487.1599999999744</v>
      </c>
      <c r="AD11" s="8">
        <f>IFERROR(AC11/AC444, "NA")</f>
        <v>-2.9045319976854018</v>
      </c>
    </row>
    <row r="12" spans="1:30" ht="16.5" customHeight="1" x14ac:dyDescent="0.45">
      <c r="A12" s="12" t="s">
        <v>14</v>
      </c>
      <c r="B12" s="7">
        <v>14172.300000000001</v>
      </c>
      <c r="C12" s="8">
        <f>IFERROR(B12/B444, "NA")</f>
        <v>2.9408525154256609E-2</v>
      </c>
      <c r="D12" s="9"/>
      <c r="E12" s="7">
        <v>0</v>
      </c>
      <c r="F12" s="8">
        <f>IFERROR(E12/E444, "NA")</f>
        <v>0</v>
      </c>
      <c r="G12" s="9"/>
      <c r="H12" s="10">
        <f t="shared" si="0"/>
        <v>14172.300000000001</v>
      </c>
      <c r="I12" s="8">
        <f>IFERROR(H12/H444, "NA")</f>
        <v>-0.67803559467993502</v>
      </c>
      <c r="J12" s="9"/>
      <c r="K12" s="7">
        <v>16686.05</v>
      </c>
      <c r="L12" s="8">
        <f>IFERROR(K12/K444, "NA")</f>
        <v>3.4897715032629867E-2</v>
      </c>
      <c r="M12" s="9"/>
      <c r="N12" s="10">
        <f t="shared" si="1"/>
        <v>-2513.7499999999982</v>
      </c>
      <c r="O12" s="8">
        <f>IFERROR(N12/N444, "NA")</f>
        <v>-0.66683732750434133</v>
      </c>
      <c r="P12" s="9"/>
      <c r="Q12" s="7">
        <v>31206.45</v>
      </c>
      <c r="R12" s="8">
        <f>IFERROR(Q12/Q444, "NA")</f>
        <v>3.4032384150389956E-2</v>
      </c>
      <c r="S12" s="9"/>
      <c r="T12" s="7">
        <v>0</v>
      </c>
      <c r="U12" s="8">
        <f>IFERROR(T12/T444, "NA")</f>
        <v>0</v>
      </c>
      <c r="V12" s="9"/>
      <c r="W12" s="10">
        <f t="shared" si="2"/>
        <v>31206.45</v>
      </c>
      <c r="X12" s="8">
        <f>IFERROR(W12/W444, "NA")</f>
        <v>-0.90301405459212225</v>
      </c>
      <c r="Y12" s="9"/>
      <c r="Z12" s="7">
        <v>31989.599999999999</v>
      </c>
      <c r="AA12" s="8">
        <f>IFERROR(Z12/Z444, "NA")</f>
        <v>3.5011166994574405E-2</v>
      </c>
      <c r="AB12" s="9"/>
      <c r="AC12" s="10">
        <f t="shared" si="3"/>
        <v>-783.14999999999782</v>
      </c>
      <c r="AD12" s="8">
        <f>IFERROR(AC12/AC444, "NA")</f>
        <v>-0.23976450634197399</v>
      </c>
    </row>
    <row r="13" spans="1:30" ht="16.5" customHeight="1" x14ac:dyDescent="0.45">
      <c r="A13" s="12" t="s">
        <v>15</v>
      </c>
      <c r="B13" s="7">
        <v>388</v>
      </c>
      <c r="C13" s="8">
        <f>IFERROR(B13/B444, "NA")</f>
        <v>8.0512745001528078E-4</v>
      </c>
      <c r="D13" s="9"/>
      <c r="E13" s="7">
        <v>0</v>
      </c>
      <c r="F13" s="8">
        <f>IFERROR(E13/E444, "NA")</f>
        <v>0</v>
      </c>
      <c r="G13" s="9"/>
      <c r="H13" s="10">
        <f t="shared" si="0"/>
        <v>388</v>
      </c>
      <c r="I13" s="8">
        <f>IFERROR(H13/H444, "NA")</f>
        <v>-1.8562816955315281E-2</v>
      </c>
      <c r="J13" s="9"/>
      <c r="K13" s="7">
        <v>594</v>
      </c>
      <c r="L13" s="8">
        <f>IFERROR(K13/K444, "NA")</f>
        <v>1.2423097575149386E-3</v>
      </c>
      <c r="M13" s="9"/>
      <c r="N13" s="10">
        <f t="shared" si="1"/>
        <v>-206</v>
      </c>
      <c r="O13" s="8">
        <f>IFERROR(N13/N444, "NA")</f>
        <v>-5.464683817638763E-2</v>
      </c>
      <c r="P13" s="9"/>
      <c r="Q13" s="7">
        <v>858.5</v>
      </c>
      <c r="R13" s="8">
        <f>IFERROR(Q13/Q444, "NA")</f>
        <v>9.3624240479483491E-4</v>
      </c>
      <c r="S13" s="9"/>
      <c r="T13" s="7">
        <v>0</v>
      </c>
      <c r="U13" s="8">
        <f>IFERROR(T13/T444, "NA")</f>
        <v>0</v>
      </c>
      <c r="V13" s="9"/>
      <c r="W13" s="10">
        <f t="shared" si="2"/>
        <v>858.5</v>
      </c>
      <c r="X13" s="8">
        <f>IFERROR(W13/W444, "NA")</f>
        <v>-2.4842222228652632E-2</v>
      </c>
      <c r="Y13" s="9"/>
      <c r="Z13" s="7">
        <v>1024</v>
      </c>
      <c r="AA13" s="8">
        <f>IFERROR(Z13/Z444, "NA")</f>
        <v>1.1207215783393413E-3</v>
      </c>
      <c r="AB13" s="9"/>
      <c r="AC13" s="10">
        <f t="shared" si="3"/>
        <v>-165.5</v>
      </c>
      <c r="AD13" s="8">
        <f>IFERROR(AC13/AC444, "NA")</f>
        <v>-5.0668487262461606E-2</v>
      </c>
    </row>
    <row r="14" spans="1:30" ht="16.5" customHeight="1" x14ac:dyDescent="0.45">
      <c r="A14" s="12" t="s">
        <v>16</v>
      </c>
      <c r="B14" s="7">
        <v>85</v>
      </c>
      <c r="C14" s="8">
        <f>IFERROR(B14/B444, "NA")</f>
        <v>1.7638101353427543E-4</v>
      </c>
      <c r="D14" s="9"/>
      <c r="E14" s="7">
        <v>0</v>
      </c>
      <c r="F14" s="8">
        <f>IFERROR(E14/E444, "NA")</f>
        <v>0</v>
      </c>
      <c r="G14" s="9"/>
      <c r="H14" s="10">
        <f t="shared" si="0"/>
        <v>85</v>
      </c>
      <c r="I14" s="8">
        <f>IFERROR(H14/H444, "NA")</f>
        <v>-4.0665964979427803E-3</v>
      </c>
      <c r="J14" s="9"/>
      <c r="K14" s="7">
        <v>1240</v>
      </c>
      <c r="L14" s="8">
        <f>IFERROR(K14/K444, "NA")</f>
        <v>2.5933739045766397E-3</v>
      </c>
      <c r="M14" s="9"/>
      <c r="N14" s="10">
        <f t="shared" si="1"/>
        <v>-1155</v>
      </c>
      <c r="O14" s="8">
        <f>IFERROR(N14/N444, "NA")</f>
        <v>-0.30639368006663942</v>
      </c>
      <c r="P14" s="9"/>
      <c r="Q14" s="7">
        <v>175</v>
      </c>
      <c r="R14" s="8">
        <f>IFERROR(Q14/Q444, "NA")</f>
        <v>1.9084731606184752E-4</v>
      </c>
      <c r="S14" s="9"/>
      <c r="T14" s="7">
        <v>0</v>
      </c>
      <c r="U14" s="8">
        <f>IFERROR(T14/T444, "NA")</f>
        <v>0</v>
      </c>
      <c r="V14" s="9"/>
      <c r="W14" s="10">
        <f t="shared" si="2"/>
        <v>175</v>
      </c>
      <c r="X14" s="8">
        <f>IFERROR(W14/W444, "NA")</f>
        <v>-5.0639358066560409E-3</v>
      </c>
      <c r="Y14" s="9"/>
      <c r="Z14" s="7">
        <v>2290</v>
      </c>
      <c r="AA14" s="8">
        <f>IFERROR(Z14/Z444, "NA")</f>
        <v>2.5063011859346599E-3</v>
      </c>
      <c r="AB14" s="9"/>
      <c r="AC14" s="10">
        <f t="shared" si="3"/>
        <v>-2115</v>
      </c>
      <c r="AD14" s="8">
        <f>IFERROR(AC14/AC444, "NA")</f>
        <v>-0.64751571335411662</v>
      </c>
    </row>
    <row r="15" spans="1:30" ht="16.5" customHeight="1" x14ac:dyDescent="0.45">
      <c r="A15" s="12" t="s">
        <v>17</v>
      </c>
      <c r="B15" s="7">
        <v>216</v>
      </c>
      <c r="C15" s="8">
        <f>IFERROR(B15/B444, "NA")</f>
        <v>4.4821528145180578E-4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216</v>
      </c>
      <c r="I15" s="8">
        <f>IFERROR(H15/H444, "NA")</f>
        <v>-1.0333939335948714E-2</v>
      </c>
      <c r="J15" s="9"/>
      <c r="K15" s="7">
        <v>229</v>
      </c>
      <c r="L15" s="8">
        <f>IFERROR(K15/K444, "NA")</f>
        <v>4.7893760011939556E-4</v>
      </c>
      <c r="M15" s="9"/>
      <c r="N15" s="10">
        <f t="shared" si="1"/>
        <v>-13</v>
      </c>
      <c r="O15" s="8">
        <f>IFERROR(N15/N444, "NA")</f>
        <v>-3.4485868752089283E-3</v>
      </c>
      <c r="P15" s="9"/>
      <c r="Q15" s="7">
        <v>388</v>
      </c>
      <c r="R15" s="8">
        <f>IFERROR(Q15/Q444, "NA")</f>
        <v>4.2313576361141053E-4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388</v>
      </c>
      <c r="X15" s="8">
        <f>IFERROR(W15/W444, "NA")</f>
        <v>-1.1227469102757393E-2</v>
      </c>
      <c r="Y15" s="9"/>
      <c r="Z15" s="7">
        <v>376.5</v>
      </c>
      <c r="AA15" s="8">
        <f>IFERROR(Z15/Z444, "NA")</f>
        <v>4.1206218187965038E-4</v>
      </c>
      <c r="AB15" s="9"/>
      <c r="AC15" s="10">
        <f t="shared" si="3"/>
        <v>11.5</v>
      </c>
      <c r="AD15" s="8">
        <f>IFERROR(AC15/AC444, "NA")</f>
        <v>3.5207710182375137E-3</v>
      </c>
    </row>
    <row r="16" spans="1:30" ht="16.5" customHeight="1" x14ac:dyDescent="0.45">
      <c r="A16" s="12" t="s">
        <v>18</v>
      </c>
      <c r="B16" s="7">
        <v>1</v>
      </c>
      <c r="C16" s="8">
        <f>IFERROR(B16/B444, "NA")</f>
        <v>2.0750707474620638E-6</v>
      </c>
      <c r="D16" s="9"/>
      <c r="E16" s="7">
        <v>0</v>
      </c>
      <c r="F16" s="8">
        <f>IFERROR(E16/E444, "NA")</f>
        <v>0</v>
      </c>
      <c r="G16" s="9"/>
      <c r="H16" s="10">
        <f t="shared" si="0"/>
        <v>1</v>
      </c>
      <c r="I16" s="8">
        <f>IFERROR(H16/H444, "NA")</f>
        <v>-4.7842311740503298E-5</v>
      </c>
      <c r="J16" s="9"/>
      <c r="K16" s="7">
        <v>0.6</v>
      </c>
      <c r="L16" s="8">
        <f>IFERROR(K16/K444, "NA")</f>
        <v>1.2548583409241804E-6</v>
      </c>
      <c r="M16" s="9"/>
      <c r="N16" s="10">
        <f t="shared" si="1"/>
        <v>0.4</v>
      </c>
      <c r="O16" s="8">
        <f>IFERROR(N16/N444, "NA")</f>
        <v>1.0611036539104394E-4</v>
      </c>
      <c r="P16" s="9"/>
      <c r="Q16" s="7">
        <v>2.37</v>
      </c>
      <c r="R16" s="8">
        <f>IFERROR(Q16/Q444, "NA")</f>
        <v>2.5846179375233066E-6</v>
      </c>
      <c r="S16" s="9"/>
      <c r="T16" s="7">
        <v>0</v>
      </c>
      <c r="U16" s="8">
        <f>IFERROR(T16/T444, "NA")</f>
        <v>0</v>
      </c>
      <c r="V16" s="9"/>
      <c r="W16" s="10">
        <f t="shared" si="2"/>
        <v>2.37</v>
      </c>
      <c r="X16" s="8">
        <f>IFERROR(W16/W444, "NA")</f>
        <v>-6.8580159210141812E-5</v>
      </c>
      <c r="Y16" s="9"/>
      <c r="Z16" s="7">
        <v>1.7000000000000002</v>
      </c>
      <c r="AA16" s="8">
        <f>IFERROR(Z16/Z444, "NA")</f>
        <v>1.8605729327899223E-6</v>
      </c>
      <c r="AB16" s="9"/>
      <c r="AC16" s="10">
        <f t="shared" si="3"/>
        <v>0.66999999999999993</v>
      </c>
      <c r="AD16" s="8">
        <f>IFERROR(AC16/AC444, "NA")</f>
        <v>2.0512318106253338E-4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163764.50999999998</v>
      </c>
      <c r="C18" s="15">
        <f>IFERROR(B18/B444, "NA")</f>
        <v>0.3398229441734586</v>
      </c>
      <c r="D18" s="2"/>
      <c r="E18" s="14">
        <f>IFERROR(E10+E11+E12+E13+E14+E15+E16+E17, "NA")</f>
        <v>209385.56</v>
      </c>
      <c r="F18" s="15">
        <f>IFERROR(E18/E444, "NA")</f>
        <v>0.41642806252054437</v>
      </c>
      <c r="G18" s="2"/>
      <c r="H18" s="14">
        <f t="shared" si="0"/>
        <v>-45621.050000000017</v>
      </c>
      <c r="I18" s="15">
        <f>IFERROR(H18/H444, "NA")</f>
        <v>2.1826164960290888</v>
      </c>
      <c r="J18" s="2"/>
      <c r="K18" s="14">
        <f>IFERROR(K10+K11+K12+K13+K14+K15+K16+K17, "NA")</f>
        <v>193783.36</v>
      </c>
      <c r="L18" s="15">
        <f>IFERROR(K18/K444, "NA")</f>
        <v>0.40528444271385528</v>
      </c>
      <c r="M18" s="2"/>
      <c r="N18" s="14">
        <f t="shared" si="1"/>
        <v>-30018.850000000006</v>
      </c>
      <c r="O18" s="15">
        <f>IFERROR(N18/N444, "NA")</f>
        <v>-7.96327785529735</v>
      </c>
      <c r="P18" s="2"/>
      <c r="Q18" s="14">
        <f>IFERROR(Q10+Q11+Q12+Q13+Q14+Q15+Q16+Q17, "NA")</f>
        <v>356169.9</v>
      </c>
      <c r="R18" s="15">
        <f>IFERROR(Q18/Q444, "NA")</f>
        <v>0.38842325415438078</v>
      </c>
      <c r="S18" s="2"/>
      <c r="T18" s="14">
        <f>IFERROR(T10+T11+T12+T13+T14+T15+T16+T17, "NA")</f>
        <v>396525.13</v>
      </c>
      <c r="U18" s="15">
        <f>IFERROR(T18/T444, "NA")</f>
        <v>0.41672746052984533</v>
      </c>
      <c r="V18" s="2"/>
      <c r="W18" s="14">
        <f t="shared" si="2"/>
        <v>-40355.229999999981</v>
      </c>
      <c r="X18" s="15">
        <f>IFERROR(W18/W444, "NA")</f>
        <v>1.1677502524733712</v>
      </c>
      <c r="Y18" s="2"/>
      <c r="Z18" s="14">
        <f>IFERROR(Z10+Z11+Z12+Z13+Z14+Z15+Z16+Z17, "NA")</f>
        <v>368708.54</v>
      </c>
      <c r="AA18" s="15">
        <f>IFERROR(Z18/Z444, "NA")</f>
        <v>0.40353478212499427</v>
      </c>
      <c r="AB18" s="2"/>
      <c r="AC18" s="14">
        <f t="shared" si="3"/>
        <v>-12538.639999999956</v>
      </c>
      <c r="AD18" s="15">
        <f>IFERROR(AC18/AC444, "NA")</f>
        <v>-3.8387548104446489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46994.81</v>
      </c>
      <c r="F21" s="8">
        <f>IFERROR(E21/E444, "NA")</f>
        <v>9.3463740655378061E-2</v>
      </c>
      <c r="G21" s="9"/>
      <c r="H21" s="10">
        <f t="shared" ref="H21:H29" si="4">IFERROR(B21-E21, "NA")</f>
        <v>-46994.81</v>
      </c>
      <c r="I21" s="8">
        <f>IFERROR(H21/H444, "NA")</f>
        <v>2.248340350205722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88977.78</v>
      </c>
      <c r="U21" s="8">
        <f>IFERROR(T21/T444, "NA")</f>
        <v>9.3511057679959042E-2</v>
      </c>
      <c r="V21" s="9"/>
      <c r="W21" s="10">
        <f t="shared" ref="W21:W29" si="6">IFERROR(Q21-T21, "NA")</f>
        <v>-88977.78</v>
      </c>
      <c r="X21" s="8">
        <f>IFERROR(W21/W444, "NA")</f>
        <v>2.5747300922215071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276.5</v>
      </c>
      <c r="C22" s="8">
        <f>IFERROR(B22/B444, "NA")</f>
        <v>5.7375706167326062E-4</v>
      </c>
      <c r="D22" s="9"/>
      <c r="E22" s="7">
        <v>0</v>
      </c>
      <c r="F22" s="8">
        <f>IFERROR(E22/E444, "NA")</f>
        <v>0</v>
      </c>
      <c r="G22" s="9"/>
      <c r="H22" s="10">
        <f t="shared" si="4"/>
        <v>276.5</v>
      </c>
      <c r="I22" s="8">
        <f>IFERROR(H22/H444, "NA")</f>
        <v>-1.3228399196249163E-2</v>
      </c>
      <c r="J22" s="9"/>
      <c r="K22" s="7">
        <v>32494.749999999996</v>
      </c>
      <c r="L22" s="8">
        <f>IFERROR(K22/K444, "NA")</f>
        <v>6.7960513456243349E-2</v>
      </c>
      <c r="M22" s="9"/>
      <c r="N22" s="10">
        <f t="shared" si="5"/>
        <v>-32218.249999999996</v>
      </c>
      <c r="O22" s="8">
        <f>IFERROR(N22/N444, "NA")</f>
        <v>-8.5467256994000032</v>
      </c>
      <c r="P22" s="9"/>
      <c r="Q22" s="7">
        <v>16536.61</v>
      </c>
      <c r="R22" s="8">
        <f>IFERROR(Q22/Q444, "NA")</f>
        <v>1.8034100772922907E-2</v>
      </c>
      <c r="S22" s="9"/>
      <c r="T22" s="7">
        <v>0</v>
      </c>
      <c r="U22" s="8">
        <f>IFERROR(T22/T444, "NA")</f>
        <v>0</v>
      </c>
      <c r="V22" s="9"/>
      <c r="W22" s="10">
        <f t="shared" si="6"/>
        <v>16536.61</v>
      </c>
      <c r="X22" s="8">
        <f>IFERROR(W22/W444, "NA")</f>
        <v>-0.47851617999832202</v>
      </c>
      <c r="Y22" s="9"/>
      <c r="Z22" s="7">
        <v>60434.85</v>
      </c>
      <c r="AA22" s="8">
        <f>IFERROR(Z22/Z444, "NA")</f>
        <v>6.6143203592481783E-2</v>
      </c>
      <c r="AB22" s="9"/>
      <c r="AC22" s="10">
        <f t="shared" si="7"/>
        <v>-43898.239999999998</v>
      </c>
      <c r="AD22" s="8">
        <f>IFERROR(AC22/AC444, "NA")</f>
        <v>-13.439621838576935</v>
      </c>
    </row>
    <row r="23" spans="1:30" ht="16.5" customHeight="1" x14ac:dyDescent="0.45">
      <c r="A23" s="12" t="s">
        <v>24</v>
      </c>
      <c r="B23" s="7">
        <v>23617.86</v>
      </c>
      <c r="C23" s="8">
        <f>IFERROR(B23/B444, "NA")</f>
        <v>4.9008730403654381E-2</v>
      </c>
      <c r="D23" s="9"/>
      <c r="E23" s="7">
        <v>0</v>
      </c>
      <c r="F23" s="8">
        <f>IFERROR(E23/E444, "NA")</f>
        <v>0</v>
      </c>
      <c r="G23" s="9"/>
      <c r="H23" s="10">
        <f t="shared" si="4"/>
        <v>23617.86</v>
      </c>
      <c r="I23" s="8">
        <f>IFERROR(H23/H444, "NA")</f>
        <v>-1.1299330207635634</v>
      </c>
      <c r="J23" s="9"/>
      <c r="K23" s="7">
        <v>0</v>
      </c>
      <c r="L23" s="8">
        <f>IFERROR(K23/K444, "NA")</f>
        <v>0</v>
      </c>
      <c r="M23" s="9"/>
      <c r="N23" s="10">
        <f t="shared" si="5"/>
        <v>23617.86</v>
      </c>
      <c r="O23" s="8">
        <f>IFERROR(N23/N444, "NA")</f>
        <v>6.2652493858863032</v>
      </c>
      <c r="P23" s="9"/>
      <c r="Q23" s="7">
        <v>36720.06</v>
      </c>
      <c r="R23" s="8">
        <f>IFERROR(Q23/Q444, "NA")</f>
        <v>4.0045285123600026E-2</v>
      </c>
      <c r="S23" s="9"/>
      <c r="T23" s="7">
        <v>0</v>
      </c>
      <c r="U23" s="8">
        <f>IFERROR(T23/T444, "NA")</f>
        <v>0</v>
      </c>
      <c r="V23" s="9"/>
      <c r="W23" s="10">
        <f t="shared" si="6"/>
        <v>36720.06</v>
      </c>
      <c r="X23" s="8">
        <f>IFERROR(W23/W444, "NA")</f>
        <v>-1.0625601523231898</v>
      </c>
      <c r="Y23" s="9"/>
      <c r="Z23" s="7">
        <v>0</v>
      </c>
      <c r="AA23" s="8">
        <f>IFERROR(Z23/Z444, "NA")</f>
        <v>0</v>
      </c>
      <c r="AB23" s="9"/>
      <c r="AC23" s="10">
        <f t="shared" si="7"/>
        <v>36720.06</v>
      </c>
      <c r="AD23" s="8">
        <f>IFERROR(AC23/AC444, "NA")</f>
        <v>11.241993307473269</v>
      </c>
    </row>
    <row r="24" spans="1:30" ht="16.5" customHeight="1" x14ac:dyDescent="0.45">
      <c r="A24" s="12" t="s">
        <v>25</v>
      </c>
      <c r="B24" s="7">
        <v>3796.2200000000003</v>
      </c>
      <c r="C24" s="8">
        <f>IFERROR(B24/B444, "NA")</f>
        <v>7.8774250729304364E-3</v>
      </c>
      <c r="D24" s="9"/>
      <c r="E24" s="7">
        <v>0</v>
      </c>
      <c r="F24" s="8">
        <f>IFERROR(E24/E444, "NA")</f>
        <v>0</v>
      </c>
      <c r="G24" s="9"/>
      <c r="H24" s="10">
        <f t="shared" si="4"/>
        <v>3796.2200000000003</v>
      </c>
      <c r="I24" s="8">
        <f>IFERROR(H24/H444, "NA")</f>
        <v>-0.18161994067553344</v>
      </c>
      <c r="J24" s="9"/>
      <c r="K24" s="7">
        <v>6521.4500000000007</v>
      </c>
      <c r="L24" s="8">
        <f>IFERROR(K24/K444, "NA")</f>
        <v>1.3639159879033328E-2</v>
      </c>
      <c r="M24" s="9"/>
      <c r="N24" s="10">
        <f t="shared" si="5"/>
        <v>-2725.2300000000005</v>
      </c>
      <c r="O24" s="8">
        <f>IFERROR(N24/N444, "NA")</f>
        <v>-0.7229378776865869</v>
      </c>
      <c r="P24" s="9"/>
      <c r="Q24" s="7">
        <v>8017.9</v>
      </c>
      <c r="R24" s="8">
        <f>IFERROR(Q24/Q444, "NA")</f>
        <v>8.743969688298785E-3</v>
      </c>
      <c r="S24" s="9"/>
      <c r="T24" s="7">
        <v>0</v>
      </c>
      <c r="U24" s="8">
        <f>IFERROR(T24/T444, "NA")</f>
        <v>0</v>
      </c>
      <c r="V24" s="9"/>
      <c r="W24" s="10">
        <f t="shared" si="6"/>
        <v>8017.9</v>
      </c>
      <c r="X24" s="8">
        <f>IFERROR(W24/W444, "NA")</f>
        <v>-0.23201217659535694</v>
      </c>
      <c r="Y24" s="9"/>
      <c r="Z24" s="7">
        <v>10317.030000000001</v>
      </c>
      <c r="AA24" s="8">
        <f>IFERROR(Z24/Z444, "NA")</f>
        <v>1.1291521626342125E-2</v>
      </c>
      <c r="AB24" s="9"/>
      <c r="AC24" s="10">
        <f t="shared" si="7"/>
        <v>-2299.130000000001</v>
      </c>
      <c r="AD24" s="8">
        <f>IFERROR(AC24/AC444, "NA")</f>
        <v>-0.70388784966612328</v>
      </c>
    </row>
    <row r="25" spans="1:30" ht="16.5" customHeight="1" x14ac:dyDescent="0.45">
      <c r="A25" s="12" t="s">
        <v>26</v>
      </c>
      <c r="B25" s="7">
        <v>583.24</v>
      </c>
      <c r="C25" s="8">
        <f>IFERROR(B25/B444, "NA")</f>
        <v>1.2102642627497742E-3</v>
      </c>
      <c r="D25" s="9"/>
      <c r="E25" s="7">
        <v>0</v>
      </c>
      <c r="F25" s="8">
        <f>IFERROR(E25/E444, "NA")</f>
        <v>0</v>
      </c>
      <c r="G25" s="9"/>
      <c r="H25" s="10">
        <f t="shared" si="4"/>
        <v>583.24</v>
      </c>
      <c r="I25" s="8">
        <f>IFERROR(H25/H444, "NA")</f>
        <v>-2.7903549899531147E-2</v>
      </c>
      <c r="J25" s="9"/>
      <c r="K25" s="7">
        <v>0</v>
      </c>
      <c r="L25" s="8">
        <f>IFERROR(K25/K444, "NA")</f>
        <v>0</v>
      </c>
      <c r="M25" s="9"/>
      <c r="N25" s="10">
        <f t="shared" si="5"/>
        <v>583.24</v>
      </c>
      <c r="O25" s="8">
        <f>IFERROR(N25/N444, "NA")</f>
        <v>0.15471952377668119</v>
      </c>
      <c r="P25" s="9"/>
      <c r="Q25" s="7">
        <v>1194.3500000000001</v>
      </c>
      <c r="R25" s="8">
        <f>IFERROR(Q25/Q444, "NA")</f>
        <v>1.302505668219815E-3</v>
      </c>
      <c r="S25" s="9"/>
      <c r="T25" s="7">
        <v>0</v>
      </c>
      <c r="U25" s="8">
        <f>IFERROR(T25/T444, "NA")</f>
        <v>0</v>
      </c>
      <c r="V25" s="9"/>
      <c r="W25" s="10">
        <f t="shared" si="6"/>
        <v>1194.3500000000001</v>
      </c>
      <c r="X25" s="8">
        <f>IFERROR(W25/W444, "NA")</f>
        <v>-3.4560638461026527E-2</v>
      </c>
      <c r="Y25" s="9"/>
      <c r="Z25" s="7">
        <v>0</v>
      </c>
      <c r="AA25" s="8">
        <f>IFERROR(Z25/Z444, "NA")</f>
        <v>0</v>
      </c>
      <c r="AB25" s="9"/>
      <c r="AC25" s="10">
        <f t="shared" si="7"/>
        <v>1194.3500000000001</v>
      </c>
      <c r="AD25" s="8">
        <f>IFERROR(AC25/AC444, "NA")</f>
        <v>0.36565503179408476</v>
      </c>
    </row>
    <row r="26" spans="1:30" ht="16.5" customHeight="1" x14ac:dyDescent="0.45">
      <c r="A26" s="12" t="s">
        <v>27</v>
      </c>
      <c r="B26" s="7">
        <v>6425.92</v>
      </c>
      <c r="C26" s="8">
        <f>IFERROR(B26/B444, "NA")</f>
        <v>1.3334238617531425E-2</v>
      </c>
      <c r="D26" s="9"/>
      <c r="E26" s="7">
        <v>0</v>
      </c>
      <c r="F26" s="8">
        <f>IFERROR(E26/E444, "NA")</f>
        <v>0</v>
      </c>
      <c r="G26" s="9"/>
      <c r="H26" s="10">
        <f t="shared" si="4"/>
        <v>6425.92</v>
      </c>
      <c r="I26" s="8">
        <f>IFERROR(H26/H444, "NA")</f>
        <v>-0.307430867859535</v>
      </c>
      <c r="J26" s="9"/>
      <c r="K26" s="7">
        <v>3001.12</v>
      </c>
      <c r="L26" s="8">
        <f>IFERROR(K26/K444, "NA")</f>
        <v>6.2766341068572935E-3</v>
      </c>
      <c r="M26" s="9"/>
      <c r="N26" s="10">
        <f t="shared" si="5"/>
        <v>3424.8</v>
      </c>
      <c r="O26" s="8">
        <f>IFERROR(N26/N444, "NA")</f>
        <v>0.90851694847811826</v>
      </c>
      <c r="P26" s="9"/>
      <c r="Q26" s="7">
        <v>10134.42</v>
      </c>
      <c r="R26" s="8">
        <f>IFERROR(Q26/Q444, "NA")</f>
        <v>1.1052153467677194E-2</v>
      </c>
      <c r="S26" s="9"/>
      <c r="T26" s="7">
        <v>0</v>
      </c>
      <c r="U26" s="8">
        <f>IFERROR(T26/T444, "NA")</f>
        <v>0</v>
      </c>
      <c r="V26" s="9"/>
      <c r="W26" s="10">
        <f t="shared" si="6"/>
        <v>10134.42</v>
      </c>
      <c r="X26" s="8">
        <f>IFERROR(W26/W444, "NA")</f>
        <v>-0.29325744181537777</v>
      </c>
      <c r="Y26" s="9"/>
      <c r="Z26" s="7">
        <v>5056.58</v>
      </c>
      <c r="AA26" s="8">
        <f>IFERROR(Z26/Z444, "NA")</f>
        <v>5.5341975767569792E-3</v>
      </c>
      <c r="AB26" s="9"/>
      <c r="AC26" s="10">
        <f t="shared" si="7"/>
        <v>5077.84</v>
      </c>
      <c r="AD26" s="8">
        <f>IFERROR(AC26/AC444, "NA")</f>
        <v>1.5546010354127979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3647.91</v>
      </c>
      <c r="C28" s="8">
        <f>IFERROR(B28/B444, "NA")</f>
        <v>7.5696713303743373E-3</v>
      </c>
      <c r="D28" s="9"/>
      <c r="E28" s="7">
        <v>0</v>
      </c>
      <c r="F28" s="8">
        <f>IFERROR(E28/E444, "NA")</f>
        <v>0</v>
      </c>
      <c r="G28" s="9"/>
      <c r="H28" s="10">
        <f t="shared" si="4"/>
        <v>3647.91</v>
      </c>
      <c r="I28" s="8">
        <f>IFERROR(H28/H444, "NA")</f>
        <v>-0.17452444742129938</v>
      </c>
      <c r="J28" s="9"/>
      <c r="K28" s="7">
        <v>3821.62</v>
      </c>
      <c r="L28" s="8">
        <f>IFERROR(K28/K444, "NA")</f>
        <v>7.9926528880711108E-3</v>
      </c>
      <c r="M28" s="9"/>
      <c r="N28" s="10">
        <f t="shared" si="5"/>
        <v>-173.71000000000004</v>
      </c>
      <c r="O28" s="8">
        <f>IFERROR(N28/N444, "NA")</f>
        <v>-4.6081078930195619E-2</v>
      </c>
      <c r="P28" s="9"/>
      <c r="Q28" s="7">
        <v>7763.04</v>
      </c>
      <c r="R28" s="8">
        <f>IFERROR(Q28/Q444, "NA")</f>
        <v>8.4660305627472284E-3</v>
      </c>
      <c r="S28" s="9"/>
      <c r="T28" s="7">
        <v>0</v>
      </c>
      <c r="U28" s="8">
        <f>IFERROR(T28/T444, "NA")</f>
        <v>0</v>
      </c>
      <c r="V28" s="9"/>
      <c r="W28" s="10">
        <f t="shared" si="6"/>
        <v>7763.04</v>
      </c>
      <c r="X28" s="8">
        <f>IFERROR(W28/W444, "NA")</f>
        <v>-0.22463734985430348</v>
      </c>
      <c r="Y28" s="9"/>
      <c r="Z28" s="7">
        <v>7972.6900000000005</v>
      </c>
      <c r="AA28" s="8">
        <f>IFERROR(Z28/Z444, "NA")</f>
        <v>8.7257477738381679E-3</v>
      </c>
      <c r="AB28" s="9"/>
      <c r="AC28" s="10">
        <f t="shared" si="7"/>
        <v>-209.65000000000055</v>
      </c>
      <c r="AD28" s="8">
        <f>IFERROR(AC28/AC444, "NA")</f>
        <v>-6.4185186432477975E-2</v>
      </c>
    </row>
    <row r="29" spans="1:30" ht="16.5" customHeight="1" x14ac:dyDescent="0.45">
      <c r="A29" s="13" t="s">
        <v>30</v>
      </c>
      <c r="B29" s="14">
        <f>IFERROR(B21+B22+B23+B24+B25+B26+B27+B28, "NA")</f>
        <v>38347.650000000009</v>
      </c>
      <c r="C29" s="15">
        <f>IFERROR(B29/B444, "NA")</f>
        <v>7.9574086748913628E-2</v>
      </c>
      <c r="D29" s="2"/>
      <c r="E29" s="14">
        <f>IFERROR(E21+E22+E23+E24+E25+E26+E27+E28, "NA")</f>
        <v>46994.81</v>
      </c>
      <c r="F29" s="15">
        <f>IFERROR(E29/E444, "NA")</f>
        <v>9.3463740655378061E-2</v>
      </c>
      <c r="G29" s="2"/>
      <c r="H29" s="14">
        <f t="shared" si="4"/>
        <v>-8647.1599999999889</v>
      </c>
      <c r="I29" s="15">
        <f>IFERROR(H29/H444, "NA")</f>
        <v>0.41370012439000997</v>
      </c>
      <c r="J29" s="2"/>
      <c r="K29" s="14">
        <f>IFERROR(K21+K22+K23+K24+K25+K26+K27+K28, "NA")</f>
        <v>45838.94</v>
      </c>
      <c r="L29" s="15">
        <f>IFERROR(K29/K444, "NA")</f>
        <v>9.5868960330205089E-2</v>
      </c>
      <c r="M29" s="2"/>
      <c r="N29" s="14">
        <f t="shared" si="5"/>
        <v>-7491.2899999999936</v>
      </c>
      <c r="O29" s="15">
        <f>IFERROR(N29/N444, "NA")</f>
        <v>-1.9872587978756824</v>
      </c>
      <c r="P29" s="2"/>
      <c r="Q29" s="14">
        <f>IFERROR(Q21+Q22+Q23+Q24+Q25+Q26+Q27+Q28, "NA")</f>
        <v>80366.37999999999</v>
      </c>
      <c r="R29" s="15">
        <f>IFERROR(Q29/Q444, "NA")</f>
        <v>8.7644045283465949E-2</v>
      </c>
      <c r="S29" s="2"/>
      <c r="T29" s="14">
        <f>IFERROR(T21+T22+T23+T24+T25+T26+T27+T28, "NA")</f>
        <v>88977.78</v>
      </c>
      <c r="U29" s="15">
        <f>IFERROR(T29/T444, "NA")</f>
        <v>9.3511057679959042E-2</v>
      </c>
      <c r="V29" s="2"/>
      <c r="W29" s="14">
        <f t="shared" si="6"/>
        <v>-8611.4000000000087</v>
      </c>
      <c r="X29" s="15">
        <f>IFERROR(W29/W444, "NA")</f>
        <v>0.2491861531739307</v>
      </c>
      <c r="Y29" s="2"/>
      <c r="Z29" s="14">
        <f>IFERROR(Z21+Z22+Z23+Z24+Z25+Z26+Z27+Z28, "NA")</f>
        <v>83781.150000000009</v>
      </c>
      <c r="AA29" s="15">
        <f>IFERROR(Z29/Z444, "NA")</f>
        <v>9.1694670569419059E-2</v>
      </c>
      <c r="AB29" s="2"/>
      <c r="AC29" s="14">
        <f t="shared" si="7"/>
        <v>-3414.7700000000186</v>
      </c>
      <c r="AD29" s="15">
        <f>IFERROR(AC29/AC444, "NA")</f>
        <v>-1.0454454999953895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102760.64</v>
      </c>
      <c r="F31" s="8">
        <f>IFERROR(E31/E444, "NA")</f>
        <v>0.20437137221196702</v>
      </c>
      <c r="G31" s="9"/>
      <c r="H31" s="10">
        <f t="shared" ref="H31:H40" si="8">IFERROR(B31-E31, "NA")</f>
        <v>-102760.64</v>
      </c>
      <c r="I31" s="8">
        <f>IFERROR(H31/H444, "NA")</f>
        <v>4.9163065735336335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194047.69000000003</v>
      </c>
      <c r="U31" s="8">
        <f>IFERROR(T31/T444, "NA")</f>
        <v>0.20393411402546585</v>
      </c>
      <c r="V31" s="9"/>
      <c r="W31" s="10">
        <f t="shared" ref="W31:W40" si="10">IFERROR(Q31-T31, "NA")</f>
        <v>-194047.69000000003</v>
      </c>
      <c r="X31" s="8">
        <f>IFERROR(W31/W444, "NA")</f>
        <v>5.615114546227951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57642.380000000005</v>
      </c>
      <c r="C33" s="8">
        <f>IFERROR(B33/B444, "NA")</f>
        <v>0.11961201655209233</v>
      </c>
      <c r="D33" s="9"/>
      <c r="E33" s="7">
        <v>0</v>
      </c>
      <c r="F33" s="8">
        <f>IFERROR(E33/E444, "NA")</f>
        <v>0</v>
      </c>
      <c r="G33" s="9"/>
      <c r="H33" s="10">
        <f t="shared" si="8"/>
        <v>57642.380000000005</v>
      </c>
      <c r="I33" s="8">
        <f>IFERROR(H33/H444, "NA")</f>
        <v>-2.757744713424553</v>
      </c>
      <c r="J33" s="9"/>
      <c r="K33" s="7">
        <v>53245.619999999995</v>
      </c>
      <c r="L33" s="8">
        <f>IFERROR(K33/K444, "NA")</f>
        <v>0.11135951729113226</v>
      </c>
      <c r="M33" s="9"/>
      <c r="N33" s="10">
        <f t="shared" si="9"/>
        <v>4396.7600000000093</v>
      </c>
      <c r="O33" s="8">
        <f>IFERROR(N33/N444, "NA")</f>
        <v>1.1663545253418184</v>
      </c>
      <c r="P33" s="9"/>
      <c r="Q33" s="7">
        <v>110111.48999999999</v>
      </c>
      <c r="R33" s="8">
        <f>IFERROR(Q33/Q444, "NA")</f>
        <v>0.12008275619469121</v>
      </c>
      <c r="S33" s="9"/>
      <c r="T33" s="7">
        <v>0</v>
      </c>
      <c r="U33" s="8">
        <f>IFERROR(T33/T444, "NA")</f>
        <v>0</v>
      </c>
      <c r="V33" s="9"/>
      <c r="W33" s="10">
        <f t="shared" si="10"/>
        <v>110111.48999999999</v>
      </c>
      <c r="X33" s="8">
        <f>IFERROR(W33/W444, "NA")</f>
        <v>-3.186271525344277</v>
      </c>
      <c r="Y33" s="9"/>
      <c r="Z33" s="7">
        <v>99259.66</v>
      </c>
      <c r="AA33" s="8">
        <f>IFERROR(Z33/Z444, "NA")</f>
        <v>0.10863519806701796</v>
      </c>
      <c r="AB33" s="9"/>
      <c r="AC33" s="10">
        <f t="shared" si="11"/>
        <v>10851.829999999987</v>
      </c>
      <c r="AD33" s="8">
        <f>IFERROR(AC33/AC444, "NA")</f>
        <v>3.3223311790295957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3165.3</v>
      </c>
      <c r="C35" s="8">
        <f>IFERROR(B35/B444, "NA")</f>
        <v>6.5682214369416712E-3</v>
      </c>
      <c r="D35" s="9"/>
      <c r="E35" s="7">
        <v>0</v>
      </c>
      <c r="F35" s="8">
        <f>IFERROR(E35/E444, "NA")</f>
        <v>0</v>
      </c>
      <c r="G35" s="9"/>
      <c r="H35" s="10">
        <f t="shared" si="8"/>
        <v>3165.3</v>
      </c>
      <c r="I35" s="8">
        <f>IFERROR(H35/H444, "NA")</f>
        <v>-0.1514352693522151</v>
      </c>
      <c r="J35" s="9"/>
      <c r="K35" s="7">
        <v>6559.66</v>
      </c>
      <c r="L35" s="8">
        <f>IFERROR(K35/K444, "NA")</f>
        <v>1.3719073441044515E-2</v>
      </c>
      <c r="M35" s="9"/>
      <c r="N35" s="10">
        <f t="shared" si="9"/>
        <v>-3394.3599999999997</v>
      </c>
      <c r="O35" s="8">
        <f>IFERROR(N35/N444, "NA")</f>
        <v>-0.90044194967185975</v>
      </c>
      <c r="P35" s="9"/>
      <c r="Q35" s="7">
        <v>6949.33</v>
      </c>
      <c r="R35" s="8">
        <f>IFERROR(Q35/Q444, "NA")</f>
        <v>7.5786341653033083E-3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6949.33</v>
      </c>
      <c r="X35" s="8">
        <f>IFERROR(W35/W444, "NA")</f>
        <v>-0.20109120582439441</v>
      </c>
      <c r="Y35" s="9"/>
      <c r="Z35" s="7">
        <v>10817.380000000001</v>
      </c>
      <c r="AA35" s="8">
        <f>IFERROR(Z35/Z444, "NA")</f>
        <v>1.1839132018648852E-2</v>
      </c>
      <c r="AB35" s="9"/>
      <c r="AC35" s="10">
        <f t="shared" si="11"/>
        <v>-3868.0500000000011</v>
      </c>
      <c r="AD35" s="8">
        <f>IFERROR(AC35/AC444, "NA")</f>
        <v>-1.1842189858342276</v>
      </c>
    </row>
    <row r="36" spans="1:30" ht="16.5" customHeight="1" x14ac:dyDescent="0.45">
      <c r="A36" s="12" t="s">
        <v>36</v>
      </c>
      <c r="B36" s="7">
        <v>57553.189999999988</v>
      </c>
      <c r="C36" s="8">
        <f>IFERROR(B36/B444, "NA")</f>
        <v>0.11942694099212615</v>
      </c>
      <c r="D36" s="9"/>
      <c r="E36" s="7">
        <v>0</v>
      </c>
      <c r="F36" s="8">
        <f>IFERROR(E36/E444, "NA")</f>
        <v>0</v>
      </c>
      <c r="G36" s="9"/>
      <c r="H36" s="10">
        <f t="shared" si="8"/>
        <v>57553.189999999988</v>
      </c>
      <c r="I36" s="8">
        <f>IFERROR(H36/H444, "NA")</f>
        <v>-2.7534776576404165</v>
      </c>
      <c r="J36" s="9"/>
      <c r="K36" s="7">
        <v>73062.100000000006</v>
      </c>
      <c r="L36" s="8">
        <f>IFERROR(K36/K444, "NA")</f>
        <v>0.15280430931739428</v>
      </c>
      <c r="M36" s="9"/>
      <c r="N36" s="10">
        <f t="shared" si="9"/>
        <v>-15508.910000000018</v>
      </c>
      <c r="O36" s="8">
        <f>IFERROR(N36/N444, "NA")</f>
        <v>-4.1141402672920435</v>
      </c>
      <c r="P36" s="9"/>
      <c r="Q36" s="7">
        <v>101239.17000000001</v>
      </c>
      <c r="R36" s="8">
        <f>IFERROR(Q36/Q444, "NA")</f>
        <v>0.11040699357045208</v>
      </c>
      <c r="S36" s="9"/>
      <c r="T36" s="7">
        <v>0</v>
      </c>
      <c r="U36" s="8">
        <f>IFERROR(T36/T444, "NA")</f>
        <v>0</v>
      </c>
      <c r="V36" s="9"/>
      <c r="W36" s="10">
        <f t="shared" si="10"/>
        <v>101239.17000000001</v>
      </c>
      <c r="X36" s="8">
        <f>IFERROR(W36/W444, "NA")</f>
        <v>-2.9295351885665033</v>
      </c>
      <c r="Y36" s="9"/>
      <c r="Z36" s="7">
        <v>126549.81999999999</v>
      </c>
      <c r="AA36" s="8">
        <f>IFERROR(Z36/Z444, "NA")</f>
        <v>0.13850304102437455</v>
      </c>
      <c r="AB36" s="9"/>
      <c r="AC36" s="10">
        <f t="shared" si="11"/>
        <v>-25310.64999999998</v>
      </c>
      <c r="AD36" s="8">
        <f>IFERROR(AC36/AC444, "NA")</f>
        <v>-7.7489567802394133</v>
      </c>
    </row>
    <row r="37" spans="1:30" ht="16.5" customHeight="1" x14ac:dyDescent="0.45">
      <c r="A37" s="12" t="s">
        <v>37</v>
      </c>
      <c r="B37" s="7">
        <v>3091.4300000000003</v>
      </c>
      <c r="C37" s="8">
        <f>IFERROR(B37/B444, "NA")</f>
        <v>6.4149359608266484E-3</v>
      </c>
      <c r="D37" s="9"/>
      <c r="E37" s="7">
        <v>0</v>
      </c>
      <c r="F37" s="8">
        <f>IFERROR(E37/E444, "NA")</f>
        <v>0</v>
      </c>
      <c r="G37" s="9"/>
      <c r="H37" s="10">
        <f t="shared" si="8"/>
        <v>3091.4300000000003</v>
      </c>
      <c r="I37" s="8">
        <f>IFERROR(H37/H444, "NA")</f>
        <v>-0.14790115778394414</v>
      </c>
      <c r="J37" s="9"/>
      <c r="K37" s="7">
        <v>0</v>
      </c>
      <c r="L37" s="8">
        <f>IFERROR(K37/K444, "NA")</f>
        <v>0</v>
      </c>
      <c r="M37" s="9"/>
      <c r="N37" s="10">
        <f t="shared" si="9"/>
        <v>3091.4300000000003</v>
      </c>
      <c r="O37" s="8">
        <f>IFERROR(N37/N444, "NA")</f>
        <v>0.82008191720208756</v>
      </c>
      <c r="P37" s="9"/>
      <c r="Q37" s="7">
        <v>5718.8700000000008</v>
      </c>
      <c r="R37" s="8">
        <f>IFERROR(Q37/Q444, "NA")</f>
        <v>6.2367485166092461E-3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5718.8700000000008</v>
      </c>
      <c r="X37" s="8">
        <f>IFERROR(W37/W444, "NA")</f>
        <v>-0.16548566038063448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5718.8700000000008</v>
      </c>
      <c r="AD37" s="8">
        <f>IFERROR(AC37/AC444, "NA")</f>
        <v>1.7508549350493889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22.6</v>
      </c>
      <c r="C39" s="8">
        <f>IFERROR(B39/B444, "NA")</f>
        <v>4.6896598892642645E-5</v>
      </c>
      <c r="D39" s="9"/>
      <c r="E39" s="7">
        <v>0</v>
      </c>
      <c r="F39" s="8">
        <f>IFERROR(E39/E444, "NA")</f>
        <v>0</v>
      </c>
      <c r="G39" s="9"/>
      <c r="H39" s="10">
        <f t="shared" si="8"/>
        <v>22.6</v>
      </c>
      <c r="I39" s="8">
        <f>IFERROR(H39/H444, "NA")</f>
        <v>-1.0812362453353746E-3</v>
      </c>
      <c r="J39" s="9"/>
      <c r="K39" s="7">
        <v>4705.53</v>
      </c>
      <c r="L39" s="8">
        <f>IFERROR(K39/K444, "NA")</f>
        <v>9.8412892816149306E-3</v>
      </c>
      <c r="M39" s="9"/>
      <c r="N39" s="10">
        <f t="shared" si="9"/>
        <v>-4682.9299999999994</v>
      </c>
      <c r="O39" s="8">
        <f>IFERROR(N39/N444, "NA")</f>
        <v>-1.2422685335017034</v>
      </c>
      <c r="P39" s="9"/>
      <c r="Q39" s="7">
        <v>1679.9900000000002</v>
      </c>
      <c r="R39" s="8">
        <f>IFERROR(Q39/Q444, "NA")</f>
        <v>1.8321233286328186E-3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1679.9900000000002</v>
      </c>
      <c r="X39" s="8">
        <f>IFERROR(W39/W444, "NA")</f>
        <v>-4.8613494376137614E-2</v>
      </c>
      <c r="Y39" s="9"/>
      <c r="Z39" s="7">
        <v>8806.880000000001</v>
      </c>
      <c r="AA39" s="8">
        <f>IFERROR(Z39/Z444, "NA")</f>
        <v>9.6387309119581824E-3</v>
      </c>
      <c r="AB39" s="9"/>
      <c r="AC39" s="10">
        <f t="shared" si="11"/>
        <v>-7126.8900000000012</v>
      </c>
      <c r="AD39" s="8">
        <f>IFERROR(AC39/AC444, "NA")</f>
        <v>-2.1819258923623268</v>
      </c>
    </row>
    <row r="40" spans="1:30" ht="16.5" customHeight="1" x14ac:dyDescent="0.45">
      <c r="A40" s="13" t="s">
        <v>40</v>
      </c>
      <c r="B40" s="14">
        <f>IFERROR(B31+B32+B33+B34+B35+B36+B37+B38+B39, "NA")</f>
        <v>121474.9</v>
      </c>
      <c r="C40" s="15">
        <f>IFERROR(B40/B444, "NA")</f>
        <v>0.25206901154087946</v>
      </c>
      <c r="D40" s="2"/>
      <c r="E40" s="14">
        <f>IFERROR(E31+E32+E33+E34+E35+E36+E37+E38+E39, "NA")</f>
        <v>102760.64</v>
      </c>
      <c r="F40" s="15">
        <f>IFERROR(E40/E444, "NA")</f>
        <v>0.20437137221196702</v>
      </c>
      <c r="G40" s="2"/>
      <c r="H40" s="14">
        <f t="shared" si="8"/>
        <v>18714.259999999995</v>
      </c>
      <c r="I40" s="15">
        <f>IFERROR(H40/H444, "NA")</f>
        <v>-0.89533346091283106</v>
      </c>
      <c r="J40" s="2"/>
      <c r="K40" s="14">
        <f>IFERROR(K31+K32+K33+K34+K35+K36+K37+K38+K39, "NA")</f>
        <v>137572.91</v>
      </c>
      <c r="L40" s="15">
        <f>IFERROR(K40/K444, "NA")</f>
        <v>0.28772418933118599</v>
      </c>
      <c r="M40" s="2"/>
      <c r="N40" s="14">
        <f t="shared" si="9"/>
        <v>-16098.010000000009</v>
      </c>
      <c r="O40" s="15">
        <f>IFERROR(N40/N444, "NA")</f>
        <v>-4.2704143079217012</v>
      </c>
      <c r="P40" s="2"/>
      <c r="Q40" s="14">
        <f>IFERROR(Q31+Q32+Q33+Q34+Q35+Q36+Q37+Q38+Q39, "NA")</f>
        <v>225698.84999999998</v>
      </c>
      <c r="R40" s="15">
        <f>IFERROR(Q40/Q444, "NA")</f>
        <v>0.24613725577568865</v>
      </c>
      <c r="S40" s="2"/>
      <c r="T40" s="14">
        <f>IFERROR(T31+T32+T33+T34+T35+T36+T37+T38+T39, "NA")</f>
        <v>194047.69000000003</v>
      </c>
      <c r="U40" s="15">
        <f>IFERROR(T40/T444, "NA")</f>
        <v>0.20393411402546585</v>
      </c>
      <c r="V40" s="2"/>
      <c r="W40" s="14">
        <f t="shared" si="10"/>
        <v>31651.159999999945</v>
      </c>
      <c r="X40" s="15">
        <f>IFERROR(W40/W444, "NA")</f>
        <v>-0.91588252826399508</v>
      </c>
      <c r="Y40" s="2"/>
      <c r="Z40" s="14">
        <f>IFERROR(Z31+Z32+Z33+Z34+Z35+Z36+Z37+Z38+Z39, "NA")</f>
        <v>245433.74</v>
      </c>
      <c r="AA40" s="15">
        <f>IFERROR(Z40/Z444, "NA")</f>
        <v>0.26861610202199954</v>
      </c>
      <c r="AB40" s="2"/>
      <c r="AC40" s="14">
        <f t="shared" si="11"/>
        <v>-19734.890000000014</v>
      </c>
      <c r="AD40" s="15">
        <f>IFERROR(AC40/AC444, "NA")</f>
        <v>-6.0419155443569892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120094.34</v>
      </c>
      <c r="F42" s="8">
        <f>IFERROR(E42/E444, "NA")</f>
        <v>0.23884480537188674</v>
      </c>
      <c r="G42" s="9"/>
      <c r="H42" s="10">
        <f>IFERROR(B42-E42, "NA")</f>
        <v>-120094.34</v>
      </c>
      <c r="I42" s="8">
        <f>IFERROR(H42/H444, "NA")</f>
        <v>5.745590852549995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227463.84000000003</v>
      </c>
      <c r="U42" s="8">
        <f>IFERROR(T42/T444, "NA")</f>
        <v>0.23905276421085106</v>
      </c>
      <c r="V42" s="9"/>
      <c r="W42" s="10">
        <f>IFERROR(Q42-T42, "NA")</f>
        <v>-227463.84000000003</v>
      </c>
      <c r="X42" s="8">
        <f>IFERROR(W42/W444, "NA")</f>
        <v>6.5820701948313181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21229.260000000002</v>
      </c>
      <c r="C43" s="8">
        <f>IFERROR(B43/B444, "NA")</f>
        <v>4.4052216416266499E-2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21229.260000000002</v>
      </c>
      <c r="I43" s="8">
        <f>IFERROR(H43/H444, "NA")</f>
        <v>-1.0156568749401973</v>
      </c>
      <c r="J43" s="9"/>
      <c r="K43" s="7">
        <v>28426.619999999995</v>
      </c>
      <c r="L43" s="8">
        <f>IFERROR(K43/K444, "NA")</f>
        <v>5.9452302018803534E-2</v>
      </c>
      <c r="M43" s="9"/>
      <c r="N43" s="10">
        <f>IFERROR(B43-K43, "NA")</f>
        <v>-7197.3599999999933</v>
      </c>
      <c r="O43" s="8">
        <f>IFERROR(N43/N444, "NA")</f>
        <v>-1.9092862486272084</v>
      </c>
      <c r="P43" s="9"/>
      <c r="Q43" s="7">
        <v>32408.000000000004</v>
      </c>
      <c r="R43" s="8">
        <f>IFERROR(Q43/Q444, "NA")</f>
        <v>3.5342741822470602E-2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32408.000000000004</v>
      </c>
      <c r="X43" s="8">
        <f>IFERROR(W43/W444, "NA")</f>
        <v>-0.93778303784062278</v>
      </c>
      <c r="Y43" s="9"/>
      <c r="Z43" s="7">
        <v>46013.67</v>
      </c>
      <c r="AA43" s="8">
        <f>IFERROR(Z43/Z444, "NA")</f>
        <v>5.0359875847251559E-2</v>
      </c>
      <c r="AB43" s="9"/>
      <c r="AC43" s="10">
        <f>IFERROR(Q43-Z43, "NA")</f>
        <v>-13605.669999999995</v>
      </c>
      <c r="AD43" s="8">
        <f>IFERROR(AC43/AC444, "NA")</f>
        <v>-4.1654303147568328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647.17999999999995</v>
      </c>
      <c r="C47" s="8">
        <f>IFERROR(B47/B444, "NA")</f>
        <v>1.3429442863424983E-3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647.17999999999995</v>
      </c>
      <c r="I47" s="8">
        <f>IFERROR(H47/H444, "NA")</f>
        <v>-3.0962587312218924E-2</v>
      </c>
      <c r="J47" s="9"/>
      <c r="K47" s="7">
        <v>2356.4499999999998</v>
      </c>
      <c r="L47" s="8">
        <f>IFERROR(K47/K444, "NA")</f>
        <v>4.9283515624513078E-3</v>
      </c>
      <c r="M47" s="9"/>
      <c r="N47" s="10">
        <f t="shared" si="13"/>
        <v>-1709.27</v>
      </c>
      <c r="O47" s="8">
        <f>IFERROR(N47/N444, "NA")</f>
        <v>-0.45342816062987418</v>
      </c>
      <c r="P47" s="9"/>
      <c r="Q47" s="7">
        <v>647.17999999999995</v>
      </c>
      <c r="R47" s="8">
        <f>IFERROR(Q47/Q444, "NA")</f>
        <v>7.0578609147946552E-4</v>
      </c>
      <c r="S47" s="9"/>
      <c r="T47" s="7">
        <v>0</v>
      </c>
      <c r="U47" s="8">
        <f>IFERROR(T47/T444, "NA")</f>
        <v>0</v>
      </c>
      <c r="V47" s="9"/>
      <c r="W47" s="10">
        <f t="shared" si="14"/>
        <v>647.17999999999995</v>
      </c>
      <c r="X47" s="8">
        <f>IFERROR(W47/W444, "NA")</f>
        <v>-1.8727302716295177E-2</v>
      </c>
      <c r="Y47" s="9"/>
      <c r="Z47" s="7">
        <v>2873.15</v>
      </c>
      <c r="AA47" s="8">
        <f>IFERROR(Z47/Z444, "NA")</f>
        <v>3.1445324246149207E-3</v>
      </c>
      <c r="AB47" s="9"/>
      <c r="AC47" s="10">
        <f t="shared" si="15"/>
        <v>-2225.9700000000003</v>
      </c>
      <c r="AD47" s="8">
        <f>IFERROR(AC47/AC444, "NA")</f>
        <v>-0.68148962291010073</v>
      </c>
    </row>
    <row r="48" spans="1:30" ht="16.5" customHeight="1" x14ac:dyDescent="0.45">
      <c r="A48" s="17" t="s">
        <v>46</v>
      </c>
      <c r="B48" s="7">
        <v>79267.59</v>
      </c>
      <c r="C48" s="8">
        <f>IFERROR(B48/B444, "NA")</f>
        <v>0.16448585723081641</v>
      </c>
      <c r="D48" s="9"/>
      <c r="E48" s="7">
        <v>0</v>
      </c>
      <c r="F48" s="8">
        <f>IFERROR(E48/E444, "NA")</f>
        <v>0</v>
      </c>
      <c r="G48" s="9"/>
      <c r="H48" s="10">
        <f t="shared" si="12"/>
        <v>79267.59</v>
      </c>
      <c r="I48" s="8">
        <f>IFERROR(H48/H444, "NA")</f>
        <v>-3.7923447516984017</v>
      </c>
      <c r="J48" s="9"/>
      <c r="K48" s="7">
        <v>68955.509999999995</v>
      </c>
      <c r="L48" s="8">
        <f>IFERROR(K48/K444, "NA")</f>
        <v>0.14421566146030121</v>
      </c>
      <c r="M48" s="9"/>
      <c r="N48" s="10">
        <f t="shared" si="13"/>
        <v>10312.080000000002</v>
      </c>
      <c r="O48" s="8">
        <f>IFERROR(N48/N444, "NA")</f>
        <v>2.7355464418541917</v>
      </c>
      <c r="P48" s="9"/>
      <c r="Q48" s="7">
        <v>135908.66</v>
      </c>
      <c r="R48" s="8">
        <f>IFERROR(Q48/Q444, "NA")</f>
        <v>0.1482160170889267</v>
      </c>
      <c r="S48" s="9"/>
      <c r="T48" s="7">
        <v>0</v>
      </c>
      <c r="U48" s="8">
        <f>IFERROR(T48/T444, "NA")</f>
        <v>0</v>
      </c>
      <c r="V48" s="9"/>
      <c r="W48" s="10">
        <f t="shared" si="14"/>
        <v>135908.66</v>
      </c>
      <c r="X48" s="8">
        <f>IFERROR(W48/W444, "NA")</f>
        <v>-3.9327584560493807</v>
      </c>
      <c r="Y48" s="9"/>
      <c r="Z48" s="7">
        <v>151031.76</v>
      </c>
      <c r="AA48" s="8">
        <f>IFERROR(Z48/Z444, "NA")</f>
        <v>0.16529741449860216</v>
      </c>
      <c r="AB48" s="9"/>
      <c r="AC48" s="10">
        <f t="shared" si="15"/>
        <v>-15123.100000000006</v>
      </c>
      <c r="AD48" s="8">
        <f>IFERROR(AC48/AC444, "NA")</f>
        <v>-4.6299975813832832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customHeight="1" x14ac:dyDescent="0.45">
      <c r="A50" s="17" t="s">
        <v>48</v>
      </c>
      <c r="B50" s="7">
        <v>5332</v>
      </c>
      <c r="C50" s="8">
        <f>IFERROR(B50/B444, "NA")</f>
        <v>1.1064277225467725E-2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5332</v>
      </c>
      <c r="I50" s="8">
        <f>IFERROR(H50/H444, "NA")</f>
        <v>-0.25509520620036358</v>
      </c>
      <c r="J50" s="9"/>
      <c r="K50" s="7">
        <v>1139.03</v>
      </c>
      <c r="L50" s="8">
        <f>IFERROR(K50/K444, "NA")</f>
        <v>2.3822021601047822E-3</v>
      </c>
      <c r="M50" s="9"/>
      <c r="N50" s="10">
        <f t="shared" si="13"/>
        <v>4192.97</v>
      </c>
      <c r="O50" s="8">
        <f>IFERROR(N50/N444, "NA")</f>
        <v>1.1122939469342139</v>
      </c>
      <c r="P50" s="9"/>
      <c r="Q50" s="7">
        <v>5879</v>
      </c>
      <c r="R50" s="8">
        <f>IFERROR(Q50/Q444, "NA")</f>
        <v>6.4113792635862952E-3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5879</v>
      </c>
      <c r="X50" s="8">
        <f>IFERROR(W50/W444, "NA")</f>
        <v>-0.17011930632760494</v>
      </c>
      <c r="Y50" s="9"/>
      <c r="Z50" s="7">
        <v>1276.17</v>
      </c>
      <c r="AA50" s="8">
        <f>IFERROR(Z50/Z444, "NA")</f>
        <v>1.3967102115520678E-3</v>
      </c>
      <c r="AB50" s="9"/>
      <c r="AC50" s="10">
        <f t="shared" si="15"/>
        <v>4602.83</v>
      </c>
      <c r="AD50" s="8">
        <f>IFERROR(AC50/AC444, "NA")</f>
        <v>1.4091748231194934</v>
      </c>
    </row>
    <row r="51" spans="1:30" ht="16.5" customHeight="1" x14ac:dyDescent="0.45">
      <c r="A51" s="17" t="s">
        <v>49</v>
      </c>
      <c r="B51" s="7">
        <v>2340.08</v>
      </c>
      <c r="C51" s="8">
        <f>IFERROR(B51/B444, "NA")</f>
        <v>4.8558315547210266E-3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2340.08</v>
      </c>
      <c r="I51" s="8">
        <f>IFERROR(H51/H444, "NA")</f>
        <v>-0.11195483685771696</v>
      </c>
      <c r="J51" s="9"/>
      <c r="K51" s="7">
        <v>3236.45</v>
      </c>
      <c r="L51" s="8">
        <f>IFERROR(K51/K444, "NA")</f>
        <v>6.768810462473439E-3</v>
      </c>
      <c r="M51" s="9"/>
      <c r="N51" s="10">
        <f t="shared" si="13"/>
        <v>-896.36999999999989</v>
      </c>
      <c r="O51" s="8">
        <f>IFERROR(N51/N444, "NA")</f>
        <v>-0.23778537056392512</v>
      </c>
      <c r="P51" s="9"/>
      <c r="Q51" s="7">
        <v>4498.59</v>
      </c>
      <c r="R51" s="8">
        <f>IFERROR(Q51/Q444, "NA")</f>
        <v>4.905964728929524E-3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4498.59</v>
      </c>
      <c r="X51" s="8">
        <f>IFERROR(W51/W444, "NA")</f>
        <v>-0.1301746913169417</v>
      </c>
      <c r="Y51" s="9"/>
      <c r="Z51" s="7">
        <v>6779.44</v>
      </c>
      <c r="AA51" s="8">
        <f>IFERROR(Z51/Z444, "NA")</f>
        <v>7.4197897432195939E-3</v>
      </c>
      <c r="AB51" s="9"/>
      <c r="AC51" s="10">
        <f t="shared" si="15"/>
        <v>-2280.8499999999995</v>
      </c>
      <c r="AD51" s="8">
        <f>IFERROR(AC51/AC444, "NA")</f>
        <v>-0.69829135451713309</v>
      </c>
    </row>
    <row r="52" spans="1:30" ht="16.5" customHeight="1" x14ac:dyDescent="0.45">
      <c r="A52" s="17" t="s">
        <v>50</v>
      </c>
      <c r="B52" s="7">
        <v>7000</v>
      </c>
      <c r="C52" s="8">
        <f>IFERROR(B52/B444, "NA")</f>
        <v>1.4525495232234446E-2</v>
      </c>
      <c r="D52" s="9"/>
      <c r="E52" s="7">
        <v>0</v>
      </c>
      <c r="F52" s="8">
        <f>IFERROR(E52/E444, "NA")</f>
        <v>0</v>
      </c>
      <c r="G52" s="9"/>
      <c r="H52" s="10">
        <f t="shared" si="12"/>
        <v>7000</v>
      </c>
      <c r="I52" s="8">
        <f>IFERROR(H52/H444, "NA")</f>
        <v>-0.33489618218352313</v>
      </c>
      <c r="J52" s="9"/>
      <c r="K52" s="7">
        <v>0</v>
      </c>
      <c r="L52" s="8">
        <f>IFERROR(K52/K444, "NA")</f>
        <v>0</v>
      </c>
      <c r="M52" s="9"/>
      <c r="N52" s="10">
        <f t="shared" si="13"/>
        <v>7000</v>
      </c>
      <c r="O52" s="8">
        <f>IFERROR(N52/N444, "NA")</f>
        <v>1.856931394343269</v>
      </c>
      <c r="P52" s="9"/>
      <c r="Q52" s="7">
        <v>7000</v>
      </c>
      <c r="R52" s="8">
        <f>IFERROR(Q52/Q444, "NA")</f>
        <v>7.6338926424739011E-3</v>
      </c>
      <c r="S52" s="9"/>
      <c r="T52" s="7">
        <v>0</v>
      </c>
      <c r="U52" s="8">
        <f>IFERROR(T52/T444, "NA")</f>
        <v>0</v>
      </c>
      <c r="V52" s="9"/>
      <c r="W52" s="10">
        <f t="shared" si="14"/>
        <v>7000</v>
      </c>
      <c r="X52" s="8">
        <f>IFERROR(W52/W444, "NA")</f>
        <v>-0.20255743226624162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7000</v>
      </c>
      <c r="AD52" s="8">
        <f>IFERROR(AC52/AC444, "NA")</f>
        <v>2.1430780111010952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customHeight="1" x14ac:dyDescent="0.45">
      <c r="A55" s="17" t="s">
        <v>53</v>
      </c>
      <c r="B55" s="7">
        <v>2609.4</v>
      </c>
      <c r="C55" s="8">
        <f>IFERROR(B55/B444, "NA")</f>
        <v>5.4146896084275092E-3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2609.4</v>
      </c>
      <c r="I55" s="8">
        <f>IFERROR(H55/H444, "NA")</f>
        <v>-0.12483972825566932</v>
      </c>
      <c r="J55" s="9"/>
      <c r="K55" s="7">
        <v>525.56000000000006</v>
      </c>
      <c r="L55" s="8">
        <f>IFERROR(K55/K444, "NA")</f>
        <v>1.099172249426854E-3</v>
      </c>
      <c r="M55" s="9"/>
      <c r="N55" s="10">
        <f t="shared" si="13"/>
        <v>2083.84</v>
      </c>
      <c r="O55" s="8">
        <f>IFERROR(N55/N444, "NA")</f>
        <v>0.55279255954118256</v>
      </c>
      <c r="P55" s="9"/>
      <c r="Q55" s="7">
        <v>5161.1000000000004</v>
      </c>
      <c r="R55" s="8">
        <f>IFERROR(Q55/Q444, "NA")</f>
        <v>5.6284690452960079E-3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5161.1000000000004</v>
      </c>
      <c r="X55" s="8">
        <f>IFERROR(W55/W444, "NA")</f>
        <v>-0.14934559480989995</v>
      </c>
      <c r="Y55" s="9"/>
      <c r="Z55" s="7">
        <v>525.56000000000006</v>
      </c>
      <c r="AA55" s="8">
        <f>IFERROR(Z55/Z444, "NA")</f>
        <v>5.7520159444533628E-4</v>
      </c>
      <c r="AB55" s="9"/>
      <c r="AC55" s="10">
        <f t="shared" si="15"/>
        <v>4635.54</v>
      </c>
      <c r="AD55" s="8">
        <f>IFERROR(AC55/AC444, "NA")</f>
        <v>1.4191891205113674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customHeight="1" x14ac:dyDescent="0.45">
      <c r="A57" s="17" t="s">
        <v>55</v>
      </c>
      <c r="B57" s="7">
        <v>1658.09</v>
      </c>
      <c r="C57" s="8">
        <f>IFERROR(B57/B444, "NA")</f>
        <v>3.4406540556593734E-3</v>
      </c>
      <c r="D57" s="9"/>
      <c r="E57" s="7">
        <v>0</v>
      </c>
      <c r="F57" s="8">
        <f>IFERROR(E57/E444, "NA")</f>
        <v>0</v>
      </c>
      <c r="G57" s="9"/>
      <c r="H57" s="10">
        <f t="shared" si="12"/>
        <v>1658.09</v>
      </c>
      <c r="I57" s="8">
        <f>IFERROR(H57/H444, "NA")</f>
        <v>-7.9326858673811118E-2</v>
      </c>
      <c r="J57" s="9"/>
      <c r="K57" s="7">
        <v>0</v>
      </c>
      <c r="L57" s="8">
        <f>IFERROR(K57/K444, "NA")</f>
        <v>0</v>
      </c>
      <c r="M57" s="9"/>
      <c r="N57" s="10">
        <f t="shared" si="13"/>
        <v>1658.09</v>
      </c>
      <c r="O57" s="8">
        <f>IFERROR(N57/N444, "NA")</f>
        <v>0.43985133937809012</v>
      </c>
      <c r="P57" s="9"/>
      <c r="Q57" s="7">
        <v>3735.79</v>
      </c>
      <c r="R57" s="8">
        <f>IFERROR(Q57/Q444, "NA")</f>
        <v>4.0740885421182253E-3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3735.79</v>
      </c>
      <c r="X57" s="8">
        <f>IFERROR(W57/W444, "NA")</f>
        <v>-0.10810171855512897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3735.79</v>
      </c>
      <c r="AD57" s="8">
        <f>IFERROR(AC57/AC444, "NA")</f>
        <v>1.14372705758448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customHeight="1" x14ac:dyDescent="0.45">
      <c r="A60" s="17" t="s">
        <v>58</v>
      </c>
      <c r="B60" s="7">
        <v>661.07</v>
      </c>
      <c r="C60" s="8">
        <f>IFERROR(B60/B444, "NA")</f>
        <v>1.3717670190247467E-3</v>
      </c>
      <c r="D60" s="9"/>
      <c r="E60" s="7">
        <v>0</v>
      </c>
      <c r="F60" s="8">
        <f>IFERROR(E60/E444, "NA")</f>
        <v>0</v>
      </c>
      <c r="G60" s="9"/>
      <c r="H60" s="10">
        <f t="shared" si="12"/>
        <v>661.07</v>
      </c>
      <c r="I60" s="8">
        <f>IFERROR(H60/H444, "NA")</f>
        <v>-3.1627117022294517E-2</v>
      </c>
      <c r="J60" s="9"/>
      <c r="K60" s="7">
        <v>0</v>
      </c>
      <c r="L60" s="8">
        <f>IFERROR(K60/K444, "NA")</f>
        <v>0</v>
      </c>
      <c r="M60" s="9"/>
      <c r="N60" s="10">
        <f t="shared" si="13"/>
        <v>661.07</v>
      </c>
      <c r="O60" s="8">
        <f>IFERROR(N60/N444, "NA")</f>
        <v>0.17536594812264356</v>
      </c>
      <c r="P60" s="9"/>
      <c r="Q60" s="7">
        <v>661.07</v>
      </c>
      <c r="R60" s="8">
        <f>IFERROR(Q60/Q444, "NA")</f>
        <v>7.2093391559431748E-4</v>
      </c>
      <c r="S60" s="9"/>
      <c r="T60" s="7">
        <v>0</v>
      </c>
      <c r="U60" s="8">
        <f>IFERROR(T60/T444, "NA")</f>
        <v>0</v>
      </c>
      <c r="V60" s="9"/>
      <c r="W60" s="10">
        <f t="shared" si="14"/>
        <v>661.07</v>
      </c>
      <c r="X60" s="8">
        <f>IFERROR(W60/W444, "NA")</f>
        <v>-1.9129234535463481E-2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661.07</v>
      </c>
      <c r="AD60" s="8">
        <f>IFERROR(AC60/AC444, "NA")</f>
        <v>0.2023892258283716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99515.409999999989</v>
      </c>
      <c r="C61" s="15">
        <f>IFERROR(B61/B444, "NA")</f>
        <v>0.20650151621269372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99515.409999999989</v>
      </c>
      <c r="I61" s="15">
        <f>IFERROR(H61/H444, "NA")</f>
        <v>-4.761047268203999</v>
      </c>
      <c r="J61" s="2"/>
      <c r="K61" s="14">
        <f>IFERROR(K46+K47+K48+K49+K50+K51+K52+K53+K54+K55+K56+K57+K58+K59+K60, "NA")</f>
        <v>76212.999999999985</v>
      </c>
      <c r="L61" s="15">
        <f>IFERROR(K61/K444, "NA")</f>
        <v>0.15939419789475759</v>
      </c>
      <c r="M61" s="2"/>
      <c r="N61" s="14">
        <f t="shared" si="13"/>
        <v>23302.410000000003</v>
      </c>
      <c r="O61" s="15">
        <f>IFERROR(N61/N444, "NA")</f>
        <v>6.1815680989797919</v>
      </c>
      <c r="P61" s="2"/>
      <c r="Q61" s="14">
        <f>IFERROR(Q46+Q47+Q48+Q49+Q50+Q51+Q52+Q53+Q54+Q55+Q56+Q57+Q58+Q59+Q60, "NA")</f>
        <v>163491.39000000001</v>
      </c>
      <c r="R61" s="15">
        <f>IFERROR(Q61/Q444, "NA")</f>
        <v>0.17829653131840445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163491.39000000001</v>
      </c>
      <c r="X61" s="15">
        <f>IFERROR(W61/W444, "NA")</f>
        <v>-4.7309137365769569</v>
      </c>
      <c r="Y61" s="2"/>
      <c r="Z61" s="14">
        <f>IFERROR(Z46+Z47+Z48+Z49+Z50+Z51+Z52+Z53+Z54+Z55+Z56+Z57+Z58+Z59+Z60, "NA")</f>
        <v>162486.08000000002</v>
      </c>
      <c r="AA61" s="15">
        <f>IFERROR(Z61/Z444, "NA")</f>
        <v>0.17783364847243407</v>
      </c>
      <c r="AB61" s="2"/>
      <c r="AC61" s="14">
        <f t="shared" si="15"/>
        <v>1005.3099999999977</v>
      </c>
      <c r="AD61" s="15">
        <f>IFERROR(AC61/AC444, "NA")</f>
        <v>0.30777967933429101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120744.67</v>
      </c>
      <c r="C62" s="15">
        <f>IFERROR(B62/B444, "NA")</f>
        <v>0.25055373262896025</v>
      </c>
      <c r="D62" s="2"/>
      <c r="E62" s="14">
        <f>IFERROR(E42+E43+E44+E46+E47+E48+E49+E50+E51+E52+E53+E54+E55+E56+E57+E58+E59+E60, "NA")</f>
        <v>120094.34</v>
      </c>
      <c r="F62" s="15">
        <f>IFERROR(E62/E444, "NA")</f>
        <v>0.23884480537188674</v>
      </c>
      <c r="G62" s="2"/>
      <c r="H62" s="14">
        <f t="shared" si="12"/>
        <v>650.33000000000175</v>
      </c>
      <c r="I62" s="15">
        <f>IFERROR(H62/H444, "NA")</f>
        <v>-3.1113290594201596E-2</v>
      </c>
      <c r="J62" s="2"/>
      <c r="K62" s="14">
        <f>IFERROR(K42+K43+K44+K46+K47+K48+K49+K50+K51+K52+K53+K54+K55+K56+K57+K58+K59+K60, "NA")</f>
        <v>104639.61999999998</v>
      </c>
      <c r="L62" s="15">
        <f>IFERROR(K62/K444, "NA")</f>
        <v>0.21884649991356112</v>
      </c>
      <c r="M62" s="2"/>
      <c r="N62" s="14">
        <f t="shared" si="13"/>
        <v>16105.050000000017</v>
      </c>
      <c r="O62" s="15">
        <f>IFERROR(N62/N444, "NA")</f>
        <v>4.2722818503525852</v>
      </c>
      <c r="P62" s="2"/>
      <c r="Q62" s="14">
        <f>IFERROR(Q42+Q43+Q44+Q46+Q47+Q48+Q49+Q50+Q51+Q52+Q53+Q54+Q55+Q56+Q57+Q58+Q59+Q60, "NA")</f>
        <v>195899.39</v>
      </c>
      <c r="R62" s="15">
        <f>IFERROR(Q62/Q444, "NA")</f>
        <v>0.21363927314087505</v>
      </c>
      <c r="S62" s="2"/>
      <c r="T62" s="14">
        <f>IFERROR(T42+T43+T44+T46+T47+T48+T49+T50+T51+T52+T53+T54+T55+T56+T57+T58+T59+T60, "NA")</f>
        <v>227463.84000000003</v>
      </c>
      <c r="U62" s="15">
        <f>IFERROR(T62/T444, "NA")</f>
        <v>0.23905276421085106</v>
      </c>
      <c r="V62" s="2"/>
      <c r="W62" s="14">
        <f t="shared" si="14"/>
        <v>-31564.450000000012</v>
      </c>
      <c r="X62" s="15">
        <f>IFERROR(W62/W444, "NA")</f>
        <v>0.91337342041373892</v>
      </c>
      <c r="Y62" s="2"/>
      <c r="Z62" s="14">
        <f>IFERROR(Z42+Z43+Z44+Z46+Z47+Z48+Z49+Z50+Z51+Z52+Z53+Z54+Z55+Z56+Z57+Z58+Z59+Z60, "NA")</f>
        <v>208499.75000000003</v>
      </c>
      <c r="AA62" s="15">
        <f>IFERROR(Z62/Z444, "NA")</f>
        <v>0.22819352431968565</v>
      </c>
      <c r="AB62" s="2"/>
      <c r="AC62" s="14">
        <f t="shared" si="15"/>
        <v>-12600.360000000015</v>
      </c>
      <c r="AD62" s="15">
        <f>IFERROR(AC62/AC444, "NA")</f>
        <v>-3.857650635422547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40027.729999999996</v>
      </c>
      <c r="F64" s="8">
        <f>IFERROR(E64/E444, "NA")</f>
        <v>7.9607543380715781E-2</v>
      </c>
      <c r="G64" s="9"/>
      <c r="H64" s="10">
        <f t="shared" ref="H64:H73" si="16">IFERROR(B64-E64, "NA")</f>
        <v>-40027.729999999996</v>
      </c>
      <c r="I64" s="8">
        <f>IFERROR(H64/H444, "NA")</f>
        <v>1.9150191369246961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75479.92</v>
      </c>
      <c r="U64" s="8">
        <f>IFERROR(T64/T444, "NA")</f>
        <v>7.9325502982864879E-2</v>
      </c>
      <c r="V64" s="9"/>
      <c r="W64" s="10">
        <f t="shared" ref="W64:W73" si="18">IFERROR(Q64-T64, "NA")</f>
        <v>-75479.92</v>
      </c>
      <c r="X64" s="8">
        <f>IFERROR(W64/W444, "NA")</f>
        <v>2.1841455404087622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17237.2</v>
      </c>
      <c r="C65" s="8">
        <f>IFERROR(B65/B444, "NA")</f>
        <v>3.5768409488153088E-2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17237.2</v>
      </c>
      <c r="I65" s="8">
        <f>IFERROR(H65/H444, "NA")</f>
        <v>-0.82466749593340349</v>
      </c>
      <c r="J65" s="9"/>
      <c r="K65" s="7">
        <v>1349.51</v>
      </c>
      <c r="L65" s="8">
        <f>IFERROR(K65/K444, "NA")</f>
        <v>2.8224064661009846E-3</v>
      </c>
      <c r="M65" s="9"/>
      <c r="N65" s="10">
        <f t="shared" si="17"/>
        <v>15887.69</v>
      </c>
      <c r="O65" s="8">
        <f>IFERROR(N65/N444, "NA")</f>
        <v>4.2146214777990876</v>
      </c>
      <c r="P65" s="9"/>
      <c r="Q65" s="7">
        <v>31754.840000000004</v>
      </c>
      <c r="R65" s="8">
        <f>IFERROR(Q65/Q444, "NA")</f>
        <v>3.4630434205562277E-2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31754.840000000004</v>
      </c>
      <c r="X65" s="8">
        <f>IFERROR(W65/W444, "NA")</f>
        <v>-0.91888269320362015</v>
      </c>
      <c r="Y65" s="9"/>
      <c r="Z65" s="7">
        <v>3459.71</v>
      </c>
      <c r="AA65" s="8">
        <f>IFERROR(Z65/Z444, "NA")</f>
        <v>3.7864957537074246E-3</v>
      </c>
      <c r="AB65" s="9"/>
      <c r="AC65" s="10">
        <f t="shared" si="19"/>
        <v>28295.130000000005</v>
      </c>
      <c r="AD65" s="8">
        <f>IFERROR(AC65/AC444, "NA")</f>
        <v>8.6626672748924207</v>
      </c>
    </row>
    <row r="66" spans="1:30" ht="16.5" customHeight="1" x14ac:dyDescent="0.45">
      <c r="A66" s="12" t="s">
        <v>63</v>
      </c>
      <c r="B66" s="7">
        <v>16253.490000000002</v>
      </c>
      <c r="C66" s="8">
        <f>IFERROR(B66/B444, "NA")</f>
        <v>3.3727141643167181E-2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16253.490000000002</v>
      </c>
      <c r="I66" s="8">
        <f>IFERROR(H66/H444, "NA")</f>
        <v>-0.77760453545115304</v>
      </c>
      <c r="J66" s="9"/>
      <c r="K66" s="7">
        <v>11235.28</v>
      </c>
      <c r="L66" s="8">
        <f>IFERROR(K66/K444, "NA")</f>
        <v>2.3497808034364378E-2</v>
      </c>
      <c r="M66" s="9"/>
      <c r="N66" s="10">
        <f t="shared" si="17"/>
        <v>5018.2100000000009</v>
      </c>
      <c r="O66" s="8">
        <f>IFERROR(N66/N444, "NA")</f>
        <v>1.3312102417724769</v>
      </c>
      <c r="P66" s="9"/>
      <c r="Q66" s="7">
        <v>29401.829999999998</v>
      </c>
      <c r="R66" s="8">
        <f>IFERROR(Q66/Q444, "NA")</f>
        <v>3.2064344816038343E-2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29401.829999999998</v>
      </c>
      <c r="X66" s="8">
        <f>IFERROR(W66/W444, "NA")</f>
        <v>-0.85079416981836442</v>
      </c>
      <c r="Y66" s="9"/>
      <c r="Z66" s="7">
        <v>24724.940000000002</v>
      </c>
      <c r="AA66" s="8">
        <f>IFERROR(Z66/Z444, "NA")</f>
        <v>2.706032595814992E-2</v>
      </c>
      <c r="AB66" s="9"/>
      <c r="AC66" s="10">
        <f t="shared" si="19"/>
        <v>4676.8899999999958</v>
      </c>
      <c r="AD66" s="8">
        <f>IFERROR(AC66/AC444, "NA")</f>
        <v>1.4318485884769416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9882.75</v>
      </c>
      <c r="AA67" s="8">
        <f>IFERROR(Z67/Z444, "NA")</f>
        <v>1.0816221853840943E-2</v>
      </c>
      <c r="AB67" s="9"/>
      <c r="AC67" s="10">
        <f t="shared" si="19"/>
        <v>-9882.75</v>
      </c>
      <c r="AD67" s="8">
        <f>IFERROR(AC67/AC444, "NA")</f>
        <v>-3.0256434591727639</v>
      </c>
    </row>
    <row r="68" spans="1:30" ht="16.5" customHeight="1" x14ac:dyDescent="0.45">
      <c r="A68" s="12" t="s">
        <v>65</v>
      </c>
      <c r="B68" s="7">
        <v>1784.8500000000001</v>
      </c>
      <c r="C68" s="8">
        <f>IFERROR(B68/B444, "NA")</f>
        <v>3.7036900236076648E-3</v>
      </c>
      <c r="D68" s="9"/>
      <c r="E68" s="7">
        <v>0</v>
      </c>
      <c r="F68" s="8">
        <f>IFERROR(E68/E444, "NA")</f>
        <v>0</v>
      </c>
      <c r="G68" s="9"/>
      <c r="H68" s="10">
        <f t="shared" si="16"/>
        <v>1784.8500000000001</v>
      </c>
      <c r="I68" s="8">
        <f>IFERROR(H68/H444, "NA")</f>
        <v>-8.5391350110037317E-2</v>
      </c>
      <c r="J68" s="9"/>
      <c r="K68" s="7">
        <v>0</v>
      </c>
      <c r="L68" s="8">
        <f>IFERROR(K68/K444, "NA")</f>
        <v>0</v>
      </c>
      <c r="M68" s="9"/>
      <c r="N68" s="10">
        <f t="shared" si="17"/>
        <v>1784.8500000000001</v>
      </c>
      <c r="O68" s="8">
        <f>IFERROR(N68/N444, "NA")</f>
        <v>0.47347771417051199</v>
      </c>
      <c r="P68" s="9"/>
      <c r="Q68" s="7">
        <v>2490.2599999999998</v>
      </c>
      <c r="R68" s="8">
        <f>IFERROR(Q68/Q444, "NA")</f>
        <v>2.7157682131210077E-3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2490.2599999999998</v>
      </c>
      <c r="X68" s="8">
        <f>IFERROR(W68/W444, "NA")</f>
        <v>-7.2060095896475829E-2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2490.2599999999998</v>
      </c>
      <c r="AD68" s="8">
        <f>IFERROR(AC68/AC444, "NA")</f>
        <v>0.76240306398923041</v>
      </c>
    </row>
    <row r="69" spans="1:30" ht="16.5" customHeight="1" x14ac:dyDescent="0.45">
      <c r="A69" s="12" t="s">
        <v>66</v>
      </c>
      <c r="B69" s="7">
        <v>4560</v>
      </c>
      <c r="C69" s="8">
        <f>IFERROR(B69/B444, "NA")</f>
        <v>9.4623226084270106E-3</v>
      </c>
      <c r="D69" s="9"/>
      <c r="E69" s="7">
        <v>0</v>
      </c>
      <c r="F69" s="8">
        <f>IFERROR(E69/E444, "NA")</f>
        <v>0</v>
      </c>
      <c r="G69" s="9"/>
      <c r="H69" s="10">
        <f t="shared" si="16"/>
        <v>4560</v>
      </c>
      <c r="I69" s="8">
        <f>IFERROR(H69/H444, "NA")</f>
        <v>-0.21816094153669505</v>
      </c>
      <c r="J69" s="9"/>
      <c r="K69" s="7">
        <v>0</v>
      </c>
      <c r="L69" s="8">
        <f>IFERROR(K69/K444, "NA")</f>
        <v>0</v>
      </c>
      <c r="M69" s="9"/>
      <c r="N69" s="10">
        <f t="shared" si="17"/>
        <v>4560</v>
      </c>
      <c r="O69" s="8">
        <f>IFERROR(N69/N444, "NA")</f>
        <v>1.2096581654579011</v>
      </c>
      <c r="P69" s="9"/>
      <c r="Q69" s="7">
        <v>7927.15</v>
      </c>
      <c r="R69" s="8">
        <f>IFERROR(Q69/Q444, "NA")</f>
        <v>8.645001722969569E-3</v>
      </c>
      <c r="S69" s="9"/>
      <c r="T69" s="7">
        <v>0</v>
      </c>
      <c r="U69" s="8">
        <f>IFERROR(T69/T444, "NA")</f>
        <v>0</v>
      </c>
      <c r="V69" s="9"/>
      <c r="W69" s="10">
        <f t="shared" si="18"/>
        <v>7927.15</v>
      </c>
      <c r="X69" s="8">
        <f>IFERROR(W69/W444, "NA")</f>
        <v>-0.22938616416990532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7927.15</v>
      </c>
      <c r="AD69" s="8">
        <f>IFERROR(AC69/AC444, "NA")</f>
        <v>2.4269286936714352</v>
      </c>
    </row>
    <row r="70" spans="1:30" ht="16.5" customHeight="1" x14ac:dyDescent="0.45">
      <c r="A70" s="12" t="s">
        <v>67</v>
      </c>
      <c r="B70" s="7">
        <v>3329</v>
      </c>
      <c r="C70" s="8">
        <f>IFERROR(B70/B444, "NA")</f>
        <v>6.9079105183012107E-3</v>
      </c>
      <c r="D70" s="9"/>
      <c r="E70" s="7">
        <v>0</v>
      </c>
      <c r="F70" s="8">
        <f>IFERROR(E70/E444, "NA")</f>
        <v>0</v>
      </c>
      <c r="G70" s="9"/>
      <c r="H70" s="10">
        <f t="shared" si="16"/>
        <v>3329</v>
      </c>
      <c r="I70" s="8">
        <f>IFERROR(H70/H444, "NA")</f>
        <v>-0.1592670557841355</v>
      </c>
      <c r="J70" s="9"/>
      <c r="K70" s="7">
        <v>0</v>
      </c>
      <c r="L70" s="8">
        <f>IFERROR(K70/K444, "NA")</f>
        <v>0</v>
      </c>
      <c r="M70" s="9"/>
      <c r="N70" s="10">
        <f t="shared" si="17"/>
        <v>3329</v>
      </c>
      <c r="O70" s="8">
        <f>IFERROR(N70/N444, "NA")</f>
        <v>0.88310351596696324</v>
      </c>
      <c r="P70" s="9"/>
      <c r="Q70" s="7">
        <v>8781.5</v>
      </c>
      <c r="R70" s="8">
        <f>IFERROR(Q70/Q444, "NA")</f>
        <v>9.5767183199835099E-3</v>
      </c>
      <c r="S70" s="9"/>
      <c r="T70" s="7">
        <v>0</v>
      </c>
      <c r="U70" s="8">
        <f>IFERROR(T70/T444, "NA")</f>
        <v>0</v>
      </c>
      <c r="V70" s="9"/>
      <c r="W70" s="10">
        <f t="shared" si="18"/>
        <v>8781.5</v>
      </c>
      <c r="X70" s="8">
        <f>IFERROR(W70/W444, "NA")</f>
        <v>-0.25410829877800012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8781.5</v>
      </c>
      <c r="AD70" s="8">
        <f>IFERROR(AC70/AC444, "NA")</f>
        <v>2.6884913649263238</v>
      </c>
    </row>
    <row r="71" spans="1:30" ht="16.5" customHeight="1" x14ac:dyDescent="0.45">
      <c r="A71" s="12" t="s">
        <v>68</v>
      </c>
      <c r="B71" s="7">
        <v>2166.13</v>
      </c>
      <c r="C71" s="8">
        <f>IFERROR(B71/B444, "NA")</f>
        <v>4.4948729982000005E-3</v>
      </c>
      <c r="D71" s="9"/>
      <c r="E71" s="7">
        <v>0</v>
      </c>
      <c r="F71" s="8">
        <f>IFERROR(E71/E444, "NA")</f>
        <v>0</v>
      </c>
      <c r="G71" s="9"/>
      <c r="H71" s="10">
        <f t="shared" si="16"/>
        <v>2166.13</v>
      </c>
      <c r="I71" s="8">
        <f>IFERROR(H71/H444, "NA")</f>
        <v>-0.10363266673045642</v>
      </c>
      <c r="J71" s="9"/>
      <c r="K71" s="7">
        <v>0</v>
      </c>
      <c r="L71" s="8">
        <f>IFERROR(K71/K444, "NA")</f>
        <v>0</v>
      </c>
      <c r="M71" s="9"/>
      <c r="N71" s="10">
        <f t="shared" si="17"/>
        <v>2166.13</v>
      </c>
      <c r="O71" s="8">
        <f>IFERROR(N71/N444, "NA")</f>
        <v>0.57462211446125511</v>
      </c>
      <c r="P71" s="9"/>
      <c r="Q71" s="7">
        <v>2166.13</v>
      </c>
      <c r="R71" s="8">
        <f>IFERROR(Q71/Q444, "NA")</f>
        <v>2.3622862670917132E-3</v>
      </c>
      <c r="S71" s="9"/>
      <c r="T71" s="7">
        <v>0</v>
      </c>
      <c r="U71" s="8">
        <f>IFERROR(T71/T444, "NA")</f>
        <v>0</v>
      </c>
      <c r="V71" s="9"/>
      <c r="W71" s="10">
        <f t="shared" si="18"/>
        <v>2166.13</v>
      </c>
      <c r="X71" s="8">
        <f>IFERROR(W71/W444, "NA")</f>
        <v>-6.2680818679267711E-2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2166.13</v>
      </c>
      <c r="AD71" s="8">
        <f>IFERROR(AC71/AC444, "NA")</f>
        <v>0.66316936745520227</v>
      </c>
    </row>
    <row r="72" spans="1:30" ht="16.5" customHeight="1" x14ac:dyDescent="0.45">
      <c r="A72" s="12" t="s">
        <v>69</v>
      </c>
      <c r="B72" s="7">
        <v>1353.8</v>
      </c>
      <c r="C72" s="8">
        <f>IFERROR(B72/B444, "NA")</f>
        <v>2.8092307779141418E-3</v>
      </c>
      <c r="D72" s="9"/>
      <c r="E72" s="7">
        <v>0</v>
      </c>
      <c r="F72" s="8">
        <f>IFERROR(E72/E444, "NA")</f>
        <v>0</v>
      </c>
      <c r="G72" s="9"/>
      <c r="H72" s="10">
        <f t="shared" si="16"/>
        <v>1353.8</v>
      </c>
      <c r="I72" s="8">
        <f>IFERROR(H72/H444, "NA")</f>
        <v>-6.4768921634293361E-2</v>
      </c>
      <c r="J72" s="9"/>
      <c r="K72" s="7">
        <v>0</v>
      </c>
      <c r="L72" s="8">
        <f>IFERROR(K72/K444, "NA")</f>
        <v>0</v>
      </c>
      <c r="M72" s="9"/>
      <c r="N72" s="10">
        <f t="shared" si="17"/>
        <v>1353.8</v>
      </c>
      <c r="O72" s="8">
        <f>IFERROR(N72/N444, "NA")</f>
        <v>0.35913053166598824</v>
      </c>
      <c r="P72" s="9"/>
      <c r="Q72" s="7">
        <v>1353.8</v>
      </c>
      <c r="R72" s="8">
        <f>IFERROR(Q72/Q444, "NA")</f>
        <v>1.4763948370544525E-3</v>
      </c>
      <c r="S72" s="9"/>
      <c r="T72" s="7">
        <v>0</v>
      </c>
      <c r="U72" s="8">
        <f>IFERROR(T72/T444, "NA")</f>
        <v>0</v>
      </c>
      <c r="V72" s="9"/>
      <c r="W72" s="10">
        <f t="shared" si="18"/>
        <v>1353.8</v>
      </c>
      <c r="X72" s="8">
        <f>IFERROR(W72/W444, "NA")</f>
        <v>-3.9174607400291127E-2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1353.8</v>
      </c>
      <c r="AD72" s="8">
        <f>IFERROR(AC72/AC444, "NA")</f>
        <v>0.41447128734695182</v>
      </c>
    </row>
    <row r="73" spans="1:30" ht="16.5" customHeight="1" x14ac:dyDescent="0.45">
      <c r="A73" s="13" t="s">
        <v>70</v>
      </c>
      <c r="B73" s="14">
        <f>IFERROR(B64+B65+B66+B67+B68+B69+B70+B71+B72, "NA")</f>
        <v>46684.47</v>
      </c>
      <c r="C73" s="15">
        <f>IFERROR(B73/B444, "NA")</f>
        <v>9.6873578057770304E-2</v>
      </c>
      <c r="D73" s="2"/>
      <c r="E73" s="14">
        <f>IFERROR(E64+E65+E66+E67+E68+E69+E70+E71+E72, "NA")</f>
        <v>40027.729999999996</v>
      </c>
      <c r="F73" s="15">
        <f>IFERROR(E73/E444, "NA")</f>
        <v>7.9607543380715781E-2</v>
      </c>
      <c r="G73" s="2"/>
      <c r="H73" s="14">
        <f t="shared" si="16"/>
        <v>6656.7400000000052</v>
      </c>
      <c r="I73" s="15">
        <f>IFERROR(H73/H444, "NA")</f>
        <v>-0.31847383025547821</v>
      </c>
      <c r="J73" s="2"/>
      <c r="K73" s="14">
        <f>IFERROR(K64+K65+K66+K67+K68+K69+K70+K71+K72, "NA")</f>
        <v>12584.79</v>
      </c>
      <c r="L73" s="15">
        <f>IFERROR(K73/K444, "NA")</f>
        <v>2.6320214500465362E-2</v>
      </c>
      <c r="M73" s="2"/>
      <c r="N73" s="14">
        <f t="shared" si="17"/>
        <v>34099.68</v>
      </c>
      <c r="O73" s="15">
        <f>IFERROR(N73/N444, "NA")</f>
        <v>9.0458237612941836</v>
      </c>
      <c r="P73" s="2"/>
      <c r="Q73" s="14">
        <f>IFERROR(Q64+Q65+Q66+Q67+Q68+Q69+Q70+Q71+Q72, "NA")</f>
        <v>83875.510000000009</v>
      </c>
      <c r="R73" s="15">
        <f>IFERROR(Q73/Q444, "NA")</f>
        <v>9.1470948381820891E-2</v>
      </c>
      <c r="S73" s="2"/>
      <c r="T73" s="14">
        <f>IFERROR(T64+T65+T66+T67+T68+T69+T70+T71+T72, "NA")</f>
        <v>75479.92</v>
      </c>
      <c r="U73" s="15">
        <f>IFERROR(T73/T444, "NA")</f>
        <v>7.9325502982864879E-2</v>
      </c>
      <c r="V73" s="2"/>
      <c r="W73" s="14">
        <f t="shared" si="18"/>
        <v>8395.5900000000111</v>
      </c>
      <c r="X73" s="15">
        <f>IFERROR(W73/W444, "NA")</f>
        <v>-0.24294130753716253</v>
      </c>
      <c r="Y73" s="2"/>
      <c r="Z73" s="14">
        <f>IFERROR(Z64+Z65+Z66+Z67+Z68+Z69+Z70+Z71+Z72, "NA")</f>
        <v>38067.4</v>
      </c>
      <c r="AA73" s="15">
        <f>IFERROR(Z73/Z444, "NA")</f>
        <v>4.1663043565698284E-2</v>
      </c>
      <c r="AB73" s="2"/>
      <c r="AC73" s="14">
        <f t="shared" si="19"/>
        <v>45808.110000000008</v>
      </c>
      <c r="AD73" s="15">
        <f>IFERROR(AC73/AC444, "NA")</f>
        <v>14.024336181585744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8932.52</v>
      </c>
      <c r="F75" s="8">
        <f>IFERROR(E75/E444, "NA")</f>
        <v>1.7765083690709203E-2</v>
      </c>
      <c r="G75" s="9"/>
      <c r="H75" s="10">
        <f t="shared" ref="H75:H92" si="20">IFERROR(B75-E75, "NA")</f>
        <v>-8932.52</v>
      </c>
      <c r="I75" s="8">
        <f>IFERROR(H75/H444, "NA")</f>
        <v>0.42735240646828054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16976.63</v>
      </c>
      <c r="U75" s="8">
        <f>IFERROR(T75/T444, "NA")</f>
        <v>1.7841562546754071E-2</v>
      </c>
      <c r="V75" s="9"/>
      <c r="W75" s="10">
        <f t="shared" ref="W75:W92" si="22">IFERROR(Q75-T75, "NA")</f>
        <v>-16976.63</v>
      </c>
      <c r="X75" s="8">
        <f>IFERROR(W75/W444, "NA")</f>
        <v>0.49124894019057797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1735.37</v>
      </c>
      <c r="C77" s="8">
        <f>IFERROR(B77/B444, "NA")</f>
        <v>3.6010155230232414E-3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1735.37</v>
      </c>
      <c r="I77" s="8">
        <f>IFERROR(H77/H444, "NA")</f>
        <v>-8.3024112525117211E-2</v>
      </c>
      <c r="J77" s="9"/>
      <c r="K77" s="7">
        <v>1678.2999999999997</v>
      </c>
      <c r="L77" s="8">
        <f>IFERROR(K77/K444, "NA")</f>
        <v>3.5100479226217529E-3</v>
      </c>
      <c r="M77" s="9"/>
      <c r="N77" s="10">
        <f t="shared" si="21"/>
        <v>57.070000000000164</v>
      </c>
      <c r="O77" s="8">
        <f>IFERROR(N77/N444, "NA")</f>
        <v>1.5139296382167239E-2</v>
      </c>
      <c r="P77" s="9"/>
      <c r="Q77" s="7">
        <v>2850.11</v>
      </c>
      <c r="R77" s="8">
        <f>IFERROR(Q77/Q444, "NA")</f>
        <v>3.1082048227487561E-3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2850.11</v>
      </c>
      <c r="X77" s="8">
        <f>IFERROR(W77/W444, "NA")</f>
        <v>-8.247299475376256E-2</v>
      </c>
      <c r="Y77" s="9"/>
      <c r="Z77" s="7">
        <v>3148.9500000000003</v>
      </c>
      <c r="AA77" s="8">
        <f>IFERROR(Z77/Z444, "NA")</f>
        <v>3.446383021593427E-3</v>
      </c>
      <c r="AB77" s="9"/>
      <c r="AC77" s="10">
        <f t="shared" si="23"/>
        <v>-298.84000000000015</v>
      </c>
      <c r="AD77" s="8">
        <f>IFERROR(AC77/AC444, "NA")</f>
        <v>-9.1491061833921652E-2</v>
      </c>
    </row>
    <row r="78" spans="1:30" ht="16.5" customHeight="1" x14ac:dyDescent="0.45">
      <c r="A78" s="12" t="s">
        <v>74</v>
      </c>
      <c r="B78" s="7">
        <v>50</v>
      </c>
      <c r="C78" s="8">
        <f>IFERROR(B78/B444, "NA")</f>
        <v>1.0375353737310319E-4</v>
      </c>
      <c r="D78" s="9"/>
      <c r="E78" s="7">
        <v>0</v>
      </c>
      <c r="F78" s="8">
        <f>IFERROR(E78/E444, "NA")</f>
        <v>0</v>
      </c>
      <c r="G78" s="9"/>
      <c r="H78" s="10">
        <f t="shared" si="20"/>
        <v>50</v>
      </c>
      <c r="I78" s="8">
        <f>IFERROR(H78/H444, "NA")</f>
        <v>-2.3921155870251652E-3</v>
      </c>
      <c r="J78" s="9"/>
      <c r="K78" s="7">
        <v>100</v>
      </c>
      <c r="L78" s="8">
        <f>IFERROR(K78/K444, "NA")</f>
        <v>2.0914305682069673E-4</v>
      </c>
      <c r="M78" s="9"/>
      <c r="N78" s="10">
        <f t="shared" si="21"/>
        <v>-50</v>
      </c>
      <c r="O78" s="8">
        <f>IFERROR(N78/N444, "NA")</f>
        <v>-1.3263795673880493E-2</v>
      </c>
      <c r="P78" s="9"/>
      <c r="Q78" s="7">
        <v>50</v>
      </c>
      <c r="R78" s="8">
        <f>IFERROR(Q78/Q444, "NA")</f>
        <v>5.4527804589099293E-5</v>
      </c>
      <c r="S78" s="9"/>
      <c r="T78" s="7">
        <v>0</v>
      </c>
      <c r="U78" s="8">
        <f>IFERROR(T78/T444, "NA")</f>
        <v>0</v>
      </c>
      <c r="V78" s="9"/>
      <c r="W78" s="10">
        <f t="shared" si="22"/>
        <v>50</v>
      </c>
      <c r="X78" s="8">
        <f>IFERROR(W78/W444, "NA")</f>
        <v>-1.446838801901726E-3</v>
      </c>
      <c r="Y78" s="9"/>
      <c r="Z78" s="7">
        <v>125</v>
      </c>
      <c r="AA78" s="8">
        <f>IFERROR(Z78/Z444, "NA")</f>
        <v>1.3680683329337663E-4</v>
      </c>
      <c r="AB78" s="9"/>
      <c r="AC78" s="10">
        <f t="shared" si="23"/>
        <v>-75</v>
      </c>
      <c r="AD78" s="8">
        <f>IFERROR(AC78/AC444, "NA")</f>
        <v>-2.2961550118940306E-2</v>
      </c>
    </row>
    <row r="79" spans="1:30" ht="16.5" customHeight="1" x14ac:dyDescent="0.45">
      <c r="A79" s="12" t="s">
        <v>75</v>
      </c>
      <c r="B79" s="7">
        <v>2.99</v>
      </c>
      <c r="C79" s="8">
        <f>IFERROR(B79/B444, "NA")</f>
        <v>6.204461534911571E-6</v>
      </c>
      <c r="D79" s="9"/>
      <c r="E79" s="7">
        <v>0</v>
      </c>
      <c r="F79" s="8">
        <f>IFERROR(E79/E444, "NA")</f>
        <v>0</v>
      </c>
      <c r="G79" s="9"/>
      <c r="H79" s="10">
        <f t="shared" si="20"/>
        <v>2.99</v>
      </c>
      <c r="I79" s="8">
        <f>IFERROR(H79/H444, "NA")</f>
        <v>-1.4304851210410489E-4</v>
      </c>
      <c r="J79" s="9"/>
      <c r="K79" s="7">
        <v>0</v>
      </c>
      <c r="L79" s="8">
        <f>IFERROR(K79/K444, "NA")</f>
        <v>0</v>
      </c>
      <c r="M79" s="9"/>
      <c r="N79" s="10">
        <f t="shared" si="21"/>
        <v>2.99</v>
      </c>
      <c r="O79" s="8">
        <f>IFERROR(N79/N444, "NA")</f>
        <v>7.9317498129805356E-4</v>
      </c>
      <c r="P79" s="9"/>
      <c r="Q79" s="7">
        <v>8.9700000000000006</v>
      </c>
      <c r="R79" s="8">
        <f>IFERROR(Q79/Q444, "NA")</f>
        <v>9.7822881432844135E-6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8.9700000000000006</v>
      </c>
      <c r="X79" s="8">
        <f>IFERROR(W79/W444, "NA")</f>
        <v>-2.5956288106116963E-4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8.9700000000000006</v>
      </c>
      <c r="AD79" s="8">
        <f>IFERROR(AC79/AC444, "NA")</f>
        <v>2.7462013942252607E-3</v>
      </c>
    </row>
    <row r="80" spans="1:30" ht="16.5" customHeight="1" x14ac:dyDescent="0.45">
      <c r="A80" s="12" t="s">
        <v>76</v>
      </c>
      <c r="B80" s="7">
        <v>7925.4999999999991</v>
      </c>
      <c r="C80" s="8">
        <f>IFERROR(B80/B444, "NA")</f>
        <v>1.6445973209010586E-2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7925.4999999999991</v>
      </c>
      <c r="I80" s="8">
        <f>IFERROR(H80/H444, "NA")</f>
        <v>-0.37917424169935887</v>
      </c>
      <c r="J80" s="9"/>
      <c r="K80" s="7">
        <v>7354.49</v>
      </c>
      <c r="L80" s="8">
        <f>IFERROR(K80/K444, "NA")</f>
        <v>1.538140519957246E-2</v>
      </c>
      <c r="M80" s="9"/>
      <c r="N80" s="10">
        <f t="shared" si="21"/>
        <v>571.00999999999931</v>
      </c>
      <c r="O80" s="8">
        <f>IFERROR(N80/N444, "NA")</f>
        <v>0.15147519935484982</v>
      </c>
      <c r="P80" s="9"/>
      <c r="Q80" s="7">
        <v>13220.970000000001</v>
      </c>
      <c r="R80" s="8">
        <f>IFERROR(Q80/Q444, "NA")</f>
        <v>1.4418209372766883E-2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13220.970000000001</v>
      </c>
      <c r="X80" s="8">
        <f>IFERROR(W80/W444, "NA")</f>
        <v>-0.38257224789557326</v>
      </c>
      <c r="Y80" s="9"/>
      <c r="Z80" s="7">
        <v>15341.87</v>
      </c>
      <c r="AA80" s="8">
        <f>IFERROR(Z80/Z444, "NA")</f>
        <v>1.6790981211989249E-2</v>
      </c>
      <c r="AB80" s="9"/>
      <c r="AC80" s="10">
        <f t="shared" si="23"/>
        <v>-2120.8999999999996</v>
      </c>
      <c r="AD80" s="8">
        <f>IFERROR(AC80/AC444, "NA")</f>
        <v>-0.64932202196347311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25</v>
      </c>
      <c r="L82" s="8">
        <f>IFERROR(K82/K444, "NA")</f>
        <v>5.2285764205174184E-5</v>
      </c>
      <c r="M82" s="9"/>
      <c r="N82" s="10">
        <f t="shared" si="21"/>
        <v>-25</v>
      </c>
      <c r="O82" s="8">
        <f>IFERROR(N82/N444, "NA")</f>
        <v>-6.6318978369402466E-3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25</v>
      </c>
      <c r="AA82" s="8">
        <f>IFERROR(Z82/Z444, "NA")</f>
        <v>2.7361366658675326E-5</v>
      </c>
      <c r="AB82" s="9"/>
      <c r="AC82" s="10">
        <f t="shared" si="23"/>
        <v>-25</v>
      </c>
      <c r="AD82" s="8">
        <f>IFERROR(AC82/AC444, "NA")</f>
        <v>-7.6538500396467687E-3</v>
      </c>
    </row>
    <row r="83" spans="1:30" ht="16.5" customHeight="1" x14ac:dyDescent="0.45">
      <c r="A83" s="12" t="s">
        <v>79</v>
      </c>
      <c r="B83" s="7">
        <v>113.06</v>
      </c>
      <c r="C83" s="8">
        <f>IFERROR(B83/B444, "NA")</f>
        <v>2.3460749870806094E-4</v>
      </c>
      <c r="D83" s="9"/>
      <c r="E83" s="7">
        <v>0</v>
      </c>
      <c r="F83" s="8">
        <f>IFERROR(E83/E444, "NA")</f>
        <v>0</v>
      </c>
      <c r="G83" s="9"/>
      <c r="H83" s="10">
        <f t="shared" si="20"/>
        <v>113.06</v>
      </c>
      <c r="I83" s="8">
        <f>IFERROR(H83/H444, "NA")</f>
        <v>-5.4090517653813033E-3</v>
      </c>
      <c r="J83" s="9"/>
      <c r="K83" s="7">
        <v>0</v>
      </c>
      <c r="L83" s="8">
        <f>IFERROR(K83/K444, "NA")</f>
        <v>0</v>
      </c>
      <c r="M83" s="9"/>
      <c r="N83" s="10">
        <f t="shared" si="21"/>
        <v>113.06</v>
      </c>
      <c r="O83" s="8">
        <f>IFERROR(N83/N444, "NA")</f>
        <v>2.9992094777778571E-2</v>
      </c>
      <c r="P83" s="9"/>
      <c r="Q83" s="7">
        <v>234.52</v>
      </c>
      <c r="R83" s="8">
        <f>IFERROR(Q83/Q444, "NA")</f>
        <v>2.5575721464471136E-4</v>
      </c>
      <c r="S83" s="9"/>
      <c r="T83" s="7">
        <v>0</v>
      </c>
      <c r="U83" s="8">
        <f>IFERROR(T83/T444, "NA")</f>
        <v>0</v>
      </c>
      <c r="V83" s="9"/>
      <c r="W83" s="10">
        <f t="shared" si="22"/>
        <v>234.52</v>
      </c>
      <c r="X83" s="8">
        <f>IFERROR(W83/W444, "NA")</f>
        <v>-6.7862527164398558E-3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234.52</v>
      </c>
      <c r="AD83" s="8">
        <f>IFERROR(AC83/AC444, "NA")</f>
        <v>7.1799236451918408E-2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5.1876768686551595E-5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-1.1960577935125826E-3</v>
      </c>
      <c r="J86" s="9"/>
      <c r="K86" s="7">
        <v>0</v>
      </c>
      <c r="L86" s="8">
        <f>IFERROR(K86/K444, "NA")</f>
        <v>0</v>
      </c>
      <c r="M86" s="9"/>
      <c r="N86" s="10">
        <f t="shared" si="21"/>
        <v>25</v>
      </c>
      <c r="O86" s="8">
        <f>IFERROR(N86/N444, "NA")</f>
        <v>6.6318978369402466E-3</v>
      </c>
      <c r="P86" s="9"/>
      <c r="Q86" s="7">
        <v>50</v>
      </c>
      <c r="R86" s="8">
        <f>IFERROR(Q86/Q444, "NA")</f>
        <v>5.4527804589099293E-5</v>
      </c>
      <c r="S86" s="9"/>
      <c r="T86" s="7">
        <v>0</v>
      </c>
      <c r="U86" s="8">
        <f>IFERROR(T86/T444, "NA")</f>
        <v>0</v>
      </c>
      <c r="V86" s="9"/>
      <c r="W86" s="10">
        <f t="shared" si="22"/>
        <v>50</v>
      </c>
      <c r="X86" s="8">
        <f>IFERROR(W86/W444, "NA")</f>
        <v>-1.446838801901726E-3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50</v>
      </c>
      <c r="AD86" s="8">
        <f>IFERROR(AC86/AC444, "NA")</f>
        <v>1.5307700079293537E-2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988.28</v>
      </c>
      <c r="AA87" s="8">
        <f>IFERROR(Z87/Z444, "NA")</f>
        <v>1.0816276576574261E-3</v>
      </c>
      <c r="AB87" s="9"/>
      <c r="AC87" s="10">
        <f t="shared" si="23"/>
        <v>-988.28</v>
      </c>
      <c r="AD87" s="8">
        <f>IFERROR(AC87/AC444, "NA")</f>
        <v>-0.30256587668728435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9851.9199999999983</v>
      </c>
      <c r="C88" s="15">
        <f>IFERROR(B88/B444, "NA")</f>
        <v>2.0443430998336454E-2</v>
      </c>
      <c r="D88" s="2"/>
      <c r="E88" s="14">
        <f>IFERROR(E75+E76+E77+E78+E79+E80+E81+E82+E83+E84+E85+E86+E87, "NA")</f>
        <v>8932.52</v>
      </c>
      <c r="F88" s="15">
        <f>IFERROR(E88/E444, "NA")</f>
        <v>1.7765083690709203E-2</v>
      </c>
      <c r="G88" s="2"/>
      <c r="H88" s="14">
        <f t="shared" si="20"/>
        <v>919.39999999999782</v>
      </c>
      <c r="I88" s="15">
        <f>IFERROR(H88/H444, "NA")</f>
        <v>-4.3986221414218631E-2</v>
      </c>
      <c r="J88" s="2"/>
      <c r="K88" s="14">
        <f>IFERROR(K75+K76+K77+K78+K79+K80+K81+K82+K83+K84+K85+K86+K87, "NA")</f>
        <v>9157.7899999999991</v>
      </c>
      <c r="L88" s="15">
        <f>IFERROR(K88/K444, "NA")</f>
        <v>1.9152881943220082E-2</v>
      </c>
      <c r="M88" s="2"/>
      <c r="N88" s="14">
        <f t="shared" si="21"/>
        <v>694.1299999999992</v>
      </c>
      <c r="O88" s="15">
        <f>IFERROR(N88/N444, "NA")</f>
        <v>0.18413596982221311</v>
      </c>
      <c r="P88" s="2"/>
      <c r="Q88" s="14">
        <f>IFERROR(Q75+Q76+Q77+Q78+Q79+Q80+Q81+Q82+Q83+Q84+Q85+Q86+Q87, "NA")</f>
        <v>16414.57</v>
      </c>
      <c r="R88" s="15">
        <f>IFERROR(Q88/Q444, "NA")</f>
        <v>1.7901009307481831E-2</v>
      </c>
      <c r="S88" s="2"/>
      <c r="T88" s="14">
        <f>IFERROR(T75+T76+T77+T78+T79+T80+T81+T82+T83+T84+T85+T86+T87, "NA")</f>
        <v>16976.63</v>
      </c>
      <c r="U88" s="15">
        <f>IFERROR(T88/T444, "NA")</f>
        <v>1.7841562546754071E-2</v>
      </c>
      <c r="V88" s="2"/>
      <c r="W88" s="14">
        <f t="shared" si="22"/>
        <v>-562.06000000000131</v>
      </c>
      <c r="X88" s="15">
        <f>IFERROR(W88/W444, "NA")</f>
        <v>1.6264204339937718E-2</v>
      </c>
      <c r="Y88" s="2"/>
      <c r="Z88" s="14">
        <f>IFERROR(Z75+Z76+Z77+Z78+Z79+Z80+Z81+Z82+Z83+Z84+Z85+Z86+Z87, "NA")</f>
        <v>19629.099999999999</v>
      </c>
      <c r="AA88" s="15">
        <f>IFERROR(Z88/Z444, "NA")</f>
        <v>2.1483160091192152E-2</v>
      </c>
      <c r="AB88" s="2"/>
      <c r="AC88" s="14">
        <f t="shared" si="23"/>
        <v>-3214.5299999999988</v>
      </c>
      <c r="AD88" s="15">
        <f>IFERROR(AC88/AC444, "NA")</f>
        <v>-0.98414122271782878</v>
      </c>
    </row>
    <row r="89" spans="1:30" ht="16.5" customHeight="1" x14ac:dyDescent="0.45">
      <c r="A89" s="6" t="s">
        <v>85</v>
      </c>
      <c r="B89" s="7">
        <v>-5.1499999999999986</v>
      </c>
      <c r="C89" s="8">
        <f>IFERROR(B89/B444, "NA")</f>
        <v>-1.0686614349429626E-5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-5.1499999999999986</v>
      </c>
      <c r="I89" s="8">
        <f>IFERROR(H89/H444, "NA")</f>
        <v>2.4638790546359195E-4</v>
      </c>
      <c r="J89" s="9"/>
      <c r="K89" s="7">
        <v>-113.32000000000001</v>
      </c>
      <c r="L89" s="8">
        <f>IFERROR(K89/K444, "NA")</f>
        <v>-2.3700091198921357E-4</v>
      </c>
      <c r="M89" s="9"/>
      <c r="N89" s="10">
        <f t="shared" si="21"/>
        <v>108.17000000000002</v>
      </c>
      <c r="O89" s="8">
        <f>IFERROR(N89/N444, "NA")</f>
        <v>2.8694895560873061E-2</v>
      </c>
      <c r="P89" s="9"/>
      <c r="Q89" s="7">
        <v>-18.099999999999998</v>
      </c>
      <c r="R89" s="8">
        <f>IFERROR(Q89/Q444, "NA")</f>
        <v>-1.9739065261253943E-5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-18.099999999999998</v>
      </c>
      <c r="X89" s="8">
        <f>IFERROR(W89/W444, "NA")</f>
        <v>5.2375564628842468E-4</v>
      </c>
      <c r="Y89" s="9"/>
      <c r="Z89" s="7">
        <v>-132.58000000000001</v>
      </c>
      <c r="AA89" s="8">
        <f>IFERROR(Z89/Z444, "NA")</f>
        <v>-1.45102799664287E-4</v>
      </c>
      <c r="AB89" s="9"/>
      <c r="AC89" s="10">
        <f t="shared" si="23"/>
        <v>114.48000000000002</v>
      </c>
      <c r="AD89" s="8">
        <f>IFERROR(AC89/AC444, "NA")</f>
        <v>3.5048510101550488E-2</v>
      </c>
    </row>
    <row r="90" spans="1:30" ht="16.5" customHeight="1" x14ac:dyDescent="0.45">
      <c r="A90" s="6" t="s">
        <v>86</v>
      </c>
      <c r="B90" s="7">
        <v>-1199.72</v>
      </c>
      <c r="C90" s="8">
        <f>IFERROR(B90/B444, "NA")</f>
        <v>-2.4895038771451873E-3</v>
      </c>
      <c r="D90" s="9"/>
      <c r="E90" s="7">
        <v>0</v>
      </c>
      <c r="F90" s="8">
        <f>IFERROR(E90/E444, "NA")</f>
        <v>0</v>
      </c>
      <c r="G90" s="9"/>
      <c r="H90" s="10">
        <f t="shared" si="20"/>
        <v>-1199.72</v>
      </c>
      <c r="I90" s="8">
        <f>IFERROR(H90/H444, "NA")</f>
        <v>5.7397378241316618E-2</v>
      </c>
      <c r="J90" s="9"/>
      <c r="K90" s="7">
        <v>0</v>
      </c>
      <c r="L90" s="8">
        <f>IFERROR(K90/K444, "NA")</f>
        <v>0</v>
      </c>
      <c r="M90" s="9"/>
      <c r="N90" s="10">
        <f t="shared" si="21"/>
        <v>-1199.72</v>
      </c>
      <c r="O90" s="8">
        <f>IFERROR(N90/N444, "NA")</f>
        <v>-0.31825681891735813</v>
      </c>
      <c r="P90" s="9"/>
      <c r="Q90" s="7">
        <v>-1873.7100000000003</v>
      </c>
      <c r="R90" s="8">
        <f>IFERROR(Q90/Q444, "NA")</f>
        <v>-2.0433858547328249E-3</v>
      </c>
      <c r="S90" s="9"/>
      <c r="T90" s="7">
        <v>0</v>
      </c>
      <c r="U90" s="8">
        <f>IFERROR(T90/T444, "NA")</f>
        <v>0</v>
      </c>
      <c r="V90" s="9"/>
      <c r="W90" s="10">
        <f t="shared" si="22"/>
        <v>-1873.7100000000003</v>
      </c>
      <c r="X90" s="8">
        <f>IFERROR(W90/W444, "NA")</f>
        <v>5.4219126630225663E-2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-1873.7100000000003</v>
      </c>
      <c r="AD90" s="8">
        <f>IFERROR(AC90/AC444, "NA")</f>
        <v>-0.57364381431146194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-25382.32</v>
      </c>
      <c r="F94" s="8">
        <f>IFERROR(E94/E444, "NA")</f>
        <v>-5.0480607831201271E-2</v>
      </c>
      <c r="G94" s="9"/>
      <c r="H94" s="10">
        <f t="shared" ref="H94:H124" si="24">IFERROR(B94-E94, "NA")</f>
        <v>25382.32</v>
      </c>
      <c r="I94" s="8">
        <f>IFERROR(H94/H444, "NA")</f>
        <v>-1.2143488661372117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-47949.51</v>
      </c>
      <c r="U94" s="8">
        <f>IFERROR(T94/T444, "NA")</f>
        <v>-5.0392461975740162E-2</v>
      </c>
      <c r="V94" s="9"/>
      <c r="W94" s="10">
        <f t="shared" ref="W94:W124" si="26">IFERROR(Q94-T94, "NA")</f>
        <v>47949.51</v>
      </c>
      <c r="X94" s="8">
        <f>IFERROR(W94/W444, "NA")</f>
        <v>-1.3875042320034965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-5921.33</v>
      </c>
      <c r="C96" s="8">
        <f>IFERROR(B96/B444, "NA")</f>
        <v>-1.2287178669069542E-2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-5921.33</v>
      </c>
      <c r="I96" s="8">
        <f>IFERROR(H96/H444, "NA")</f>
        <v>0.28329011577839441</v>
      </c>
      <c r="J96" s="9"/>
      <c r="K96" s="7">
        <v>-7748.4</v>
      </c>
      <c r="L96" s="8">
        <f>IFERROR(K96/K444, "NA")</f>
        <v>-1.6205240614694867E-2</v>
      </c>
      <c r="M96" s="9"/>
      <c r="N96" s="10">
        <f t="shared" si="25"/>
        <v>1827.0699999999997</v>
      </c>
      <c r="O96" s="8">
        <f>IFERROR(N96/N444, "NA")</f>
        <v>0.48467766323753658</v>
      </c>
      <c r="P96" s="9"/>
      <c r="Q96" s="7">
        <v>-11546.369999999999</v>
      </c>
      <c r="R96" s="8">
        <f>IFERROR(Q96/Q444, "NA")</f>
        <v>-1.2591964141468768E-2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-11546.369999999999</v>
      </c>
      <c r="X96" s="8">
        <f>IFERROR(W96/W444, "NA")</f>
        <v>0.3341147227422806</v>
      </c>
      <c r="Y96" s="9"/>
      <c r="Z96" s="7">
        <v>-14722.419999999998</v>
      </c>
      <c r="AA96" s="8">
        <f>IFERROR(Z96/Z444, "NA")</f>
        <v>-1.6113021268920589E-2</v>
      </c>
      <c r="AB96" s="9"/>
      <c r="AC96" s="10">
        <f t="shared" si="27"/>
        <v>3176.0499999999993</v>
      </c>
      <c r="AD96" s="8">
        <f>IFERROR(AC96/AC444, "NA")</f>
        <v>0.97236041673680451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-5016.18</v>
      </c>
      <c r="C98" s="8">
        <f>IFERROR(B98/B444, "NA")</f>
        <v>-1.0408928382004256E-2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-5016.18</v>
      </c>
      <c r="I98" s="8">
        <f>IFERROR(H98/H444, "NA")</f>
        <v>0.23998564730647787</v>
      </c>
      <c r="J98" s="9"/>
      <c r="K98" s="7">
        <v>-7372.01</v>
      </c>
      <c r="L98" s="8">
        <f>IFERROR(K98/K444, "NA")</f>
        <v>-1.5418047063127447E-2</v>
      </c>
      <c r="M98" s="9"/>
      <c r="N98" s="10">
        <f t="shared" si="25"/>
        <v>2355.83</v>
      </c>
      <c r="O98" s="8">
        <f>IFERROR(N98/N444, "NA")</f>
        <v>0.62494495524795757</v>
      </c>
      <c r="P98" s="9"/>
      <c r="Q98" s="7">
        <v>-14859.95</v>
      </c>
      <c r="R98" s="8">
        <f>IFERROR(Q98/Q444, "NA")</f>
        <v>-1.6205608996075722E-2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-14859.95</v>
      </c>
      <c r="X98" s="8">
        <f>IFERROR(W98/W444, "NA")</f>
        <v>0.42999904508639103</v>
      </c>
      <c r="Y98" s="9"/>
      <c r="Z98" s="7">
        <v>-15544.22</v>
      </c>
      <c r="AA98" s="8">
        <f>IFERROR(Z98/Z444, "NA")</f>
        <v>-1.7012444113724566E-2</v>
      </c>
      <c r="AB98" s="9"/>
      <c r="AC98" s="10">
        <f t="shared" si="27"/>
        <v>684.26999999999862</v>
      </c>
      <c r="AD98" s="8">
        <f>IFERROR(AC98/AC444, "NA")</f>
        <v>0.20949199866516335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-1465.1999999999998</v>
      </c>
      <c r="C100" s="8">
        <f>IFERROR(B100/B444, "NA")</f>
        <v>-3.0403936591814158E-3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-1465.1999999999998</v>
      </c>
      <c r="I100" s="8">
        <f>IFERROR(H100/H444, "NA")</f>
        <v>7.0098555162185425E-2</v>
      </c>
      <c r="J100" s="9"/>
      <c r="K100" s="7">
        <v>-2578.59</v>
      </c>
      <c r="L100" s="8">
        <f>IFERROR(K100/K444, "NA")</f>
        <v>-5.3929419488728042E-3</v>
      </c>
      <c r="M100" s="9"/>
      <c r="N100" s="10">
        <f t="shared" si="25"/>
        <v>1113.3900000000003</v>
      </c>
      <c r="O100" s="8">
        <f>IFERROR(N100/N444, "NA")</f>
        <v>0.29535554930683611</v>
      </c>
      <c r="P100" s="9"/>
      <c r="Q100" s="7">
        <v>-1594.95</v>
      </c>
      <c r="R100" s="8">
        <f>IFERROR(Q100/Q444, "NA")</f>
        <v>-1.7393824385876784E-3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-1594.95</v>
      </c>
      <c r="X100" s="8">
        <f>IFERROR(W100/W444, "NA")</f>
        <v>4.6152710941863156E-2</v>
      </c>
      <c r="Y100" s="9"/>
      <c r="Z100" s="7">
        <v>-4105.7</v>
      </c>
      <c r="AA100" s="8">
        <f>IFERROR(Z100/Z444, "NA")</f>
        <v>-4.4935025236209312E-3</v>
      </c>
      <c r="AB100" s="9"/>
      <c r="AC100" s="10">
        <f t="shared" si="27"/>
        <v>2510.75</v>
      </c>
      <c r="AD100" s="8">
        <f>IFERROR(AC100/AC444, "NA")</f>
        <v>0.76867615948172496</v>
      </c>
    </row>
    <row r="101" spans="1:30" ht="16.5" customHeight="1" x14ac:dyDescent="0.45">
      <c r="A101" s="12" t="s">
        <v>96</v>
      </c>
      <c r="B101" s="7">
        <v>-295.86</v>
      </c>
      <c r="C101" s="8">
        <f>IFERROR(B101/B444, "NA")</f>
        <v>-6.1393043134412627E-4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-295.86</v>
      </c>
      <c r="I101" s="8">
        <f>IFERROR(H101/H444, "NA")</f>
        <v>1.4154626351545307E-2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-295.86</v>
      </c>
      <c r="O101" s="8">
        <f>IFERROR(N101/N444, "NA")</f>
        <v>-7.8484531761485662E-2</v>
      </c>
      <c r="P101" s="9"/>
      <c r="Q101" s="7">
        <v>-295.86</v>
      </c>
      <c r="R101" s="8">
        <f>IFERROR(Q101/Q444, "NA")</f>
        <v>-3.2265192531461836E-4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-295.86</v>
      </c>
      <c r="X101" s="8">
        <f>IFERROR(W101/W444, "NA")</f>
        <v>8.561234558612893E-3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-295.86</v>
      </c>
      <c r="AD101" s="8">
        <f>IFERROR(AC101/AC444, "NA")</f>
        <v>-9.0578722909195719E-2</v>
      </c>
    </row>
    <row r="102" spans="1:30" ht="16.5" customHeight="1" x14ac:dyDescent="0.45">
      <c r="A102" s="12" t="s">
        <v>97</v>
      </c>
      <c r="B102" s="7">
        <v>-4262.42</v>
      </c>
      <c r="C102" s="8">
        <f>IFERROR(B102/B444, "NA")</f>
        <v>-8.8448230553972509E-3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-4262.42</v>
      </c>
      <c r="I102" s="8">
        <f>IFERROR(H102/H444, "NA")</f>
        <v>0.20392402640895607</v>
      </c>
      <c r="J102" s="9"/>
      <c r="K102" s="7">
        <v>-5232.46</v>
      </c>
      <c r="L102" s="8">
        <f>IFERROR(K102/K444, "NA")</f>
        <v>-1.0943326790920228E-2</v>
      </c>
      <c r="M102" s="9"/>
      <c r="N102" s="10">
        <f t="shared" si="25"/>
        <v>970.04</v>
      </c>
      <c r="O102" s="8">
        <f>IFERROR(N102/N444, "NA")</f>
        <v>0.25732824710982066</v>
      </c>
      <c r="P102" s="9"/>
      <c r="Q102" s="7">
        <v>-8309.01</v>
      </c>
      <c r="R102" s="8">
        <f>IFERROR(Q102/Q444, "NA")</f>
        <v>-9.0614414721774394E-3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-8309.01</v>
      </c>
      <c r="X102" s="8">
        <f>IFERROR(W102/W444, "NA")</f>
        <v>0.2404359614677892</v>
      </c>
      <c r="Y102" s="9"/>
      <c r="Z102" s="7">
        <v>-9753.6899999999987</v>
      </c>
      <c r="AA102" s="8">
        <f>IFERROR(Z102/Z444, "NA")</f>
        <v>-1.0674971534602196E-2</v>
      </c>
      <c r="AB102" s="9"/>
      <c r="AC102" s="10">
        <f t="shared" si="27"/>
        <v>1444.6799999999985</v>
      </c>
      <c r="AD102" s="8">
        <f>IFERROR(AC102/AC444, "NA")</f>
        <v>0.44229456301107528</v>
      </c>
    </row>
    <row r="103" spans="1:30" ht="16.5" customHeight="1" x14ac:dyDescent="0.45">
      <c r="A103" s="12" t="s">
        <v>98</v>
      </c>
      <c r="B103" s="7">
        <v>-77</v>
      </c>
      <c r="C103" s="8">
        <f>IFERROR(B103/B444, "NA")</f>
        <v>-1.5978044755457892E-4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-77</v>
      </c>
      <c r="I103" s="8">
        <f>IFERROR(H103/H444, "NA")</f>
        <v>3.683858004018754E-3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-77</v>
      </c>
      <c r="O103" s="8">
        <f>IFERROR(N103/N444, "NA")</f>
        <v>-2.0426245337775959E-2</v>
      </c>
      <c r="P103" s="9"/>
      <c r="Q103" s="7">
        <v>-223</v>
      </c>
      <c r="R103" s="8">
        <f>IFERROR(Q103/Q444, "NA")</f>
        <v>-2.4319400846738284E-4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-223</v>
      </c>
      <c r="X103" s="8">
        <f>IFERROR(W103/W444, "NA")</f>
        <v>6.4529010564816974E-3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-223</v>
      </c>
      <c r="AD103" s="8">
        <f>IFERROR(AC103/AC444, "NA")</f>
        <v>-6.8272342353649179E-2</v>
      </c>
    </row>
    <row r="104" spans="1:30" ht="16.5" customHeight="1" x14ac:dyDescent="0.45">
      <c r="A104" s="12" t="s">
        <v>99</v>
      </c>
      <c r="B104" s="7">
        <v>-497.13000000000005</v>
      </c>
      <c r="C104" s="8">
        <f>IFERROR(B104/B444, "NA")</f>
        <v>-1.0315799206858159E-3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-497.13000000000005</v>
      </c>
      <c r="I104" s="8">
        <f>IFERROR(H104/H444, "NA")</f>
        <v>2.378384843555641E-2</v>
      </c>
      <c r="J104" s="9"/>
      <c r="K104" s="7">
        <v>-2297.8500000000004</v>
      </c>
      <c r="L104" s="8">
        <f>IFERROR(K104/K444, "NA")</f>
        <v>-4.805793731154381E-3</v>
      </c>
      <c r="M104" s="9"/>
      <c r="N104" s="10">
        <f t="shared" si="25"/>
        <v>1800.7200000000003</v>
      </c>
      <c r="O104" s="8">
        <f>IFERROR(N104/N444, "NA")</f>
        <v>0.47768764291740168</v>
      </c>
      <c r="P104" s="9"/>
      <c r="Q104" s="7">
        <v>-2449.4300000000003</v>
      </c>
      <c r="R104" s="8">
        <f>IFERROR(Q104/Q444, "NA")</f>
        <v>-2.6712408078935499E-3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-2449.4300000000003</v>
      </c>
      <c r="X104" s="8">
        <f>IFERROR(W104/W444, "NA")</f>
        <v>7.0878607330842891E-2</v>
      </c>
      <c r="Y104" s="9"/>
      <c r="Z104" s="7">
        <v>-4985.25</v>
      </c>
      <c r="AA104" s="8">
        <f>IFERROR(Z104/Z444, "NA")</f>
        <v>-5.4561301254064465E-3</v>
      </c>
      <c r="AB104" s="9"/>
      <c r="AC104" s="10">
        <f t="shared" si="27"/>
        <v>2535.8199999999997</v>
      </c>
      <c r="AD104" s="8">
        <f>IFERROR(AC104/AC444, "NA")</f>
        <v>0.77635144030148262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-216.85</v>
      </c>
      <c r="C106" s="8">
        <f>IFERROR(B106/B444, "NA")</f>
        <v>-4.4997909158714855E-4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-216.85</v>
      </c>
      <c r="I106" s="8">
        <f>IFERROR(H106/H444, "NA")</f>
        <v>1.037460530092814E-2</v>
      </c>
      <c r="J106" s="9"/>
      <c r="K106" s="7">
        <v>-93.16</v>
      </c>
      <c r="L106" s="8">
        <f>IFERROR(K106/K444, "NA")</f>
        <v>-1.9483767173416108E-4</v>
      </c>
      <c r="M106" s="9"/>
      <c r="N106" s="10">
        <f t="shared" si="25"/>
        <v>-123.69</v>
      </c>
      <c r="O106" s="8">
        <f>IFERROR(N106/N444, "NA")</f>
        <v>-3.2811977738045561E-2</v>
      </c>
      <c r="P106" s="9"/>
      <c r="Q106" s="7">
        <v>-290.84000000000003</v>
      </c>
      <c r="R106" s="8">
        <f>IFERROR(Q106/Q444, "NA")</f>
        <v>-3.1717733373387282E-4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-290.84000000000003</v>
      </c>
      <c r="X106" s="8">
        <f>IFERROR(W106/W444, "NA")</f>
        <v>8.4159719429019609E-3</v>
      </c>
      <c r="Y106" s="9"/>
      <c r="Z106" s="7">
        <v>-1178.77</v>
      </c>
      <c r="AA106" s="8">
        <f>IFERROR(Z106/Z444, "NA")</f>
        <v>-1.2901103270498684E-3</v>
      </c>
      <c r="AB106" s="9"/>
      <c r="AC106" s="10">
        <f t="shared" si="27"/>
        <v>887.93</v>
      </c>
      <c r="AD106" s="8">
        <f>IFERROR(AC106/AC444, "NA")</f>
        <v>0.2718433226281422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-17751.969999999998</v>
      </c>
      <c r="C118" s="15">
        <f>IFERROR(B118/B444, "NA")</f>
        <v>-3.6836593656824131E-2</v>
      </c>
      <c r="D118" s="2"/>
      <c r="E118" s="14">
        <f>IFERROR(E94+E95+E96+E97+E98+E99+E100+E101+E102+E103+E104+E105+E106+E107+E108+E109+E110+E111+E112+E113+E114+E115+E116+E117, "NA")</f>
        <v>-25382.32</v>
      </c>
      <c r="F118" s="15">
        <f>IFERROR(E118/E444, "NA")</f>
        <v>-5.0480607831201271E-2</v>
      </c>
      <c r="G118" s="2"/>
      <c r="H118" s="14">
        <f t="shared" si="24"/>
        <v>7630.3500000000022</v>
      </c>
      <c r="I118" s="15">
        <f>IFERROR(H118/H444, "NA")</f>
        <v>-0.36505358338914945</v>
      </c>
      <c r="J118" s="2"/>
      <c r="K118" s="14">
        <f>IFERROR(K94+K95+K96+K97+K98+K99+K100+K101+K102+K103+K104+K105+K106+K107+K108+K109+K110+K111+K112+K113+K114+K115+K116+K117, "NA")</f>
        <v>-25322.469999999998</v>
      </c>
      <c r="L118" s="15">
        <f>IFERROR(K118/K444, "NA")</f>
        <v>-5.2960187820503879E-2</v>
      </c>
      <c r="M118" s="2"/>
      <c r="N118" s="14">
        <f t="shared" si="25"/>
        <v>7570.5</v>
      </c>
      <c r="O118" s="15">
        <f>IFERROR(N118/N444, "NA")</f>
        <v>2.0082713029822457</v>
      </c>
      <c r="P118" s="2"/>
      <c r="Q118" s="14">
        <f>IFERROR(Q94+Q95+Q96+Q97+Q98+Q99+Q100+Q101+Q102+Q103+Q104+Q105+Q106+Q107+Q108+Q109+Q110+Q111+Q112+Q113+Q114+Q115+Q116+Q117, "NA")</f>
        <v>-39569.409999999996</v>
      </c>
      <c r="R118" s="15">
        <f>IFERROR(Q118/Q444, "NA")</f>
        <v>-4.3152661123719023E-2</v>
      </c>
      <c r="S118" s="2"/>
      <c r="T118" s="14">
        <f>IFERROR(T94+T95+T96+T97+T98+T99+T100+T101+T102+T103+T104+T105+T106+T107+T108+T109+T110+T111+T112+T113+T114+T115+T116+T117, "NA")</f>
        <v>-47949.51</v>
      </c>
      <c r="U118" s="15">
        <f>IFERROR(T118/T444, "NA")</f>
        <v>-5.0392461975740162E-2</v>
      </c>
      <c r="V118" s="2"/>
      <c r="W118" s="14">
        <f t="shared" si="26"/>
        <v>8380.1000000000058</v>
      </c>
      <c r="X118" s="15">
        <f>IFERROR(W118/W444, "NA")</f>
        <v>-0.24249307687633323</v>
      </c>
      <c r="Y118" s="2"/>
      <c r="Z118" s="14">
        <f>IFERROR(Z94+Z95+Z96+Z97+Z98+Z99+Z100+Z101+Z102+Z103+Z104+Z105+Z106+Z107+Z108+Z109+Z110+Z111+Z112+Z113+Z114+Z115+Z116+Z117, "NA")</f>
        <v>-50290.049999999996</v>
      </c>
      <c r="AA118" s="15">
        <f>IFERROR(Z118/Z444, "NA")</f>
        <v>-5.5040179893324596E-2</v>
      </c>
      <c r="AB118" s="2"/>
      <c r="AC118" s="14">
        <f t="shared" si="27"/>
        <v>10720.64</v>
      </c>
      <c r="AD118" s="15">
        <f>IFERROR(AC118/AC444, "NA")</f>
        <v>3.282166835561549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481911.28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502813.27999999997</v>
      </c>
      <c r="F122" s="15">
        <f>IFERROR(E122/E444, "NA")</f>
        <v>0.99999999999999989</v>
      </c>
      <c r="G122" s="2"/>
      <c r="H122" s="14">
        <f t="shared" si="24"/>
        <v>-20901.999999999942</v>
      </c>
      <c r="I122" s="15">
        <f>IFERROR(H122/H444, "NA")</f>
        <v>0.99999999999999722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478141.62</v>
      </c>
      <c r="L122" s="15">
        <f>IFERROR(K122/K444, "NA")</f>
        <v>0.99999999999999989</v>
      </c>
      <c r="M122" s="2"/>
      <c r="N122" s="14">
        <f t="shared" si="25"/>
        <v>3769.6600000000326</v>
      </c>
      <c r="O122" s="15">
        <f>IFERROR(N122/N444, "NA")</f>
        <v>1.0000000000000155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916963.38000000012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951521.48000000021</v>
      </c>
      <c r="U122" s="15">
        <f>IFERROR(T122/T444, "NA")</f>
        <v>1.0000000000000002</v>
      </c>
      <c r="V122" s="2"/>
      <c r="W122" s="14">
        <f t="shared" si="26"/>
        <v>-34558.100000000093</v>
      </c>
      <c r="X122" s="15">
        <f>IFERROR(W122/W444, "NA")</f>
        <v>1.0000000000000033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913697.05000000016</v>
      </c>
      <c r="AA122" s="15">
        <f>IFERROR(Z122/Z444, "NA")</f>
        <v>1.0000000000000002</v>
      </c>
      <c r="AB122" s="2"/>
      <c r="AC122" s="14">
        <f t="shared" si="27"/>
        <v>3266.3299999999581</v>
      </c>
      <c r="AD122" s="15">
        <f>IFERROR(AC122/AC444, "NA")</f>
        <v>0.99999999999996436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481911.28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502813.27999999997</v>
      </c>
      <c r="F124" s="15">
        <f>IFERROR(E124/E444, "NA")</f>
        <v>0.99999999999999989</v>
      </c>
      <c r="G124" s="2"/>
      <c r="H124" s="14">
        <f t="shared" si="24"/>
        <v>-20901.999999999942</v>
      </c>
      <c r="I124" s="15">
        <f>IFERROR(H124/H444, "NA")</f>
        <v>0.99999999999999722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478141.62</v>
      </c>
      <c r="L124" s="15">
        <f>IFERROR(K124/K444, "NA")</f>
        <v>0.99999999999999989</v>
      </c>
      <c r="M124" s="2"/>
      <c r="N124" s="14">
        <f t="shared" si="25"/>
        <v>3769.6600000000326</v>
      </c>
      <c r="O124" s="15">
        <f>IFERROR(N124/N444, "NA")</f>
        <v>1.0000000000000155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916963.38000000012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951521.48000000021</v>
      </c>
      <c r="U124" s="15">
        <f>IFERROR(T124/T444, "NA")</f>
        <v>1.0000000000000002</v>
      </c>
      <c r="V124" s="2"/>
      <c r="W124" s="14">
        <f t="shared" si="26"/>
        <v>-34558.100000000093</v>
      </c>
      <c r="X124" s="15">
        <f>IFERROR(W124/W444, "NA")</f>
        <v>1.0000000000000033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913697.05000000016</v>
      </c>
      <c r="AA124" s="15">
        <f>IFERROR(Z124/Z444, "NA")</f>
        <v>1.0000000000000002</v>
      </c>
      <c r="AB124" s="2"/>
      <c r="AC124" s="14">
        <f t="shared" si="27"/>
        <v>3266.3299999999581</v>
      </c>
      <c r="AD124" s="15">
        <f>IFERROR(AC124/AC444, "NA")</f>
        <v>0.99999999999996436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105720.28</v>
      </c>
      <c r="F129" s="8">
        <f>IFERROR(E129/E444, "NA")</f>
        <v>0.21025753337302466</v>
      </c>
      <c r="G129" s="9"/>
      <c r="H129" s="10">
        <f t="shared" ref="H129:H141" si="28">IFERROR(-(B129-E129), "NA")</f>
        <v>105720.28</v>
      </c>
      <c r="I129" s="8">
        <f>IFERROR(H129/H444, "NA")</f>
        <v>-5.0579025930532966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204870.08</v>
      </c>
      <c r="U129" s="8">
        <f>IFERROR(T129/T444, "NA")</f>
        <v>0.21530788774206125</v>
      </c>
      <c r="V129" s="9"/>
      <c r="W129" s="10">
        <f t="shared" ref="W129:W141" si="30">IFERROR(-(Q129-T129), "NA")</f>
        <v>204870.08</v>
      </c>
      <c r="X129" s="8">
        <f>IFERROR(W129/W444, "NA")</f>
        <v>-5.9282796218542142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22549.57</v>
      </c>
      <c r="C130" s="8">
        <f>IFERROR(B130/B444, "NA")</f>
        <v>4.6791953074848132E-2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-22549.57</v>
      </c>
      <c r="I130" s="8">
        <f>IFERROR(H130/H444, "NA")</f>
        <v>1.078823557554301</v>
      </c>
      <c r="J130" s="9"/>
      <c r="K130" s="7">
        <v>28462.059999999998</v>
      </c>
      <c r="L130" s="8">
        <f>IFERROR(K130/K444, "NA")</f>
        <v>5.9526422318140794E-2</v>
      </c>
      <c r="M130" s="9"/>
      <c r="N130" s="10">
        <f t="shared" si="29"/>
        <v>5912.489999999998</v>
      </c>
      <c r="O130" s="8">
        <f>IFERROR(N130/N444, "NA")</f>
        <v>1.5684411856772329</v>
      </c>
      <c r="P130" s="9"/>
      <c r="Q130" s="7">
        <v>44128.159999999996</v>
      </c>
      <c r="R130" s="8">
        <f>IFERROR(Q130/Q444, "NA")</f>
        <v>4.8124233707130155E-2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-44128.159999999996</v>
      </c>
      <c r="X130" s="8">
        <f>IFERROR(W130/W444, "NA")</f>
        <v>1.2769266828905532</v>
      </c>
      <c r="Y130" s="9"/>
      <c r="Z130" s="7">
        <v>52696.77</v>
      </c>
      <c r="AA130" s="8">
        <f>IFERROR(Z130/Z444, "NA")</f>
        <v>5.7674225827915281E-2</v>
      </c>
      <c r="AB130" s="9"/>
      <c r="AC130" s="10">
        <f t="shared" si="31"/>
        <v>8568.61</v>
      </c>
      <c r="AD130" s="8">
        <f>IFERROR(AC130/AC444, "NA")</f>
        <v>2.6233142395287081</v>
      </c>
    </row>
    <row r="131" spans="1:30" ht="16.5" customHeight="1" x14ac:dyDescent="0.45">
      <c r="A131" s="12" t="s">
        <v>123</v>
      </c>
      <c r="B131" s="7">
        <v>12955.36</v>
      </c>
      <c r="C131" s="8">
        <f>IFERROR(B131/B444, "NA")</f>
        <v>2.6883288558840125E-2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-12955.36</v>
      </c>
      <c r="I131" s="8">
        <f>IFERROR(H131/H444, "NA")</f>
        <v>0.61981437183044685</v>
      </c>
      <c r="J131" s="9"/>
      <c r="K131" s="7">
        <v>14958.09</v>
      </c>
      <c r="L131" s="8">
        <f>IFERROR(K131/K444, "NA")</f>
        <v>3.1283806667990958E-2</v>
      </c>
      <c r="M131" s="9"/>
      <c r="N131" s="10">
        <f t="shared" si="29"/>
        <v>2002.7299999999996</v>
      </c>
      <c r="O131" s="8">
        <f>IFERROR(N131/N444, "NA")</f>
        <v>0.53127603019901348</v>
      </c>
      <c r="P131" s="9"/>
      <c r="Q131" s="7">
        <v>26008.959999999995</v>
      </c>
      <c r="R131" s="8">
        <f>IFERROR(Q131/Q444, "NA")</f>
        <v>2.8364229768913996E-2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-26008.959999999995</v>
      </c>
      <c r="X131" s="8">
        <f>IFERROR(W131/W444, "NA")</f>
        <v>0.75261545050219814</v>
      </c>
      <c r="Y131" s="9"/>
      <c r="Z131" s="7">
        <v>28391.87</v>
      </c>
      <c r="AA131" s="8">
        <f>IFERROR(Z131/Z444, "NA")</f>
        <v>3.1073614607817768E-2</v>
      </c>
      <c r="AB131" s="9"/>
      <c r="AC131" s="10">
        <f t="shared" si="31"/>
        <v>2382.9100000000035</v>
      </c>
      <c r="AD131" s="8">
        <f>IFERROR(AC131/AC444, "NA")</f>
        <v>0.72953743191898834</v>
      </c>
    </row>
    <row r="132" spans="1:30" ht="16.5" customHeight="1" x14ac:dyDescent="0.45">
      <c r="A132" s="12" t="s">
        <v>124</v>
      </c>
      <c r="B132" s="7">
        <v>16302.369999999999</v>
      </c>
      <c r="C132" s="8">
        <f>IFERROR(B132/B444, "NA")</f>
        <v>3.382857110130312E-2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-16302.369999999999</v>
      </c>
      <c r="I132" s="8">
        <f>IFERROR(H132/H444, "NA")</f>
        <v>0.77994306764902877</v>
      </c>
      <c r="J132" s="9"/>
      <c r="K132" s="7">
        <v>18076.849999999999</v>
      </c>
      <c r="L132" s="8">
        <f>IFERROR(K132/K444, "NA")</f>
        <v>3.7806476666892117E-2</v>
      </c>
      <c r="M132" s="9"/>
      <c r="N132" s="10">
        <f t="shared" si="29"/>
        <v>1774.4799999999996</v>
      </c>
      <c r="O132" s="8">
        <f>IFERROR(N132/N444, "NA")</f>
        <v>0.47072680294774905</v>
      </c>
      <c r="P132" s="9"/>
      <c r="Q132" s="7">
        <v>29195.21</v>
      </c>
      <c r="R132" s="8">
        <f>IFERROR(Q132/Q444, "NA")</f>
        <v>3.1839014116354349E-2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-29195.21</v>
      </c>
      <c r="X132" s="8">
        <f>IFERROR(W132/W444, "NA")</f>
        <v>0.84481525315338568</v>
      </c>
      <c r="Y132" s="9"/>
      <c r="Z132" s="7">
        <v>34558.5</v>
      </c>
      <c r="AA132" s="8">
        <f>IFERROR(Z132/Z444, "NA")</f>
        <v>3.7822711586953252E-2</v>
      </c>
      <c r="AB132" s="9"/>
      <c r="AC132" s="10">
        <f t="shared" si="31"/>
        <v>5363.2900000000009</v>
      </c>
      <c r="AD132" s="8">
        <f>IFERROR(AC132/AC444, "NA")</f>
        <v>1.6419926951654851</v>
      </c>
    </row>
    <row r="133" spans="1:30" ht="16.5" customHeight="1" x14ac:dyDescent="0.45">
      <c r="A133" s="12" t="s">
        <v>125</v>
      </c>
      <c r="B133" s="7">
        <v>10386.419999999998</v>
      </c>
      <c r="C133" s="8">
        <f>IFERROR(B133/B444, "NA")</f>
        <v>2.1552556312854926E-2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-10386.419999999998</v>
      </c>
      <c r="I133" s="8">
        <f>IFERROR(H133/H444, "NA")</f>
        <v>0.49691034350779822</v>
      </c>
      <c r="J133" s="9"/>
      <c r="K133" s="7">
        <v>10840.009999999998</v>
      </c>
      <c r="L133" s="8">
        <f>IFERROR(K133/K444, "NA")</f>
        <v>2.2671128273669204E-2</v>
      </c>
      <c r="M133" s="9"/>
      <c r="N133" s="10">
        <f t="shared" si="29"/>
        <v>453.59000000000015</v>
      </c>
      <c r="O133" s="8">
        <f>IFERROR(N133/N444, "NA")</f>
        <v>0.12032650159430909</v>
      </c>
      <c r="P133" s="9"/>
      <c r="Q133" s="7">
        <v>20563.650000000001</v>
      </c>
      <c r="R133" s="8">
        <f>IFERROR(Q133/Q444, "NA")</f>
        <v>2.2425813776772635E-2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-20563.650000000001</v>
      </c>
      <c r="X133" s="8">
        <f>IFERROR(W133/W444, "NA")</f>
        <v>0.59504573457452858</v>
      </c>
      <c r="Y133" s="9"/>
      <c r="Z133" s="7">
        <v>20884.07</v>
      </c>
      <c r="AA133" s="8">
        <f>IFERROR(Z133/Z444, "NA")</f>
        <v>2.2856667863817664E-2</v>
      </c>
      <c r="AB133" s="9"/>
      <c r="AC133" s="10">
        <f t="shared" si="31"/>
        <v>320.41999999999825</v>
      </c>
      <c r="AD133" s="8">
        <f>IFERROR(AC133/AC444, "NA")</f>
        <v>9.8097865188144173E-2</v>
      </c>
    </row>
    <row r="134" spans="1:30" ht="16.5" customHeight="1" x14ac:dyDescent="0.45">
      <c r="A134" s="12" t="s">
        <v>126</v>
      </c>
      <c r="B134" s="7">
        <v>5324.7</v>
      </c>
      <c r="C134" s="8">
        <f>IFERROR(B134/B444, "NA")</f>
        <v>1.1049129209011251E-2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-5324.7</v>
      </c>
      <c r="I134" s="8">
        <f>IFERROR(H134/H444, "NA")</f>
        <v>0.25474595732465793</v>
      </c>
      <c r="J134" s="9"/>
      <c r="K134" s="7">
        <v>4014.42</v>
      </c>
      <c r="L134" s="8">
        <f>IFERROR(K134/K444, "NA")</f>
        <v>8.3958807016214134E-3</v>
      </c>
      <c r="M134" s="9"/>
      <c r="N134" s="10">
        <f t="shared" si="29"/>
        <v>-1310.2799999999997</v>
      </c>
      <c r="O134" s="8">
        <f>IFERROR(N134/N444, "NA")</f>
        <v>-0.3475857239114426</v>
      </c>
      <c r="P134" s="9"/>
      <c r="Q134" s="7">
        <v>10431.780000000001</v>
      </c>
      <c r="R134" s="8">
        <f>IFERROR(Q134/Q444, "NA")</f>
        <v>1.1376441227129485E-2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-10431.780000000001</v>
      </c>
      <c r="X134" s="8">
        <f>IFERROR(W134/W444, "NA")</f>
        <v>0.30186208153804772</v>
      </c>
      <c r="Y134" s="9"/>
      <c r="Z134" s="7">
        <v>7539.4500000000007</v>
      </c>
      <c r="AA134" s="8">
        <f>IFERROR(Z134/Z444, "NA")</f>
        <v>8.2515862341899886E-3</v>
      </c>
      <c r="AB134" s="9"/>
      <c r="AC134" s="10">
        <f t="shared" si="31"/>
        <v>-2892.33</v>
      </c>
      <c r="AD134" s="8">
        <f>IFERROR(AC134/AC444, "NA")</f>
        <v>-0.88549840340686148</v>
      </c>
    </row>
    <row r="135" spans="1:30" ht="16.5" customHeight="1" x14ac:dyDescent="0.45">
      <c r="A135" s="12" t="s">
        <v>127</v>
      </c>
      <c r="B135" s="7">
        <v>3917.5299999999997</v>
      </c>
      <c r="C135" s="8">
        <f>IFERROR(B135/B444, "NA")</f>
        <v>8.1291519053050577E-3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-3917.5299999999997</v>
      </c>
      <c r="I135" s="8">
        <f>IFERROR(H135/H444, "NA")</f>
        <v>0.18742369151277388</v>
      </c>
      <c r="J135" s="9"/>
      <c r="K135" s="7">
        <v>4306.62</v>
      </c>
      <c r="L135" s="8">
        <f>IFERROR(K135/K444, "NA")</f>
        <v>9.0069967136514901E-3</v>
      </c>
      <c r="M135" s="9"/>
      <c r="N135" s="10">
        <f t="shared" si="29"/>
        <v>389.09000000000015</v>
      </c>
      <c r="O135" s="8">
        <f>IFERROR(N135/N444, "NA")</f>
        <v>0.10321620517500325</v>
      </c>
      <c r="P135" s="9"/>
      <c r="Q135" s="7">
        <v>7758.15</v>
      </c>
      <c r="R135" s="8">
        <f>IFERROR(Q135/Q444, "NA")</f>
        <v>8.4606977434584126E-3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-7758.15</v>
      </c>
      <c r="X135" s="8">
        <f>IFERROR(W135/W444, "NA")</f>
        <v>0.22449584901947747</v>
      </c>
      <c r="Y135" s="9"/>
      <c r="Z135" s="7">
        <v>8248.1899999999987</v>
      </c>
      <c r="AA135" s="8">
        <f>IFERROR(Z135/Z444, "NA")</f>
        <v>9.0272700344167685E-3</v>
      </c>
      <c r="AB135" s="9"/>
      <c r="AC135" s="10">
        <f t="shared" si="31"/>
        <v>490.03999999999905</v>
      </c>
      <c r="AD135" s="8">
        <f>IFERROR(AC135/AC444, "NA")</f>
        <v>0.15002770693713982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3696.23</v>
      </c>
      <c r="L136" s="8">
        <f>IFERROR(K136/K444, "NA")</f>
        <v>7.7304084091236389E-3</v>
      </c>
      <c r="M136" s="9"/>
      <c r="N136" s="10">
        <f t="shared" si="29"/>
        <v>3696.23</v>
      </c>
      <c r="O136" s="8">
        <f>IFERROR(N136/N444, "NA")</f>
        <v>0.98052078967334588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6918.5599999999995</v>
      </c>
      <c r="AA136" s="8">
        <f>IFERROR(Z136/Z444, "NA")</f>
        <v>7.5720502764017898E-3</v>
      </c>
      <c r="AB136" s="9"/>
      <c r="AC136" s="10">
        <f t="shared" si="31"/>
        <v>6918.5599999999995</v>
      </c>
      <c r="AD136" s="8">
        <f>IFERROR(AC136/AC444, "NA")</f>
        <v>2.1181448292119418</v>
      </c>
    </row>
    <row r="137" spans="1:30" ht="16.5" customHeight="1" x14ac:dyDescent="0.45">
      <c r="A137" s="12" t="s">
        <v>129</v>
      </c>
      <c r="B137" s="7">
        <v>2336.2200000000003</v>
      </c>
      <c r="C137" s="8">
        <f>IFERROR(B137/B444, "NA")</f>
        <v>4.8478217816358233E-3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-2336.2200000000003</v>
      </c>
      <c r="I137" s="8">
        <f>IFERROR(H137/H444, "NA")</f>
        <v>0.11177016553439864</v>
      </c>
      <c r="J137" s="9"/>
      <c r="K137" s="7">
        <v>2350.67</v>
      </c>
      <c r="L137" s="8">
        <f>IFERROR(K137/K444, "NA")</f>
        <v>4.9162630937670719E-3</v>
      </c>
      <c r="M137" s="9"/>
      <c r="N137" s="10">
        <f t="shared" si="29"/>
        <v>14.449999999999818</v>
      </c>
      <c r="O137" s="8">
        <f>IFERROR(N137/N444, "NA")</f>
        <v>3.8332369497514141E-3</v>
      </c>
      <c r="P137" s="9"/>
      <c r="Q137" s="7">
        <v>4701.1899999999996</v>
      </c>
      <c r="R137" s="8">
        <f>IFERROR(Q137/Q444, "NA")</f>
        <v>5.1269113931245534E-3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-4701.1899999999996</v>
      </c>
      <c r="X137" s="8">
        <f>IFERROR(W137/W444, "NA")</f>
        <v>0.13603728214224747</v>
      </c>
      <c r="Y137" s="9"/>
      <c r="Z137" s="7">
        <v>4795.88</v>
      </c>
      <c r="AA137" s="8">
        <f>IFERROR(Z137/Z444, "NA")</f>
        <v>5.2488732452403127E-3</v>
      </c>
      <c r="AB137" s="9"/>
      <c r="AC137" s="10">
        <f t="shared" si="31"/>
        <v>94.690000000000509</v>
      </c>
      <c r="AD137" s="8">
        <f>IFERROR(AC137/AC444, "NA")</f>
        <v>2.8989722410166258E-2</v>
      </c>
    </row>
    <row r="138" spans="1:30" ht="16.5" customHeight="1" x14ac:dyDescent="0.45">
      <c r="A138" s="12" t="s">
        <v>130</v>
      </c>
      <c r="B138" s="7">
        <v>33921.020000000004</v>
      </c>
      <c r="C138" s="8">
        <f>IFERROR(B138/B444, "NA")</f>
        <v>7.0388516326075623E-2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-33921.020000000004</v>
      </c>
      <c r="I138" s="8">
        <f>IFERROR(H138/H444, "NA")</f>
        <v>1.6228600133958475</v>
      </c>
      <c r="J138" s="9"/>
      <c r="K138" s="7">
        <v>24756.54</v>
      </c>
      <c r="L138" s="8">
        <f>IFERROR(K138/K444, "NA")</f>
        <v>5.1776584519038521E-2</v>
      </c>
      <c r="M138" s="9"/>
      <c r="N138" s="10">
        <f t="shared" si="29"/>
        <v>-9164.4800000000032</v>
      </c>
      <c r="O138" s="8">
        <f>IFERROR(N138/N444, "NA")</f>
        <v>-2.4311158035472871</v>
      </c>
      <c r="P138" s="9"/>
      <c r="Q138" s="7">
        <v>65926.11</v>
      </c>
      <c r="R138" s="8">
        <f>IFERROR(Q138/Q444, "NA")</f>
        <v>7.1896120867989299E-2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-65926.11</v>
      </c>
      <c r="X138" s="8">
        <f>IFERROR(W138/W444, "NA")</f>
        <v>1.9076890801288278</v>
      </c>
      <c r="Y138" s="9"/>
      <c r="Z138" s="7">
        <v>47893.03</v>
      </c>
      <c r="AA138" s="8">
        <f>IFERROR(Z138/Z444, "NA")</f>
        <v>5.2416750168997481E-2</v>
      </c>
      <c r="AB138" s="9"/>
      <c r="AC138" s="10">
        <f t="shared" si="31"/>
        <v>-18033.080000000002</v>
      </c>
      <c r="AD138" s="8">
        <f>IFERROR(AC138/AC444, "NA")</f>
        <v>-5.520899602918135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1.98</v>
      </c>
      <c r="L140" s="8">
        <f>IFERROR(K140/K444, "NA")</f>
        <v>4.1410325250497953E-6</v>
      </c>
      <c r="M140" s="9"/>
      <c r="N140" s="10">
        <f t="shared" si="29"/>
        <v>1.98</v>
      </c>
      <c r="O140" s="8">
        <f>IFERROR(N140/N444, "NA")</f>
        <v>5.2524630868566757E-4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22.06</v>
      </c>
      <c r="AA140" s="8">
        <f>IFERROR(Z140/Z444, "NA")</f>
        <v>2.4143669939615104E-5</v>
      </c>
      <c r="AB140" s="9"/>
      <c r="AC140" s="10">
        <f t="shared" si="31"/>
        <v>22.06</v>
      </c>
      <c r="AD140" s="8">
        <f>IFERROR(AC140/AC444, "NA")</f>
        <v>6.7537572749843079E-3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107693.19</v>
      </c>
      <c r="C141" s="15">
        <f>IFERROR(B141/B444, "NA")</f>
        <v>0.22347098826987408</v>
      </c>
      <c r="D141" s="2"/>
      <c r="E141" s="14">
        <f>IFERROR(E129+E130+E131+E132+E133+E134+E135+E136+E137+E138+E139+E140, "NA")</f>
        <v>105720.28</v>
      </c>
      <c r="F141" s="15">
        <f>IFERROR(E141/E444, "NA")</f>
        <v>0.21025753337302466</v>
      </c>
      <c r="G141" s="2"/>
      <c r="H141" s="14">
        <f t="shared" si="28"/>
        <v>-1972.9100000000035</v>
      </c>
      <c r="I141" s="15">
        <f>IFERROR(H141/H444, "NA")</f>
        <v>9.4388575255956536E-2</v>
      </c>
      <c r="J141" s="2"/>
      <c r="K141" s="14">
        <f>IFERROR(K129+K130+K131+K132+K133+K134+K135+K136+K137+K138+K139+K140, "NA")</f>
        <v>111463.46999999999</v>
      </c>
      <c r="L141" s="15">
        <f>IFERROR(K141/K444, "NA")</f>
        <v>0.23311810839642025</v>
      </c>
      <c r="M141" s="2"/>
      <c r="N141" s="14">
        <f t="shared" si="29"/>
        <v>3770.2799999999843</v>
      </c>
      <c r="O141" s="15">
        <f>IFERROR(N141/N444, "NA")</f>
        <v>1.0001644710663586</v>
      </c>
      <c r="P141" s="2"/>
      <c r="Q141" s="14">
        <f>IFERROR(Q129+Q130+Q131+Q132+Q133+Q134+Q135+Q136+Q137+Q138+Q139+Q140, "NA")</f>
        <v>208713.20999999996</v>
      </c>
      <c r="R141" s="15">
        <f>IFERROR(Q141/Q444, "NA")</f>
        <v>0.22761346260087284</v>
      </c>
      <c r="S141" s="2"/>
      <c r="T141" s="14">
        <f>IFERROR(T129+T130+T131+T132+T133+T134+T135+T136+T137+T138+T139+T140, "NA")</f>
        <v>204870.08</v>
      </c>
      <c r="U141" s="15">
        <f>IFERROR(T141/T444, "NA")</f>
        <v>0.21530788774206125</v>
      </c>
      <c r="V141" s="2"/>
      <c r="W141" s="14">
        <f t="shared" si="30"/>
        <v>-3843.1299999999756</v>
      </c>
      <c r="X141" s="15">
        <f>IFERROR(W141/W444, "NA")</f>
        <v>0.11120779209505088</v>
      </c>
      <c r="Y141" s="2"/>
      <c r="Z141" s="14">
        <f>IFERROR(Z129+Z130+Z131+Z132+Z133+Z134+Z135+Z136+Z137+Z138+Z139+Z140, "NA")</f>
        <v>211948.38</v>
      </c>
      <c r="AA141" s="15">
        <f>IFERROR(Z141/Z444, "NA")</f>
        <v>0.23196789351568994</v>
      </c>
      <c r="AB141" s="2"/>
      <c r="AC141" s="14">
        <f t="shared" si="31"/>
        <v>3235.1700000000419</v>
      </c>
      <c r="AD141" s="15">
        <f>IFERROR(AC141/AC444, "NA")</f>
        <v>0.99046024131057431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5382.77</v>
      </c>
      <c r="F143" s="8">
        <f>IFERROR(E143/E444, "NA")</f>
        <v>1.0705305953732964E-2</v>
      </c>
      <c r="G143" s="9"/>
      <c r="H143" s="10">
        <f t="shared" ref="H143:H149" si="32">IFERROR(-(B143-E143), "NA")</f>
        <v>5382.77</v>
      </c>
      <c r="I143" s="8">
        <f>IFERROR(H143/H444, "NA")</f>
        <v>-0.25752416036742898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10167.990000000002</v>
      </c>
      <c r="U143" s="8">
        <f>IFERROR(T143/T444, "NA")</f>
        <v>1.0686033067797904E-2</v>
      </c>
      <c r="V143" s="9"/>
      <c r="W143" s="10">
        <f t="shared" ref="W143:W149" si="34">IFERROR(-(Q143-T143), "NA")</f>
        <v>10167.990000000002</v>
      </c>
      <c r="X143" s="8">
        <f>IFERROR(W143/W444, "NA")</f>
        <v>-0.29422884938697463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5345.75</v>
      </c>
      <c r="C144" s="8">
        <f>IFERROR(B144/B444, "NA")</f>
        <v>1.1092809448245328E-2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-5345.75</v>
      </c>
      <c r="I144" s="8">
        <f>IFERROR(H144/H444, "NA")</f>
        <v>0.2557530379867955</v>
      </c>
      <c r="J144" s="9"/>
      <c r="K144" s="7">
        <v>5574.8099999999995</v>
      </c>
      <c r="L144" s="8">
        <f>IFERROR(K144/K444, "NA")</f>
        <v>1.1659328045945883E-2</v>
      </c>
      <c r="M144" s="9"/>
      <c r="N144" s="10">
        <f t="shared" si="33"/>
        <v>229.05999999999949</v>
      </c>
      <c r="O144" s="8">
        <f>IFERROR(N144/N444, "NA")</f>
        <v>6.076410074118118E-2</v>
      </c>
      <c r="P144" s="9"/>
      <c r="Q144" s="7">
        <v>10649.41</v>
      </c>
      <c r="R144" s="8">
        <f>IFERROR(Q144/Q444, "NA")</f>
        <v>1.1613778949383998E-2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-10649.41</v>
      </c>
      <c r="X144" s="8">
        <f>IFERROR(W144/W444, "NA")</f>
        <v>0.30815959210720517</v>
      </c>
      <c r="Y144" s="9"/>
      <c r="Z144" s="7">
        <v>10887.73</v>
      </c>
      <c r="AA144" s="8">
        <f>IFERROR(Z144/Z444, "NA")</f>
        <v>1.1916126904426363E-2</v>
      </c>
      <c r="AB144" s="9"/>
      <c r="AC144" s="10">
        <f t="shared" si="35"/>
        <v>238.31999999999971</v>
      </c>
      <c r="AD144" s="8">
        <f>IFERROR(AC144/AC444, "NA")</f>
        <v>7.2962621657944621E-2</v>
      </c>
    </row>
    <row r="145" spans="1:30" ht="16.5" customHeight="1" x14ac:dyDescent="0.45">
      <c r="A145" s="12" t="s">
        <v>136</v>
      </c>
      <c r="B145" s="7">
        <v>83.139999999999986</v>
      </c>
      <c r="C145" s="8">
        <f>IFERROR(B145/B444, "NA")</f>
        <v>1.7252138194399596E-4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-83.139999999999986</v>
      </c>
      <c r="I145" s="8">
        <f>IFERROR(H145/H444, "NA")</f>
        <v>3.9776097981054437E-3</v>
      </c>
      <c r="J145" s="9"/>
      <c r="K145" s="7">
        <v>-766.83999999999992</v>
      </c>
      <c r="L145" s="8">
        <f>IFERROR(K145/K444, "NA")</f>
        <v>-1.6037926169238307E-3</v>
      </c>
      <c r="M145" s="9"/>
      <c r="N145" s="10">
        <f t="shared" si="33"/>
        <v>-849.9799999999999</v>
      </c>
      <c r="O145" s="8">
        <f>IFERROR(N145/N444, "NA")</f>
        <v>-0.22547922093769882</v>
      </c>
      <c r="P145" s="9"/>
      <c r="Q145" s="7">
        <v>271.98</v>
      </c>
      <c r="R145" s="8">
        <f>IFERROR(Q145/Q444, "NA")</f>
        <v>2.9660944584286456E-4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-271.98</v>
      </c>
      <c r="X145" s="8">
        <f>IFERROR(W145/W444, "NA")</f>
        <v>7.8702243468246284E-3</v>
      </c>
      <c r="Y145" s="9"/>
      <c r="Z145" s="7">
        <v>-622.04</v>
      </c>
      <c r="AA145" s="8">
        <f>IFERROR(Z145/Z444, "NA")</f>
        <v>-6.8079458065449592E-4</v>
      </c>
      <c r="AB145" s="9"/>
      <c r="AC145" s="10">
        <f t="shared" si="35"/>
        <v>-894.02</v>
      </c>
      <c r="AD145" s="8">
        <f>IFERROR(AC145/AC444, "NA")</f>
        <v>-0.27370780049780014</v>
      </c>
    </row>
    <row r="146" spans="1:30" ht="16.5" customHeight="1" x14ac:dyDescent="0.45">
      <c r="A146" s="12" t="s">
        <v>137</v>
      </c>
      <c r="B146" s="7">
        <v>65.070000000000007</v>
      </c>
      <c r="C146" s="8">
        <f>IFERROR(B146/B444, "NA")</f>
        <v>1.3502485353735652E-4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-65.070000000000007</v>
      </c>
      <c r="I146" s="8">
        <f>IFERROR(H146/H444, "NA")</f>
        <v>3.11309922495455E-3</v>
      </c>
      <c r="J146" s="9"/>
      <c r="K146" s="7">
        <v>170.61</v>
      </c>
      <c r="L146" s="8">
        <f>IFERROR(K146/K444, "NA")</f>
        <v>3.5681896924179073E-4</v>
      </c>
      <c r="M146" s="9"/>
      <c r="N146" s="10">
        <f t="shared" si="33"/>
        <v>105.54</v>
      </c>
      <c r="O146" s="8">
        <f>IFERROR(N146/N444, "NA")</f>
        <v>2.7997219908426945E-2</v>
      </c>
      <c r="P146" s="9"/>
      <c r="Q146" s="7">
        <v>161.94999999999999</v>
      </c>
      <c r="R146" s="8">
        <f>IFERROR(Q146/Q444, "NA")</f>
        <v>1.766155590640926E-4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-161.94999999999999</v>
      </c>
      <c r="X146" s="8">
        <f>IFERROR(W146/W444, "NA")</f>
        <v>4.6863108793596901E-3</v>
      </c>
      <c r="Y146" s="9"/>
      <c r="Z146" s="7">
        <v>1107.6500000000001</v>
      </c>
      <c r="AA146" s="8">
        <f>IFERROR(Z146/Z444, "NA")</f>
        <v>1.212272711179269E-3</v>
      </c>
      <c r="AB146" s="9"/>
      <c r="AC146" s="10">
        <f t="shared" si="35"/>
        <v>945.7</v>
      </c>
      <c r="AD146" s="8">
        <f>IFERROR(AC146/AC444, "NA")</f>
        <v>0.28952983929975795</v>
      </c>
    </row>
    <row r="147" spans="1:30" ht="16.5" customHeight="1" x14ac:dyDescent="0.45">
      <c r="A147" s="12" t="s">
        <v>138</v>
      </c>
      <c r="B147" s="7">
        <v>25.23</v>
      </c>
      <c r="C147" s="8">
        <f>IFERROR(B147/B444, "NA")</f>
        <v>5.235403495846787E-5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-25.23</v>
      </c>
      <c r="I147" s="8">
        <f>IFERROR(H147/H444, "NA")</f>
        <v>1.2070615252128983E-3</v>
      </c>
      <c r="J147" s="9"/>
      <c r="K147" s="7">
        <v>56.79</v>
      </c>
      <c r="L147" s="8">
        <f>IFERROR(K147/K444, "NA")</f>
        <v>1.1877234196847367E-4</v>
      </c>
      <c r="M147" s="9"/>
      <c r="N147" s="10">
        <f t="shared" si="33"/>
        <v>31.56</v>
      </c>
      <c r="O147" s="8">
        <f>IFERROR(N147/N444, "NA")</f>
        <v>8.3721078293533674E-3</v>
      </c>
      <c r="P147" s="9"/>
      <c r="Q147" s="7">
        <v>72.66</v>
      </c>
      <c r="R147" s="8">
        <f>IFERROR(Q147/Q444, "NA")</f>
        <v>7.9239805628879097E-5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-72.66</v>
      </c>
      <c r="X147" s="8">
        <f>IFERROR(W147/W444, "NA")</f>
        <v>2.1025461469235882E-3</v>
      </c>
      <c r="Y147" s="9"/>
      <c r="Z147" s="7">
        <v>127.50999999999999</v>
      </c>
      <c r="AA147" s="8">
        <f>IFERROR(Z147/Z444, "NA")</f>
        <v>1.3955391450590763E-4</v>
      </c>
      <c r="AB147" s="9"/>
      <c r="AC147" s="10">
        <f t="shared" si="35"/>
        <v>54.849999999999994</v>
      </c>
      <c r="AD147" s="8">
        <f>IFERROR(AC147/AC444, "NA")</f>
        <v>1.679254698698501E-2</v>
      </c>
    </row>
    <row r="148" spans="1:30" ht="16.5" customHeight="1" x14ac:dyDescent="0.45">
      <c r="A148" s="13" t="s">
        <v>139</v>
      </c>
      <c r="B148" s="14">
        <f>IFERROR(B143+B144+B145+B146+B147, "NA")</f>
        <v>5519.19</v>
      </c>
      <c r="C148" s="15">
        <f>IFERROR(B148/B444, "NA")</f>
        <v>1.1452709718685148E-2</v>
      </c>
      <c r="D148" s="2"/>
      <c r="E148" s="14">
        <f>IFERROR(E143+E144+E145+E146+E147, "NA")</f>
        <v>5382.77</v>
      </c>
      <c r="F148" s="15">
        <f>IFERROR(E148/E444, "NA")</f>
        <v>1.0705305953732964E-2</v>
      </c>
      <c r="G148" s="2"/>
      <c r="H148" s="14">
        <f t="shared" si="32"/>
        <v>-136.41999999999916</v>
      </c>
      <c r="I148" s="15">
        <f>IFERROR(H148/H444, "NA")</f>
        <v>6.5266481676394201E-3</v>
      </c>
      <c r="J148" s="2"/>
      <c r="K148" s="14">
        <f>IFERROR(K143+K144+K145+K146+K147, "NA")</f>
        <v>5035.369999999999</v>
      </c>
      <c r="L148" s="15">
        <f>IFERROR(K148/K444, "NA")</f>
        <v>1.0531126740232315E-2</v>
      </c>
      <c r="M148" s="2"/>
      <c r="N148" s="14">
        <f t="shared" si="33"/>
        <v>-483.82000000000062</v>
      </c>
      <c r="O148" s="15">
        <f>IFERROR(N148/N444, "NA")</f>
        <v>-0.12834579245873737</v>
      </c>
      <c r="P148" s="2"/>
      <c r="Q148" s="14">
        <f>IFERROR(Q143+Q144+Q145+Q146+Q147, "NA")</f>
        <v>11156</v>
      </c>
      <c r="R148" s="15">
        <f>IFERROR(Q148/Q444, "NA")</f>
        <v>1.2166243759919834E-2</v>
      </c>
      <c r="S148" s="2"/>
      <c r="T148" s="14">
        <f>IFERROR(T143+T144+T145+T146+T147, "NA")</f>
        <v>10167.990000000002</v>
      </c>
      <c r="U148" s="15">
        <f>IFERROR(T148/T444, "NA")</f>
        <v>1.0686033067797904E-2</v>
      </c>
      <c r="V148" s="2"/>
      <c r="W148" s="14">
        <f t="shared" si="34"/>
        <v>-988.0099999999984</v>
      </c>
      <c r="X148" s="15">
        <f>IFERROR(W148/W444, "NA")</f>
        <v>2.8589824093338437E-2</v>
      </c>
      <c r="Y148" s="2"/>
      <c r="Z148" s="14">
        <f>IFERROR(Z143+Z144+Z145+Z146+Z147, "NA")</f>
        <v>11500.849999999999</v>
      </c>
      <c r="AA148" s="15">
        <f>IFERROR(Z148/Z444, "NA")</f>
        <v>1.2587158949457044E-2</v>
      </c>
      <c r="AB148" s="2"/>
      <c r="AC148" s="14">
        <f t="shared" si="35"/>
        <v>344.84999999999854</v>
      </c>
      <c r="AD148" s="15">
        <f>IFERROR(AC148/AC444, "NA")</f>
        <v>0.10557720744688708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113212.38</v>
      </c>
      <c r="C149" s="15">
        <f>IFERROR(B149/B444, "NA")</f>
        <v>0.23492369798855922</v>
      </c>
      <c r="D149" s="2"/>
      <c r="E149" s="14">
        <f>IFERROR(E127+E129+E130+E131+E132+E133+E134+E135+E136+E137+E138+E139+E140+E143+E144+E145+E146+E147, "NA")</f>
        <v>111103.05</v>
      </c>
      <c r="F149" s="15">
        <f>IFERROR(E149/E444, "NA")</f>
        <v>0.22096283932675764</v>
      </c>
      <c r="G149" s="2"/>
      <c r="H149" s="14">
        <f t="shared" si="32"/>
        <v>-2109.3300000000017</v>
      </c>
      <c r="I149" s="15">
        <f>IFERROR(H149/H444, "NA")</f>
        <v>0.10091522342359591</v>
      </c>
      <c r="J149" s="2"/>
      <c r="K149" s="14">
        <f>IFERROR(K127+K129+K130+K131+K132+K133+K134+K135+K136+K137+K138+K139+K140+K143+K144+K145+K146+K147, "NA")</f>
        <v>116498.83999999998</v>
      </c>
      <c r="L149" s="15">
        <f>IFERROR(K149/K444, "NA")</f>
        <v>0.24364923513665254</v>
      </c>
      <c r="M149" s="2"/>
      <c r="N149" s="14">
        <f t="shared" si="33"/>
        <v>3286.4599999999773</v>
      </c>
      <c r="O149" s="15">
        <f>IFERROR(N149/N444, "NA")</f>
        <v>0.87181867860761963</v>
      </c>
      <c r="P149" s="2"/>
      <c r="Q149" s="14">
        <f>IFERROR(Q127+Q129+Q130+Q131+Q132+Q133+Q134+Q135+Q136+Q137+Q138+Q139+Q140+Q143+Q144+Q145+Q146+Q147, "NA")</f>
        <v>219869.21</v>
      </c>
      <c r="R149" s="15">
        <f>IFERROR(Q149/Q444, "NA")</f>
        <v>0.23977970636079271</v>
      </c>
      <c r="S149" s="2"/>
      <c r="T149" s="14">
        <f>IFERROR(T127+T129+T130+T131+T132+T133+T134+T135+T136+T137+T138+T139+T140+T143+T144+T145+T146+T147, "NA")</f>
        <v>215038.06999999998</v>
      </c>
      <c r="U149" s="15">
        <f>IFERROR(T149/T444, "NA")</f>
        <v>0.22599392080985917</v>
      </c>
      <c r="V149" s="2"/>
      <c r="W149" s="14">
        <f t="shared" si="34"/>
        <v>-4831.140000000014</v>
      </c>
      <c r="X149" s="15">
        <f>IFERROR(W149/W444, "NA")</f>
        <v>0.13979761618839048</v>
      </c>
      <c r="Y149" s="2"/>
      <c r="Z149" s="14">
        <f>IFERROR(Z127+Z129+Z130+Z131+Z132+Z133+Z134+Z135+Z136+Z137+Z138+Z139+Z140+Z143+Z144+Z145+Z146+Z147, "NA")</f>
        <v>223449.23</v>
      </c>
      <c r="AA149" s="15">
        <f>IFERROR(Z149/Z444, "NA")</f>
        <v>0.24455505246514697</v>
      </c>
      <c r="AB149" s="2"/>
      <c r="AC149" s="14">
        <f t="shared" si="35"/>
        <v>3580.0200000000186</v>
      </c>
      <c r="AD149" s="15">
        <f>IFERROR(AC149/AC444, "NA")</f>
        <v>1.0960374487574547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20615.460000000003</v>
      </c>
      <c r="F153" s="8">
        <f>IFERROR(E153/E444, "NA")</f>
        <v>4.1000229747312961E-2</v>
      </c>
      <c r="G153" s="9"/>
      <c r="H153" s="10">
        <f t="shared" ref="H153:H158" si="36">IFERROR(-(B153-E153), "NA")</f>
        <v>20615.460000000003</v>
      </c>
      <c r="I153" s="8">
        <f>IFERROR(H153/H444, "NA")</f>
        <v>-0.98629126399387634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39022.58</v>
      </c>
      <c r="U153" s="8">
        <f>IFERROR(T153/T444, "NA")</f>
        <v>4.1010718959281933E-2</v>
      </c>
      <c r="V153" s="9"/>
      <c r="W153" s="10">
        <f t="shared" ref="W153:W158" si="38">IFERROR(-(Q153-T153), "NA")</f>
        <v>39022.58</v>
      </c>
      <c r="X153" s="8">
        <f>IFERROR(W153/W444, "NA")</f>
        <v>-1.1291876578862852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13668.199999999999</v>
      </c>
      <c r="C154" s="8">
        <f>IFERROR(B154/B444, "NA")</f>
        <v>2.8362481990460979E-2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-13668.199999999999</v>
      </c>
      <c r="I154" s="8">
        <f>IFERROR(H154/H444, "NA")</f>
        <v>0.65391828533154717</v>
      </c>
      <c r="J154" s="9"/>
      <c r="K154" s="7">
        <v>15813.33</v>
      </c>
      <c r="L154" s="8">
        <f>IFERROR(K154/K444, "NA")</f>
        <v>3.3072481747144285E-2</v>
      </c>
      <c r="M154" s="9"/>
      <c r="N154" s="10">
        <f t="shared" si="37"/>
        <v>2145.130000000001</v>
      </c>
      <c r="O154" s="8">
        <f>IFERROR(N154/N444, "NA")</f>
        <v>0.56905132027822547</v>
      </c>
      <c r="P154" s="9"/>
      <c r="Q154" s="7">
        <v>27642.080000000002</v>
      </c>
      <c r="R154" s="8">
        <f>IFERROR(Q154/Q444, "NA")</f>
        <v>3.0145238733524999E-2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-27642.080000000002</v>
      </c>
      <c r="X154" s="8">
        <f>IFERROR(W154/W444, "NA")</f>
        <v>0.79987267818543328</v>
      </c>
      <c r="Y154" s="9"/>
      <c r="Z154" s="7">
        <v>28449.010000000002</v>
      </c>
      <c r="AA154" s="8">
        <f>IFERROR(Z154/Z444, "NA")</f>
        <v>3.113615174745284E-2</v>
      </c>
      <c r="AB154" s="9"/>
      <c r="AC154" s="10">
        <f t="shared" si="39"/>
        <v>806.93000000000029</v>
      </c>
      <c r="AD154" s="8">
        <f>IFERROR(AC154/AC444, "NA")</f>
        <v>0.24704484849968678</v>
      </c>
    </row>
    <row r="155" spans="1:30" ht="16.5" customHeight="1" x14ac:dyDescent="0.45">
      <c r="A155" s="12" t="s">
        <v>144</v>
      </c>
      <c r="B155" s="7">
        <v>7336.11</v>
      </c>
      <c r="C155" s="8">
        <f>IFERROR(B155/B444, "NA")</f>
        <v>1.5222947261163921E-2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-7336.11</v>
      </c>
      <c r="I155" s="8">
        <f>IFERROR(H155/H444, "NA")</f>
        <v>0.35097646158262363</v>
      </c>
      <c r="J155" s="9"/>
      <c r="K155" s="7">
        <v>5168.67</v>
      </c>
      <c r="L155" s="8">
        <f>IFERROR(K155/K444, "NA")</f>
        <v>1.0809914434974307E-2</v>
      </c>
      <c r="M155" s="9"/>
      <c r="N155" s="10">
        <f t="shared" si="37"/>
        <v>-2167.4399999999996</v>
      </c>
      <c r="O155" s="8">
        <f>IFERROR(N155/N444, "NA")</f>
        <v>-0.57496962590791056</v>
      </c>
      <c r="P155" s="9"/>
      <c r="Q155" s="7">
        <v>12642.71</v>
      </c>
      <c r="R155" s="8">
        <f>IFERROR(Q155/Q444, "NA")</f>
        <v>1.3787584407133029E-2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-12642.71</v>
      </c>
      <c r="X155" s="8">
        <f>IFERROR(W155/W444, "NA")</f>
        <v>0.36583926778381937</v>
      </c>
      <c r="Y155" s="9"/>
      <c r="Z155" s="7">
        <v>10392.86</v>
      </c>
      <c r="AA155" s="8">
        <f>IFERROR(Z155/Z444, "NA")</f>
        <v>1.1374514123691219E-2</v>
      </c>
      <c r="AB155" s="9"/>
      <c r="AC155" s="10">
        <f t="shared" si="39"/>
        <v>-2249.8499999999985</v>
      </c>
      <c r="AD155" s="8">
        <f>IFERROR(AC155/AC444, "NA")</f>
        <v>-0.68880058046797088</v>
      </c>
    </row>
    <row r="156" spans="1:30" ht="16.5" customHeight="1" x14ac:dyDescent="0.45">
      <c r="A156" s="12" t="s">
        <v>145</v>
      </c>
      <c r="B156" s="7">
        <v>28.19</v>
      </c>
      <c r="C156" s="8">
        <f>IFERROR(B156/B444, "NA")</f>
        <v>5.8496244370955583E-5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-28.19</v>
      </c>
      <c r="I156" s="8">
        <f>IFERROR(H156/H444, "NA")</f>
        <v>1.3486747679647881E-3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-28.19</v>
      </c>
      <c r="O156" s="8">
        <f>IFERROR(N156/N444, "NA")</f>
        <v>-7.4781280009338221E-3</v>
      </c>
      <c r="P156" s="9"/>
      <c r="Q156" s="7">
        <v>102.39</v>
      </c>
      <c r="R156" s="8">
        <f>IFERROR(Q156/Q444, "NA")</f>
        <v>1.1166203823755753E-4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-102.39</v>
      </c>
      <c r="X156" s="8">
        <f>IFERROR(W156/W444, "NA")</f>
        <v>2.9628364985343544E-3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-102.39</v>
      </c>
      <c r="AD156" s="8">
        <f>IFERROR(AC156/AC444, "NA")</f>
        <v>-3.1347108222377303E-2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21032.499999999996</v>
      </c>
      <c r="C158" s="15">
        <f>IFERROR(B158/B444, "NA")</f>
        <v>4.3643925495995849E-2</v>
      </c>
      <c r="D158" s="2"/>
      <c r="E158" s="14">
        <f>IFERROR(E153+E154+E155+E156+E157, "NA")</f>
        <v>20615.460000000003</v>
      </c>
      <c r="F158" s="15">
        <f>IFERROR(E158/E444, "NA")</f>
        <v>4.1000229747312961E-2</v>
      </c>
      <c r="G158" s="2"/>
      <c r="H158" s="14">
        <f t="shared" si="36"/>
        <v>-417.0399999999936</v>
      </c>
      <c r="I158" s="15">
        <f>IFERROR(H158/H444, "NA")</f>
        <v>1.9952157688259191E-2</v>
      </c>
      <c r="J158" s="2"/>
      <c r="K158" s="14">
        <f>IFERROR(K153+K154+K155+K156+K157, "NA")</f>
        <v>20982</v>
      </c>
      <c r="L158" s="15">
        <f>IFERROR(K158/K444, "NA")</f>
        <v>4.3882396182118588E-2</v>
      </c>
      <c r="M158" s="2"/>
      <c r="N158" s="14">
        <f t="shared" si="37"/>
        <v>-50.499999999996362</v>
      </c>
      <c r="O158" s="15">
        <f>IFERROR(N158/N444, "NA")</f>
        <v>-1.3396433630618333E-2</v>
      </c>
      <c r="P158" s="2"/>
      <c r="Q158" s="14">
        <f>IFERROR(Q153+Q154+Q155+Q156+Q157, "NA")</f>
        <v>40387.18</v>
      </c>
      <c r="R158" s="15">
        <f>IFERROR(Q158/Q444, "NA")</f>
        <v>4.4044485178895587E-2</v>
      </c>
      <c r="S158" s="2"/>
      <c r="T158" s="14">
        <f>IFERROR(T153+T154+T155+T156+T157, "NA")</f>
        <v>39022.58</v>
      </c>
      <c r="U158" s="15">
        <f>IFERROR(T158/T444, "NA")</f>
        <v>4.1010718959281933E-2</v>
      </c>
      <c r="V158" s="2"/>
      <c r="W158" s="14">
        <f t="shared" si="38"/>
        <v>-1364.5999999999985</v>
      </c>
      <c r="X158" s="15">
        <f>IFERROR(W158/W444, "NA")</f>
        <v>3.9487124581501859E-2</v>
      </c>
      <c r="Y158" s="2"/>
      <c r="Z158" s="14">
        <f>IFERROR(Z153+Z154+Z155+Z156+Z157, "NA")</f>
        <v>38841.870000000003</v>
      </c>
      <c r="AA158" s="15">
        <f>IFERROR(Z158/Z444, "NA")</f>
        <v>4.2510665871144056E-2</v>
      </c>
      <c r="AB158" s="2"/>
      <c r="AC158" s="14">
        <f t="shared" si="39"/>
        <v>-1545.3099999999977</v>
      </c>
      <c r="AD158" s="15">
        <f>IFERROR(AC158/AC444, "NA")</f>
        <v>-0.47310284019066123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1300.29</v>
      </c>
      <c r="C161" s="8">
        <f>IFERROR(B161/B444, "NA")</f>
        <v>2.698193742217447E-3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-1300.29</v>
      </c>
      <c r="I161" s="8">
        <f>IFERROR(H161/H444, "NA")</f>
        <v>6.2208879533059036E-2</v>
      </c>
      <c r="J161" s="9"/>
      <c r="K161" s="7">
        <v>1624.9599999999998</v>
      </c>
      <c r="L161" s="8">
        <f>IFERROR(K161/K444, "NA")</f>
        <v>3.3984910161135935E-3</v>
      </c>
      <c r="M161" s="9"/>
      <c r="N161" s="10">
        <f t="shared" si="41"/>
        <v>324.66999999999985</v>
      </c>
      <c r="O161" s="8">
        <f>IFERROR(N161/N444, "NA")</f>
        <v>8.6127130828775558E-2</v>
      </c>
      <c r="P161" s="9"/>
      <c r="Q161" s="7">
        <v>2425.21</v>
      </c>
      <c r="R161" s="8">
        <f>IFERROR(Q161/Q444, "NA")</f>
        <v>2.64482753935059E-3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-2425.21</v>
      </c>
      <c r="X161" s="8">
        <f>IFERROR(W161/W444, "NA")</f>
        <v>7.0177758615201688E-2</v>
      </c>
      <c r="Y161" s="9"/>
      <c r="Z161" s="7">
        <v>2761.57</v>
      </c>
      <c r="AA161" s="8">
        <f>IFERROR(Z161/Z444, "NA")</f>
        <v>3.0224131729439207E-3</v>
      </c>
      <c r="AB161" s="9"/>
      <c r="AC161" s="10">
        <f t="shared" si="43"/>
        <v>336.36000000000013</v>
      </c>
      <c r="AD161" s="8">
        <f>IFERROR(AC161/AC444, "NA")</f>
        <v>0.10297795997342352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3.5</v>
      </c>
      <c r="R162" s="8">
        <f>IFERROR(Q162/Q444, "NA")</f>
        <v>3.8169463212369503E-6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-3.5</v>
      </c>
      <c r="X162" s="8">
        <f>IFERROR(W162/W444, "NA")</f>
        <v>1.0127871613312081E-4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-3.5</v>
      </c>
      <c r="AD162" s="8">
        <f>IFERROR(AC162/AC444, "NA")</f>
        <v>-1.0715390055505477E-3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1300.29</v>
      </c>
      <c r="C166" s="15">
        <f>IFERROR(B166/B444, "NA")</f>
        <v>2.698193742217447E-3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-1300.29</v>
      </c>
      <c r="I166" s="15">
        <f>IFERROR(H166/H444, "NA")</f>
        <v>6.2208879533059036E-2</v>
      </c>
      <c r="J166" s="2"/>
      <c r="K166" s="14">
        <f>IFERROR(K160+K161+K162+K163+K164+K165, "NA")</f>
        <v>1624.9599999999998</v>
      </c>
      <c r="L166" s="15">
        <f>IFERROR(K166/K444, "NA")</f>
        <v>3.3984910161135935E-3</v>
      </c>
      <c r="M166" s="2"/>
      <c r="N166" s="14">
        <f t="shared" si="41"/>
        <v>324.66999999999985</v>
      </c>
      <c r="O166" s="15">
        <f>IFERROR(N166/N444, "NA")</f>
        <v>8.6127130828775558E-2</v>
      </c>
      <c r="P166" s="2"/>
      <c r="Q166" s="14">
        <f>IFERROR(Q160+Q161+Q162+Q163+Q164+Q165, "NA")</f>
        <v>2428.71</v>
      </c>
      <c r="R166" s="15">
        <f>IFERROR(Q166/Q444, "NA")</f>
        <v>2.6486444856718269E-3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-2428.71</v>
      </c>
      <c r="X166" s="15">
        <f>IFERROR(W166/W444, "NA")</f>
        <v>7.0279037331334809E-2</v>
      </c>
      <c r="Y166" s="2"/>
      <c r="Z166" s="14">
        <f>IFERROR(Z160+Z161+Z162+Z163+Z164+Z165, "NA")</f>
        <v>2761.57</v>
      </c>
      <c r="AA166" s="15">
        <f>IFERROR(Z166/Z444, "NA")</f>
        <v>3.0224131729439207E-3</v>
      </c>
      <c r="AB166" s="2"/>
      <c r="AC166" s="14">
        <f t="shared" si="43"/>
        <v>332.86000000000013</v>
      </c>
      <c r="AD166" s="15">
        <f>IFERROR(AC166/AC444, "NA")</f>
        <v>0.10190642096787297</v>
      </c>
    </row>
    <row r="167" spans="1:30" ht="16.5" customHeight="1" x14ac:dyDescent="0.45">
      <c r="A167" s="6" t="s">
        <v>155</v>
      </c>
      <c r="B167" s="7">
        <v>734.91</v>
      </c>
      <c r="C167" s="8">
        <f>IFERROR(B167/B444, "NA")</f>
        <v>1.5249902430173453E-3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-734.91</v>
      </c>
      <c r="I167" s="8">
        <f>IFERROR(H167/H444, "NA")</f>
        <v>3.515979332121328E-2</v>
      </c>
      <c r="J167" s="9"/>
      <c r="K167" s="7">
        <v>616.54999999999995</v>
      </c>
      <c r="L167" s="8">
        <f>IFERROR(K167/K444, "NA")</f>
        <v>1.2894715168280057E-3</v>
      </c>
      <c r="M167" s="9"/>
      <c r="N167" s="10">
        <f t="shared" si="41"/>
        <v>-118.36000000000001</v>
      </c>
      <c r="O167" s="8">
        <f>IFERROR(N167/N444, "NA")</f>
        <v>-3.1398057119209906E-2</v>
      </c>
      <c r="P167" s="9"/>
      <c r="Q167" s="7">
        <v>1459.6399999999999</v>
      </c>
      <c r="R167" s="8">
        <f>IFERROR(Q167/Q444, "NA")</f>
        <v>1.5918192938086577E-3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-1459.6399999999999</v>
      </c>
      <c r="X167" s="8">
        <f>IFERROR(W167/W444, "NA")</f>
        <v>4.2237275776156699E-2</v>
      </c>
      <c r="Y167" s="9"/>
      <c r="Z167" s="7">
        <v>1289.94</v>
      </c>
      <c r="AA167" s="8">
        <f>IFERROR(Z167/Z444, "NA")</f>
        <v>1.4117808523076661E-3</v>
      </c>
      <c r="AB167" s="9"/>
      <c r="AC167" s="10">
        <f t="shared" si="43"/>
        <v>-169.69999999999982</v>
      </c>
      <c r="AD167" s="8">
        <f>IFERROR(AC167/AC444, "NA")</f>
        <v>-5.1954334069122213E-2</v>
      </c>
    </row>
    <row r="168" spans="1:30" ht="16.5" customHeight="1" x14ac:dyDescent="0.45">
      <c r="A168" s="6" t="s">
        <v>156</v>
      </c>
      <c r="B168" s="7">
        <v>139.24</v>
      </c>
      <c r="C168" s="8">
        <f>IFERROR(B168/B444, "NA")</f>
        <v>2.889328508766178E-4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-139.24</v>
      </c>
      <c r="I168" s="8">
        <f>IFERROR(H168/H444, "NA")</f>
        <v>6.66156348674768E-3</v>
      </c>
      <c r="J168" s="9"/>
      <c r="K168" s="7">
        <v>197</v>
      </c>
      <c r="L168" s="8">
        <f>IFERROR(K168/K444, "NA")</f>
        <v>4.120118219367726E-4</v>
      </c>
      <c r="M168" s="9"/>
      <c r="N168" s="10">
        <f t="shared" si="41"/>
        <v>57.759999999999991</v>
      </c>
      <c r="O168" s="8">
        <f>IFERROR(N168/N444, "NA")</f>
        <v>1.5322336762466743E-2</v>
      </c>
      <c r="P168" s="9"/>
      <c r="Q168" s="7">
        <v>290.79000000000002</v>
      </c>
      <c r="R168" s="8">
        <f>IFERROR(Q168/Q444, "NA")</f>
        <v>3.1712280592928368E-4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-290.79000000000002</v>
      </c>
      <c r="X168" s="8">
        <f>IFERROR(W168/W444, "NA")</f>
        <v>8.4145251041000575E-3</v>
      </c>
      <c r="Y168" s="9"/>
      <c r="Z168" s="7">
        <v>391.6</v>
      </c>
      <c r="AA168" s="8">
        <f>IFERROR(Z168/Z444, "NA")</f>
        <v>4.2858844734149033E-4</v>
      </c>
      <c r="AB168" s="9"/>
      <c r="AC168" s="10">
        <f t="shared" si="43"/>
        <v>100.81</v>
      </c>
      <c r="AD168" s="8">
        <f>IFERROR(AC168/AC444, "NA")</f>
        <v>3.0863384899871629E-2</v>
      </c>
    </row>
    <row r="169" spans="1:30" ht="16.5" customHeight="1" x14ac:dyDescent="0.45">
      <c r="A169" s="6" t="s">
        <v>157</v>
      </c>
      <c r="B169" s="7">
        <v>-4125.47</v>
      </c>
      <c r="C169" s="8">
        <f>IFERROR(B169/B444, "NA")</f>
        <v>-8.5606421165323205E-3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4125.47</v>
      </c>
      <c r="I169" s="8">
        <f>IFERROR(H169/H444, "NA")</f>
        <v>-0.19737202181609417</v>
      </c>
      <c r="J169" s="9"/>
      <c r="K169" s="7">
        <v>-10715.890000000001</v>
      </c>
      <c r="L169" s="8">
        <f>IFERROR(K169/K444, "NA")</f>
        <v>-2.2411539911543363E-2</v>
      </c>
      <c r="M169" s="9"/>
      <c r="N169" s="10">
        <f t="shared" si="41"/>
        <v>-6590.420000000001</v>
      </c>
      <c r="O169" s="8">
        <f>IFERROR(N169/N444, "NA")</f>
        <v>-1.7482796857011098</v>
      </c>
      <c r="P169" s="9"/>
      <c r="Q169" s="7">
        <v>-9433.5</v>
      </c>
      <c r="R169" s="8">
        <f>IFERROR(Q169/Q444, "NA")</f>
        <v>-1.0287760891825364E-2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9433.5</v>
      </c>
      <c r="X169" s="8">
        <f>IFERROR(W169/W444, "NA")</f>
        <v>-0.27297507675479865</v>
      </c>
      <c r="Y169" s="9"/>
      <c r="Z169" s="7">
        <v>-23139.65</v>
      </c>
      <c r="AA169" s="8">
        <f>IFERROR(Z169/Z444, "NA")</f>
        <v>-2.5325297920136661E-2</v>
      </c>
      <c r="AB169" s="9"/>
      <c r="AC169" s="10">
        <f t="shared" si="43"/>
        <v>-13706.150000000001</v>
      </c>
      <c r="AD169" s="8">
        <f>IFERROR(AC169/AC444, "NA")</f>
        <v>-4.1961926688361828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19081.469999999998</v>
      </c>
      <c r="C170" s="15">
        <f>IFERROR(B170/B444, "NA")</f>
        <v>3.9595400215574943E-2</v>
      </c>
      <c r="D170" s="2"/>
      <c r="E170" s="14">
        <f>IFERROR(E151+E153+E154+E155+E156+E157+E160+E161+E162+E163+E164+E165+E167+E168+E169, "NA")</f>
        <v>20615.460000000003</v>
      </c>
      <c r="F170" s="15">
        <f>IFERROR(E170/E444, "NA")</f>
        <v>4.1000229747312961E-2</v>
      </c>
      <c r="G170" s="2"/>
      <c r="H170" s="14">
        <f t="shared" si="40"/>
        <v>1533.9900000000052</v>
      </c>
      <c r="I170" s="15">
        <f>IFERROR(H170/H444, "NA")</f>
        <v>-7.3389627786814904E-2</v>
      </c>
      <c r="J170" s="2"/>
      <c r="K170" s="14">
        <f>IFERROR(K151+K153+K154+K155+K156+K157+K160+K161+K162+K163+K164+K165+K167+K168+K169, "NA")</f>
        <v>12704.619999999997</v>
      </c>
      <c r="L170" s="15">
        <f>IFERROR(K170/K444, "NA")</f>
        <v>2.6570830625453595E-2</v>
      </c>
      <c r="M170" s="2"/>
      <c r="N170" s="14">
        <f t="shared" si="41"/>
        <v>-6376.85</v>
      </c>
      <c r="O170" s="15">
        <f>IFERROR(N170/N444, "NA")</f>
        <v>-1.6916247088596965</v>
      </c>
      <c r="P170" s="2"/>
      <c r="Q170" s="14">
        <f>IFERROR(Q151+Q153+Q154+Q155+Q156+Q157+Q160+Q161+Q162+Q163+Q164+Q165+Q167+Q168+Q169, "NA")</f>
        <v>35132.82</v>
      </c>
      <c r="R170" s="15">
        <f>IFERROR(Q170/Q444, "NA")</f>
        <v>3.8314310872479988E-2</v>
      </c>
      <c r="S170" s="2"/>
      <c r="T170" s="14">
        <f>IFERROR(T151+T153+T154+T155+T156+T157+T160+T161+T162+T163+T164+T165+T167+T168+T169, "NA")</f>
        <v>39022.58</v>
      </c>
      <c r="U170" s="15">
        <f>IFERROR(T170/T444, "NA")</f>
        <v>4.1010718959281933E-2</v>
      </c>
      <c r="V170" s="2"/>
      <c r="W170" s="14">
        <f t="shared" si="42"/>
        <v>3889.760000000002</v>
      </c>
      <c r="X170" s="15">
        <f>IFERROR(W170/W444, "NA")</f>
        <v>-0.1125571139617052</v>
      </c>
      <c r="Y170" s="2"/>
      <c r="Z170" s="14">
        <f>IFERROR(Z151+Z153+Z154+Z155+Z156+Z157+Z160+Z161+Z162+Z163+Z164+Z165+Z167+Z168+Z169, "NA")</f>
        <v>20145.330000000002</v>
      </c>
      <c r="AA170" s="15">
        <f>IFERROR(Z170/Z444, "NA")</f>
        <v>2.2048150423600473E-2</v>
      </c>
      <c r="AB170" s="2"/>
      <c r="AC170" s="14">
        <f t="shared" si="43"/>
        <v>-14987.489999999998</v>
      </c>
      <c r="AD170" s="15">
        <f>IFERROR(AC170/AC444, "NA")</f>
        <v>-4.5884800372282211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132293.85</v>
      </c>
      <c r="C171" s="15">
        <f>IFERROR(B171/B444, "NA")</f>
        <v>0.27451909820413417</v>
      </c>
      <c r="D171" s="2"/>
      <c r="E171" s="14">
        <f>IFERROR(E127+E129+E130+E131+E132+E133+E134+E135+E136+E137+E138+E139+E140+E143+E144+E145+E146+E147+E151+E153+E154+E155+E156+E157+E160+E161+E162+E163+E164+E165+E167+E168+E169, "NA")</f>
        <v>131718.51</v>
      </c>
      <c r="F171" s="15">
        <f>IFERROR(E171/E444, "NA")</f>
        <v>0.26196306907407058</v>
      </c>
      <c r="G171" s="2"/>
      <c r="H171" s="14">
        <f t="shared" si="40"/>
        <v>-575.33999999999651</v>
      </c>
      <c r="I171" s="15">
        <f>IFERROR(H171/H444, "NA")</f>
        <v>2.7525595636781003E-2</v>
      </c>
      <c r="J171" s="2"/>
      <c r="K171" s="14">
        <f>IFERROR(K127+K129+K130+K131+K132+K133+K134+K135+K136+K137+K138+K139+K140+K143+K144+K145+K146+K147+K151+K153+K154+K155+K156+K157+K160+K161+K162+K163+K164+K165+K167+K168+K169, "NA")</f>
        <v>129203.45999999998</v>
      </c>
      <c r="L171" s="15">
        <f>IFERROR(K171/K444, "NA")</f>
        <v>0.27022006576210611</v>
      </c>
      <c r="M171" s="2"/>
      <c r="N171" s="14">
        <f t="shared" si="41"/>
        <v>-3090.3900000000285</v>
      </c>
      <c r="O171" s="15">
        <f>IFERROR(N171/N444, "NA")</f>
        <v>-0.81980603025207832</v>
      </c>
      <c r="P171" s="2"/>
      <c r="Q171" s="14">
        <f>IFERROR(Q127+Q129+Q130+Q131+Q132+Q133+Q134+Q135+Q136+Q137+Q138+Q139+Q140+Q143+Q144+Q145+Q146+Q147+Q151+Q153+Q154+Q155+Q156+Q157+Q160+Q161+Q162+Q163+Q164+Q165+Q167+Q168+Q169, "NA")</f>
        <v>255002.02999999997</v>
      </c>
      <c r="R171" s="15">
        <f>IFERROR(Q171/Q444, "NA")</f>
        <v>0.27809401723327271</v>
      </c>
      <c r="S171" s="2"/>
      <c r="T171" s="14">
        <f>IFERROR(T127+T129+T130+T131+T132+T133+T134+T135+T136+T137+T138+T139+T140+T143+T144+T145+T146+T147+T151+T153+T154+T155+T156+T157+T160+T161+T162+T163+T164+T165+T167+T168+T169, "NA")</f>
        <v>254060.64999999997</v>
      </c>
      <c r="U171" s="15">
        <f>IFERROR(T171/T444, "NA")</f>
        <v>0.26700463976914107</v>
      </c>
      <c r="V171" s="2"/>
      <c r="W171" s="14">
        <f t="shared" si="42"/>
        <v>-941.38000000000466</v>
      </c>
      <c r="X171" s="15">
        <f>IFERROR(W171/W444, "NA")</f>
        <v>2.724050222668507E-2</v>
      </c>
      <c r="Y171" s="2"/>
      <c r="Z171" s="14">
        <f>IFERROR(Z127+Z129+Z130+Z131+Z132+Z133+Z134+Z135+Z136+Z137+Z138+Z139+Z140+Z143+Z144+Z145+Z146+Z147+Z151+Z153+Z154+Z155+Z156+Z157+Z160+Z161+Z162+Z163+Z164+Z165+Z167+Z168+Z169, "NA")</f>
        <v>243594.56000000003</v>
      </c>
      <c r="AA171" s="15">
        <f>IFERROR(Z171/Z444, "NA")</f>
        <v>0.26660320288874745</v>
      </c>
      <c r="AB171" s="2"/>
      <c r="AC171" s="14">
        <f t="shared" si="43"/>
        <v>-11407.469999999943</v>
      </c>
      <c r="AD171" s="15">
        <f>IFERROR(AC171/AC444, "NA")</f>
        <v>-3.4924425884707553</v>
      </c>
    </row>
    <row r="172" spans="1:30" ht="16.5" customHeight="1" x14ac:dyDescent="0.45">
      <c r="A172" s="22" t="s">
        <v>160</v>
      </c>
      <c r="B172" s="23">
        <f>IFERROR(B124-B171, "NA")</f>
        <v>349617.43000000005</v>
      </c>
      <c r="C172" s="24">
        <f>IFERROR(B172/B444, "NA")</f>
        <v>0.72548090179586588</v>
      </c>
      <c r="D172" s="25"/>
      <c r="E172" s="23">
        <f>IFERROR(E124-E171, "NA")</f>
        <v>371094.76999999996</v>
      </c>
      <c r="F172" s="24">
        <f>IFERROR(E172/E444, "NA")</f>
        <v>0.73803693092592926</v>
      </c>
      <c r="G172" s="25"/>
      <c r="H172" s="23">
        <f>IFERROR(B172-E172, "NA")</f>
        <v>-21477.339999999909</v>
      </c>
      <c r="I172" s="24">
        <f>IFERROR(H172/H444, "NA")</f>
        <v>1.0275255956367768</v>
      </c>
      <c r="J172" s="25"/>
      <c r="K172" s="23">
        <f>IFERROR(K124-K171, "NA")</f>
        <v>348938.16000000003</v>
      </c>
      <c r="L172" s="24">
        <f>IFERROR(K172/K444, "NA")</f>
        <v>0.72977993423789378</v>
      </c>
      <c r="M172" s="25"/>
      <c r="N172" s="23">
        <f>IFERROR(B172-K172, "NA")</f>
        <v>679.27000000001863</v>
      </c>
      <c r="O172" s="24">
        <f>IFERROR(N172/N444, "NA")</f>
        <v>0.180193969747941</v>
      </c>
      <c r="P172" s="25"/>
      <c r="Q172" s="23">
        <f>IFERROR(Q124-Q171, "NA")</f>
        <v>661961.35000000009</v>
      </c>
      <c r="R172" s="24">
        <f>IFERROR(Q172/Q444, "NA")</f>
        <v>0.72190598276672735</v>
      </c>
      <c r="S172" s="25"/>
      <c r="T172" s="23">
        <f>IFERROR(T124-T171, "NA")</f>
        <v>697460.83000000031</v>
      </c>
      <c r="U172" s="24">
        <f>IFERROR(T172/T444, "NA")</f>
        <v>0.73299536023085921</v>
      </c>
      <c r="V172" s="25"/>
      <c r="W172" s="23">
        <f>IFERROR(Q172-T172, "NA")</f>
        <v>-35499.480000000214</v>
      </c>
      <c r="X172" s="24">
        <f>IFERROR(W172/W444, "NA")</f>
        <v>1.0272405022266917</v>
      </c>
      <c r="Y172" s="25"/>
      <c r="Z172" s="23">
        <f>IFERROR(Z124-Z171, "NA")</f>
        <v>670102.49000000011</v>
      </c>
      <c r="AA172" s="24">
        <f>IFERROR(Z172/Z444, "NA")</f>
        <v>0.73339679711125272</v>
      </c>
      <c r="AB172" s="25"/>
      <c r="AC172" s="23">
        <f>IFERROR(Q172-Z172, "NA")</f>
        <v>-8141.140000000014</v>
      </c>
      <c r="AD172" s="24">
        <f>IFERROR(AC172/AC444, "NA")</f>
        <v>-2.4924425884708001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31832.32</v>
      </c>
      <c r="C178" s="8">
        <f>IFERROR(B178/B444, "NA")</f>
        <v>6.6054316055851603E-2</v>
      </c>
      <c r="D178" s="9"/>
      <c r="E178" s="7">
        <v>31370.799999999999</v>
      </c>
      <c r="F178" s="8">
        <f>IFERROR(E178/E444, "NA")</f>
        <v>6.2390555794389513E-2</v>
      </c>
      <c r="G178" s="9"/>
      <c r="H178" s="10">
        <f t="shared" si="44"/>
        <v>-461.52000000000044</v>
      </c>
      <c r="I178" s="8">
        <f>IFERROR(H178/H444, "NA")</f>
        <v>2.2080183714477106E-2</v>
      </c>
      <c r="J178" s="9"/>
      <c r="K178" s="7">
        <v>31370.799999999999</v>
      </c>
      <c r="L178" s="8">
        <f>IFERROR(K178/K444, "NA")</f>
        <v>6.5609850069107134E-2</v>
      </c>
      <c r="M178" s="9"/>
      <c r="N178" s="10">
        <f t="shared" si="45"/>
        <v>-461.52000000000044</v>
      </c>
      <c r="O178" s="8">
        <f>IFERROR(N178/N444, "NA")</f>
        <v>-0.12243013958818662</v>
      </c>
      <c r="P178" s="9"/>
      <c r="Q178" s="7">
        <v>63664.639999999999</v>
      </c>
      <c r="R178" s="8">
        <f>IFERROR(Q178/Q444, "NA")</f>
        <v>6.9429860983107092E-2</v>
      </c>
      <c r="S178" s="9"/>
      <c r="T178" s="7">
        <v>62741.599999999999</v>
      </c>
      <c r="U178" s="8">
        <f>IFERROR(T178/T444, "NA")</f>
        <v>6.5938185651888803E-2</v>
      </c>
      <c r="V178" s="9"/>
      <c r="W178" s="10">
        <f t="shared" si="46"/>
        <v>-923.04000000000087</v>
      </c>
      <c r="X178" s="8">
        <f>IFERROR(W178/W444, "NA")</f>
        <v>2.6709801754147406E-2</v>
      </c>
      <c r="Y178" s="9"/>
      <c r="Z178" s="7">
        <v>62741.599999999999</v>
      </c>
      <c r="AA178" s="8">
        <f>IFERROR(Z178/Z444, "NA")</f>
        <v>6.8667836894077752E-2</v>
      </c>
      <c r="AB178" s="9"/>
      <c r="AC178" s="10">
        <f t="shared" si="47"/>
        <v>-923.04000000000087</v>
      </c>
      <c r="AD178" s="8">
        <f>IFERROR(AC178/AC444, "NA")</f>
        <v>-0.28259238962382238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89032.47</v>
      </c>
      <c r="C180" s="8">
        <f>IFERROR(B180/B444, "NA")</f>
        <v>0.18474867407129378</v>
      </c>
      <c r="D180" s="9"/>
      <c r="E180" s="7">
        <v>94891.239999999991</v>
      </c>
      <c r="F180" s="8">
        <f>IFERROR(E180/E444, "NA")</f>
        <v>0.1887206320405857</v>
      </c>
      <c r="G180" s="9"/>
      <c r="H180" s="10">
        <f t="shared" si="44"/>
        <v>5858.7699999999895</v>
      </c>
      <c r="I180" s="8">
        <f>IFERROR(H180/H444, "NA")</f>
        <v>-0.28029710075590802</v>
      </c>
      <c r="J180" s="9"/>
      <c r="K180" s="7">
        <v>93440.01</v>
      </c>
      <c r="L180" s="8">
        <f>IFERROR(K180/K444, "NA")</f>
        <v>0.19542329320756471</v>
      </c>
      <c r="M180" s="9"/>
      <c r="N180" s="10">
        <f t="shared" si="45"/>
        <v>4407.5399999999936</v>
      </c>
      <c r="O180" s="8">
        <f>IFERROR(N180/N444, "NA")</f>
        <v>1.1692141996891028</v>
      </c>
      <c r="P180" s="9"/>
      <c r="Q180" s="7">
        <v>174030.29</v>
      </c>
      <c r="R180" s="8">
        <f>IFERROR(Q180/Q444, "NA")</f>
        <v>0.18978979291408563</v>
      </c>
      <c r="S180" s="9"/>
      <c r="T180" s="7">
        <v>180145.68</v>
      </c>
      <c r="U180" s="8">
        <f>IFERROR(T180/T444, "NA")</f>
        <v>0.18932381852273056</v>
      </c>
      <c r="V180" s="9"/>
      <c r="W180" s="10">
        <f t="shared" si="46"/>
        <v>6115.3899999999849</v>
      </c>
      <c r="X180" s="8">
        <f>IFERROR(W180/W444, "NA")</f>
        <v>-0.17695967081523548</v>
      </c>
      <c r="Y180" s="9"/>
      <c r="Z180" s="7">
        <v>177545.66999999998</v>
      </c>
      <c r="AA180" s="8">
        <f>IFERROR(Z180/Z444, "NA")</f>
        <v>0.19431568702120686</v>
      </c>
      <c r="AB180" s="9"/>
      <c r="AC180" s="10">
        <f t="shared" si="47"/>
        <v>3515.3799999999756</v>
      </c>
      <c r="AD180" s="8">
        <f>IFERROR(AC180/AC444, "NA")</f>
        <v>1.0762476540949308</v>
      </c>
    </row>
    <row r="181" spans="1:30" ht="16.5" customHeight="1" x14ac:dyDescent="0.45">
      <c r="A181" s="12" t="s">
        <v>166</v>
      </c>
      <c r="B181" s="7">
        <v>344.55</v>
      </c>
      <c r="C181" s="8">
        <f>IFERROR(B181/B444, "NA")</f>
        <v>7.149656260380541E-4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-344.55</v>
      </c>
      <c r="I181" s="8">
        <f>IFERROR(H181/H444, "NA")</f>
        <v>1.6484068510190412E-2</v>
      </c>
      <c r="J181" s="9"/>
      <c r="K181" s="7">
        <v>344.76</v>
      </c>
      <c r="L181" s="8">
        <f>IFERROR(K181/K444, "NA")</f>
        <v>7.2104160269503403E-4</v>
      </c>
      <c r="M181" s="9"/>
      <c r="N181" s="10">
        <f t="shared" si="45"/>
        <v>0.20999999999997954</v>
      </c>
      <c r="O181" s="8">
        <f>IFERROR(N181/N444, "NA")</f>
        <v>5.5707941830292643E-5</v>
      </c>
      <c r="P181" s="9"/>
      <c r="Q181" s="7">
        <v>555.64</v>
      </c>
      <c r="R181" s="8">
        <f>IFERROR(Q181/Q444, "NA")</f>
        <v>6.0595658683774262E-4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-555.64</v>
      </c>
      <c r="X181" s="8">
        <f>IFERROR(W181/W444, "NA")</f>
        <v>1.60784302377735E-2</v>
      </c>
      <c r="Y181" s="9"/>
      <c r="Z181" s="7">
        <v>374.61</v>
      </c>
      <c r="AA181" s="8">
        <f>IFERROR(Z181/Z444, "NA")</f>
        <v>4.0999366256025459E-4</v>
      </c>
      <c r="AB181" s="9"/>
      <c r="AC181" s="10">
        <f t="shared" si="47"/>
        <v>-181.02999999999997</v>
      </c>
      <c r="AD181" s="8">
        <f>IFERROR(AC181/AC444, "NA")</f>
        <v>-5.5423058907090171E-2</v>
      </c>
    </row>
    <row r="182" spans="1:30" ht="16.5" customHeight="1" x14ac:dyDescent="0.45">
      <c r="A182" s="13" t="s">
        <v>167</v>
      </c>
      <c r="B182" s="14">
        <f>IFERROR(B177+B178+B179+B180+B181, "NA")</f>
        <v>121209.34000000001</v>
      </c>
      <c r="C182" s="15">
        <f>IFERROR(B182/B444, "NA")</f>
        <v>0.25151795575318348</v>
      </c>
      <c r="D182" s="2"/>
      <c r="E182" s="14">
        <f>IFERROR(E177+E178+E179+E180+E181, "NA")</f>
        <v>126262.04</v>
      </c>
      <c r="F182" s="15">
        <f>IFERROR(E182/E444, "NA")</f>
        <v>0.25111118783497521</v>
      </c>
      <c r="G182" s="2"/>
      <c r="H182" s="14">
        <f t="shared" si="44"/>
        <v>5052.6999999999825</v>
      </c>
      <c r="I182" s="15">
        <f>IFERROR(H182/H444, "NA")</f>
        <v>-0.24173284853124019</v>
      </c>
      <c r="J182" s="2"/>
      <c r="K182" s="14">
        <f>IFERROR(K177+K178+K179+K180+K181, "NA")</f>
        <v>125155.56999999999</v>
      </c>
      <c r="L182" s="15">
        <f>IFERROR(K182/K444, "NA")</f>
        <v>0.26175418487936686</v>
      </c>
      <c r="M182" s="2"/>
      <c r="N182" s="14">
        <f t="shared" si="45"/>
        <v>3946.2299999999814</v>
      </c>
      <c r="O182" s="15">
        <f>IFERROR(N182/N444, "NA")</f>
        <v>1.0468397680427435</v>
      </c>
      <c r="P182" s="2"/>
      <c r="Q182" s="14">
        <f>IFERROR(Q177+Q178+Q179+Q180+Q181, "NA")</f>
        <v>238250.57</v>
      </c>
      <c r="R182" s="15">
        <f>IFERROR(Q182/Q444, "NA")</f>
        <v>0.25982561048403047</v>
      </c>
      <c r="S182" s="2"/>
      <c r="T182" s="14">
        <f>IFERROR(T177+T178+T179+T180+T181, "NA")</f>
        <v>242887.28</v>
      </c>
      <c r="U182" s="15">
        <f>IFERROR(T182/T444, "NA")</f>
        <v>0.25526200417461936</v>
      </c>
      <c r="V182" s="2"/>
      <c r="W182" s="14">
        <f t="shared" si="46"/>
        <v>4636.7099999999919</v>
      </c>
      <c r="X182" s="15">
        <f>IFERROR(W182/W444, "NA")</f>
        <v>-0.13417143882331478</v>
      </c>
      <c r="Y182" s="2"/>
      <c r="Z182" s="14">
        <f>IFERROR(Z177+Z178+Z179+Z180+Z181, "NA")</f>
        <v>240661.87999999998</v>
      </c>
      <c r="AA182" s="15">
        <f>IFERROR(Z182/Z444, "NA")</f>
        <v>0.26339351757784485</v>
      </c>
      <c r="AB182" s="2"/>
      <c r="AC182" s="14">
        <f t="shared" si="47"/>
        <v>2411.3099999999686</v>
      </c>
      <c r="AD182" s="15">
        <f>IFERROR(AC182/AC444, "NA")</f>
        <v>0.73823220556401636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1996</v>
      </c>
      <c r="C184" s="8">
        <f>IFERROR(B184/B444, "NA")</f>
        <v>4.1418412119342794E-3</v>
      </c>
      <c r="D184" s="9"/>
      <c r="E184" s="7">
        <v>1995</v>
      </c>
      <c r="F184" s="8">
        <f>IFERROR(E184/E444, "NA")</f>
        <v>3.967675634979251E-3</v>
      </c>
      <c r="G184" s="9"/>
      <c r="H184" s="10">
        <f t="shared" si="44"/>
        <v>-1</v>
      </c>
      <c r="I184" s="8">
        <f>IFERROR(H184/H444, "NA")</f>
        <v>4.7842311740503298E-5</v>
      </c>
      <c r="J184" s="9"/>
      <c r="K184" s="7">
        <v>2950</v>
      </c>
      <c r="L184" s="8">
        <f>IFERROR(K184/K444, "NA")</f>
        <v>6.169720176210554E-3</v>
      </c>
      <c r="M184" s="9"/>
      <c r="N184" s="10">
        <f t="shared" si="45"/>
        <v>954</v>
      </c>
      <c r="O184" s="8">
        <f>IFERROR(N184/N444, "NA")</f>
        <v>0.25307322145763983</v>
      </c>
      <c r="P184" s="9"/>
      <c r="Q184" s="7">
        <v>3992</v>
      </c>
      <c r="R184" s="8">
        <f>IFERROR(Q184/Q444, "NA")</f>
        <v>4.3534999183936877E-3</v>
      </c>
      <c r="S184" s="9"/>
      <c r="T184" s="7">
        <v>3990</v>
      </c>
      <c r="U184" s="8">
        <f>IFERROR(T184/T444, "NA")</f>
        <v>4.1932842125644923E-3</v>
      </c>
      <c r="V184" s="9"/>
      <c r="W184" s="10">
        <f t="shared" si="46"/>
        <v>-2</v>
      </c>
      <c r="X184" s="8">
        <f>IFERROR(W184/W444, "NA")</f>
        <v>5.7873552076069037E-5</v>
      </c>
      <c r="Y184" s="9"/>
      <c r="Z184" s="7">
        <v>5900</v>
      </c>
      <c r="AA184" s="8">
        <f>IFERROR(Z184/Z444, "NA")</f>
        <v>6.4572825314473765E-3</v>
      </c>
      <c r="AB184" s="9"/>
      <c r="AC184" s="10">
        <f t="shared" si="47"/>
        <v>1908</v>
      </c>
      <c r="AD184" s="8">
        <f>IFERROR(AC184/AC444, "NA")</f>
        <v>0.58414183502584138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12787.82</v>
      </c>
      <c r="C186" s="8">
        <f>IFERROR(B186/B444, "NA")</f>
        <v>2.6535631205810328E-2</v>
      </c>
      <c r="D186" s="9"/>
      <c r="E186" s="7">
        <v>14648.56</v>
      </c>
      <c r="F186" s="8">
        <f>IFERROR(E186/E444, "NA")</f>
        <v>2.913320030051712E-2</v>
      </c>
      <c r="G186" s="9"/>
      <c r="H186" s="10">
        <f t="shared" ref="H186:H197" si="48">IFERROR(-(B186-E186), "NA")</f>
        <v>1860.7399999999998</v>
      </c>
      <c r="I186" s="8">
        <f>IFERROR(H186/H444, "NA")</f>
        <v>-8.9022103148024098E-2</v>
      </c>
      <c r="J186" s="9"/>
      <c r="K186" s="7">
        <v>13933.439999999999</v>
      </c>
      <c r="L186" s="8">
        <f>IFERROR(K186/K444, "NA")</f>
        <v>2.9140822336277687E-2</v>
      </c>
      <c r="M186" s="9"/>
      <c r="N186" s="10">
        <f t="shared" ref="N186:N197" si="49">IFERROR(-(B186-K186), "NA")</f>
        <v>1145.619999999999</v>
      </c>
      <c r="O186" s="8">
        <f>IFERROR(N186/N444, "NA")</f>
        <v>0.30390539199821914</v>
      </c>
      <c r="P186" s="9"/>
      <c r="Q186" s="7">
        <v>25231.85</v>
      </c>
      <c r="R186" s="8">
        <f>IFERROR(Q186/Q444, "NA")</f>
        <v>2.7516747724429299E-2</v>
      </c>
      <c r="S186" s="9"/>
      <c r="T186" s="7">
        <v>28134.03</v>
      </c>
      <c r="U186" s="8">
        <f>IFERROR(T186/T444, "NA")</f>
        <v>2.95674144949413E-2</v>
      </c>
      <c r="V186" s="9"/>
      <c r="W186" s="10">
        <f t="shared" ref="W186:W197" si="50">IFERROR(-(Q186-T186), "NA")</f>
        <v>2902.1800000000003</v>
      </c>
      <c r="X186" s="8">
        <f>IFERROR(W186/W444, "NA")</f>
        <v>-8.3979732682063032E-2</v>
      </c>
      <c r="Y186" s="9"/>
      <c r="Z186" s="7">
        <v>27024.18</v>
      </c>
      <c r="AA186" s="8">
        <f>IFERROR(Z186/Z444, "NA")</f>
        <v>2.9576739905201623E-2</v>
      </c>
      <c r="AB186" s="9"/>
      <c r="AC186" s="10">
        <f t="shared" ref="AC186:AC197" si="51">IFERROR(-(Q186-Z186), "NA")</f>
        <v>1792.3300000000017</v>
      </c>
      <c r="AD186" s="8">
        <f>IFERROR(AC186/AC444, "NA")</f>
        <v>0.54872900166240424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12787.82</v>
      </c>
      <c r="C193" s="15">
        <f>IFERROR(B193/B444, "NA")</f>
        <v>2.6535631205810328E-2</v>
      </c>
      <c r="D193" s="2"/>
      <c r="E193" s="14">
        <f>IFERROR(E186+E187+E188+E189+E190+E191+E192, "NA")</f>
        <v>14648.56</v>
      </c>
      <c r="F193" s="15">
        <f>IFERROR(E193/E444, "NA")</f>
        <v>2.913320030051712E-2</v>
      </c>
      <c r="G193" s="2"/>
      <c r="H193" s="14">
        <f t="shared" si="48"/>
        <v>1860.7399999999998</v>
      </c>
      <c r="I193" s="15">
        <f>IFERROR(H193/H444, "NA")</f>
        <v>-8.9022103148024098E-2</v>
      </c>
      <c r="J193" s="2"/>
      <c r="K193" s="14">
        <f>IFERROR(K186+K187+K188+K189+K190+K191+K192, "NA")</f>
        <v>13933.439999999999</v>
      </c>
      <c r="L193" s="15">
        <f>IFERROR(K193/K444, "NA")</f>
        <v>2.9140822336277687E-2</v>
      </c>
      <c r="M193" s="2"/>
      <c r="N193" s="14">
        <f t="shared" si="49"/>
        <v>1145.619999999999</v>
      </c>
      <c r="O193" s="15">
        <f>IFERROR(N193/N444, "NA")</f>
        <v>0.30390539199821914</v>
      </c>
      <c r="P193" s="2"/>
      <c r="Q193" s="14">
        <f>IFERROR(Q186+Q187+Q188+Q189+Q190+Q191+Q192, "NA")</f>
        <v>25231.85</v>
      </c>
      <c r="R193" s="15">
        <f>IFERROR(Q193/Q444, "NA")</f>
        <v>2.7516747724429299E-2</v>
      </c>
      <c r="S193" s="2"/>
      <c r="T193" s="14">
        <f>IFERROR(T186+T187+T188+T189+T190+T191+T192, "NA")</f>
        <v>28134.03</v>
      </c>
      <c r="U193" s="15">
        <f>IFERROR(T193/T444, "NA")</f>
        <v>2.95674144949413E-2</v>
      </c>
      <c r="V193" s="2"/>
      <c r="W193" s="14">
        <f t="shared" si="50"/>
        <v>2902.1800000000003</v>
      </c>
      <c r="X193" s="15">
        <f>IFERROR(W193/W444, "NA")</f>
        <v>-8.3979732682063032E-2</v>
      </c>
      <c r="Y193" s="2"/>
      <c r="Z193" s="14">
        <f>IFERROR(Z186+Z187+Z188+Z189+Z190+Z191+Z192, "NA")</f>
        <v>27024.18</v>
      </c>
      <c r="AA193" s="15">
        <f>IFERROR(Z193/Z444, "NA")</f>
        <v>2.9576739905201623E-2</v>
      </c>
      <c r="AB193" s="2"/>
      <c r="AC193" s="14">
        <f t="shared" si="51"/>
        <v>1792.3300000000017</v>
      </c>
      <c r="AD193" s="15">
        <f>IFERROR(AC193/AC444, "NA")</f>
        <v>0.54872900166240424</v>
      </c>
    </row>
    <row r="194" spans="1:30" ht="16.5" customHeight="1" x14ac:dyDescent="0.45">
      <c r="A194" s="6" t="s">
        <v>178</v>
      </c>
      <c r="B194" s="7">
        <v>1797.3000000000002</v>
      </c>
      <c r="C194" s="8">
        <f>IFERROR(B194/B444, "NA")</f>
        <v>3.7295246544135677E-3</v>
      </c>
      <c r="D194" s="9"/>
      <c r="E194" s="7">
        <v>1026.05</v>
      </c>
      <c r="F194" s="8">
        <f>IFERROR(E194/E444, "NA")</f>
        <v>2.0406183384814335E-3</v>
      </c>
      <c r="G194" s="9"/>
      <c r="H194" s="10">
        <f t="shared" si="48"/>
        <v>-771.25000000000023</v>
      </c>
      <c r="I194" s="8">
        <f>IFERROR(H194/H444, "NA")</f>
        <v>3.689838292986318E-2</v>
      </c>
      <c r="J194" s="9"/>
      <c r="K194" s="7">
        <v>1684.1599999999999</v>
      </c>
      <c r="L194" s="8">
        <f>IFERROR(K194/K444, "NA")</f>
        <v>3.5223037057514461E-3</v>
      </c>
      <c r="M194" s="9"/>
      <c r="N194" s="10">
        <f t="shared" si="49"/>
        <v>-113.14000000000033</v>
      </c>
      <c r="O194" s="8">
        <f>IFERROR(N194/N444, "NA")</f>
        <v>-3.0013316850856866E-2</v>
      </c>
      <c r="P194" s="9"/>
      <c r="Q194" s="7">
        <v>3084.1000000000004</v>
      </c>
      <c r="R194" s="8">
        <f>IFERROR(Q194/Q444, "NA")</f>
        <v>3.3633840426648231E-3</v>
      </c>
      <c r="S194" s="9"/>
      <c r="T194" s="7">
        <v>1975.02</v>
      </c>
      <c r="U194" s="8">
        <f>IFERROR(T194/T444, "NA")</f>
        <v>2.0756441567666975E-3</v>
      </c>
      <c r="V194" s="9"/>
      <c r="W194" s="10">
        <f t="shared" si="50"/>
        <v>-1109.0800000000004</v>
      </c>
      <c r="X194" s="8">
        <f>IFERROR(W194/W444, "NA")</f>
        <v>3.2093199568263335E-2</v>
      </c>
      <c r="Y194" s="9"/>
      <c r="Z194" s="7">
        <v>2894.64</v>
      </c>
      <c r="AA194" s="8">
        <f>IFERROR(Z194/Z444, "NA")</f>
        <v>3.1680522553947177E-3</v>
      </c>
      <c r="AB194" s="9"/>
      <c r="AC194" s="10">
        <f t="shared" si="51"/>
        <v>-189.46000000000049</v>
      </c>
      <c r="AD194" s="8">
        <f>IFERROR(AC194/AC444, "NA")</f>
        <v>-5.8003937140459219E-2</v>
      </c>
    </row>
    <row r="195" spans="1:30" ht="16.5" customHeight="1" x14ac:dyDescent="0.45">
      <c r="A195" s="6" t="s">
        <v>179</v>
      </c>
      <c r="B195" s="7">
        <v>1922.65</v>
      </c>
      <c r="C195" s="8">
        <f>IFERROR(B195/B444, "NA")</f>
        <v>3.9896347726079374E-3</v>
      </c>
      <c r="D195" s="9"/>
      <c r="E195" s="7">
        <v>1571.08</v>
      </c>
      <c r="F195" s="8">
        <f>IFERROR(E195/E444, "NA")</f>
        <v>3.1245793667183967E-3</v>
      </c>
      <c r="G195" s="9"/>
      <c r="H195" s="10">
        <f t="shared" si="48"/>
        <v>-351.57000000000016</v>
      </c>
      <c r="I195" s="8">
        <f>IFERROR(H195/H444, "NA")</f>
        <v>1.6819921538608753E-2</v>
      </c>
      <c r="J195" s="9"/>
      <c r="K195" s="7">
        <v>1742.08</v>
      </c>
      <c r="L195" s="8">
        <f>IFERROR(K195/K444, "NA")</f>
        <v>3.6434393642619935E-3</v>
      </c>
      <c r="M195" s="9"/>
      <c r="N195" s="10">
        <f t="shared" si="49"/>
        <v>-180.57000000000016</v>
      </c>
      <c r="O195" s="8">
        <f>IFERROR(N195/N444, "NA")</f>
        <v>-4.7900871696652053E-2</v>
      </c>
      <c r="P195" s="9"/>
      <c r="Q195" s="7">
        <v>3767.2200000000003</v>
      </c>
      <c r="R195" s="8">
        <f>IFERROR(Q195/Q444, "NA")</f>
        <v>4.1083647200829332E-3</v>
      </c>
      <c r="S195" s="9"/>
      <c r="T195" s="7">
        <v>3098.5699999999997</v>
      </c>
      <c r="U195" s="8">
        <f>IFERROR(T195/T444, "NA")</f>
        <v>3.2564372587784354E-3</v>
      </c>
      <c r="V195" s="9"/>
      <c r="W195" s="10">
        <f t="shared" si="50"/>
        <v>-668.65000000000055</v>
      </c>
      <c r="X195" s="8">
        <f>IFERROR(W195/W444, "NA")</f>
        <v>1.9348575297831797E-2</v>
      </c>
      <c r="Y195" s="9"/>
      <c r="Z195" s="7">
        <v>3057.73</v>
      </c>
      <c r="AA195" s="8">
        <f>IFERROR(Z195/Z444, "NA")</f>
        <v>3.3465468669292521E-3</v>
      </c>
      <c r="AB195" s="9"/>
      <c r="AC195" s="10">
        <f t="shared" si="51"/>
        <v>-709.49000000000024</v>
      </c>
      <c r="AD195" s="8">
        <f>IFERROR(AC195/AC444, "NA")</f>
        <v>-0.2172132025851595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139713.10999999999</v>
      </c>
      <c r="C196" s="15">
        <f>IFERROR(B196/B444, "NA")</f>
        <v>0.28991458759794952</v>
      </c>
      <c r="D196" s="2"/>
      <c r="E196" s="14">
        <f>IFERROR(E175+E177+E178+E179+E180+E181+E183+E184+E186+E187+E188+E189+E190+E191+E192+E194+E195, "NA")</f>
        <v>145502.72999999998</v>
      </c>
      <c r="F196" s="15">
        <f>IFERROR(E196/E444, "NA")</f>
        <v>0.28937726147567139</v>
      </c>
      <c r="G196" s="2"/>
      <c r="H196" s="14">
        <f t="shared" si="48"/>
        <v>5789.6199999999953</v>
      </c>
      <c r="I196" s="15">
        <f>IFERROR(H196/H444, "NA")</f>
        <v>-0.27698880489905248</v>
      </c>
      <c r="J196" s="2"/>
      <c r="K196" s="14">
        <f>IFERROR(K175+K177+K178+K179+K180+K181+K183+K184+K186+K187+K188+K189+K190+K191+K192+K194+K195, "NA")</f>
        <v>145465.24999999997</v>
      </c>
      <c r="L196" s="15">
        <f>IFERROR(K196/K444, "NA")</f>
        <v>0.30423047046186852</v>
      </c>
      <c r="M196" s="2"/>
      <c r="N196" s="14">
        <f t="shared" si="49"/>
        <v>5752.1399999999849</v>
      </c>
      <c r="O196" s="15">
        <f>IFERROR(N196/N444, "NA")</f>
        <v>1.5259041929510948</v>
      </c>
      <c r="P196" s="2"/>
      <c r="Q196" s="14">
        <f>IFERROR(Q175+Q177+Q178+Q179+Q180+Q181+Q183+Q184+Q186+Q187+Q188+Q189+Q190+Q191+Q192+Q194+Q195, "NA")</f>
        <v>274325.73999999993</v>
      </c>
      <c r="R196" s="15">
        <f>IFERROR(Q196/Q444, "NA")</f>
        <v>0.29916760688960115</v>
      </c>
      <c r="S196" s="2"/>
      <c r="T196" s="14">
        <f>IFERROR(T175+T177+T178+T179+T180+T181+T183+T184+T186+T187+T188+T189+T190+T191+T192+T194+T195, "NA")</f>
        <v>280084.90000000002</v>
      </c>
      <c r="U196" s="15">
        <f>IFERROR(T196/T444, "NA")</f>
        <v>0.29435478429767031</v>
      </c>
      <c r="V196" s="2"/>
      <c r="W196" s="14">
        <f t="shared" si="50"/>
        <v>5759.1600000000908</v>
      </c>
      <c r="X196" s="15">
        <f>IFERROR(W196/W444, "NA")</f>
        <v>-0.16665152308720951</v>
      </c>
      <c r="Y196" s="2"/>
      <c r="Z196" s="14">
        <f>IFERROR(Z175+Z177+Z178+Z179+Z180+Z181+Z183+Z184+Z186+Z187+Z188+Z189+Z190+Z191+Z192+Z194+Z195, "NA")</f>
        <v>279538.43</v>
      </c>
      <c r="AA196" s="15">
        <f>IFERROR(Z196/Z444, "NA")</f>
        <v>0.30594213913681784</v>
      </c>
      <c r="AB196" s="2"/>
      <c r="AC196" s="14">
        <f t="shared" si="51"/>
        <v>5212.6900000000605</v>
      </c>
      <c r="AD196" s="15">
        <f>IFERROR(AC196/AC444, "NA")</f>
        <v>1.5958859025266712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139713.10999999999</v>
      </c>
      <c r="C197" s="15">
        <f>IFERROR(B197/B444, "NA")</f>
        <v>0.28991458759794952</v>
      </c>
      <c r="D197" s="2"/>
      <c r="E197" s="14">
        <f>IFERROR(E175+E177+E178+E179+E180+E181+E183+E184+E186+E187+E188+E189+E190+E191+E192+E194+E195, "NA")</f>
        <v>145502.72999999998</v>
      </c>
      <c r="F197" s="15">
        <f>IFERROR(E197/E444, "NA")</f>
        <v>0.28937726147567139</v>
      </c>
      <c r="G197" s="2"/>
      <c r="H197" s="14">
        <f t="shared" si="48"/>
        <v>5789.6199999999953</v>
      </c>
      <c r="I197" s="15">
        <f>IFERROR(H197/H444, "NA")</f>
        <v>-0.27698880489905248</v>
      </c>
      <c r="J197" s="2"/>
      <c r="K197" s="14">
        <f>IFERROR(K175+K177+K178+K179+K180+K181+K183+K184+K186+K187+K188+K189+K190+K191+K192+K194+K195, "NA")</f>
        <v>145465.24999999997</v>
      </c>
      <c r="L197" s="15">
        <f>IFERROR(K197/K444, "NA")</f>
        <v>0.30423047046186852</v>
      </c>
      <c r="M197" s="2"/>
      <c r="N197" s="14">
        <f t="shared" si="49"/>
        <v>5752.1399999999849</v>
      </c>
      <c r="O197" s="15">
        <f>IFERROR(N197/N444, "NA")</f>
        <v>1.5259041929510948</v>
      </c>
      <c r="P197" s="2"/>
      <c r="Q197" s="14">
        <f>IFERROR(Q175+Q177+Q178+Q179+Q180+Q181+Q183+Q184+Q186+Q187+Q188+Q189+Q190+Q191+Q192+Q194+Q195, "NA")</f>
        <v>274325.73999999993</v>
      </c>
      <c r="R197" s="15">
        <f>IFERROR(Q197/Q444, "NA")</f>
        <v>0.29916760688960115</v>
      </c>
      <c r="S197" s="2"/>
      <c r="T197" s="14">
        <f>IFERROR(T175+T177+T178+T179+T180+T181+T183+T184+T186+T187+T188+T189+T190+T191+T192+T194+T195, "NA")</f>
        <v>280084.90000000002</v>
      </c>
      <c r="U197" s="15">
        <f>IFERROR(T197/T444, "NA")</f>
        <v>0.29435478429767031</v>
      </c>
      <c r="V197" s="2"/>
      <c r="W197" s="14">
        <f t="shared" si="50"/>
        <v>5759.1600000000908</v>
      </c>
      <c r="X197" s="15">
        <f>IFERROR(W197/W444, "NA")</f>
        <v>-0.16665152308720951</v>
      </c>
      <c r="Y197" s="2"/>
      <c r="Z197" s="14">
        <f>IFERROR(Z175+Z177+Z178+Z179+Z180+Z181+Z183+Z184+Z186+Z187+Z188+Z189+Z190+Z191+Z192+Z194+Z195, "NA")</f>
        <v>279538.43</v>
      </c>
      <c r="AA197" s="15">
        <f>IFERROR(Z197/Z444, "NA")</f>
        <v>0.30594213913681784</v>
      </c>
      <c r="AB197" s="2"/>
      <c r="AC197" s="14">
        <f t="shared" si="51"/>
        <v>5212.6900000000605</v>
      </c>
      <c r="AD197" s="15">
        <f>IFERROR(AC197/AC444, "NA")</f>
        <v>1.5958859025266712</v>
      </c>
    </row>
    <row r="198" spans="1:30" ht="16.5" customHeight="1" x14ac:dyDescent="0.45">
      <c r="A198" s="22" t="s">
        <v>181</v>
      </c>
      <c r="B198" s="23">
        <f>IFERROR(B172-B197, "NA")</f>
        <v>209904.32000000007</v>
      </c>
      <c r="C198" s="24">
        <f>IFERROR(B198/B444, "NA")</f>
        <v>0.43556631419791636</v>
      </c>
      <c r="D198" s="25"/>
      <c r="E198" s="23">
        <f>IFERROR(E172-E197, "NA")</f>
        <v>225592.03999999998</v>
      </c>
      <c r="F198" s="24">
        <f>IFERROR(E198/E444, "NA")</f>
        <v>0.44865966945025787</v>
      </c>
      <c r="G198" s="25"/>
      <c r="H198" s="23">
        <f>IFERROR(B198-E198, "NA")</f>
        <v>-15687.719999999914</v>
      </c>
      <c r="I198" s="24">
        <f>IFERROR(H198/H444, "NA")</f>
        <v>0.75053679073772428</v>
      </c>
      <c r="J198" s="25"/>
      <c r="K198" s="23">
        <f>IFERROR(K172-K197, "NA")</f>
        <v>203472.91000000006</v>
      </c>
      <c r="L198" s="24">
        <f>IFERROR(K198/K444, "NA")</f>
        <v>0.42554946377602526</v>
      </c>
      <c r="M198" s="25"/>
      <c r="N198" s="23">
        <f>IFERROR(B198-K198, "NA")</f>
        <v>6431.4100000000035</v>
      </c>
      <c r="O198" s="24">
        <f>IFERROR(N198/N444, "NA")</f>
        <v>1.7060981626990357</v>
      </c>
      <c r="P198" s="25"/>
      <c r="Q198" s="23">
        <f>IFERROR(Q172-Q197, "NA")</f>
        <v>387635.61000000016</v>
      </c>
      <c r="R198" s="24">
        <f>IFERROR(Q198/Q444, "NA")</f>
        <v>0.42273837587712626</v>
      </c>
      <c r="S198" s="25"/>
      <c r="T198" s="23">
        <f>IFERROR(T172-T197, "NA")</f>
        <v>417375.93000000028</v>
      </c>
      <c r="U198" s="24">
        <f>IFERROR(T198/T444, "NA")</f>
        <v>0.43864057593318889</v>
      </c>
      <c r="V198" s="25"/>
      <c r="W198" s="23">
        <f>IFERROR(Q198-T198, "NA")</f>
        <v>-29740.320000000123</v>
      </c>
      <c r="X198" s="24">
        <f>IFERROR(W198/W444, "NA")</f>
        <v>0.86058897913948229</v>
      </c>
      <c r="Y198" s="25"/>
      <c r="Z198" s="23">
        <f>IFERROR(Z172-Z197, "NA")</f>
        <v>390564.06000000011</v>
      </c>
      <c r="AA198" s="24">
        <f>IFERROR(Z198/Z444, "NA")</f>
        <v>0.42745465797443488</v>
      </c>
      <c r="AB198" s="25"/>
      <c r="AC198" s="23">
        <f>IFERROR(Q198-Z198, "NA")</f>
        <v>-2928.4499999999534</v>
      </c>
      <c r="AD198" s="24">
        <f>IFERROR(AC198/AC444, "NA")</f>
        <v>-0.89655668594412896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5353.68</v>
      </c>
      <c r="C202" s="8">
        <f>IFERROR(B202/B444, "NA")</f>
        <v>1.1109264759272703E-2</v>
      </c>
      <c r="D202" s="9"/>
      <c r="E202" s="7">
        <v>4644.45</v>
      </c>
      <c r="F202" s="8">
        <f>IFERROR(E202/E444, "NA")</f>
        <v>9.2369278711174844E-3</v>
      </c>
      <c r="G202" s="9"/>
      <c r="H202" s="10">
        <f t="shared" si="52"/>
        <v>-709.23000000000047</v>
      </c>
      <c r="I202" s="8">
        <f>IFERROR(H202/H444, "NA")</f>
        <v>3.3931202755717177E-2</v>
      </c>
      <c r="J202" s="9"/>
      <c r="K202" s="7">
        <v>5227.13</v>
      </c>
      <c r="L202" s="8">
        <f>IFERROR(K202/K444, "NA")</f>
        <v>1.0932179465991686E-2</v>
      </c>
      <c r="M202" s="9"/>
      <c r="N202" s="10">
        <f t="shared" si="53"/>
        <v>-126.55000000000018</v>
      </c>
      <c r="O202" s="8">
        <f>IFERROR(N202/N444, "NA")</f>
        <v>-3.3570666850591575E-2</v>
      </c>
      <c r="P202" s="9"/>
      <c r="Q202" s="7">
        <v>10496.890000000001</v>
      </c>
      <c r="R202" s="8">
        <f>IFERROR(Q202/Q444, "NA")</f>
        <v>1.1447447334265412E-2</v>
      </c>
      <c r="S202" s="9"/>
      <c r="T202" s="7">
        <v>8811.4700000000012</v>
      </c>
      <c r="U202" s="8">
        <f>IFERROR(T202/T444, "NA")</f>
        <v>9.2604005113999122E-3</v>
      </c>
      <c r="V202" s="9"/>
      <c r="W202" s="10">
        <f t="shared" si="54"/>
        <v>-1685.42</v>
      </c>
      <c r="X202" s="8">
        <f>IFERROR(W202/W444, "NA")</f>
        <v>4.8770621070024139E-2</v>
      </c>
      <c r="Y202" s="9"/>
      <c r="Z202" s="7">
        <v>9816.36</v>
      </c>
      <c r="AA202" s="8">
        <f>IFERROR(Z202/Z444, "NA")</f>
        <v>1.0743561008542166E-2</v>
      </c>
      <c r="AB202" s="9"/>
      <c r="AC202" s="10">
        <f t="shared" si="55"/>
        <v>-680.53000000000065</v>
      </c>
      <c r="AD202" s="8">
        <f>IFERROR(AC202/AC444, "NA")</f>
        <v>-0.20834698269923282</v>
      </c>
    </row>
    <row r="203" spans="1:30" ht="16.5" customHeight="1" x14ac:dyDescent="0.45">
      <c r="A203" s="6" t="s">
        <v>185</v>
      </c>
      <c r="B203" s="7">
        <v>2861.7799999999997</v>
      </c>
      <c r="C203" s="8">
        <f>IFERROR(B203/B444, "NA")</f>
        <v>5.9383959636719842E-3</v>
      </c>
      <c r="D203" s="9"/>
      <c r="E203" s="7">
        <v>3359.33</v>
      </c>
      <c r="F203" s="8">
        <f>IFERROR(E203/E444, "NA")</f>
        <v>6.6810685668445349E-3</v>
      </c>
      <c r="G203" s="9"/>
      <c r="H203" s="10">
        <f t="shared" si="52"/>
        <v>497.55000000000018</v>
      </c>
      <c r="I203" s="8">
        <f>IFERROR(H203/H444, "NA")</f>
        <v>-2.3803942206487426E-2</v>
      </c>
      <c r="J203" s="9"/>
      <c r="K203" s="7">
        <v>2681.06</v>
      </c>
      <c r="L203" s="8">
        <f>IFERROR(K203/K444, "NA")</f>
        <v>5.6072508391969717E-3</v>
      </c>
      <c r="M203" s="9"/>
      <c r="N203" s="10">
        <f t="shared" si="53"/>
        <v>-180.7199999999998</v>
      </c>
      <c r="O203" s="8">
        <f>IFERROR(N203/N444, "NA")</f>
        <v>-4.7940663083673604E-2</v>
      </c>
      <c r="P203" s="9"/>
      <c r="Q203" s="7">
        <v>5836.78</v>
      </c>
      <c r="R203" s="8">
        <f>IFERROR(Q203/Q444, "NA")</f>
        <v>6.3653359853912597E-3</v>
      </c>
      <c r="S203" s="9"/>
      <c r="T203" s="7">
        <v>6345.43</v>
      </c>
      <c r="U203" s="8">
        <f>IFERROR(T203/T444, "NA")</f>
        <v>6.6687196593817307E-3</v>
      </c>
      <c r="V203" s="9"/>
      <c r="W203" s="10">
        <f t="shared" si="54"/>
        <v>508.65000000000055</v>
      </c>
      <c r="X203" s="8">
        <f>IFERROR(W203/W444, "NA")</f>
        <v>-1.4718691131746273E-2</v>
      </c>
      <c r="Y203" s="9"/>
      <c r="Z203" s="7">
        <v>5628.66</v>
      </c>
      <c r="AA203" s="8">
        <f>IFERROR(Z203/Z444, "NA")</f>
        <v>6.1603132022807778E-3</v>
      </c>
      <c r="AB203" s="9"/>
      <c r="AC203" s="10">
        <f t="shared" si="55"/>
        <v>-208.11999999999989</v>
      </c>
      <c r="AD203" s="8">
        <f>IFERROR(AC203/AC444, "NA")</f>
        <v>-6.3716770810051379E-2</v>
      </c>
    </row>
    <row r="204" spans="1:30" ht="16.5" customHeight="1" x14ac:dyDescent="0.45">
      <c r="A204" s="6" t="s">
        <v>186</v>
      </c>
      <c r="B204" s="7">
        <v>137.99</v>
      </c>
      <c r="C204" s="8">
        <f>IFERROR(B204/B444, "NA")</f>
        <v>2.8633901244229018E-4</v>
      </c>
      <c r="D204" s="9"/>
      <c r="E204" s="7">
        <v>1005.6299999999999</v>
      </c>
      <c r="F204" s="8">
        <f>IFERROR(E204/E444, "NA")</f>
        <v>2.0000068415058567E-3</v>
      </c>
      <c r="G204" s="9"/>
      <c r="H204" s="10">
        <f t="shared" si="52"/>
        <v>867.63999999999987</v>
      </c>
      <c r="I204" s="8">
        <f>IFERROR(H204/H444, "NA")</f>
        <v>-4.1509903358530276E-2</v>
      </c>
      <c r="J204" s="9"/>
      <c r="K204" s="7">
        <v>1165.17</v>
      </c>
      <c r="L204" s="8">
        <f>IFERROR(K204/K444, "NA")</f>
        <v>2.4368721551577123E-3</v>
      </c>
      <c r="M204" s="9"/>
      <c r="N204" s="10">
        <f t="shared" si="53"/>
        <v>1027.18</v>
      </c>
      <c r="O204" s="8">
        <f>IFERROR(N204/N444, "NA")</f>
        <v>0.27248611280593132</v>
      </c>
      <c r="P204" s="9"/>
      <c r="Q204" s="7">
        <v>255.34</v>
      </c>
      <c r="R204" s="8">
        <f>IFERROR(Q204/Q444, "NA")</f>
        <v>2.7846259247561229E-4</v>
      </c>
      <c r="S204" s="9"/>
      <c r="T204" s="7">
        <v>1903.05</v>
      </c>
      <c r="U204" s="8">
        <f>IFERROR(T204/T444, "NA")</f>
        <v>2.0000073986769064E-3</v>
      </c>
      <c r="V204" s="9"/>
      <c r="W204" s="10">
        <f t="shared" si="54"/>
        <v>1647.71</v>
      </c>
      <c r="X204" s="8">
        <f>IFERROR(W204/W444, "NA")</f>
        <v>-4.7679415245629859E-2</v>
      </c>
      <c r="Y204" s="9"/>
      <c r="Z204" s="7">
        <v>1308.8699999999999</v>
      </c>
      <c r="AA204" s="8">
        <f>IFERROR(Z204/Z444, "NA")</f>
        <v>1.4324988791416149E-3</v>
      </c>
      <c r="AB204" s="9"/>
      <c r="AC204" s="10">
        <f t="shared" si="55"/>
        <v>1053.53</v>
      </c>
      <c r="AD204" s="8">
        <f>IFERROR(AC204/AC444, "NA")</f>
        <v>0.32254242529076238</v>
      </c>
    </row>
    <row r="205" spans="1:30" ht="16.5" customHeight="1" x14ac:dyDescent="0.45">
      <c r="A205" s="6" t="s">
        <v>187</v>
      </c>
      <c r="B205" s="7">
        <v>1912.75</v>
      </c>
      <c r="C205" s="8">
        <f>IFERROR(B205/B444, "NA")</f>
        <v>3.9690915722080623E-3</v>
      </c>
      <c r="D205" s="9"/>
      <c r="E205" s="7">
        <v>1508.44</v>
      </c>
      <c r="F205" s="8">
        <f>IFERROR(E205/E444, "NA")</f>
        <v>3.0000003182095746E-3</v>
      </c>
      <c r="G205" s="9"/>
      <c r="H205" s="10">
        <f t="shared" si="52"/>
        <v>-404.30999999999995</v>
      </c>
      <c r="I205" s="8">
        <f>IFERROR(H205/H444, "NA")</f>
        <v>1.9343125059802888E-2</v>
      </c>
      <c r="J205" s="9"/>
      <c r="K205" s="7">
        <v>1832.72</v>
      </c>
      <c r="L205" s="8">
        <f>IFERROR(K205/K444, "NA")</f>
        <v>3.8330066309642734E-3</v>
      </c>
      <c r="M205" s="9"/>
      <c r="N205" s="10">
        <f t="shared" si="53"/>
        <v>-80.029999999999973</v>
      </c>
      <c r="O205" s="8">
        <f>IFERROR(N205/N444, "NA")</f>
        <v>-2.1230031355613112E-2</v>
      </c>
      <c r="P205" s="9"/>
      <c r="Q205" s="7">
        <v>4003.86</v>
      </c>
      <c r="R205" s="8">
        <f>IFERROR(Q205/Q444, "NA")</f>
        <v>4.3664339136422221E-3</v>
      </c>
      <c r="S205" s="9"/>
      <c r="T205" s="7">
        <v>2854.56</v>
      </c>
      <c r="U205" s="8">
        <f>IFERROR(T205/T444, "NA")</f>
        <v>2.9999953337889965E-3</v>
      </c>
      <c r="V205" s="9"/>
      <c r="W205" s="10">
        <f t="shared" si="54"/>
        <v>-1149.3000000000002</v>
      </c>
      <c r="X205" s="8">
        <f>IFERROR(W205/W444, "NA")</f>
        <v>3.3257036700513075E-2</v>
      </c>
      <c r="Y205" s="9"/>
      <c r="Z205" s="7">
        <v>3737.78</v>
      </c>
      <c r="AA205" s="8">
        <f>IFERROR(Z205/Z444, "NA")</f>
        <v>4.0908307627785384E-3</v>
      </c>
      <c r="AB205" s="9"/>
      <c r="AC205" s="10">
        <f t="shared" si="55"/>
        <v>-266.07999999999993</v>
      </c>
      <c r="AD205" s="8">
        <f>IFERROR(AC205/AC444, "NA")</f>
        <v>-8.146145674196846E-2</v>
      </c>
    </row>
    <row r="206" spans="1:30" ht="16.5" customHeight="1" x14ac:dyDescent="0.45">
      <c r="A206" s="6" t="s">
        <v>188</v>
      </c>
      <c r="B206" s="7">
        <v>173.6</v>
      </c>
      <c r="C206" s="8">
        <f>IFERROR(B206/B444, "NA")</f>
        <v>3.6023228175941429E-4</v>
      </c>
      <c r="D206" s="9"/>
      <c r="E206" s="7">
        <v>502.81</v>
      </c>
      <c r="F206" s="8">
        <f>IFERROR(E206/E444, "NA")</f>
        <v>9.9999347670371797E-4</v>
      </c>
      <c r="G206" s="9"/>
      <c r="H206" s="10">
        <f t="shared" si="52"/>
        <v>329.21000000000004</v>
      </c>
      <c r="I206" s="8">
        <f>IFERROR(H206/H444, "NA")</f>
        <v>-1.5750167448091094E-2</v>
      </c>
      <c r="J206" s="9"/>
      <c r="K206" s="7">
        <v>326.17</v>
      </c>
      <c r="L206" s="8">
        <f>IFERROR(K206/K444, "NA")</f>
        <v>6.8216190843206658E-4</v>
      </c>
      <c r="M206" s="9"/>
      <c r="N206" s="10">
        <f t="shared" si="53"/>
        <v>152.57000000000002</v>
      </c>
      <c r="O206" s="8">
        <f>IFERROR(N206/N444, "NA")</f>
        <v>4.0473146119278942E-2</v>
      </c>
      <c r="P206" s="9"/>
      <c r="Q206" s="7">
        <v>462.08000000000004</v>
      </c>
      <c r="R206" s="8">
        <f>IFERROR(Q206/Q444, "NA")</f>
        <v>5.0392415889062006E-4</v>
      </c>
      <c r="S206" s="9"/>
      <c r="T206" s="7">
        <v>951.5200000000001</v>
      </c>
      <c r="U206" s="8">
        <f>IFERROR(T206/T444, "NA")</f>
        <v>9.999984445963324E-4</v>
      </c>
      <c r="V206" s="9"/>
      <c r="W206" s="10">
        <f t="shared" si="54"/>
        <v>489.44000000000005</v>
      </c>
      <c r="X206" s="8">
        <f>IFERROR(W206/W444, "NA")</f>
        <v>-1.4162815664055617E-2</v>
      </c>
      <c r="Y206" s="9"/>
      <c r="Z206" s="7">
        <v>326.17</v>
      </c>
      <c r="AA206" s="8">
        <f>IFERROR(Z206/Z444, "NA")</f>
        <v>3.5697827852240526E-4</v>
      </c>
      <c r="AB206" s="9"/>
      <c r="AC206" s="10">
        <f t="shared" si="55"/>
        <v>-135.91000000000003</v>
      </c>
      <c r="AD206" s="8">
        <f>IFERROR(AC206/AC444, "NA")</f>
        <v>-4.1609390355535701E-2</v>
      </c>
    </row>
    <row r="207" spans="1:30" ht="16.5" customHeight="1" x14ac:dyDescent="0.45">
      <c r="A207" s="6" t="s">
        <v>189</v>
      </c>
      <c r="B207" s="7">
        <v>418.36</v>
      </c>
      <c r="C207" s="8">
        <f>IFERROR(B207/B444, "NA")</f>
        <v>8.681265979082291E-4</v>
      </c>
      <c r="D207" s="9"/>
      <c r="E207" s="7">
        <v>500</v>
      </c>
      <c r="F207" s="8">
        <f>IFERROR(E207/E444, "NA")</f>
        <v>9.9440492104743141E-4</v>
      </c>
      <c r="G207" s="9"/>
      <c r="H207" s="10">
        <f t="shared" si="52"/>
        <v>81.639999999999986</v>
      </c>
      <c r="I207" s="8">
        <f>IFERROR(H207/H444, "NA")</f>
        <v>-3.9058463304946891E-3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-418.36</v>
      </c>
      <c r="O207" s="8">
        <f>IFERROR(N207/N444, "NA")</f>
        <v>-0.11098083116249287</v>
      </c>
      <c r="P207" s="9"/>
      <c r="Q207" s="7">
        <v>806.56</v>
      </c>
      <c r="R207" s="8">
        <f>IFERROR(Q207/Q444, "NA")</f>
        <v>8.7959892138767849E-4</v>
      </c>
      <c r="S207" s="9"/>
      <c r="T207" s="7">
        <v>1000</v>
      </c>
      <c r="U207" s="8">
        <f>IFERROR(T207/T444, "NA")</f>
        <v>1.0509484242016271E-3</v>
      </c>
      <c r="V207" s="9"/>
      <c r="W207" s="10">
        <f t="shared" si="54"/>
        <v>193.44000000000005</v>
      </c>
      <c r="X207" s="8">
        <f>IFERROR(W207/W444, "NA")</f>
        <v>-5.5975299567973986E-3</v>
      </c>
      <c r="Y207" s="9"/>
      <c r="Z207" s="7">
        <v>497.99</v>
      </c>
      <c r="AA207" s="8">
        <f>IFERROR(Z207/Z444, "NA")</f>
        <v>5.4502747929414898E-4</v>
      </c>
      <c r="AB207" s="9"/>
      <c r="AC207" s="10">
        <f t="shared" si="55"/>
        <v>-308.56999999999994</v>
      </c>
      <c r="AD207" s="8">
        <f>IFERROR(AC207/AC444, "NA")</f>
        <v>-9.4469940269352112E-2</v>
      </c>
    </row>
    <row r="208" spans="1:30" ht="16.5" customHeight="1" x14ac:dyDescent="0.45">
      <c r="A208" s="6" t="s">
        <v>190</v>
      </c>
      <c r="B208" s="7">
        <v>239.70999999999998</v>
      </c>
      <c r="C208" s="8">
        <f>IFERROR(B208/B444, "NA")</f>
        <v>4.9741520887413128E-4</v>
      </c>
      <c r="D208" s="9"/>
      <c r="E208" s="7">
        <v>500</v>
      </c>
      <c r="F208" s="8">
        <f>IFERROR(E208/E444, "NA")</f>
        <v>9.9440492104743141E-4</v>
      </c>
      <c r="G208" s="9"/>
      <c r="H208" s="10">
        <f t="shared" si="52"/>
        <v>260.29000000000002</v>
      </c>
      <c r="I208" s="8">
        <f>IFERROR(H208/H444, "NA")</f>
        <v>-1.2452875322935606E-2</v>
      </c>
      <c r="J208" s="9"/>
      <c r="K208" s="7">
        <v>1091.52</v>
      </c>
      <c r="L208" s="8">
        <f>IFERROR(K208/K444, "NA")</f>
        <v>2.2828382938092692E-3</v>
      </c>
      <c r="M208" s="9"/>
      <c r="N208" s="10">
        <f t="shared" si="53"/>
        <v>851.81</v>
      </c>
      <c r="O208" s="8">
        <f>IFERROR(N208/N444, "NA")</f>
        <v>0.22596467585936283</v>
      </c>
      <c r="P208" s="9"/>
      <c r="Q208" s="7">
        <v>521.62</v>
      </c>
      <c r="R208" s="8">
        <f>IFERROR(Q208/Q444, "NA")</f>
        <v>5.6885586859531953E-4</v>
      </c>
      <c r="S208" s="9"/>
      <c r="T208" s="7">
        <v>1000</v>
      </c>
      <c r="U208" s="8">
        <f>IFERROR(T208/T444, "NA")</f>
        <v>1.0509484242016271E-3</v>
      </c>
      <c r="V208" s="9"/>
      <c r="W208" s="10">
        <f t="shared" si="54"/>
        <v>478.38</v>
      </c>
      <c r="X208" s="8">
        <f>IFERROR(W208/W444, "NA")</f>
        <v>-1.3842774921074953E-2</v>
      </c>
      <c r="Y208" s="9"/>
      <c r="Z208" s="7">
        <v>1820.21</v>
      </c>
      <c r="AA208" s="8">
        <f>IFERROR(Z208/Z444, "NA")</f>
        <v>1.9921373282314968E-3</v>
      </c>
      <c r="AB208" s="9"/>
      <c r="AC208" s="10">
        <f t="shared" si="55"/>
        <v>1298.5900000000001</v>
      </c>
      <c r="AD208" s="8">
        <f>IFERROR(AC208/AC444, "NA")</f>
        <v>0.39756852491939593</v>
      </c>
    </row>
    <row r="209" spans="1:30" ht="16.5" customHeight="1" x14ac:dyDescent="0.45">
      <c r="A209" s="19" t="s">
        <v>191</v>
      </c>
      <c r="B209" s="14">
        <f>IFERROR(B201+B202+B203+B204+B205+B206+B207+B208, "NA")</f>
        <v>11097.869999999999</v>
      </c>
      <c r="C209" s="15">
        <f>IFERROR(B209/B444, "NA")</f>
        <v>2.3028865396136813E-2</v>
      </c>
      <c r="D209" s="2"/>
      <c r="E209" s="14">
        <f>IFERROR(E201+E202+E203+E204+E205+E206+E207+E208, "NA")</f>
        <v>12020.66</v>
      </c>
      <c r="F209" s="15">
        <f>IFERROR(E209/E444, "NA")</f>
        <v>2.390680691647603E-2</v>
      </c>
      <c r="G209" s="2"/>
      <c r="H209" s="14">
        <f t="shared" si="52"/>
        <v>922.79000000000087</v>
      </c>
      <c r="I209" s="15">
        <f>IFERROR(H209/H444, "NA")</f>
        <v>-4.4148406851019083E-2</v>
      </c>
      <c r="J209" s="2"/>
      <c r="K209" s="14">
        <f>IFERROR(K201+K202+K203+K204+K205+K206+K207+K208, "NA")</f>
        <v>12323.77</v>
      </c>
      <c r="L209" s="15">
        <f>IFERROR(K209/K444, "NA")</f>
        <v>2.577430929355198E-2</v>
      </c>
      <c r="M209" s="2"/>
      <c r="N209" s="14">
        <f t="shared" si="53"/>
        <v>1225.9000000000015</v>
      </c>
      <c r="O209" s="15">
        <f>IFERROR(N209/N444, "NA")</f>
        <v>0.32520174233220234</v>
      </c>
      <c r="P209" s="2"/>
      <c r="Q209" s="14">
        <f>IFERROR(Q201+Q202+Q203+Q204+Q205+Q206+Q207+Q208, "NA")</f>
        <v>22383.130000000005</v>
      </c>
      <c r="R209" s="15">
        <f>IFERROR(Q209/Q444, "NA")</f>
        <v>2.4410058774648125E-2</v>
      </c>
      <c r="S209" s="2"/>
      <c r="T209" s="14">
        <f>IFERROR(T201+T202+T203+T204+T205+T206+T207+T208, "NA")</f>
        <v>22866.030000000002</v>
      </c>
      <c r="U209" s="15">
        <f>IFERROR(T209/T444, "NA")</f>
        <v>2.4031018196247134E-2</v>
      </c>
      <c r="V209" s="2"/>
      <c r="W209" s="14">
        <f t="shared" si="54"/>
        <v>482.89999999999782</v>
      </c>
      <c r="X209" s="15">
        <f>IFERROR(W209/W444, "NA")</f>
        <v>-1.3973569148766806E-2</v>
      </c>
      <c r="Y209" s="2"/>
      <c r="Z209" s="14">
        <f>IFERROR(Z201+Z202+Z203+Z204+Z205+Z206+Z207+Z208, "NA")</f>
        <v>23136.039999999997</v>
      </c>
      <c r="AA209" s="15">
        <f>IFERROR(Z209/Z444, "NA")</f>
        <v>2.5321346938791144E-2</v>
      </c>
      <c r="AB209" s="2"/>
      <c r="AC209" s="14">
        <f t="shared" si="55"/>
        <v>752.90999999999258</v>
      </c>
      <c r="AD209" s="15">
        <f>IFERROR(AC209/AC444, "NA")</f>
        <v>0.23050640933401567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17004.38</v>
      </c>
      <c r="F213" s="8">
        <f>IFERROR(E213/E444, "NA")</f>
        <v>3.3818478302721042E-2</v>
      </c>
      <c r="G213" s="9"/>
      <c r="H213" s="10">
        <f t="shared" ref="H213:H227" si="56">IFERROR(-(B213-E213), "NA")</f>
        <v>17004.38</v>
      </c>
      <c r="I213" s="8">
        <f>IFERROR(H213/H444, "NA")</f>
        <v>-0.81352884891397959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32114.790000000005</v>
      </c>
      <c r="U213" s="8">
        <f>IFERROR(T213/T444, "NA")</f>
        <v>3.3750987944066176E-2</v>
      </c>
      <c r="V213" s="9"/>
      <c r="W213" s="10">
        <f t="shared" ref="W213:W227" si="58">IFERROR(-(Q213-T213), "NA")</f>
        <v>32114.790000000005</v>
      </c>
      <c r="X213" s="8">
        <f>IFERROR(W213/W444, "NA")</f>
        <v>-0.9292984857385107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9099.3499999999985</v>
      </c>
      <c r="C214" s="8">
        <f>IFERROR(B214/B444, "NA")</f>
        <v>1.8881795005918928E-2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-9099.3499999999985</v>
      </c>
      <c r="I214" s="8">
        <f>IFERROR(H214/H444, "NA")</f>
        <v>0.43533393933594866</v>
      </c>
      <c r="J214" s="9"/>
      <c r="K214" s="7">
        <v>15751.039999999997</v>
      </c>
      <c r="L214" s="8">
        <f>IFERROR(K214/K444, "NA")</f>
        <v>3.2942206537050669E-2</v>
      </c>
      <c r="M214" s="9"/>
      <c r="N214" s="10">
        <f t="shared" si="57"/>
        <v>6651.6899999999987</v>
      </c>
      <c r="O214" s="8">
        <f>IFERROR(N214/N444, "NA")</f>
        <v>1.7645331409198823</v>
      </c>
      <c r="P214" s="9"/>
      <c r="Q214" s="7">
        <v>16440.86</v>
      </c>
      <c r="R214" s="8">
        <f>IFERROR(Q214/Q444, "NA")</f>
        <v>1.792968002713478E-2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-16440.86</v>
      </c>
      <c r="X214" s="8">
        <f>IFERROR(W214/W444, "NA")</f>
        <v>0.47574548369268022</v>
      </c>
      <c r="Y214" s="9"/>
      <c r="Z214" s="7">
        <v>28264.780000000002</v>
      </c>
      <c r="AA214" s="8">
        <f>IFERROR(Z214/Z444, "NA")</f>
        <v>3.0934520364271731E-2</v>
      </c>
      <c r="AB214" s="9"/>
      <c r="AC214" s="10">
        <f t="shared" si="59"/>
        <v>11823.920000000002</v>
      </c>
      <c r="AD214" s="8">
        <f>IFERROR(AC214/AC444, "NA")</f>
        <v>3.6199404224312093</v>
      </c>
    </row>
    <row r="215" spans="1:30" ht="16.5" customHeight="1" x14ac:dyDescent="0.45">
      <c r="A215" s="12" t="s">
        <v>195</v>
      </c>
      <c r="B215" s="7">
        <v>2344.5600000000004</v>
      </c>
      <c r="C215" s="8">
        <f>IFERROR(B215/B444, "NA")</f>
        <v>4.8651278716696569E-3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-2344.5600000000004</v>
      </c>
      <c r="I215" s="8">
        <f>IFERROR(H215/H444, "NA")</f>
        <v>0.11216917041431444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-2344.5600000000004</v>
      </c>
      <c r="O215" s="8">
        <f>IFERROR(N215/N444, "NA")</f>
        <v>-0.62195529570306507</v>
      </c>
      <c r="P215" s="9"/>
      <c r="Q215" s="7">
        <v>3935.97</v>
      </c>
      <c r="R215" s="8">
        <f>IFERROR(Q215/Q444, "NA")</f>
        <v>4.2923960605711431E-3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-3935.97</v>
      </c>
      <c r="X215" s="8">
        <f>IFERROR(W215/W444, "NA")</f>
        <v>0.11389428238242272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-3935.97</v>
      </c>
      <c r="AD215" s="8">
        <f>IFERROR(AC215/AC444, "NA")</f>
        <v>-1.2050129656219397</v>
      </c>
    </row>
    <row r="216" spans="1:30" ht="16.5" customHeight="1" x14ac:dyDescent="0.45">
      <c r="A216" s="12" t="s">
        <v>196</v>
      </c>
      <c r="B216" s="7">
        <v>154</v>
      </c>
      <c r="C216" s="8">
        <f>IFERROR(B216/B444, "NA")</f>
        <v>3.1956089510915784E-4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-154</v>
      </c>
      <c r="I216" s="8">
        <f>IFERROR(H216/H444, "NA")</f>
        <v>7.367716008037508E-3</v>
      </c>
      <c r="J216" s="9"/>
      <c r="K216" s="7">
        <v>2.1</v>
      </c>
      <c r="L216" s="8">
        <f>IFERROR(K216/K444, "NA")</f>
        <v>4.3920041932346314E-6</v>
      </c>
      <c r="M216" s="9"/>
      <c r="N216" s="10">
        <f t="shared" si="57"/>
        <v>-151.9</v>
      </c>
      <c r="O216" s="8">
        <f>IFERROR(N216/N444, "NA")</f>
        <v>-4.0295411257248941E-2</v>
      </c>
      <c r="P216" s="9"/>
      <c r="Q216" s="7">
        <v>254</v>
      </c>
      <c r="R216" s="8">
        <f>IFERROR(Q216/Q444, "NA")</f>
        <v>2.770012473126244E-4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-254</v>
      </c>
      <c r="X216" s="8">
        <f>IFERROR(W216/W444, "NA")</f>
        <v>7.3499411136607679E-3</v>
      </c>
      <c r="Y216" s="9"/>
      <c r="Z216" s="7">
        <v>2.1</v>
      </c>
      <c r="AA216" s="8">
        <f>IFERROR(Z216/Z444, "NA")</f>
        <v>2.2983547993287275E-6</v>
      </c>
      <c r="AB216" s="9"/>
      <c r="AC216" s="10">
        <f t="shared" si="59"/>
        <v>-251.9</v>
      </c>
      <c r="AD216" s="8">
        <f>IFERROR(AC216/AC444, "NA")</f>
        <v>-7.7120192999480836E-2</v>
      </c>
    </row>
    <row r="217" spans="1:30" ht="16.5" customHeight="1" x14ac:dyDescent="0.45">
      <c r="A217" s="12" t="s">
        <v>197</v>
      </c>
      <c r="B217" s="7">
        <v>11341.400000000001</v>
      </c>
      <c r="C217" s="8">
        <f>IFERROR(B217/B444, "NA")</f>
        <v>2.3534207375266254E-2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-11341.400000000001</v>
      </c>
      <c r="I217" s="8">
        <f>IFERROR(H217/H444, "NA")</f>
        <v>0.54259879437374425</v>
      </c>
      <c r="J217" s="9"/>
      <c r="K217" s="7">
        <v>15536.36</v>
      </c>
      <c r="L217" s="8">
        <f>IFERROR(K217/K444, "NA")</f>
        <v>3.2493218222667999E-2</v>
      </c>
      <c r="M217" s="9"/>
      <c r="N217" s="10">
        <f t="shared" si="57"/>
        <v>4194.9599999999991</v>
      </c>
      <c r="O217" s="8">
        <f>IFERROR(N217/N444, "NA")</f>
        <v>1.112821846002034</v>
      </c>
      <c r="P217" s="9"/>
      <c r="Q217" s="7">
        <v>15602.27</v>
      </c>
      <c r="R217" s="8">
        <f>IFERROR(Q217/Q444, "NA")</f>
        <v>1.7015150594127327E-2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-15602.27</v>
      </c>
      <c r="X217" s="8">
        <f>IFERROR(W217/W444, "NA")</f>
        <v>0.45147939267494486</v>
      </c>
      <c r="Y217" s="9"/>
      <c r="Z217" s="7">
        <v>26551.870000000003</v>
      </c>
      <c r="AA217" s="8">
        <f>IFERROR(Z217/Z444, "NA")</f>
        <v>2.9059818021739268E-2</v>
      </c>
      <c r="AB217" s="9"/>
      <c r="AC217" s="10">
        <f t="shared" si="59"/>
        <v>10949.600000000002</v>
      </c>
      <c r="AD217" s="8">
        <f>IFERROR(AC217/AC444, "NA")</f>
        <v>3.3522638557646509</v>
      </c>
    </row>
    <row r="218" spans="1:30" ht="16.5" customHeight="1" x14ac:dyDescent="0.45">
      <c r="A218" s="13" t="s">
        <v>198</v>
      </c>
      <c r="B218" s="14">
        <f>IFERROR(B213+B214+B215+B216+B217, "NA")</f>
        <v>22939.31</v>
      </c>
      <c r="C218" s="15">
        <f>IFERROR(B218/B444, "NA")</f>
        <v>4.7600691147963996E-2</v>
      </c>
      <c r="D218" s="2"/>
      <c r="E218" s="14">
        <f>IFERROR(E213+E214+E215+E216+E217, "NA")</f>
        <v>17004.38</v>
      </c>
      <c r="F218" s="15">
        <f>IFERROR(E218/E444, "NA")</f>
        <v>3.3818478302721042E-2</v>
      </c>
      <c r="G218" s="2"/>
      <c r="H218" s="14">
        <f t="shared" si="56"/>
        <v>-5934.93</v>
      </c>
      <c r="I218" s="15">
        <f>IFERROR(H218/H444, "NA")</f>
        <v>0.28394077121806527</v>
      </c>
      <c r="J218" s="2"/>
      <c r="K218" s="14">
        <f>IFERROR(K213+K214+K215+K216+K217, "NA")</f>
        <v>31289.5</v>
      </c>
      <c r="L218" s="15">
        <f>IFERROR(K218/K444, "NA")</f>
        <v>6.5439816763911904E-2</v>
      </c>
      <c r="M218" s="2"/>
      <c r="N218" s="14">
        <f t="shared" si="57"/>
        <v>8350.1899999999987</v>
      </c>
      <c r="O218" s="15">
        <f>IFERROR(N218/N444, "NA")</f>
        <v>2.2151042799616025</v>
      </c>
      <c r="P218" s="2"/>
      <c r="Q218" s="14">
        <f>IFERROR(Q213+Q214+Q215+Q216+Q217, "NA")</f>
        <v>36233.100000000006</v>
      </c>
      <c r="R218" s="15">
        <f>IFERROR(Q218/Q444, "NA")</f>
        <v>3.9514227929145877E-2</v>
      </c>
      <c r="S218" s="2"/>
      <c r="T218" s="14">
        <f>IFERROR(T213+T214+T215+T216+T217, "NA")</f>
        <v>32114.790000000005</v>
      </c>
      <c r="U218" s="15">
        <f>IFERROR(T218/T444, "NA")</f>
        <v>3.3750987944066176E-2</v>
      </c>
      <c r="V218" s="2"/>
      <c r="W218" s="14">
        <f t="shared" si="58"/>
        <v>-4118.3100000000013</v>
      </c>
      <c r="X218" s="15">
        <f>IFERROR(W218/W444, "NA")</f>
        <v>0.11917061412519797</v>
      </c>
      <c r="Y218" s="2"/>
      <c r="Z218" s="14">
        <f>IFERROR(Z213+Z214+Z215+Z216+Z217, "NA")</f>
        <v>54818.75</v>
      </c>
      <c r="AA218" s="15">
        <f>IFERROR(Z218/Z444, "NA")</f>
        <v>5.9996636740810322E-2</v>
      </c>
      <c r="AB218" s="2"/>
      <c r="AC218" s="14">
        <f t="shared" si="59"/>
        <v>18585.649999999994</v>
      </c>
      <c r="AD218" s="15">
        <f>IFERROR(AC218/AC444, "NA")</f>
        <v>5.6900711195744371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727.96</v>
      </c>
      <c r="C222" s="8">
        <f>IFERROR(B222/B444, "NA")</f>
        <v>1.5105685013224841E-3</v>
      </c>
      <c r="D222" s="9"/>
      <c r="E222" s="7">
        <v>500</v>
      </c>
      <c r="F222" s="8">
        <f>IFERROR(E222/E444, "NA")</f>
        <v>9.9440492104743141E-4</v>
      </c>
      <c r="G222" s="9"/>
      <c r="H222" s="10">
        <f t="shared" si="56"/>
        <v>-227.96000000000004</v>
      </c>
      <c r="I222" s="8">
        <f>IFERROR(H222/H444, "NA")</f>
        <v>1.0906133384365134E-2</v>
      </c>
      <c r="J222" s="9"/>
      <c r="K222" s="7">
        <v>893.73</v>
      </c>
      <c r="L222" s="8">
        <f>IFERROR(K222/K444, "NA")</f>
        <v>1.8691742417236131E-3</v>
      </c>
      <c r="M222" s="9"/>
      <c r="N222" s="10">
        <f t="shared" si="57"/>
        <v>165.76999999999998</v>
      </c>
      <c r="O222" s="8">
        <f>IFERROR(N222/N444, "NA")</f>
        <v>4.397478817718338E-2</v>
      </c>
      <c r="P222" s="9"/>
      <c r="Q222" s="7">
        <v>1036.3</v>
      </c>
      <c r="R222" s="8">
        <f>IFERROR(Q222/Q444, "NA")</f>
        <v>1.130143277913672E-3</v>
      </c>
      <c r="S222" s="9"/>
      <c r="T222" s="7">
        <v>1000</v>
      </c>
      <c r="U222" s="8">
        <f>IFERROR(T222/T444, "NA")</f>
        <v>1.0509484242016271E-3</v>
      </c>
      <c r="V222" s="9"/>
      <c r="W222" s="10">
        <f t="shared" si="58"/>
        <v>-36.299999999999955</v>
      </c>
      <c r="X222" s="8">
        <f>IFERROR(W222/W444, "NA")</f>
        <v>1.0504049701806518E-3</v>
      </c>
      <c r="Y222" s="9"/>
      <c r="Z222" s="7">
        <v>1517.0300000000002</v>
      </c>
      <c r="AA222" s="8">
        <f>IFERROR(Z222/Z444, "NA")</f>
        <v>1.6603205624884094E-3</v>
      </c>
      <c r="AB222" s="9"/>
      <c r="AC222" s="10">
        <f t="shared" si="59"/>
        <v>480.73000000000025</v>
      </c>
      <c r="AD222" s="8">
        <f>IFERROR(AC222/AC444, "NA")</f>
        <v>0.1471774131823757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23667.27</v>
      </c>
      <c r="C227" s="15">
        <f>IFERROR(B227/B444, "NA")</f>
        <v>4.9111259649286483E-2</v>
      </c>
      <c r="D227" s="2"/>
      <c r="E227" s="14">
        <f>IFERROR(E211+E213+E214+E215+E216+E217+E219+E220+E221+E222+E223+E224+E225+E226, "NA")</f>
        <v>17504.38</v>
      </c>
      <c r="F227" s="15">
        <f>IFERROR(E227/E444, "NA")</f>
        <v>3.4812883223768472E-2</v>
      </c>
      <c r="G227" s="2"/>
      <c r="H227" s="14">
        <f t="shared" si="56"/>
        <v>-6162.8899999999994</v>
      </c>
      <c r="I227" s="15">
        <f>IFERROR(H227/H444, "NA")</f>
        <v>0.29484690460243035</v>
      </c>
      <c r="J227" s="2"/>
      <c r="K227" s="14">
        <f>IFERROR(K211+K213+K214+K215+K216+K217+K219+K220+K221+K222+K223+K224+K225+K226, "NA")</f>
        <v>32183.23</v>
      </c>
      <c r="L227" s="15">
        <f>IFERROR(K227/K444, "NA")</f>
        <v>6.7308991005635518E-2</v>
      </c>
      <c r="M227" s="2"/>
      <c r="N227" s="14">
        <f t="shared" si="57"/>
        <v>8515.9599999999991</v>
      </c>
      <c r="O227" s="15">
        <f>IFERROR(N227/N444, "NA")</f>
        <v>2.2590790681387865</v>
      </c>
      <c r="P227" s="2"/>
      <c r="Q227" s="14">
        <f>IFERROR(Q211+Q213+Q214+Q215+Q216+Q217+Q219+Q220+Q221+Q222+Q223+Q224+Q225+Q226, "NA")</f>
        <v>37269.400000000009</v>
      </c>
      <c r="R227" s="15">
        <f>IFERROR(Q227/Q444, "NA")</f>
        <v>4.0644371207059556E-2</v>
      </c>
      <c r="S227" s="2"/>
      <c r="T227" s="14">
        <f>IFERROR(T211+T213+T214+T215+T216+T217+T219+T220+T221+T222+T223+T224+T225+T226, "NA")</f>
        <v>33114.790000000008</v>
      </c>
      <c r="U227" s="15">
        <f>IFERROR(T227/T444, "NA")</f>
        <v>3.4801936368267804E-2</v>
      </c>
      <c r="V227" s="2"/>
      <c r="W227" s="14">
        <f t="shared" si="58"/>
        <v>-4154.6100000000006</v>
      </c>
      <c r="X227" s="15">
        <f>IFERROR(W227/W444, "NA")</f>
        <v>0.12022101909537861</v>
      </c>
      <c r="Y227" s="2"/>
      <c r="Z227" s="14">
        <f>IFERROR(Z211+Z213+Z214+Z215+Z216+Z217+Z219+Z220+Z221+Z222+Z223+Z224+Z225+Z226, "NA")</f>
        <v>56335.78</v>
      </c>
      <c r="AA227" s="15">
        <f>IFERROR(Z227/Z444, "NA")</f>
        <v>6.1656957303298725E-2</v>
      </c>
      <c r="AB227" s="2"/>
      <c r="AC227" s="14">
        <f t="shared" si="59"/>
        <v>19066.37999999999</v>
      </c>
      <c r="AD227" s="15">
        <f>IFERROR(AC227/AC444, "NA")</f>
        <v>5.8372485327568109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7711.46</v>
      </c>
      <c r="F229" s="8">
        <f>IFERROR(E229/E444, "NA")</f>
        <v>1.533662754492085E-2</v>
      </c>
      <c r="G229" s="9"/>
      <c r="H229" s="10">
        <f t="shared" ref="H229:H236" si="60">IFERROR(-(B229-E229), "NA")</f>
        <v>7711.46</v>
      </c>
      <c r="I229" s="8">
        <f>IFERROR(H229/H444, "NA")</f>
        <v>-0.36893407329442157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14632.69</v>
      </c>
      <c r="U229" s="8">
        <f>IFERROR(T229/T444, "NA")</f>
        <v>1.5378202497330908E-2</v>
      </c>
      <c r="V229" s="9"/>
      <c r="W229" s="10">
        <f t="shared" ref="W229:W236" si="62">IFERROR(-(Q229-T229), "NA")</f>
        <v>14632.69</v>
      </c>
      <c r="X229" s="8">
        <f>IFERROR(W229/W444, "NA")</f>
        <v>-0.42342287336398732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859.12</v>
      </c>
      <c r="L231" s="8">
        <f>IFERROR(K231/K444, "NA")</f>
        <v>1.7967898297579698E-3</v>
      </c>
      <c r="M231" s="9"/>
      <c r="N231" s="10">
        <f t="shared" si="61"/>
        <v>859.12</v>
      </c>
      <c r="O231" s="8">
        <f>IFERROR(N231/N444, "NA")</f>
        <v>0.22790384278688419</v>
      </c>
      <c r="P231" s="9"/>
      <c r="Q231" s="7">
        <v>574</v>
      </c>
      <c r="R231" s="8">
        <f>IFERROR(Q231/Q444, "NA")</f>
        <v>6.2597919668285992E-4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-574</v>
      </c>
      <c r="X231" s="8">
        <f>IFERROR(W231/W444, "NA")</f>
        <v>1.6609709445831813E-2</v>
      </c>
      <c r="Y231" s="9"/>
      <c r="Z231" s="7">
        <v>1953.39</v>
      </c>
      <c r="AA231" s="8">
        <f>IFERROR(Z231/Z444, "NA")</f>
        <v>2.1378968006955917E-3</v>
      </c>
      <c r="AB231" s="9"/>
      <c r="AC231" s="10">
        <f t="shared" si="63"/>
        <v>1379.39</v>
      </c>
      <c r="AD231" s="8">
        <f>IFERROR(AC231/AC444, "NA")</f>
        <v>0.4223057682475343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53.54</v>
      </c>
      <c r="C233" s="8">
        <f>IFERROR(B233/B444, "NA")</f>
        <v>1.1109928781911889E-4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-53.54</v>
      </c>
      <c r="I233" s="8">
        <f>IFERROR(H233/H444, "NA")</f>
        <v>2.5614773705865466E-3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-53.54</v>
      </c>
      <c r="O233" s="8">
        <f>IFERROR(N233/N444, "NA")</f>
        <v>-1.4202872407591232E-2</v>
      </c>
      <c r="P233" s="9"/>
      <c r="Q233" s="7">
        <v>271.32</v>
      </c>
      <c r="R233" s="8">
        <f>IFERROR(Q233/Q444, "NA")</f>
        <v>2.9588967882228839E-4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-271.32</v>
      </c>
      <c r="X233" s="8">
        <f>IFERROR(W233/W444, "NA")</f>
        <v>7.8511260746395254E-3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-271.32</v>
      </c>
      <c r="AD233" s="8">
        <f>IFERROR(AC233/AC444, "NA")</f>
        <v>-8.3065703710278452E-2</v>
      </c>
    </row>
    <row r="234" spans="1:30" ht="16.5" customHeight="1" x14ac:dyDescent="0.45">
      <c r="A234" s="6" t="s">
        <v>213</v>
      </c>
      <c r="B234" s="7">
        <v>8154.82</v>
      </c>
      <c r="C234" s="8">
        <f>IFERROR(B234/B444, "NA")</f>
        <v>1.6921828432818586E-2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-8154.82</v>
      </c>
      <c r="I234" s="8">
        <f>IFERROR(H234/H444, "NA")</f>
        <v>0.39014544062769113</v>
      </c>
      <c r="J234" s="9"/>
      <c r="K234" s="7">
        <v>7728.3799999999992</v>
      </c>
      <c r="L234" s="8">
        <f>IFERROR(K234/K444, "NA")</f>
        <v>1.616337017471936E-2</v>
      </c>
      <c r="M234" s="9"/>
      <c r="N234" s="10">
        <f t="shared" si="61"/>
        <v>-426.44000000000051</v>
      </c>
      <c r="O234" s="8">
        <f>IFERROR(N234/N444, "NA")</f>
        <v>-0.11312426054339209</v>
      </c>
      <c r="P234" s="9"/>
      <c r="Q234" s="7">
        <v>14588.390000000003</v>
      </c>
      <c r="R234" s="8">
        <f>IFERROR(Q234/Q444, "NA")</f>
        <v>1.5909457583791409E-2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-14588.390000000003</v>
      </c>
      <c r="X234" s="8">
        <f>IFERROR(W234/W444, "NA")</f>
        <v>0.42214097418550245</v>
      </c>
      <c r="Y234" s="9"/>
      <c r="Z234" s="7">
        <v>15097.5</v>
      </c>
      <c r="AA234" s="8">
        <f>IFERROR(Z234/Z444, "NA")</f>
        <v>1.6523529325174029E-2</v>
      </c>
      <c r="AB234" s="9"/>
      <c r="AC234" s="10">
        <f t="shared" si="63"/>
        <v>509.10999999999694</v>
      </c>
      <c r="AD234" s="8">
        <f>IFERROR(AC234/AC444, "NA")</f>
        <v>0.15586606374738171</v>
      </c>
    </row>
    <row r="235" spans="1:30" ht="16.5" customHeight="1" x14ac:dyDescent="0.45">
      <c r="A235" s="6" t="s">
        <v>214</v>
      </c>
      <c r="B235" s="7">
        <v>98.34</v>
      </c>
      <c r="C235" s="8">
        <f>IFERROR(B235/B444, "NA")</f>
        <v>2.0406245730541936E-4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-98.34</v>
      </c>
      <c r="I235" s="8">
        <f>IFERROR(H235/H444, "NA")</f>
        <v>4.7048129365610952E-3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-98.34</v>
      </c>
      <c r="O235" s="8">
        <f>IFERROR(N235/N444, "NA")</f>
        <v>-2.6087233331388154E-2</v>
      </c>
      <c r="P235" s="9"/>
      <c r="Q235" s="7">
        <v>143.04</v>
      </c>
      <c r="R235" s="8">
        <f>IFERROR(Q235/Q444, "NA")</f>
        <v>1.5599314336849524E-4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-143.04</v>
      </c>
      <c r="X235" s="8">
        <f>IFERROR(W235/W444, "NA")</f>
        <v>4.1391164444804576E-3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-143.04</v>
      </c>
      <c r="AD235" s="8">
        <f>IFERROR(AC235/AC444, "NA")</f>
        <v>-4.3792268386842949E-2</v>
      </c>
    </row>
    <row r="236" spans="1:30" ht="16.5" customHeight="1" x14ac:dyDescent="0.45">
      <c r="A236" s="19" t="s">
        <v>215</v>
      </c>
      <c r="B236" s="14">
        <f>IFERROR(B229+B230+B231+B232+B233+B234+B235, "NA")</f>
        <v>8306.7000000000007</v>
      </c>
      <c r="C236" s="15">
        <f>IFERROR(B236/B444, "NA")</f>
        <v>1.7236990177943126E-2</v>
      </c>
      <c r="D236" s="2"/>
      <c r="E236" s="14">
        <f>IFERROR(E229+E230+E231+E232+E233+E234+E235, "NA")</f>
        <v>7711.46</v>
      </c>
      <c r="F236" s="15">
        <f>IFERROR(E236/E444, "NA")</f>
        <v>1.533662754492085E-2</v>
      </c>
      <c r="G236" s="2"/>
      <c r="H236" s="14">
        <f t="shared" si="60"/>
        <v>-595.24000000000069</v>
      </c>
      <c r="I236" s="15">
        <f>IFERROR(H236/H444, "NA")</f>
        <v>2.8477657640417219E-2</v>
      </c>
      <c r="J236" s="2"/>
      <c r="K236" s="14">
        <f>IFERROR(K229+K230+K231+K232+K233+K234+K235, "NA")</f>
        <v>8587.5</v>
      </c>
      <c r="L236" s="15">
        <f>IFERROR(K236/K444, "NA")</f>
        <v>1.7960160004477331E-2</v>
      </c>
      <c r="M236" s="2"/>
      <c r="N236" s="14">
        <f t="shared" si="61"/>
        <v>280.79999999999927</v>
      </c>
      <c r="O236" s="15">
        <f>IFERROR(N236/N444, "NA")</f>
        <v>7.4489476504512653E-2</v>
      </c>
      <c r="P236" s="2"/>
      <c r="Q236" s="14">
        <f>IFERROR(Q229+Q230+Q231+Q232+Q233+Q234+Q235, "NA")</f>
        <v>15576.750000000004</v>
      </c>
      <c r="R236" s="15">
        <f>IFERROR(Q236/Q444, "NA")</f>
        <v>1.6987319602665054E-2</v>
      </c>
      <c r="S236" s="2"/>
      <c r="T236" s="14">
        <f>IFERROR(T229+T230+T231+T232+T233+T234+T235, "NA")</f>
        <v>14632.69</v>
      </c>
      <c r="U236" s="15">
        <f>IFERROR(T236/T444, "NA")</f>
        <v>1.5378202497330908E-2</v>
      </c>
      <c r="V236" s="2"/>
      <c r="W236" s="14">
        <f t="shared" si="62"/>
        <v>-944.06000000000313</v>
      </c>
      <c r="X236" s="15">
        <f>IFERROR(W236/W444, "NA")</f>
        <v>2.7318052786466956E-2</v>
      </c>
      <c r="Y236" s="2"/>
      <c r="Z236" s="14">
        <f>IFERROR(Z229+Z230+Z231+Z232+Z233+Z234+Z235, "NA")</f>
        <v>17050.89</v>
      </c>
      <c r="AA236" s="15">
        <f>IFERROR(Z236/Z444, "NA")</f>
        <v>1.8661426125869619E-2</v>
      </c>
      <c r="AB236" s="2"/>
      <c r="AC236" s="14">
        <f t="shared" si="63"/>
        <v>1474.1399999999958</v>
      </c>
      <c r="AD236" s="15">
        <f>IFERROR(AC236/AC444, "NA")</f>
        <v>0.45131385989779421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33556.49</v>
      </c>
      <c r="F240" s="8">
        <f>IFERROR(E240/E444, "NA")</f>
        <v>6.6737477578157831E-2</v>
      </c>
      <c r="G240" s="9"/>
      <c r="H240" s="10">
        <f t="shared" ref="H240:H263" si="64">IFERROR(-(B240-E240), "NA")</f>
        <v>33556.49</v>
      </c>
      <c r="I240" s="8">
        <f>IFERROR(H240/H444, "NA")</f>
        <v>-1.6054200554970814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63548.229999999996</v>
      </c>
      <c r="U240" s="8">
        <f>IFERROR(T240/T444, "NA")</f>
        <v>6.6785912179302562E-2</v>
      </c>
      <c r="V240" s="9"/>
      <c r="W240" s="10">
        <f t="shared" ref="W240:W263" si="66">IFERROR(-(Q240-T240), "NA")</f>
        <v>63548.229999999996</v>
      </c>
      <c r="X240" s="8">
        <f>IFERROR(W240/W444, "NA")</f>
        <v>-1.8388808991235062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115.04</v>
      </c>
      <c r="C241" s="8">
        <f>IFERROR(B241/B444, "NA")</f>
        <v>2.3871613878803584E-4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-115.04</v>
      </c>
      <c r="I241" s="8">
        <f>IFERROR(H241/H444, "NA")</f>
        <v>5.5037795426274997E-3</v>
      </c>
      <c r="J241" s="9"/>
      <c r="K241" s="7">
        <v>380.82</v>
      </c>
      <c r="L241" s="8">
        <f>IFERROR(K241/K444, "NA")</f>
        <v>7.9645858898457736E-4</v>
      </c>
      <c r="M241" s="9"/>
      <c r="N241" s="10">
        <f t="shared" si="65"/>
        <v>265.77999999999997</v>
      </c>
      <c r="O241" s="8">
        <f>IFERROR(N241/N444, "NA")</f>
        <v>7.0505032284079144E-2</v>
      </c>
      <c r="P241" s="9"/>
      <c r="Q241" s="7">
        <v>115.04</v>
      </c>
      <c r="R241" s="8">
        <f>IFERROR(Q241/Q444, "NA")</f>
        <v>1.2545757279859966E-4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-115.04</v>
      </c>
      <c r="X241" s="8">
        <f>IFERROR(W241/W444, "NA")</f>
        <v>3.3288867154154913E-3</v>
      </c>
      <c r="Y241" s="9"/>
      <c r="Z241" s="7">
        <v>459.53</v>
      </c>
      <c r="AA241" s="8">
        <f>IFERROR(Z241/Z444, "NA")</f>
        <v>5.0293475282644291E-4</v>
      </c>
      <c r="AB241" s="9"/>
      <c r="AC241" s="10">
        <f t="shared" si="67"/>
        <v>344.48999999999995</v>
      </c>
      <c r="AD241" s="8">
        <f>IFERROR(AC241/AC444, "NA")</f>
        <v>0.1054669920063166</v>
      </c>
    </row>
    <row r="242" spans="1:30" ht="16.5" customHeight="1" x14ac:dyDescent="0.45">
      <c r="A242" s="12" t="s">
        <v>219</v>
      </c>
      <c r="B242" s="7">
        <v>8200.57</v>
      </c>
      <c r="C242" s="8">
        <f>IFERROR(B242/B444, "NA")</f>
        <v>1.7016762919514976E-2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-8200.57</v>
      </c>
      <c r="I242" s="8">
        <f>IFERROR(H242/H444, "NA")</f>
        <v>0.39233422638981913</v>
      </c>
      <c r="J242" s="9"/>
      <c r="K242" s="7">
        <v>6595.0999999999995</v>
      </c>
      <c r="L242" s="8">
        <f>IFERROR(K242/K444, "NA")</f>
        <v>1.379319374038177E-2</v>
      </c>
      <c r="M242" s="9"/>
      <c r="N242" s="10">
        <f t="shared" si="65"/>
        <v>-1605.4700000000003</v>
      </c>
      <c r="O242" s="8">
        <f>IFERROR(N242/N444, "NA")</f>
        <v>-0.4258925208108984</v>
      </c>
      <c r="P242" s="9"/>
      <c r="Q242" s="7">
        <v>15830.240000000002</v>
      </c>
      <c r="R242" s="8">
        <f>IFERROR(Q242/Q444, "NA")</f>
        <v>1.7263764666370866E-2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-15830.240000000002</v>
      </c>
      <c r="X242" s="8">
        <f>IFERROR(W242/W444, "NA")</f>
        <v>0.4580761095083356</v>
      </c>
      <c r="Y242" s="9"/>
      <c r="Z242" s="7">
        <v>12351.2</v>
      </c>
      <c r="AA242" s="8">
        <f>IFERROR(Z242/Z444, "NA")</f>
        <v>1.3517828474985227E-2</v>
      </c>
      <c r="AB242" s="9"/>
      <c r="AC242" s="10">
        <f t="shared" si="67"/>
        <v>-3479.0400000000009</v>
      </c>
      <c r="AD242" s="8">
        <f>IFERROR(AC242/AC444, "NA")</f>
        <v>-1.065122017677308</v>
      </c>
    </row>
    <row r="243" spans="1:30" ht="16.5" customHeight="1" x14ac:dyDescent="0.45">
      <c r="A243" s="12" t="s">
        <v>220</v>
      </c>
      <c r="B243" s="7">
        <v>13816.949999999999</v>
      </c>
      <c r="C243" s="8">
        <f>IFERROR(B243/B444, "NA")</f>
        <v>2.8671148764145962E-2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-13816.949999999999</v>
      </c>
      <c r="I243" s="8">
        <f>IFERROR(H243/H444, "NA")</f>
        <v>0.66103482920294698</v>
      </c>
      <c r="J243" s="9"/>
      <c r="K243" s="7">
        <v>13082.82</v>
      </c>
      <c r="L243" s="8">
        <f>IFERROR(K243/K444, "NA")</f>
        <v>2.7361809666349476E-2</v>
      </c>
      <c r="M243" s="9"/>
      <c r="N243" s="10">
        <f t="shared" si="65"/>
        <v>-734.1299999999992</v>
      </c>
      <c r="O243" s="8">
        <f>IFERROR(N243/N444, "NA")</f>
        <v>-0.1947470063613175</v>
      </c>
      <c r="P243" s="9"/>
      <c r="Q243" s="7">
        <v>23517.08</v>
      </c>
      <c r="R243" s="8">
        <f>IFERROR(Q243/Q444, "NA")</f>
        <v>2.5646694854924306E-2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-23517.08</v>
      </c>
      <c r="X243" s="8">
        <f>IFERROR(W243/W444, "NA")</f>
        <v>0.68050847702854089</v>
      </c>
      <c r="Y243" s="9"/>
      <c r="Z243" s="7">
        <v>27408.34</v>
      </c>
      <c r="AA243" s="8">
        <f>IFERROR(Z243/Z444, "NA")</f>
        <v>2.9997185609825491E-2</v>
      </c>
      <c r="AB243" s="9"/>
      <c r="AC243" s="10">
        <f t="shared" si="67"/>
        <v>3891.2599999999984</v>
      </c>
      <c r="AD243" s="8">
        <f>IFERROR(AC243/AC444, "NA")</f>
        <v>1.1913248202110349</v>
      </c>
    </row>
    <row r="244" spans="1:30" ht="16.5" customHeight="1" x14ac:dyDescent="0.45">
      <c r="A244" s="12" t="s">
        <v>221</v>
      </c>
      <c r="B244" s="7">
        <v>3719.8099999999995</v>
      </c>
      <c r="C244" s="8">
        <f>IFERROR(B244/B444, "NA")</f>
        <v>7.7188689171168584E-3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-3719.8099999999995</v>
      </c>
      <c r="I244" s="8">
        <f>IFERROR(H244/H444, "NA")</f>
        <v>0.17796430963544155</v>
      </c>
      <c r="J244" s="9"/>
      <c r="K244" s="7">
        <v>340.62</v>
      </c>
      <c r="L244" s="8">
        <f>IFERROR(K244/K444, "NA")</f>
        <v>7.1238308014265729E-4</v>
      </c>
      <c r="M244" s="9"/>
      <c r="N244" s="10">
        <f t="shared" si="65"/>
        <v>-3379.1899999999996</v>
      </c>
      <c r="O244" s="8">
        <f>IFERROR(N244/N444, "NA")</f>
        <v>-0.8964177140644044</v>
      </c>
      <c r="P244" s="9"/>
      <c r="Q244" s="7">
        <v>6960.0199999999995</v>
      </c>
      <c r="R244" s="8">
        <f>IFERROR(Q244/Q444, "NA")</f>
        <v>7.5902922099244565E-3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-6960.0199999999995</v>
      </c>
      <c r="X244" s="8">
        <f>IFERROR(W244/W444, "NA")</f>
        <v>0.20140053996024099</v>
      </c>
      <c r="Y244" s="9"/>
      <c r="Z244" s="7">
        <v>737.25</v>
      </c>
      <c r="AA244" s="8">
        <f>IFERROR(Z244/Z444, "NA")</f>
        <v>8.0688670276433537E-4</v>
      </c>
      <c r="AB244" s="9"/>
      <c r="AC244" s="10">
        <f t="shared" si="67"/>
        <v>-6222.7699999999995</v>
      </c>
      <c r="AD244" s="8">
        <f>IFERROR(AC244/AC444, "NA")</f>
        <v>-1.9051259364485087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647.15</v>
      </c>
      <c r="C246" s="8">
        <f>IFERROR(B246/B444, "NA")</f>
        <v>1.3428820342200746E-3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-647.15</v>
      </c>
      <c r="I246" s="8">
        <f>IFERROR(H246/H444, "NA")</f>
        <v>3.0961152042866709E-2</v>
      </c>
      <c r="J246" s="9"/>
      <c r="K246" s="7">
        <v>1897.6000000000001</v>
      </c>
      <c r="L246" s="8">
        <f>IFERROR(K246/K444, "NA")</f>
        <v>3.9686986462295418E-3</v>
      </c>
      <c r="M246" s="9"/>
      <c r="N246" s="10">
        <f t="shared" si="65"/>
        <v>1250.4500000000003</v>
      </c>
      <c r="O246" s="8">
        <f>IFERROR(N246/N444, "NA")</f>
        <v>0.33171426600807735</v>
      </c>
      <c r="P246" s="9"/>
      <c r="Q246" s="7">
        <v>1308.96</v>
      </c>
      <c r="R246" s="8">
        <f>IFERROR(Q246/Q444, "NA")</f>
        <v>1.4274943018989482E-3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-1308.96</v>
      </c>
      <c r="X246" s="8">
        <f>IFERROR(W246/W444, "NA")</f>
        <v>3.7877082362745666E-2</v>
      </c>
      <c r="Y246" s="9"/>
      <c r="Z246" s="7">
        <v>3107.48</v>
      </c>
      <c r="AA246" s="8">
        <f>IFERROR(Z246/Z444, "NA")</f>
        <v>3.400995986580016E-3</v>
      </c>
      <c r="AB246" s="9"/>
      <c r="AC246" s="10">
        <f t="shared" si="67"/>
        <v>1798.52</v>
      </c>
      <c r="AD246" s="8">
        <f>IFERROR(AC246/AC444, "NA")</f>
        <v>0.5506240949322202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988.91</v>
      </c>
      <c r="C248" s="8">
        <f>IFERROR(B248/B444, "NA")</f>
        <v>2.0520582128727093E-3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-988.91</v>
      </c>
      <c r="I248" s="8">
        <f>IFERROR(H248/H444, "NA")</f>
        <v>4.7311740503301121E-2</v>
      </c>
      <c r="J248" s="9"/>
      <c r="K248" s="7">
        <v>1046.82</v>
      </c>
      <c r="L248" s="8">
        <f>IFERROR(K248/K444, "NA")</f>
        <v>2.1893513474104177E-3</v>
      </c>
      <c r="M248" s="9"/>
      <c r="N248" s="10">
        <f t="shared" si="65"/>
        <v>57.909999999999968</v>
      </c>
      <c r="O248" s="8">
        <f>IFERROR(N248/N444, "NA")</f>
        <v>1.5362128149488379E-2</v>
      </c>
      <c r="P248" s="9"/>
      <c r="Q248" s="7">
        <v>2106.64</v>
      </c>
      <c r="R248" s="8">
        <f>IFERROR(Q248/Q444, "NA")</f>
        <v>2.2974090851916027E-3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-2106.64</v>
      </c>
      <c r="X248" s="8">
        <f>IFERROR(W248/W444, "NA")</f>
        <v>6.0959369872765033E-2</v>
      </c>
      <c r="Y248" s="9"/>
      <c r="Z248" s="7">
        <v>2178.4899999999998</v>
      </c>
      <c r="AA248" s="8">
        <f>IFERROR(Z248/Z444, "NA")</f>
        <v>2.3842585460903043E-3</v>
      </c>
      <c r="AB248" s="9"/>
      <c r="AC248" s="10">
        <f t="shared" si="67"/>
        <v>71.849999999999909</v>
      </c>
      <c r="AD248" s="8">
        <f>IFERROR(AC248/AC444, "NA")</f>
        <v>2.1997165013944785E-2</v>
      </c>
    </row>
    <row r="249" spans="1:30" ht="16.5" customHeight="1" x14ac:dyDescent="0.45">
      <c r="A249" s="12" t="s">
        <v>226</v>
      </c>
      <c r="B249" s="7">
        <v>9470.1200000000008</v>
      </c>
      <c r="C249" s="8">
        <f>IFERROR(B249/B444, "NA")</f>
        <v>1.9651168986955441E-2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-9470.1200000000008</v>
      </c>
      <c r="I249" s="8">
        <f>IFERROR(H249/H444, "NA")</f>
        <v>0.45307243325997515</v>
      </c>
      <c r="J249" s="9"/>
      <c r="K249" s="7">
        <v>10049.690000000002</v>
      </c>
      <c r="L249" s="8">
        <f>IFERROR(K249/K444, "NA")</f>
        <v>2.1018228867003882E-2</v>
      </c>
      <c r="M249" s="9"/>
      <c r="N249" s="10">
        <f t="shared" si="65"/>
        <v>579.57000000000153</v>
      </c>
      <c r="O249" s="8">
        <f>IFERROR(N249/N444, "NA")</f>
        <v>0.15374596117421876</v>
      </c>
      <c r="P249" s="9"/>
      <c r="Q249" s="7">
        <v>17278.27</v>
      </c>
      <c r="R249" s="8">
        <f>IFERROR(Q249/Q444, "NA")</f>
        <v>1.8842922603953934E-2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-17278.27</v>
      </c>
      <c r="X249" s="8">
        <f>IFERROR(W249/W444, "NA")</f>
        <v>0.49997742931469069</v>
      </c>
      <c r="Y249" s="9"/>
      <c r="Z249" s="7">
        <v>17408.34</v>
      </c>
      <c r="AA249" s="8">
        <f>IFERROR(Z249/Z444, "NA")</f>
        <v>1.9052638946355362E-2</v>
      </c>
      <c r="AB249" s="9"/>
      <c r="AC249" s="10">
        <f t="shared" si="67"/>
        <v>130.06999999999971</v>
      </c>
      <c r="AD249" s="8">
        <f>IFERROR(AC249/AC444, "NA")</f>
        <v>3.9821450986274119E-2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customHeight="1" x14ac:dyDescent="0.45">
      <c r="A251" s="12" t="s">
        <v>228</v>
      </c>
      <c r="B251" s="7">
        <v>139.9</v>
      </c>
      <c r="C251" s="8">
        <f>IFERROR(B251/B444, "NA")</f>
        <v>2.9030239756994272E-4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-139.9</v>
      </c>
      <c r="I251" s="8">
        <f>IFERROR(H251/H444, "NA")</f>
        <v>6.6931394124964119E-3</v>
      </c>
      <c r="J251" s="9"/>
      <c r="K251" s="7">
        <v>58.31</v>
      </c>
      <c r="L251" s="8">
        <f>IFERROR(K251/K444, "NA")</f>
        <v>1.2195131643214828E-4</v>
      </c>
      <c r="M251" s="9"/>
      <c r="N251" s="10">
        <f t="shared" si="65"/>
        <v>-81.59</v>
      </c>
      <c r="O251" s="8">
        <f>IFERROR(N251/N444, "NA")</f>
        <v>-2.164386178063819E-2</v>
      </c>
      <c r="P251" s="9"/>
      <c r="Q251" s="7">
        <v>287.20999999999998</v>
      </c>
      <c r="R251" s="8">
        <f>IFERROR(Q251/Q444, "NA")</f>
        <v>3.1321861512070414E-4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-287.20999999999998</v>
      </c>
      <c r="X251" s="8">
        <f>IFERROR(W251/W444, "NA")</f>
        <v>8.3109314458838929E-3</v>
      </c>
      <c r="Y251" s="9"/>
      <c r="Z251" s="7">
        <v>95.28</v>
      </c>
      <c r="AA251" s="8">
        <f>IFERROR(Z251/Z444, "NA")</f>
        <v>1.0427964060954341E-4</v>
      </c>
      <c r="AB251" s="9"/>
      <c r="AC251" s="10">
        <f t="shared" si="67"/>
        <v>-191.92999999999998</v>
      </c>
      <c r="AD251" s="8">
        <f>IFERROR(AC251/AC444, "NA")</f>
        <v>-5.8760137524376164E-2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customHeight="1" x14ac:dyDescent="0.45">
      <c r="A253" s="12" t="s">
        <v>230</v>
      </c>
      <c r="B253" s="7">
        <v>414.52</v>
      </c>
      <c r="C253" s="8">
        <f>IFERROR(B253/B444, "NA")</f>
        <v>8.6015832623797465E-4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-414.52</v>
      </c>
      <c r="I253" s="8">
        <f>IFERROR(H253/H444, "NA")</f>
        <v>1.9831595062673426E-2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-414.52</v>
      </c>
      <c r="O253" s="8">
        <f>IFERROR(N253/N444, "NA")</f>
        <v>-0.10996217165473883</v>
      </c>
      <c r="P253" s="9"/>
      <c r="Q253" s="7">
        <v>933.95</v>
      </c>
      <c r="R253" s="8">
        <f>IFERROR(Q253/Q444, "NA")</f>
        <v>1.0185248619197858E-3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-933.95</v>
      </c>
      <c r="X253" s="8">
        <f>IFERROR(W253/W444, "NA")</f>
        <v>2.7025501980722341E-2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-933.95</v>
      </c>
      <c r="AD253" s="8">
        <f>IFERROR(AC253/AC444, "NA")</f>
        <v>-0.28593252978112399</v>
      </c>
    </row>
    <row r="254" spans="1:30" ht="16.5" customHeight="1" x14ac:dyDescent="0.45">
      <c r="A254" s="12" t="s">
        <v>231</v>
      </c>
      <c r="B254" s="7">
        <v>3250.7</v>
      </c>
      <c r="C254" s="8">
        <f>IFERROR(B254/B444, "NA")</f>
        <v>6.7454324787749303E-3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-3250.7</v>
      </c>
      <c r="I254" s="8">
        <f>IFERROR(H254/H444, "NA")</f>
        <v>0.15552100277485406</v>
      </c>
      <c r="J254" s="9"/>
      <c r="K254" s="7">
        <v>2246.98</v>
      </c>
      <c r="L254" s="8">
        <f>IFERROR(K254/K444, "NA")</f>
        <v>4.699402658149692E-3</v>
      </c>
      <c r="M254" s="9"/>
      <c r="N254" s="10">
        <f t="shared" si="65"/>
        <v>-1003.7199999999998</v>
      </c>
      <c r="O254" s="8">
        <f>IFERROR(N254/N444, "NA")</f>
        <v>-0.2662627398757465</v>
      </c>
      <c r="P254" s="9"/>
      <c r="Q254" s="7">
        <v>5875.9599999999991</v>
      </c>
      <c r="R254" s="8">
        <f>IFERROR(Q254/Q444, "NA")</f>
        <v>6.4080639730672764E-3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-5875.9599999999991</v>
      </c>
      <c r="X254" s="8">
        <f>IFERROR(W254/W444, "NA")</f>
        <v>0.17003133852844929</v>
      </c>
      <c r="Y254" s="9"/>
      <c r="Z254" s="7">
        <v>4945.25</v>
      </c>
      <c r="AA254" s="8">
        <f>IFERROR(Z254/Z444, "NA")</f>
        <v>5.4123519387525663E-3</v>
      </c>
      <c r="AB254" s="9"/>
      <c r="AC254" s="10">
        <f t="shared" si="67"/>
        <v>-930.70999999999913</v>
      </c>
      <c r="AD254" s="8">
        <f>IFERROR(AC254/AC444, "NA")</f>
        <v>-0.28494059081598549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276.33</v>
      </c>
      <c r="C258" s="8">
        <f>IFERROR(B258/B444, "NA")</f>
        <v>5.734042996461921E-4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-276.33</v>
      </c>
      <c r="I258" s="8">
        <f>IFERROR(H258/H444, "NA")</f>
        <v>1.3220266003253276E-2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-276.33</v>
      </c>
      <c r="O258" s="8">
        <f>IFERROR(N258/N444, "NA")</f>
        <v>-7.3303693171267933E-2</v>
      </c>
      <c r="P258" s="9"/>
      <c r="Q258" s="7">
        <v>276.33</v>
      </c>
      <c r="R258" s="8">
        <f>IFERROR(Q258/Q444, "NA")</f>
        <v>3.0135336484211613E-4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-276.33</v>
      </c>
      <c r="X258" s="8">
        <f>IFERROR(W258/W444, "NA")</f>
        <v>7.9960993225900775E-3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-276.33</v>
      </c>
      <c r="AD258" s="8">
        <f>IFERROR(AC258/AC444, "NA")</f>
        <v>-8.4599535258223654E-2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customHeight="1" x14ac:dyDescent="0.45">
      <c r="A260" s="12" t="s">
        <v>237</v>
      </c>
      <c r="B260" s="7">
        <v>665.8</v>
      </c>
      <c r="C260" s="8">
        <f>IFERROR(B260/B444, "NA")</f>
        <v>1.381582103660242E-3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-665.8</v>
      </c>
      <c r="I260" s="8">
        <f>IFERROR(H260/H444, "NA")</f>
        <v>3.1853411156827098E-2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-665.8</v>
      </c>
      <c r="O260" s="8">
        <f>IFERROR(N260/N444, "NA")</f>
        <v>-0.17662070319339263</v>
      </c>
      <c r="P260" s="9"/>
      <c r="Q260" s="7">
        <v>1756.3</v>
      </c>
      <c r="R260" s="8">
        <f>IFERROR(Q260/Q444, "NA")</f>
        <v>1.9153436639967017E-3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-1756.3</v>
      </c>
      <c r="X260" s="8">
        <f>IFERROR(W260/W444, "NA")</f>
        <v>5.0821659755600025E-2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-1756.3</v>
      </c>
      <c r="AD260" s="8">
        <f>IFERROR(AC260/AC444, "NA")</f>
        <v>-0.53769827298526474</v>
      </c>
    </row>
    <row r="261" spans="1:30" ht="16.5" customHeight="1" x14ac:dyDescent="0.45">
      <c r="A261" s="12" t="s">
        <v>238</v>
      </c>
      <c r="B261" s="7">
        <v>433.71</v>
      </c>
      <c r="C261" s="8">
        <f>IFERROR(B261/B444, "NA")</f>
        <v>8.9997893388177167E-4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-433.71</v>
      </c>
      <c r="I261" s="8">
        <f>IFERROR(H261/H444, "NA")</f>
        <v>2.0749689024973685E-2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-433.71</v>
      </c>
      <c r="O261" s="8">
        <f>IFERROR(N261/N444, "NA")</f>
        <v>-0.11505281643437416</v>
      </c>
      <c r="P261" s="9"/>
      <c r="Q261" s="7">
        <v>433.71</v>
      </c>
      <c r="R261" s="8">
        <f>IFERROR(Q261/Q444, "NA")</f>
        <v>4.729850825667651E-4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-433.71</v>
      </c>
      <c r="X261" s="8">
        <f>IFERROR(W261/W444, "NA")</f>
        <v>1.255016913545595E-2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-433.71</v>
      </c>
      <c r="AD261" s="8">
        <f>IFERROR(AC261/AC444, "NA")</f>
        <v>-0.13278205202780799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42139.509999999995</v>
      </c>
      <c r="C262" s="15">
        <f>IFERROR(B262/B444, "NA")</f>
        <v>8.744246451338511E-2</v>
      </c>
      <c r="D262" s="2"/>
      <c r="E262" s="14">
        <f>IFERROR(E240+E241+E242+E243+E244+E245+E246+E247+E248+E249+E250+E251+E252+E253+E254+E255+E256+E257+E258+E259+E260+E261, "NA")</f>
        <v>33556.49</v>
      </c>
      <c r="F262" s="15">
        <f>IFERROR(E262/E444, "NA")</f>
        <v>6.6737477578157831E-2</v>
      </c>
      <c r="G262" s="2"/>
      <c r="H262" s="14">
        <f t="shared" si="64"/>
        <v>-8583.0199999999968</v>
      </c>
      <c r="I262" s="15">
        <f>IFERROR(H262/H444, "NA")</f>
        <v>0.41063151851497448</v>
      </c>
      <c r="J262" s="2"/>
      <c r="K262" s="14">
        <f>IFERROR(K240+K241+K242+K243+K244+K245+K246+K247+K248+K249+K250+K251+K252+K253+K254+K255+K256+K257+K258+K259+K260+K261, "NA")</f>
        <v>35698.76</v>
      </c>
      <c r="L262" s="15">
        <f>IFERROR(K262/K444, "NA")</f>
        <v>7.466147791108417E-2</v>
      </c>
      <c r="M262" s="2"/>
      <c r="N262" s="14">
        <f t="shared" si="65"/>
        <v>-6440.7499999999927</v>
      </c>
      <c r="O262" s="15">
        <f>IFERROR(N262/N444, "NA")</f>
        <v>-1.7085758397309139</v>
      </c>
      <c r="P262" s="2"/>
      <c r="Q262" s="14">
        <f>IFERROR(Q240+Q241+Q242+Q243+Q244+Q245+Q246+Q247+Q248+Q249+Q250+Q251+Q252+Q253+Q254+Q255+Q256+Q257+Q258+Q259+Q260+Q261, "NA")</f>
        <v>76679.710000000006</v>
      </c>
      <c r="R262" s="15">
        <f>IFERROR(Q262/Q444, "NA")</f>
        <v>8.3623524856576065E-2</v>
      </c>
      <c r="S262" s="2"/>
      <c r="T262" s="14">
        <f>IFERROR(T240+T241+T242+T243+T244+T245+T246+T247+T248+T249+T250+T251+T252+T253+T254+T255+T256+T257+T258+T259+T260+T261, "NA")</f>
        <v>63548.229999999996</v>
      </c>
      <c r="U262" s="15">
        <f>IFERROR(T262/T444, "NA")</f>
        <v>6.6785912179302562E-2</v>
      </c>
      <c r="V262" s="2"/>
      <c r="W262" s="14">
        <f t="shared" si="66"/>
        <v>-13131.48000000001</v>
      </c>
      <c r="X262" s="15">
        <f>IFERROR(W262/W444, "NA")</f>
        <v>0.37998269580792982</v>
      </c>
      <c r="Y262" s="2"/>
      <c r="Z262" s="14">
        <f>IFERROR(Z240+Z241+Z242+Z243+Z244+Z245+Z246+Z247+Z248+Z249+Z250+Z251+Z252+Z253+Z254+Z255+Z256+Z257+Z258+Z259+Z260+Z261, "NA")</f>
        <v>68691.16</v>
      </c>
      <c r="AA262" s="15">
        <f>IFERROR(Z262/Z444, "NA")</f>
        <v>7.5179360598789297E-2</v>
      </c>
      <c r="AB262" s="2"/>
      <c r="AC262" s="14">
        <f t="shared" si="67"/>
        <v>-7988.5500000000029</v>
      </c>
      <c r="AD262" s="15">
        <f>IFERROR(AC262/AC444, "NA")</f>
        <v>-2.4457265493688087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42139.509999999995</v>
      </c>
      <c r="C263" s="15">
        <f>IFERROR(B263/B444, "NA")</f>
        <v>8.744246451338511E-2</v>
      </c>
      <c r="D263" s="2"/>
      <c r="E263" s="14">
        <f>IFERROR(E238+E240+E241+E242+E243+E244+E245+E246+E247+E248+E249+E250+E251+E252+E253+E254+E255+E256+E257+E258+E259+E260+E261, "NA")</f>
        <v>33556.49</v>
      </c>
      <c r="F263" s="15">
        <f>IFERROR(E263/E444, "NA")</f>
        <v>6.6737477578157831E-2</v>
      </c>
      <c r="G263" s="2"/>
      <c r="H263" s="14">
        <f t="shared" si="64"/>
        <v>-8583.0199999999968</v>
      </c>
      <c r="I263" s="15">
        <f>IFERROR(H263/H444, "NA")</f>
        <v>0.41063151851497448</v>
      </c>
      <c r="J263" s="2"/>
      <c r="K263" s="14">
        <f>IFERROR(K238+K240+K241+K242+K243+K244+K245+K246+K247+K248+K249+K250+K251+K252+K253+K254+K255+K256+K257+K258+K259+K260+K261, "NA")</f>
        <v>35698.76</v>
      </c>
      <c r="L263" s="15">
        <f>IFERROR(K263/K444, "NA")</f>
        <v>7.466147791108417E-2</v>
      </c>
      <c r="M263" s="2"/>
      <c r="N263" s="14">
        <f t="shared" si="65"/>
        <v>-6440.7499999999927</v>
      </c>
      <c r="O263" s="15">
        <f>IFERROR(N263/N444, "NA")</f>
        <v>-1.7085758397309139</v>
      </c>
      <c r="P263" s="2"/>
      <c r="Q263" s="14">
        <f>IFERROR(Q238+Q240+Q241+Q242+Q243+Q244+Q245+Q246+Q247+Q248+Q249+Q250+Q251+Q252+Q253+Q254+Q255+Q256+Q257+Q258+Q259+Q260+Q261, "NA")</f>
        <v>76679.710000000006</v>
      </c>
      <c r="R263" s="15">
        <f>IFERROR(Q263/Q444, "NA")</f>
        <v>8.3623524856576065E-2</v>
      </c>
      <c r="S263" s="2"/>
      <c r="T263" s="14">
        <f>IFERROR(T238+T240+T241+T242+T243+T244+T245+T246+T247+T248+T249+T250+T251+T252+T253+T254+T255+T256+T257+T258+T259+T260+T261, "NA")</f>
        <v>63548.229999999996</v>
      </c>
      <c r="U263" s="15">
        <f>IFERROR(T263/T444, "NA")</f>
        <v>6.6785912179302562E-2</v>
      </c>
      <c r="V263" s="2"/>
      <c r="W263" s="14">
        <f t="shared" si="66"/>
        <v>-13131.48000000001</v>
      </c>
      <c r="X263" s="15">
        <f>IFERROR(W263/W444, "NA")</f>
        <v>0.37998269580792982</v>
      </c>
      <c r="Y263" s="2"/>
      <c r="Z263" s="14">
        <f>IFERROR(Z238+Z240+Z241+Z242+Z243+Z244+Z245+Z246+Z247+Z248+Z249+Z250+Z251+Z252+Z253+Z254+Z255+Z256+Z257+Z258+Z259+Z260+Z261, "NA")</f>
        <v>68691.16</v>
      </c>
      <c r="AA263" s="15">
        <f>IFERROR(Z263/Z444, "NA")</f>
        <v>7.5179360598789297E-2</v>
      </c>
      <c r="AB263" s="2"/>
      <c r="AC263" s="14">
        <f t="shared" si="67"/>
        <v>-7988.5500000000029</v>
      </c>
      <c r="AD263" s="15">
        <f>IFERROR(AC263/AC444, "NA")</f>
        <v>-2.4457265493688087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12503.17</v>
      </c>
      <c r="C265" s="8">
        <f>IFERROR(B265/B444, "NA")</f>
        <v>2.5944962317545252E-2</v>
      </c>
      <c r="D265" s="9"/>
      <c r="E265" s="7">
        <v>13014.619999999999</v>
      </c>
      <c r="F265" s="8">
        <f>IFERROR(E265/E444, "NA")</f>
        <v>2.5883604347124639E-2</v>
      </c>
      <c r="G265" s="9"/>
      <c r="H265" s="10">
        <f>IFERROR(-(B265-E265), "NA")</f>
        <v>511.44999999999891</v>
      </c>
      <c r="I265" s="8">
        <f>IFERROR(H265/H444, "NA")</f>
        <v>-2.446895033968036E-2</v>
      </c>
      <c r="J265" s="9"/>
      <c r="K265" s="7">
        <v>11282.939999999999</v>
      </c>
      <c r="L265" s="8">
        <f>IFERROR(K265/K444, "NA")</f>
        <v>2.3597485615245117E-2</v>
      </c>
      <c r="M265" s="9"/>
      <c r="N265" s="10">
        <f>IFERROR(-(B265-K265), "NA")</f>
        <v>-1220.2300000000014</v>
      </c>
      <c r="O265" s="8">
        <f>IFERROR(N265/N444, "NA")</f>
        <v>-0.32369762790278422</v>
      </c>
      <c r="P265" s="9"/>
      <c r="Q265" s="7">
        <v>23726.39</v>
      </c>
      <c r="R265" s="8">
        <f>IFERROR(Q265/Q444, "NA")</f>
        <v>2.5874959150495192E-2</v>
      </c>
      <c r="S265" s="9"/>
      <c r="T265" s="7">
        <v>24649.960000000003</v>
      </c>
      <c r="U265" s="8">
        <f>IFERROR(T265/T444, "NA")</f>
        <v>2.5905836618633143E-2</v>
      </c>
      <c r="V265" s="9"/>
      <c r="W265" s="10">
        <f>IFERROR(-(Q265-T265), "NA")</f>
        <v>923.57000000000335</v>
      </c>
      <c r="X265" s="8">
        <f>IFERROR(W265/W444, "NA")</f>
        <v>-2.6725138245447637E-2</v>
      </c>
      <c r="Y265" s="9"/>
      <c r="Z265" s="7">
        <v>21860.959999999999</v>
      </c>
      <c r="AA265" s="8">
        <f>IFERROR(Z265/Z444, "NA")</f>
        <v>2.3925829682825396E-2</v>
      </c>
      <c r="AB265" s="9"/>
      <c r="AC265" s="10">
        <f>IFERROR(-(Q265-Z265), "NA")</f>
        <v>-1865.4300000000003</v>
      </c>
      <c r="AD265" s="8">
        <f>IFERROR(AC265/AC444, "NA")</f>
        <v>-0.57110885917833099</v>
      </c>
    </row>
    <row r="266" spans="1:30" ht="16.5" customHeight="1" x14ac:dyDescent="0.45">
      <c r="A266" s="6" t="s">
        <v>242</v>
      </c>
      <c r="B266" s="7">
        <v>63.339999999999996</v>
      </c>
      <c r="C266" s="8">
        <f>IFERROR(B266/B444, "NA")</f>
        <v>1.3143498114424711E-4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-63.339999999999996</v>
      </c>
      <c r="I266" s="8">
        <f>IFERROR(H266/H444, "NA")</f>
        <v>3.0303320256434788E-3</v>
      </c>
      <c r="J266" s="9"/>
      <c r="K266" s="7">
        <v>44.62</v>
      </c>
      <c r="L266" s="8">
        <f>IFERROR(K266/K444, "NA")</f>
        <v>9.3319631953394879E-5</v>
      </c>
      <c r="M266" s="9"/>
      <c r="N266" s="10">
        <f>IFERROR(-(B266-K266), "NA")</f>
        <v>-18.72</v>
      </c>
      <c r="O266" s="8">
        <f>IFERROR(N266/N444, "NA")</f>
        <v>-4.9659651003008563E-3</v>
      </c>
      <c r="P266" s="9"/>
      <c r="Q266" s="7">
        <v>63.339999999999996</v>
      </c>
      <c r="R266" s="8">
        <f>IFERROR(Q266/Q444, "NA")</f>
        <v>6.9075822853470988E-5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-63.339999999999996</v>
      </c>
      <c r="X266" s="8">
        <f>IFERROR(W266/W444, "NA")</f>
        <v>1.8328553942491062E-3</v>
      </c>
      <c r="Y266" s="9"/>
      <c r="Z266" s="7">
        <v>44.62</v>
      </c>
      <c r="AA266" s="8">
        <f>IFERROR(Z266/Z444, "NA")</f>
        <v>4.8834567212403721E-5</v>
      </c>
      <c r="AB266" s="9"/>
      <c r="AC266" s="10">
        <f>IFERROR(-(Q266-Z266), "NA")</f>
        <v>-18.72</v>
      </c>
      <c r="AD266" s="8">
        <f>IFERROR(AC266/AC444, "NA")</f>
        <v>-5.7312029096875002E-3</v>
      </c>
    </row>
    <row r="267" spans="1:30" ht="16.5" customHeight="1" x14ac:dyDescent="0.45">
      <c r="A267" s="19" t="s">
        <v>243</v>
      </c>
      <c r="B267" s="14">
        <f>IFERROR(B265+B266, "NA")</f>
        <v>12566.51</v>
      </c>
      <c r="C267" s="15">
        <f>IFERROR(B267/B444, "NA")</f>
        <v>2.6076397298689501E-2</v>
      </c>
      <c r="D267" s="2"/>
      <c r="E267" s="14">
        <f>IFERROR(E265+E266, "NA")</f>
        <v>13014.619999999999</v>
      </c>
      <c r="F267" s="15">
        <f>IFERROR(E267/E444, "NA")</f>
        <v>2.5883604347124639E-2</v>
      </c>
      <c r="G267" s="2"/>
      <c r="H267" s="14">
        <f>IFERROR(-(B267-E267), "NA")</f>
        <v>448.10999999999876</v>
      </c>
      <c r="I267" s="15">
        <f>IFERROR(H267/H444, "NA")</f>
        <v>-2.1438618314036876E-2</v>
      </c>
      <c r="J267" s="2"/>
      <c r="K267" s="14">
        <f>IFERROR(K265+K266, "NA")</f>
        <v>11327.56</v>
      </c>
      <c r="L267" s="15">
        <f>IFERROR(K267/K444, "NA")</f>
        <v>2.3690805247198514E-2</v>
      </c>
      <c r="M267" s="2"/>
      <c r="N267" s="14">
        <f>IFERROR(-(B267-K267), "NA")</f>
        <v>-1238.9500000000007</v>
      </c>
      <c r="O267" s="15">
        <f>IFERROR(N267/N444, "NA")</f>
        <v>-0.32866359300308495</v>
      </c>
      <c r="P267" s="2"/>
      <c r="Q267" s="14">
        <f>IFERROR(Q265+Q266, "NA")</f>
        <v>23789.73</v>
      </c>
      <c r="R267" s="15">
        <f>IFERROR(Q267/Q444, "NA")</f>
        <v>2.5944034973348663E-2</v>
      </c>
      <c r="S267" s="2"/>
      <c r="T267" s="14">
        <f>IFERROR(T265+T266, "NA")</f>
        <v>24649.960000000003</v>
      </c>
      <c r="U267" s="15">
        <f>IFERROR(T267/T444, "NA")</f>
        <v>2.5905836618633143E-2</v>
      </c>
      <c r="V267" s="2"/>
      <c r="W267" s="14">
        <f>IFERROR(-(Q267-T267), "NA")</f>
        <v>860.2300000000032</v>
      </c>
      <c r="X267" s="15">
        <f>IFERROR(W267/W444, "NA")</f>
        <v>-2.4892282851198527E-2</v>
      </c>
      <c r="Y267" s="2"/>
      <c r="Z267" s="14">
        <f>IFERROR(Z265+Z266, "NA")</f>
        <v>21905.579999999998</v>
      </c>
      <c r="AA267" s="15">
        <f>IFERROR(Z267/Z444, "NA")</f>
        <v>2.3974664250037799E-2</v>
      </c>
      <c r="AB267" s="2"/>
      <c r="AC267" s="14">
        <f>IFERROR(-(Q267-Z267), "NA")</f>
        <v>-1884.1500000000015</v>
      </c>
      <c r="AD267" s="15">
        <f>IFERROR(AC267/AC444, "NA")</f>
        <v>-0.57684006208801886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1180.97</v>
      </c>
      <c r="C270" s="8">
        <f>IFERROR(B270/B444, "NA")</f>
        <v>2.4505963006302735E-3</v>
      </c>
      <c r="D270" s="9"/>
      <c r="E270" s="7">
        <v>1139.06</v>
      </c>
      <c r="F270" s="8">
        <f>IFERROR(E270/E444, "NA")</f>
        <v>2.2653737387365743E-3</v>
      </c>
      <c r="G270" s="9"/>
      <c r="H270" s="10">
        <f>IFERROR(-(B270-E270), "NA")</f>
        <v>-41.910000000000082</v>
      </c>
      <c r="I270" s="8">
        <f>IFERROR(H270/H444, "NA")</f>
        <v>2.0050712850444973E-3</v>
      </c>
      <c r="J270" s="9"/>
      <c r="K270" s="7">
        <v>1215.57</v>
      </c>
      <c r="L270" s="8">
        <f>IFERROR(K270/K444, "NA")</f>
        <v>2.5422802557953433E-3</v>
      </c>
      <c r="M270" s="9"/>
      <c r="N270" s="10">
        <f>IFERROR(-(B270-K270), "NA")</f>
        <v>34.599999999999909</v>
      </c>
      <c r="O270" s="8">
        <f>IFERROR(N270/N444, "NA")</f>
        <v>9.1785466063252774E-3</v>
      </c>
      <c r="P270" s="9"/>
      <c r="Q270" s="7">
        <v>2284.9900000000002</v>
      </c>
      <c r="R270" s="8">
        <f>IFERROR(Q270/Q444, "NA")</f>
        <v>2.4919097641609204E-3</v>
      </c>
      <c r="S270" s="9"/>
      <c r="T270" s="7">
        <v>2278.12</v>
      </c>
      <c r="U270" s="8">
        <f>IFERROR(T270/T444, "NA")</f>
        <v>2.3941866241422105E-3</v>
      </c>
      <c r="V270" s="9"/>
      <c r="W270" s="10">
        <f>IFERROR(-(Q270-T270), "NA")</f>
        <v>-6.8700000000003456</v>
      </c>
      <c r="X270" s="8">
        <f>IFERROR(W270/W444, "NA")</f>
        <v>1.9879565138130714E-4</v>
      </c>
      <c r="Y270" s="9"/>
      <c r="Z270" s="7">
        <v>2422.69</v>
      </c>
      <c r="AA270" s="8">
        <f>IFERROR(Z270/Z444, "NA")</f>
        <v>2.651524375612245E-3</v>
      </c>
      <c r="AB270" s="9"/>
      <c r="AC270" s="10">
        <f>IFERROR(-(Q270-Z270), "NA")</f>
        <v>137.69999999999982</v>
      </c>
      <c r="AD270" s="8">
        <f>IFERROR(AC270/AC444, "NA")</f>
        <v>4.2157406018374345E-2</v>
      </c>
    </row>
    <row r="271" spans="1:30" ht="16.5" customHeight="1" x14ac:dyDescent="0.45">
      <c r="A271" s="6" t="s">
        <v>246</v>
      </c>
      <c r="B271" s="7">
        <v>5008.0200000000004</v>
      </c>
      <c r="C271" s="8">
        <f>IFERROR(B271/B444, "NA")</f>
        <v>1.0391995804704965E-2</v>
      </c>
      <c r="D271" s="9"/>
      <c r="E271" s="7">
        <v>5130.2199999999993</v>
      </c>
      <c r="F271" s="8">
        <f>IFERROR(E271/E444, "NA")</f>
        <v>1.0203032028111904E-2</v>
      </c>
      <c r="G271" s="9"/>
      <c r="H271" s="10">
        <f>IFERROR(-(B271-E271), "NA")</f>
        <v>122.19999999999891</v>
      </c>
      <c r="I271" s="8">
        <f>IFERROR(H271/H444, "NA")</f>
        <v>-5.8463304946894511E-3</v>
      </c>
      <c r="J271" s="9"/>
      <c r="K271" s="7">
        <v>4841.3999999999996</v>
      </c>
      <c r="L271" s="8">
        <f>IFERROR(K271/K444, "NA")</f>
        <v>1.0125451952917211E-2</v>
      </c>
      <c r="M271" s="9"/>
      <c r="N271" s="10">
        <f>IFERROR(-(B271-K271), "NA")</f>
        <v>-166.6200000000008</v>
      </c>
      <c r="O271" s="8">
        <f>IFERROR(N271/N444, "NA")</f>
        <v>-4.4200272703639569E-2</v>
      </c>
      <c r="P271" s="9"/>
      <c r="Q271" s="7">
        <v>10092.84</v>
      </c>
      <c r="R271" s="8">
        <f>IFERROR(Q271/Q444, "NA")</f>
        <v>1.1006808145380898E-2</v>
      </c>
      <c r="S271" s="9"/>
      <c r="T271" s="7">
        <v>10260.439999999999</v>
      </c>
      <c r="U271" s="8">
        <f>IFERROR(T271/T444, "NA")</f>
        <v>1.078319324961534E-2</v>
      </c>
      <c r="V271" s="9"/>
      <c r="W271" s="10">
        <f>IFERROR(-(Q271-T271), "NA")</f>
        <v>167.59999999999854</v>
      </c>
      <c r="X271" s="8">
        <f>IFERROR(W271/W444, "NA")</f>
        <v>-4.8498036639745435E-3</v>
      </c>
      <c r="Y271" s="9"/>
      <c r="Z271" s="7">
        <v>9450.2599999999984</v>
      </c>
      <c r="AA271" s="8">
        <f>IFERROR(Z271/Z444, "NA")</f>
        <v>1.0342881155192522E-2</v>
      </c>
      <c r="AB271" s="9"/>
      <c r="AC271" s="10">
        <f>IFERROR(-(Q271-Z271), "NA")</f>
        <v>-642.58000000000175</v>
      </c>
      <c r="AD271" s="8">
        <f>IFERROR(AC271/AC444, "NA")</f>
        <v>-0.19672843833904935</v>
      </c>
    </row>
    <row r="272" spans="1:30" ht="16.5" customHeight="1" x14ac:dyDescent="0.45">
      <c r="A272" s="6" t="s">
        <v>247</v>
      </c>
      <c r="B272" s="7">
        <v>199.27</v>
      </c>
      <c r="C272" s="8">
        <f>IFERROR(B272/B444, "NA")</f>
        <v>4.134993478467655E-4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-199.27</v>
      </c>
      <c r="I272" s="8">
        <f>IFERROR(H272/H444, "NA")</f>
        <v>9.5335374605300931E-3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-199.27</v>
      </c>
      <c r="O272" s="8">
        <f>IFERROR(N272/N444, "NA")</f>
        <v>-5.2861531278683323E-2</v>
      </c>
      <c r="P272" s="9"/>
      <c r="Q272" s="7">
        <v>398.54</v>
      </c>
      <c r="R272" s="8">
        <f>IFERROR(Q272/Q444, "NA")</f>
        <v>4.3463022481879268E-4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-398.54</v>
      </c>
      <c r="X272" s="8">
        <f>IFERROR(W272/W444, "NA")</f>
        <v>1.1532462722198277E-2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-398.54</v>
      </c>
      <c r="AD272" s="8">
        <f>IFERROR(AC272/AC444, "NA")</f>
        <v>-0.12201461579203293</v>
      </c>
    </row>
    <row r="273" spans="1:30" ht="16.5" customHeight="1" x14ac:dyDescent="0.45">
      <c r="A273" s="19" t="s">
        <v>248</v>
      </c>
      <c r="B273" s="14">
        <f>IFERROR(B269+B270+B271+B272, "NA")</f>
        <v>6388.2600000000011</v>
      </c>
      <c r="C273" s="15">
        <f>IFERROR(B273/B444, "NA")</f>
        <v>1.3256091453182007E-2</v>
      </c>
      <c r="D273" s="2"/>
      <c r="E273" s="14">
        <f>IFERROR(E269+E270+E271+E272, "NA")</f>
        <v>6269.2799999999988</v>
      </c>
      <c r="F273" s="15">
        <f>IFERROR(E273/E444, "NA")</f>
        <v>1.2468405766848477E-2</v>
      </c>
      <c r="G273" s="2"/>
      <c r="H273" s="14">
        <f>IFERROR(-(B273-E273), "NA")</f>
        <v>-118.98000000000229</v>
      </c>
      <c r="I273" s="15">
        <f>IFERROR(H273/H444, "NA")</f>
        <v>5.6922782508851922E-3</v>
      </c>
      <c r="J273" s="2"/>
      <c r="K273" s="14">
        <f>IFERROR(K269+K270+K271+K272, "NA")</f>
        <v>6056.9699999999993</v>
      </c>
      <c r="L273" s="15">
        <f>IFERROR(K273/K444, "NA")</f>
        <v>1.2667732208712553E-2</v>
      </c>
      <c r="M273" s="2"/>
      <c r="N273" s="14">
        <f>IFERROR(-(B273-K273), "NA")</f>
        <v>-331.29000000000178</v>
      </c>
      <c r="O273" s="15">
        <f>IFERROR(N273/N444, "NA")</f>
        <v>-8.788325737599785E-2</v>
      </c>
      <c r="P273" s="2"/>
      <c r="Q273" s="14">
        <f>IFERROR(Q269+Q270+Q271+Q272, "NA")</f>
        <v>12776.37</v>
      </c>
      <c r="R273" s="15">
        <f>IFERROR(Q273/Q444, "NA")</f>
        <v>1.3933348134360611E-2</v>
      </c>
      <c r="S273" s="2"/>
      <c r="T273" s="14">
        <f>IFERROR(T269+T270+T271+T272, "NA")</f>
        <v>12538.559999999998</v>
      </c>
      <c r="U273" s="15">
        <f>IFERROR(T273/T444, "NA")</f>
        <v>1.317737987375755E-2</v>
      </c>
      <c r="V273" s="2"/>
      <c r="W273" s="14">
        <f>IFERROR(-(Q273-T273), "NA")</f>
        <v>-237.81000000000313</v>
      </c>
      <c r="X273" s="15">
        <f>IFERROR(W273/W444, "NA")</f>
        <v>6.8814547096050791E-3</v>
      </c>
      <c r="Y273" s="2"/>
      <c r="Z273" s="14">
        <f>IFERROR(Z269+Z270+Z271+Z272, "NA")</f>
        <v>11872.949999999999</v>
      </c>
      <c r="AA273" s="15">
        <f>IFERROR(Z273/Z444, "NA")</f>
        <v>1.2994405530804767E-2</v>
      </c>
      <c r="AB273" s="2"/>
      <c r="AC273" s="14">
        <f>IFERROR(-(Q273-Z273), "NA")</f>
        <v>-903.42000000000189</v>
      </c>
      <c r="AD273" s="15">
        <f>IFERROR(AC273/AC444, "NA")</f>
        <v>-0.27658564811270792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1067.5899999999999</v>
      </c>
      <c r="C287" s="8">
        <f>IFERROR(B287/B444, "NA")</f>
        <v>2.2153247792830247E-3</v>
      </c>
      <c r="D287" s="9"/>
      <c r="E287" s="7">
        <v>971</v>
      </c>
      <c r="F287" s="8">
        <f>IFERROR(E287/E444, "NA")</f>
        <v>1.9311343566741116E-3</v>
      </c>
      <c r="G287" s="9"/>
      <c r="H287" s="10">
        <f t="shared" si="72"/>
        <v>-96.589999999999918</v>
      </c>
      <c r="I287" s="8">
        <f>IFERROR(H287/H444, "NA")</f>
        <v>4.6210888910152102E-3</v>
      </c>
      <c r="J287" s="9"/>
      <c r="K287" s="7">
        <v>970.53</v>
      </c>
      <c r="L287" s="8">
        <f>IFERROR(K287/K444, "NA")</f>
        <v>2.0297961093619079E-3</v>
      </c>
      <c r="M287" s="9"/>
      <c r="N287" s="10">
        <f t="shared" si="73"/>
        <v>-97.059999999999945</v>
      </c>
      <c r="O287" s="8">
        <f>IFERROR(N287/N444, "NA")</f>
        <v>-2.5747680162136799E-2</v>
      </c>
      <c r="P287" s="9"/>
      <c r="Q287" s="7">
        <v>2135.1799999999998</v>
      </c>
      <c r="R287" s="8">
        <f>IFERROR(Q287/Q444, "NA")</f>
        <v>2.3285335560510605E-3</v>
      </c>
      <c r="S287" s="9"/>
      <c r="T287" s="7">
        <v>1942</v>
      </c>
      <c r="U287" s="8">
        <f>IFERROR(T287/T444, "NA")</f>
        <v>2.0409418397995599E-3</v>
      </c>
      <c r="V287" s="9"/>
      <c r="W287" s="10">
        <f t="shared" si="74"/>
        <v>-193.17999999999984</v>
      </c>
      <c r="X287" s="8">
        <f>IFERROR(W287/W444, "NA")</f>
        <v>5.5900063950275036E-3</v>
      </c>
      <c r="Y287" s="9"/>
      <c r="Z287" s="7">
        <v>1941.06</v>
      </c>
      <c r="AA287" s="8">
        <f>IFERROR(Z287/Z444, "NA")</f>
        <v>2.124402174659533E-3</v>
      </c>
      <c r="AB287" s="9"/>
      <c r="AC287" s="10">
        <f t="shared" si="75"/>
        <v>-194.11999999999989</v>
      </c>
      <c r="AD287" s="8">
        <f>IFERROR(AC287/AC444, "NA")</f>
        <v>-5.9430614787849195E-2</v>
      </c>
    </row>
    <row r="288" spans="1:30" ht="16.5" customHeight="1" x14ac:dyDescent="0.45">
      <c r="A288" s="6" t="s">
        <v>261</v>
      </c>
      <c r="B288" s="7">
        <v>839.23</v>
      </c>
      <c r="C288" s="8">
        <f>IFERROR(B288/B444, "NA")</f>
        <v>1.7414616233925879E-3</v>
      </c>
      <c r="D288" s="9"/>
      <c r="E288" s="7">
        <v>843</v>
      </c>
      <c r="F288" s="8">
        <f>IFERROR(E288/E444, "NA")</f>
        <v>1.6765666968859693E-3</v>
      </c>
      <c r="G288" s="9"/>
      <c r="H288" s="10">
        <f t="shared" si="72"/>
        <v>3.7699999999999818</v>
      </c>
      <c r="I288" s="8">
        <f>IFERROR(H288/H444, "NA")</f>
        <v>-1.8036551526169658E-4</v>
      </c>
      <c r="J288" s="9"/>
      <c r="K288" s="7">
        <v>949.95</v>
      </c>
      <c r="L288" s="8">
        <f>IFERROR(K288/K444, "NA")</f>
        <v>1.9867544682682088E-3</v>
      </c>
      <c r="M288" s="9"/>
      <c r="N288" s="10">
        <f t="shared" si="73"/>
        <v>110.72000000000003</v>
      </c>
      <c r="O288" s="8">
        <f>IFERROR(N288/N444, "NA")</f>
        <v>2.937134914024097E-2</v>
      </c>
      <c r="P288" s="9"/>
      <c r="Q288" s="7">
        <v>1678.46</v>
      </c>
      <c r="R288" s="8">
        <f>IFERROR(Q288/Q444, "NA")</f>
        <v>1.830454777812392E-3</v>
      </c>
      <c r="S288" s="9"/>
      <c r="T288" s="7">
        <v>1686</v>
      </c>
      <c r="U288" s="8">
        <f>IFERROR(T288/T444, "NA")</f>
        <v>1.7718990432039432E-3</v>
      </c>
      <c r="V288" s="9"/>
      <c r="W288" s="10">
        <f t="shared" si="74"/>
        <v>7.5399999999999636</v>
      </c>
      <c r="X288" s="8">
        <f>IFERROR(W288/W444, "NA")</f>
        <v>-2.1818329132677921E-4</v>
      </c>
      <c r="Y288" s="9"/>
      <c r="Z288" s="7">
        <v>1899.88</v>
      </c>
      <c r="AA288" s="8">
        <f>IFERROR(Z288/Z444, "NA")</f>
        <v>2.0793325314993633E-3</v>
      </c>
      <c r="AB288" s="9"/>
      <c r="AC288" s="10">
        <f t="shared" si="75"/>
        <v>221.42000000000007</v>
      </c>
      <c r="AD288" s="8">
        <f>IFERROR(AC288/AC444, "NA")</f>
        <v>6.7788619031143527E-2</v>
      </c>
    </row>
    <row r="289" spans="1:30" ht="16.5" customHeight="1" x14ac:dyDescent="0.45">
      <c r="A289" s="6" t="s">
        <v>262</v>
      </c>
      <c r="B289" s="7">
        <v>1151.1199999999999</v>
      </c>
      <c r="C289" s="8">
        <f>IFERROR(B289/B444, "NA")</f>
        <v>2.3886554388185305E-3</v>
      </c>
      <c r="D289" s="9"/>
      <c r="E289" s="7">
        <v>1149</v>
      </c>
      <c r="F289" s="8">
        <f>IFERROR(E289/E444, "NA")</f>
        <v>2.2851425085669971E-3</v>
      </c>
      <c r="G289" s="9"/>
      <c r="H289" s="10">
        <f t="shared" si="72"/>
        <v>-2.1199999999998909</v>
      </c>
      <c r="I289" s="8">
        <f>IFERROR(H289/H444, "NA")</f>
        <v>1.0142570088986177E-4</v>
      </c>
      <c r="J289" s="9"/>
      <c r="K289" s="7">
        <v>1005.15</v>
      </c>
      <c r="L289" s="8">
        <f>IFERROR(K289/K444, "NA")</f>
        <v>2.1022014356332332E-3</v>
      </c>
      <c r="M289" s="9"/>
      <c r="N289" s="10">
        <f t="shared" si="73"/>
        <v>-145.96999999999991</v>
      </c>
      <c r="O289" s="8">
        <f>IFERROR(N289/N444, "NA")</f>
        <v>-3.8722325090326686E-2</v>
      </c>
      <c r="P289" s="9"/>
      <c r="Q289" s="7">
        <v>2287.4</v>
      </c>
      <c r="R289" s="8">
        <f>IFERROR(Q289/Q444, "NA")</f>
        <v>2.4945380043421145E-3</v>
      </c>
      <c r="S289" s="9"/>
      <c r="T289" s="7">
        <v>2298</v>
      </c>
      <c r="U289" s="8">
        <f>IFERROR(T289/T444, "NA")</f>
        <v>2.415079478815339E-3</v>
      </c>
      <c r="V289" s="9"/>
      <c r="W289" s="10">
        <f t="shared" si="74"/>
        <v>10.599999999999909</v>
      </c>
      <c r="X289" s="8">
        <f>IFERROR(W289/W444, "NA")</f>
        <v>-3.0672982600316327E-4</v>
      </c>
      <c r="Y289" s="9"/>
      <c r="Z289" s="7">
        <v>1996.0600000000002</v>
      </c>
      <c r="AA289" s="8">
        <f>IFERROR(Z289/Z444, "NA")</f>
        <v>2.1845971813086191E-3</v>
      </c>
      <c r="AB289" s="9"/>
      <c r="AC289" s="10">
        <f t="shared" si="75"/>
        <v>-291.33999999999992</v>
      </c>
      <c r="AD289" s="8">
        <f>IFERROR(AC289/AC444, "NA")</f>
        <v>-8.9194906822027561E-2</v>
      </c>
    </row>
    <row r="290" spans="1:30" ht="16.5" customHeight="1" x14ac:dyDescent="0.45">
      <c r="A290" s="6" t="s">
        <v>263</v>
      </c>
      <c r="B290" s="7">
        <v>1373.6999999999998</v>
      </c>
      <c r="C290" s="8">
        <f>IFERROR(B290/B444, "NA")</f>
        <v>2.8505246857886369E-3</v>
      </c>
      <c r="D290" s="9"/>
      <c r="E290" s="7">
        <v>2639.68</v>
      </c>
      <c r="F290" s="8">
        <f>IFERROR(E290/E444, "NA")</f>
        <v>5.249821563980967E-3</v>
      </c>
      <c r="G290" s="9"/>
      <c r="H290" s="10">
        <f t="shared" si="72"/>
        <v>1265.98</v>
      </c>
      <c r="I290" s="8">
        <f>IFERROR(H290/H444, "NA")</f>
        <v>-6.0567409817242367E-2</v>
      </c>
      <c r="J290" s="9"/>
      <c r="K290" s="7">
        <v>4995.9100000000008</v>
      </c>
      <c r="L290" s="8">
        <f>IFERROR(K290/K444, "NA")</f>
        <v>1.0448598890010872E-2</v>
      </c>
      <c r="M290" s="9"/>
      <c r="N290" s="10">
        <f t="shared" si="73"/>
        <v>3622.2100000000009</v>
      </c>
      <c r="O290" s="8">
        <f>IFERROR(N290/N444, "NA")</f>
        <v>0.96088506655773342</v>
      </c>
      <c r="P290" s="9"/>
      <c r="Q290" s="7">
        <v>5851.37</v>
      </c>
      <c r="R290" s="8">
        <f>IFERROR(Q290/Q444, "NA")</f>
        <v>6.3812471987703583E-3</v>
      </c>
      <c r="S290" s="9"/>
      <c r="T290" s="7">
        <v>4977.6399999999994</v>
      </c>
      <c r="U290" s="8">
        <f>IFERROR(T290/T444, "NA")</f>
        <v>5.2312429142429865E-3</v>
      </c>
      <c r="V290" s="9"/>
      <c r="W290" s="10">
        <f t="shared" si="74"/>
        <v>-873.73000000000047</v>
      </c>
      <c r="X290" s="8">
        <f>IFERROR(W290/W444, "NA")</f>
        <v>2.5282929327711912E-2</v>
      </c>
      <c r="Y290" s="9"/>
      <c r="Z290" s="7">
        <v>7781.51</v>
      </c>
      <c r="AA290" s="8">
        <f>IFERROR(Z290/Z444, "NA")</f>
        <v>8.5165099307259462E-3</v>
      </c>
      <c r="AB290" s="9"/>
      <c r="AC290" s="10">
        <f t="shared" si="75"/>
        <v>1930.1400000000003</v>
      </c>
      <c r="AD290" s="8">
        <f>IFERROR(AC290/AC444, "NA")</f>
        <v>0.59092008462095269</v>
      </c>
    </row>
    <row r="291" spans="1:30" ht="16.5" customHeight="1" x14ac:dyDescent="0.45">
      <c r="A291" s="6" t="s">
        <v>264</v>
      </c>
      <c r="B291" s="7">
        <v>4965.9400000000005</v>
      </c>
      <c r="C291" s="8">
        <f>IFERROR(B291/B444, "NA")</f>
        <v>1.0304676827651762E-2</v>
      </c>
      <c r="D291" s="9"/>
      <c r="E291" s="7">
        <v>2674.22</v>
      </c>
      <c r="F291" s="8">
        <f>IFERROR(E291/E444, "NA")</f>
        <v>5.318515055926923E-3</v>
      </c>
      <c r="G291" s="9"/>
      <c r="H291" s="10">
        <f t="shared" si="72"/>
        <v>-2291.7200000000007</v>
      </c>
      <c r="I291" s="8">
        <f>IFERROR(H291/H444, "NA")</f>
        <v>0.10964118266194627</v>
      </c>
      <c r="J291" s="9"/>
      <c r="K291" s="7">
        <v>4981.6500000000005</v>
      </c>
      <c r="L291" s="8">
        <f>IFERROR(K291/K444, "NA")</f>
        <v>1.041877509010824E-2</v>
      </c>
      <c r="M291" s="9"/>
      <c r="N291" s="10">
        <f t="shared" si="73"/>
        <v>15.710000000000036</v>
      </c>
      <c r="O291" s="8">
        <f>IFERROR(N291/N444, "NA")</f>
        <v>4.1674846007332608E-3</v>
      </c>
      <c r="P291" s="9"/>
      <c r="Q291" s="7">
        <v>12374.999999999998</v>
      </c>
      <c r="R291" s="8">
        <f>IFERROR(Q291/Q444, "NA")</f>
        <v>1.3495631635802073E-2</v>
      </c>
      <c r="S291" s="9"/>
      <c r="T291" s="7">
        <v>5020.3999999999996</v>
      </c>
      <c r="U291" s="8">
        <f>IFERROR(T291/T444, "NA")</f>
        <v>5.2761814688618482E-3</v>
      </c>
      <c r="V291" s="9"/>
      <c r="W291" s="10">
        <f t="shared" si="74"/>
        <v>-7354.5999999999985</v>
      </c>
      <c r="X291" s="8">
        <f>IFERROR(W291/W444, "NA")</f>
        <v>0.21281841304932864</v>
      </c>
      <c r="Y291" s="9"/>
      <c r="Z291" s="7">
        <v>10650.71</v>
      </c>
      <c r="AA291" s="8">
        <f>IFERROR(Z291/Z444, "NA")</f>
        <v>1.1656719259408794E-2</v>
      </c>
      <c r="AB291" s="9"/>
      <c r="AC291" s="10">
        <f t="shared" si="75"/>
        <v>-1724.2899999999991</v>
      </c>
      <c r="AD291" s="8">
        <f>IFERROR(AC291/AC444, "NA")</f>
        <v>-0.52789828339450073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748.83999999999992</v>
      </c>
      <c r="F292" s="8">
        <f>IFERROR(E292/E444, "NA")</f>
        <v>1.4893003621543168E-3</v>
      </c>
      <c r="G292" s="9"/>
      <c r="H292" s="10">
        <f t="shared" si="72"/>
        <v>748.83999999999992</v>
      </c>
      <c r="I292" s="8">
        <f>IFERROR(H292/H444, "NA")</f>
        <v>-3.5826236723758488E-2</v>
      </c>
      <c r="J292" s="9"/>
      <c r="K292" s="7">
        <v>1703.69</v>
      </c>
      <c r="L292" s="8">
        <f>IFERROR(K292/K444, "NA")</f>
        <v>3.5631493447485286E-3</v>
      </c>
      <c r="M292" s="9"/>
      <c r="N292" s="10">
        <f t="shared" si="73"/>
        <v>1703.69</v>
      </c>
      <c r="O292" s="8">
        <f>IFERROR(N292/N444, "NA")</f>
        <v>0.45194792103266918</v>
      </c>
      <c r="P292" s="9"/>
      <c r="Q292" s="7">
        <v>394.79</v>
      </c>
      <c r="R292" s="8">
        <f>IFERROR(Q292/Q444, "NA")</f>
        <v>4.3054063947461024E-4</v>
      </c>
      <c r="S292" s="9"/>
      <c r="T292" s="7">
        <v>1396.8899999999999</v>
      </c>
      <c r="U292" s="8">
        <f>IFERROR(T292/T444, "NA")</f>
        <v>1.4680593442830108E-3</v>
      </c>
      <c r="V292" s="9"/>
      <c r="W292" s="10">
        <f t="shared" si="74"/>
        <v>1002.0999999999999</v>
      </c>
      <c r="X292" s="8">
        <f>IFERROR(W292/W444, "NA")</f>
        <v>-2.8997543267714389E-2</v>
      </c>
      <c r="Y292" s="9"/>
      <c r="Z292" s="7">
        <v>1703.69</v>
      </c>
      <c r="AA292" s="8">
        <f>IFERROR(Z292/Z444, "NA")</f>
        <v>1.8646114705087426E-3</v>
      </c>
      <c r="AB292" s="9"/>
      <c r="AC292" s="10">
        <f t="shared" si="75"/>
        <v>1308.9000000000001</v>
      </c>
      <c r="AD292" s="8">
        <f>IFERROR(AC292/AC444, "NA")</f>
        <v>0.40072497267574625</v>
      </c>
    </row>
    <row r="293" spans="1:30" ht="16.5" customHeight="1" x14ac:dyDescent="0.45">
      <c r="A293" s="6" t="s">
        <v>266</v>
      </c>
      <c r="B293" s="7">
        <v>851.73</v>
      </c>
      <c r="C293" s="8">
        <f>IFERROR(B293/B444, "NA")</f>
        <v>1.7674000077358637E-3</v>
      </c>
      <c r="D293" s="9"/>
      <c r="E293" s="7">
        <v>705.95</v>
      </c>
      <c r="F293" s="8">
        <f>IFERROR(E293/E444, "NA")</f>
        <v>1.4040003080268684E-3</v>
      </c>
      <c r="G293" s="9"/>
      <c r="H293" s="10">
        <f t="shared" si="72"/>
        <v>-145.77999999999997</v>
      </c>
      <c r="I293" s="8">
        <f>IFERROR(H293/H444, "NA")</f>
        <v>6.9744522055305699E-3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-851.73</v>
      </c>
      <c r="O293" s="8">
        <f>IFERROR(N293/N444, "NA")</f>
        <v>-0.22594345378628466</v>
      </c>
      <c r="P293" s="9"/>
      <c r="Q293" s="7">
        <v>851.73</v>
      </c>
      <c r="R293" s="8">
        <f>IFERROR(Q293/Q444, "NA")</f>
        <v>9.2885934005347082E-4</v>
      </c>
      <c r="S293" s="9"/>
      <c r="T293" s="7">
        <v>1326.7099999999998</v>
      </c>
      <c r="U293" s="8">
        <f>IFERROR(T293/T444, "NA")</f>
        <v>1.3943037838725404E-3</v>
      </c>
      <c r="V293" s="9"/>
      <c r="W293" s="10">
        <f t="shared" si="74"/>
        <v>474.97999999999979</v>
      </c>
      <c r="X293" s="8">
        <f>IFERROR(W293/W444, "NA")</f>
        <v>-1.374438988254563E-2</v>
      </c>
      <c r="Y293" s="9"/>
      <c r="Z293" s="7">
        <v>369.93</v>
      </c>
      <c r="AA293" s="8">
        <f>IFERROR(Z293/Z444, "NA")</f>
        <v>4.0487161472175056E-4</v>
      </c>
      <c r="AB293" s="9"/>
      <c r="AC293" s="10">
        <f t="shared" si="75"/>
        <v>-481.8</v>
      </c>
      <c r="AD293" s="8">
        <f>IFERROR(AC293/AC444, "NA")</f>
        <v>-0.14750499796407252</v>
      </c>
    </row>
    <row r="294" spans="1:30" ht="16.5" customHeight="1" x14ac:dyDescent="0.45">
      <c r="A294" s="6" t="s">
        <v>267</v>
      </c>
      <c r="B294" s="7">
        <v>1590.49</v>
      </c>
      <c r="C294" s="8">
        <f>IFERROR(B294/B444, "NA")</f>
        <v>3.300379273130938E-3</v>
      </c>
      <c r="D294" s="9"/>
      <c r="E294" s="7">
        <v>1784</v>
      </c>
      <c r="F294" s="8">
        <f>IFERROR(E294/E444, "NA")</f>
        <v>3.548036758297235E-3</v>
      </c>
      <c r="G294" s="9"/>
      <c r="H294" s="10">
        <f t="shared" si="72"/>
        <v>193.51</v>
      </c>
      <c r="I294" s="8">
        <f>IFERROR(H294/H444, "NA")</f>
        <v>-9.257965744904794E-3</v>
      </c>
      <c r="J294" s="9"/>
      <c r="K294" s="7">
        <v>1328.35</v>
      </c>
      <c r="L294" s="8">
        <f>IFERROR(K294/K444, "NA")</f>
        <v>2.7781517952777252E-3</v>
      </c>
      <c r="M294" s="9"/>
      <c r="N294" s="10">
        <f t="shared" si="73"/>
        <v>-262.1400000000001</v>
      </c>
      <c r="O294" s="8">
        <f>IFERROR(N294/N444, "NA")</f>
        <v>-6.9539427959020669E-2</v>
      </c>
      <c r="P294" s="9"/>
      <c r="Q294" s="7">
        <v>3180.9300000000003</v>
      </c>
      <c r="R294" s="8">
        <f>IFERROR(Q294/Q444, "NA")</f>
        <v>3.4689825890320725E-3</v>
      </c>
      <c r="S294" s="9"/>
      <c r="T294" s="7">
        <v>3568</v>
      </c>
      <c r="U294" s="8">
        <f>IFERROR(T294/T444, "NA")</f>
        <v>3.7497839775514053E-3</v>
      </c>
      <c r="V294" s="9"/>
      <c r="W294" s="10">
        <f t="shared" si="74"/>
        <v>387.06999999999971</v>
      </c>
      <c r="X294" s="8">
        <f>IFERROR(W294/W444, "NA")</f>
        <v>-1.1200557901042012E-2</v>
      </c>
      <c r="Y294" s="9"/>
      <c r="Z294" s="7">
        <v>3031.63</v>
      </c>
      <c r="AA294" s="8">
        <f>IFERROR(Z294/Z444, "NA")</f>
        <v>3.3179816001375952E-3</v>
      </c>
      <c r="AB294" s="9"/>
      <c r="AC294" s="10">
        <f t="shared" si="75"/>
        <v>-149.30000000000018</v>
      </c>
      <c r="AD294" s="8">
        <f>IFERROR(AC294/AC444, "NA")</f>
        <v>-4.5708792436770555E-2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11839.8</v>
      </c>
      <c r="C295" s="15">
        <f>IFERROR(B295/B444, "NA")</f>
        <v>2.4568422635801342E-2</v>
      </c>
      <c r="D295" s="2"/>
      <c r="E295" s="14">
        <f>IFERROR(E286+E287+E288+E289+E290+E291+E292+E293+E294, "NA")</f>
        <v>11515.69</v>
      </c>
      <c r="F295" s="15">
        <f>IFERROR(E295/E444, "NA")</f>
        <v>2.2902517610513391E-2</v>
      </c>
      <c r="G295" s="2"/>
      <c r="H295" s="14">
        <f t="shared" si="72"/>
        <v>-324.10999999999876</v>
      </c>
      <c r="I295" s="15">
        <f>IFERROR(H295/H444, "NA")</f>
        <v>1.5506171658214466E-2</v>
      </c>
      <c r="J295" s="2"/>
      <c r="K295" s="14">
        <f>IFERROR(K286+K287+K288+K289+K290+K291+K292+K293+K294, "NA")</f>
        <v>15935.230000000003</v>
      </c>
      <c r="L295" s="15">
        <f>IFERROR(K295/K444, "NA")</f>
        <v>3.3327427133408721E-2</v>
      </c>
      <c r="M295" s="2"/>
      <c r="N295" s="14">
        <f t="shared" si="73"/>
        <v>4095.4300000000039</v>
      </c>
      <c r="O295" s="15">
        <f>IFERROR(N295/N444, "NA")</f>
        <v>1.0864189343336088</v>
      </c>
      <c r="P295" s="2"/>
      <c r="Q295" s="14">
        <f>IFERROR(Q286+Q287+Q288+Q289+Q290+Q291+Q292+Q293+Q294, "NA")</f>
        <v>28754.859999999997</v>
      </c>
      <c r="R295" s="15">
        <f>IFERROR(Q295/Q444, "NA")</f>
        <v>3.135878774133815E-2</v>
      </c>
      <c r="S295" s="2"/>
      <c r="T295" s="14">
        <f>IFERROR(T286+T287+T288+T289+T290+T291+T292+T293+T294, "NA")</f>
        <v>22215.64</v>
      </c>
      <c r="U295" s="15">
        <f>IFERROR(T295/T444, "NA")</f>
        <v>2.3347491850630633E-2</v>
      </c>
      <c r="V295" s="2"/>
      <c r="W295" s="14">
        <f t="shared" si="74"/>
        <v>-6539.2199999999975</v>
      </c>
      <c r="X295" s="15">
        <f>IFERROR(W295/W444, "NA")</f>
        <v>0.189223944603436</v>
      </c>
      <c r="Y295" s="2"/>
      <c r="Z295" s="14">
        <f>IFERROR(Z286+Z287+Z288+Z289+Z290+Z291+Z292+Z293+Z294, "NA")</f>
        <v>29374.47</v>
      </c>
      <c r="AA295" s="15">
        <f>IFERROR(Z295/Z444, "NA")</f>
        <v>3.2149025762970344E-2</v>
      </c>
      <c r="AB295" s="2"/>
      <c r="AC295" s="14">
        <f t="shared" si="75"/>
        <v>619.61000000000422</v>
      </c>
      <c r="AD295" s="15">
        <f>IFERROR(AC295/AC444, "NA")</f>
        <v>0.18969608092262266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2216.8100000000004</v>
      </c>
      <c r="C299" s="8">
        <f>IFERROR(B299/B444, "NA")</f>
        <v>4.6000375836813788E-3</v>
      </c>
      <c r="D299" s="9"/>
      <c r="E299" s="7">
        <v>2209</v>
      </c>
      <c r="F299" s="8">
        <f>IFERROR(E299/E444, "NA")</f>
        <v>4.3932809411875518E-3</v>
      </c>
      <c r="G299" s="9"/>
      <c r="H299" s="10">
        <f t="shared" si="76"/>
        <v>-7.8100000000004002</v>
      </c>
      <c r="I299" s="8">
        <f>IFERROR(H299/H444, "NA")</f>
        <v>3.7364845469334995E-4</v>
      </c>
      <c r="J299" s="9"/>
      <c r="K299" s="7">
        <v>1687.01</v>
      </c>
      <c r="L299" s="8">
        <f>IFERROR(K299/K444, "NA")</f>
        <v>3.5282642828708363E-3</v>
      </c>
      <c r="M299" s="9"/>
      <c r="N299" s="10">
        <f t="shared" si="77"/>
        <v>-529.80000000000041</v>
      </c>
      <c r="O299" s="8">
        <f>IFERROR(N299/N444, "NA")</f>
        <v>-0.1405431789604378</v>
      </c>
      <c r="P299" s="9"/>
      <c r="Q299" s="7">
        <v>4441.83</v>
      </c>
      <c r="R299" s="8">
        <f>IFERROR(Q299/Q444, "NA")</f>
        <v>4.8440647651599783E-3</v>
      </c>
      <c r="S299" s="9"/>
      <c r="T299" s="7">
        <v>4418</v>
      </c>
      <c r="U299" s="8">
        <f>IFERROR(T299/T444, "NA")</f>
        <v>4.6430901381227883E-3</v>
      </c>
      <c r="V299" s="9"/>
      <c r="W299" s="10">
        <f t="shared" si="78"/>
        <v>-23.829999999999927</v>
      </c>
      <c r="X299" s="8">
        <f>IFERROR(W299/W444, "NA")</f>
        <v>6.8956337298636046E-4</v>
      </c>
      <c r="Y299" s="9"/>
      <c r="Z299" s="7">
        <v>3773.73</v>
      </c>
      <c r="AA299" s="8">
        <f>IFERROR(Z299/Z444, "NA")</f>
        <v>4.1301764080337137E-3</v>
      </c>
      <c r="AB299" s="9"/>
      <c r="AC299" s="10">
        <f t="shared" si="79"/>
        <v>-668.09999999999991</v>
      </c>
      <c r="AD299" s="8">
        <f>IFERROR(AC299/AC444, "NA")</f>
        <v>-0.20454148845952022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186.68</v>
      </c>
      <c r="C304" s="8">
        <f>IFERROR(B304/B444, "NA")</f>
        <v>3.8737420713621807E-4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-186.68</v>
      </c>
      <c r="I304" s="8">
        <f>IFERROR(H304/H444, "NA")</f>
        <v>8.9312027557171565E-3</v>
      </c>
      <c r="J304" s="9"/>
      <c r="K304" s="7">
        <v>197.01</v>
      </c>
      <c r="L304" s="8">
        <f>IFERROR(K304/K444, "NA")</f>
        <v>4.1203273624245464E-4</v>
      </c>
      <c r="M304" s="9"/>
      <c r="N304" s="10">
        <f t="shared" si="77"/>
        <v>10.329999999999984</v>
      </c>
      <c r="O304" s="8">
        <f>IFERROR(N304/N444, "NA")</f>
        <v>2.7403001862237055E-3</v>
      </c>
      <c r="P304" s="9"/>
      <c r="Q304" s="7">
        <v>186.68</v>
      </c>
      <c r="R304" s="8">
        <f>IFERROR(Q304/Q444, "NA")</f>
        <v>2.0358501121386113E-4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-186.68</v>
      </c>
      <c r="X304" s="8">
        <f>IFERROR(W304/W444, "NA")</f>
        <v>5.4019173507802842E-3</v>
      </c>
      <c r="Y304" s="9"/>
      <c r="Z304" s="7">
        <v>197.01</v>
      </c>
      <c r="AA304" s="8">
        <f>IFERROR(Z304/Z444, "NA")</f>
        <v>2.1561851381702503E-4</v>
      </c>
      <c r="AB304" s="9"/>
      <c r="AC304" s="10">
        <f t="shared" si="79"/>
        <v>10.329999999999984</v>
      </c>
      <c r="AD304" s="8">
        <f>IFERROR(AC304/AC444, "NA")</f>
        <v>3.16257083638204E-3</v>
      </c>
    </row>
    <row r="305" spans="1:30" ht="16.5" customHeight="1" x14ac:dyDescent="0.45">
      <c r="A305" s="6" t="s">
        <v>277</v>
      </c>
      <c r="B305" s="7">
        <v>50.9</v>
      </c>
      <c r="C305" s="8">
        <f>IFERROR(B305/B444, "NA")</f>
        <v>1.0562110104581905E-4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-50.9</v>
      </c>
      <c r="I305" s="8">
        <f>IFERROR(H305/H444, "NA")</f>
        <v>2.4351736675916179E-3</v>
      </c>
      <c r="J305" s="9"/>
      <c r="K305" s="7">
        <v>20.59</v>
      </c>
      <c r="L305" s="8">
        <f>IFERROR(K305/K444, "NA")</f>
        <v>4.3062555399381456E-5</v>
      </c>
      <c r="M305" s="9"/>
      <c r="N305" s="10">
        <f t="shared" si="77"/>
        <v>-30.31</v>
      </c>
      <c r="O305" s="8">
        <f>IFERROR(N305/N444, "NA")</f>
        <v>-8.0405129375063552E-3</v>
      </c>
      <c r="P305" s="9"/>
      <c r="Q305" s="7">
        <v>74.97</v>
      </c>
      <c r="R305" s="8">
        <f>IFERROR(Q305/Q444, "NA")</f>
        <v>8.175899020089548E-5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-74.97</v>
      </c>
      <c r="X305" s="8">
        <f>IFERROR(W305/W444, "NA")</f>
        <v>2.1693900995714476E-3</v>
      </c>
      <c r="Y305" s="9"/>
      <c r="Z305" s="7">
        <v>35.590000000000003</v>
      </c>
      <c r="AA305" s="8">
        <f>IFERROR(Z305/Z444, "NA")</f>
        <v>3.8951641575290196E-5</v>
      </c>
      <c r="AB305" s="9"/>
      <c r="AC305" s="10">
        <f t="shared" si="79"/>
        <v>-39.379999999999995</v>
      </c>
      <c r="AD305" s="8">
        <f>IFERROR(AC305/AC444, "NA")</f>
        <v>-1.2056344582451589E-2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747.66000000000008</v>
      </c>
      <c r="C310" s="8">
        <f>IFERROR(B310/B444, "NA")</f>
        <v>1.5514473950474868E-3</v>
      </c>
      <c r="D310" s="9"/>
      <c r="E310" s="7">
        <v>275</v>
      </c>
      <c r="F310" s="8">
        <f>IFERROR(E310/E444, "NA")</f>
        <v>5.4692270657608717E-4</v>
      </c>
      <c r="G310" s="9"/>
      <c r="H310" s="10">
        <f t="shared" si="76"/>
        <v>-472.66000000000008</v>
      </c>
      <c r="I310" s="8">
        <f>IFERROR(H310/H444, "NA")</f>
        <v>2.2613147067266293E-2</v>
      </c>
      <c r="J310" s="9"/>
      <c r="K310" s="7">
        <v>65.86</v>
      </c>
      <c r="L310" s="8">
        <f>IFERROR(K310/K444, "NA")</f>
        <v>1.3774161722211086E-4</v>
      </c>
      <c r="M310" s="9"/>
      <c r="N310" s="10">
        <f t="shared" si="77"/>
        <v>-681.80000000000007</v>
      </c>
      <c r="O310" s="8">
        <f>IFERROR(N310/N444, "NA")</f>
        <v>-0.18086511780903441</v>
      </c>
      <c r="P310" s="9"/>
      <c r="Q310" s="7">
        <v>1016.2</v>
      </c>
      <c r="R310" s="8">
        <f>IFERROR(Q310/Q444, "NA")</f>
        <v>1.1082231004688541E-3</v>
      </c>
      <c r="S310" s="9"/>
      <c r="T310" s="7">
        <v>550</v>
      </c>
      <c r="U310" s="8">
        <f>IFERROR(T310/T444, "NA")</f>
        <v>5.780216333108949E-4</v>
      </c>
      <c r="V310" s="9"/>
      <c r="W310" s="10">
        <f t="shared" si="78"/>
        <v>-466.20000000000005</v>
      </c>
      <c r="X310" s="8">
        <f>IFERROR(W310/W444, "NA")</f>
        <v>1.3490324988931693E-2</v>
      </c>
      <c r="Y310" s="9"/>
      <c r="Z310" s="7">
        <v>97.43</v>
      </c>
      <c r="AA310" s="8">
        <f>IFERROR(Z310/Z444, "NA")</f>
        <v>1.0663271814218949E-4</v>
      </c>
      <c r="AB310" s="9"/>
      <c r="AC310" s="10">
        <f t="shared" si="79"/>
        <v>-918.77</v>
      </c>
      <c r="AD310" s="8">
        <f>IFERROR(AC310/AC444, "NA")</f>
        <v>-0.28128511203705048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167.48</v>
      </c>
      <c r="L311" s="8">
        <f>IFERROR(K311/K444, "NA")</f>
        <v>3.5027279156330286E-4</v>
      </c>
      <c r="M311" s="9"/>
      <c r="N311" s="10">
        <f t="shared" si="77"/>
        <v>167.48</v>
      </c>
      <c r="O311" s="8">
        <f>IFERROR(N311/N444, "NA")</f>
        <v>4.4428409989230096E-2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167.48</v>
      </c>
      <c r="AA311" s="8">
        <f>IFERROR(Z311/Z444, "NA")</f>
        <v>1.8329926751979773E-4</v>
      </c>
      <c r="AB311" s="9"/>
      <c r="AC311" s="10">
        <f t="shared" si="79"/>
        <v>167.48</v>
      </c>
      <c r="AD311" s="8">
        <f>IFERROR(AC311/AC444, "NA")</f>
        <v>5.1274672185601632E-2</v>
      </c>
    </row>
    <row r="312" spans="1:30" ht="16.5" customHeight="1" x14ac:dyDescent="0.45">
      <c r="A312" s="6" t="s">
        <v>284</v>
      </c>
      <c r="B312" s="7">
        <v>1349.13</v>
      </c>
      <c r="C312" s="8">
        <f>IFERROR(B312/B444, "NA")</f>
        <v>2.7995401975234946E-3</v>
      </c>
      <c r="D312" s="9"/>
      <c r="E312" s="7">
        <v>175</v>
      </c>
      <c r="F312" s="8">
        <f>IFERROR(E312/E444, "NA")</f>
        <v>3.4804172236660094E-4</v>
      </c>
      <c r="G312" s="9"/>
      <c r="H312" s="10">
        <f t="shared" si="76"/>
        <v>-1174.1300000000001</v>
      </c>
      <c r="I312" s="8">
        <f>IFERROR(H312/H444, "NA")</f>
        <v>5.6173093483877147E-2</v>
      </c>
      <c r="J312" s="9"/>
      <c r="K312" s="7">
        <v>601.84999999999991</v>
      </c>
      <c r="L312" s="8">
        <f>IFERROR(K312/K444, "NA")</f>
        <v>1.2587274874753631E-3</v>
      </c>
      <c r="M312" s="9"/>
      <c r="N312" s="10">
        <f t="shared" si="77"/>
        <v>-747.2800000000002</v>
      </c>
      <c r="O312" s="8">
        <f>IFERROR(N312/N444, "NA")</f>
        <v>-0.19823538462354834</v>
      </c>
      <c r="P312" s="9"/>
      <c r="Q312" s="7">
        <v>2645.6299999999997</v>
      </c>
      <c r="R312" s="8">
        <f>IFERROR(Q312/Q444, "NA")</f>
        <v>2.8852079131011748E-3</v>
      </c>
      <c r="S312" s="9"/>
      <c r="T312" s="7">
        <v>350</v>
      </c>
      <c r="U312" s="8">
        <f>IFERROR(T312/T444, "NA")</f>
        <v>3.6783194847056949E-4</v>
      </c>
      <c r="V312" s="9"/>
      <c r="W312" s="10">
        <f t="shared" si="78"/>
        <v>-2295.6299999999997</v>
      </c>
      <c r="X312" s="8">
        <f>IFERROR(W312/W444, "NA")</f>
        <v>6.6428131176193173E-2</v>
      </c>
      <c r="Y312" s="9"/>
      <c r="Z312" s="7">
        <v>978.84</v>
      </c>
      <c r="AA312" s="8">
        <f>IFERROR(Z312/Z444, "NA")</f>
        <v>1.0712960056071103E-3</v>
      </c>
      <c r="AB312" s="9"/>
      <c r="AC312" s="10">
        <f t="shared" si="79"/>
        <v>-1666.7899999999995</v>
      </c>
      <c r="AD312" s="8">
        <f>IFERROR(AC312/AC444, "NA")</f>
        <v>-0.5102944283033134</v>
      </c>
    </row>
    <row r="313" spans="1:30" ht="16.5" customHeight="1" x14ac:dyDescent="0.45">
      <c r="A313" s="6" t="s">
        <v>285</v>
      </c>
      <c r="B313" s="7">
        <v>324</v>
      </c>
      <c r="C313" s="8">
        <f>IFERROR(B313/B444, "NA")</f>
        <v>6.723229221777087E-4</v>
      </c>
      <c r="D313" s="9"/>
      <c r="E313" s="7">
        <v>310</v>
      </c>
      <c r="F313" s="8">
        <f>IFERROR(E313/E444, "NA")</f>
        <v>6.1653105104940745E-4</v>
      </c>
      <c r="G313" s="9"/>
      <c r="H313" s="10">
        <f t="shared" si="76"/>
        <v>-14</v>
      </c>
      <c r="I313" s="8">
        <f>IFERROR(H313/H444, "NA")</f>
        <v>6.6979236436704619E-4</v>
      </c>
      <c r="J313" s="9"/>
      <c r="K313" s="7">
        <v>277.05</v>
      </c>
      <c r="L313" s="8">
        <f>IFERROR(K313/K444, "NA")</f>
        <v>5.7943083892174037E-4</v>
      </c>
      <c r="M313" s="9"/>
      <c r="N313" s="10">
        <f t="shared" si="77"/>
        <v>-46.949999999999989</v>
      </c>
      <c r="O313" s="8">
        <f>IFERROR(N313/N444, "NA")</f>
        <v>-1.2454704137773781E-2</v>
      </c>
      <c r="P313" s="9"/>
      <c r="Q313" s="7">
        <v>570.6</v>
      </c>
      <c r="R313" s="8">
        <f>IFERROR(Q313/Q444, "NA")</f>
        <v>6.2227130597080119E-4</v>
      </c>
      <c r="S313" s="9"/>
      <c r="T313" s="7">
        <v>620</v>
      </c>
      <c r="U313" s="8">
        <f>IFERROR(T313/T444, "NA")</f>
        <v>6.5158802300500874E-4</v>
      </c>
      <c r="V313" s="9"/>
      <c r="W313" s="10">
        <f t="shared" si="78"/>
        <v>49.399999999999977</v>
      </c>
      <c r="X313" s="8">
        <f>IFERROR(W313/W444, "NA")</f>
        <v>-1.4294767362789044E-3</v>
      </c>
      <c r="Y313" s="9"/>
      <c r="Z313" s="7">
        <v>572.04999999999995</v>
      </c>
      <c r="AA313" s="8">
        <f>IFERROR(Z313/Z444, "NA")</f>
        <v>6.2608279188380877E-4</v>
      </c>
      <c r="AB313" s="9"/>
      <c r="AC313" s="10">
        <f t="shared" si="79"/>
        <v>1.4499999999999318</v>
      </c>
      <c r="AD313" s="8">
        <f>IFERROR(AC313/AC444, "NA")</f>
        <v>4.4392330229949168E-4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1690.37</v>
      </c>
      <c r="C315" s="8">
        <f>IFERROR(B315/B444, "NA")</f>
        <v>3.5076373393874488E-3</v>
      </c>
      <c r="D315" s="9"/>
      <c r="E315" s="7">
        <v>1304.01</v>
      </c>
      <c r="F315" s="8">
        <f>IFERROR(E315/E444, "NA")</f>
        <v>2.5934279221901217E-3</v>
      </c>
      <c r="G315" s="9"/>
      <c r="H315" s="10">
        <f t="shared" si="76"/>
        <v>-386.3599999999999</v>
      </c>
      <c r="I315" s="8">
        <f>IFERROR(H315/H444, "NA")</f>
        <v>1.8484355564060851E-2</v>
      </c>
      <c r="J315" s="9"/>
      <c r="K315" s="7">
        <v>1249.6300000000001</v>
      </c>
      <c r="L315" s="8">
        <f>IFERROR(K315/K444, "NA")</f>
        <v>2.6135143809484728E-3</v>
      </c>
      <c r="M315" s="9"/>
      <c r="N315" s="10">
        <f t="shared" si="77"/>
        <v>-440.73999999999978</v>
      </c>
      <c r="O315" s="8">
        <f>IFERROR(N315/N444, "NA")</f>
        <v>-0.11691770610612172</v>
      </c>
      <c r="P315" s="9"/>
      <c r="Q315" s="7">
        <v>3380.74</v>
      </c>
      <c r="R315" s="8">
        <f>IFERROR(Q315/Q444, "NA")</f>
        <v>3.6868866017310308E-3</v>
      </c>
      <c r="S315" s="9"/>
      <c r="T315" s="7">
        <v>2494.83</v>
      </c>
      <c r="U315" s="8">
        <f>IFERROR(T315/T444, "NA")</f>
        <v>2.6219376571509452E-3</v>
      </c>
      <c r="V315" s="9"/>
      <c r="W315" s="10">
        <f t="shared" si="78"/>
        <v>-885.90999999999985</v>
      </c>
      <c r="X315" s="8">
        <f>IFERROR(W315/W444, "NA")</f>
        <v>2.5635379259855155E-2</v>
      </c>
      <c r="Y315" s="9"/>
      <c r="Z315" s="7">
        <v>2499.2600000000002</v>
      </c>
      <c r="AA315" s="8">
        <f>IFERROR(Z315/Z444, "NA")</f>
        <v>2.735326769414436E-3</v>
      </c>
      <c r="AB315" s="9"/>
      <c r="AC315" s="10">
        <f t="shared" si="79"/>
        <v>-881.47999999999956</v>
      </c>
      <c r="AD315" s="8">
        <f>IFERROR(AC315/AC444, "NA")</f>
        <v>-0.26986862931791322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1319.75</v>
      </c>
      <c r="C318" s="8">
        <f>IFERROR(B318/B444, "NA")</f>
        <v>2.7385746189630589E-3</v>
      </c>
      <c r="D318" s="9"/>
      <c r="E318" s="7">
        <v>1321</v>
      </c>
      <c r="F318" s="8">
        <f>IFERROR(E318/E444, "NA")</f>
        <v>2.6272178014073136E-3</v>
      </c>
      <c r="G318" s="9"/>
      <c r="H318" s="10">
        <f t="shared" si="76"/>
        <v>1.25</v>
      </c>
      <c r="I318" s="8">
        <f>IFERROR(H318/H444, "NA")</f>
        <v>-5.9802889675629128E-5</v>
      </c>
      <c r="J318" s="9"/>
      <c r="K318" s="7">
        <v>1319.75</v>
      </c>
      <c r="L318" s="8">
        <f>IFERROR(K318/K444, "NA")</f>
        <v>2.7601654923911454E-3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2639.5</v>
      </c>
      <c r="R318" s="8">
        <f>IFERROR(Q318/Q444, "NA")</f>
        <v>2.8785228042585518E-3</v>
      </c>
      <c r="S318" s="9"/>
      <c r="T318" s="7">
        <v>2642</v>
      </c>
      <c r="U318" s="8">
        <f>IFERROR(T318/T444, "NA")</f>
        <v>2.776605736740699E-3</v>
      </c>
      <c r="V318" s="9"/>
      <c r="W318" s="10">
        <f t="shared" si="78"/>
        <v>2.5</v>
      </c>
      <c r="X318" s="8">
        <f>IFERROR(W318/W444, "NA")</f>
        <v>-7.2341940095086295E-5</v>
      </c>
      <c r="Y318" s="9"/>
      <c r="Z318" s="7">
        <v>2639.5</v>
      </c>
      <c r="AA318" s="8">
        <f>IFERROR(Z318/Z444, "NA")</f>
        <v>2.8888130918229408E-3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1269.7199999999998</v>
      </c>
      <c r="C319" s="8">
        <f>IFERROR(B319/B444, "NA")</f>
        <v>2.6347588294675312E-3</v>
      </c>
      <c r="D319" s="9"/>
      <c r="E319" s="7">
        <v>1241</v>
      </c>
      <c r="F319" s="8">
        <f>IFERROR(E319/E444, "NA")</f>
        <v>2.4681130140397243E-3</v>
      </c>
      <c r="G319" s="9"/>
      <c r="H319" s="10">
        <f t="shared" si="76"/>
        <v>-28.7199999999998</v>
      </c>
      <c r="I319" s="8">
        <f>IFERROR(H319/H444, "NA")</f>
        <v>1.3740311931872452E-3</v>
      </c>
      <c r="J319" s="9"/>
      <c r="K319" s="7">
        <v>1139.44</v>
      </c>
      <c r="L319" s="8">
        <f>IFERROR(K319/K444, "NA")</f>
        <v>2.3830596466377471E-3</v>
      </c>
      <c r="M319" s="9"/>
      <c r="N319" s="10">
        <f t="shared" si="77"/>
        <v>-130.27999999999975</v>
      </c>
      <c r="O319" s="8">
        <f>IFERROR(N319/N444, "NA")</f>
        <v>-3.4560146007862946E-2</v>
      </c>
      <c r="P319" s="9"/>
      <c r="Q319" s="7">
        <v>2539.58</v>
      </c>
      <c r="R319" s="8">
        <f>IFERROR(Q319/Q444, "NA")</f>
        <v>2.7695544395676956E-3</v>
      </c>
      <c r="S319" s="9"/>
      <c r="T319" s="7">
        <v>2482</v>
      </c>
      <c r="U319" s="8">
        <f>IFERROR(T319/T444, "NA")</f>
        <v>2.6084539888684382E-3</v>
      </c>
      <c r="V319" s="9"/>
      <c r="W319" s="10">
        <f t="shared" si="78"/>
        <v>-57.579999999999927</v>
      </c>
      <c r="X319" s="8">
        <f>IFERROR(W319/W444, "NA")</f>
        <v>1.6661795642700255E-3</v>
      </c>
      <c r="Y319" s="9"/>
      <c r="Z319" s="7">
        <v>2259.9</v>
      </c>
      <c r="AA319" s="8">
        <f>IFERROR(Z319/Z444, "NA")</f>
        <v>2.4733581004776147E-3</v>
      </c>
      <c r="AB319" s="9"/>
      <c r="AC319" s="10">
        <f t="shared" si="79"/>
        <v>-279.67999999999984</v>
      </c>
      <c r="AD319" s="8">
        <f>IFERROR(AC319/AC444, "NA")</f>
        <v>-8.5625151163536278E-2</v>
      </c>
    </row>
    <row r="320" spans="1:30" ht="16.5" customHeight="1" x14ac:dyDescent="0.45">
      <c r="A320" s="6" t="s">
        <v>292</v>
      </c>
      <c r="B320" s="7">
        <v>5856.2900000000009</v>
      </c>
      <c r="C320" s="8">
        <f>IFERROR(B320/B444, "NA")</f>
        <v>1.2152216067654611E-2</v>
      </c>
      <c r="D320" s="9"/>
      <c r="E320" s="7">
        <v>5783</v>
      </c>
      <c r="F320" s="8">
        <f>IFERROR(E320/E444, "NA")</f>
        <v>1.150128731683459E-2</v>
      </c>
      <c r="G320" s="9"/>
      <c r="H320" s="10">
        <f t="shared" si="76"/>
        <v>-73.290000000000873</v>
      </c>
      <c r="I320" s="8">
        <f>IFERROR(H320/H444, "NA")</f>
        <v>3.5063630274615289E-3</v>
      </c>
      <c r="J320" s="9"/>
      <c r="K320" s="7">
        <v>5142.4099999999989</v>
      </c>
      <c r="L320" s="8">
        <f>IFERROR(K320/K444, "NA")</f>
        <v>1.0754993468253189E-2</v>
      </c>
      <c r="M320" s="9"/>
      <c r="N320" s="10">
        <f t="shared" si="77"/>
        <v>-713.88000000000193</v>
      </c>
      <c r="O320" s="8">
        <f>IFERROR(N320/N444, "NA")</f>
        <v>-0.18937516911339664</v>
      </c>
      <c r="P320" s="9"/>
      <c r="Q320" s="7">
        <v>12813.01</v>
      </c>
      <c r="R320" s="8">
        <f>IFERROR(Q320/Q444, "NA")</f>
        <v>1.3973306109563504E-2</v>
      </c>
      <c r="S320" s="9"/>
      <c r="T320" s="7">
        <v>11566</v>
      </c>
      <c r="U320" s="8">
        <f>IFERROR(T320/T444, "NA")</f>
        <v>1.2155269474316019E-2</v>
      </c>
      <c r="V320" s="9"/>
      <c r="W320" s="10">
        <f t="shared" si="78"/>
        <v>-1247.0100000000002</v>
      </c>
      <c r="X320" s="8">
        <f>IFERROR(W320/W444, "NA")</f>
        <v>3.6084449087189434E-2</v>
      </c>
      <c r="Y320" s="9"/>
      <c r="Z320" s="7">
        <v>10284.82</v>
      </c>
      <c r="AA320" s="8">
        <f>IFERROR(Z320/Z444, "NA")</f>
        <v>1.1256269241539087E-2</v>
      </c>
      <c r="AB320" s="9"/>
      <c r="AC320" s="10">
        <f t="shared" si="79"/>
        <v>-2528.1900000000005</v>
      </c>
      <c r="AD320" s="8">
        <f>IFERROR(AC320/AC444, "NA")</f>
        <v>-0.77401548526938269</v>
      </c>
    </row>
    <row r="321" spans="1:30" ht="16.5" customHeight="1" x14ac:dyDescent="0.45">
      <c r="A321" s="6" t="s">
        <v>293</v>
      </c>
      <c r="B321" s="7">
        <v>4125.47</v>
      </c>
      <c r="C321" s="8">
        <f>IFERROR(B321/B444, "NA")</f>
        <v>8.5606421165323205E-3</v>
      </c>
      <c r="D321" s="9"/>
      <c r="E321" s="7">
        <v>6505.6</v>
      </c>
      <c r="F321" s="8">
        <f>IFERROR(E321/E444, "NA")</f>
        <v>1.2938401308732339E-2</v>
      </c>
      <c r="G321" s="9"/>
      <c r="H321" s="10">
        <f t="shared" si="76"/>
        <v>2380.13</v>
      </c>
      <c r="I321" s="8">
        <f>IFERROR(H321/H444, "NA")</f>
        <v>-0.11387092144292413</v>
      </c>
      <c r="J321" s="9"/>
      <c r="K321" s="7">
        <v>10715.890000000001</v>
      </c>
      <c r="L321" s="8">
        <f>IFERROR(K321/K444, "NA")</f>
        <v>2.2411539911543363E-2</v>
      </c>
      <c r="M321" s="9"/>
      <c r="N321" s="10">
        <f t="shared" si="77"/>
        <v>6590.420000000001</v>
      </c>
      <c r="O321" s="8">
        <f>IFERROR(N321/N444, "NA")</f>
        <v>1.7482796857011098</v>
      </c>
      <c r="P321" s="9"/>
      <c r="Q321" s="7">
        <v>9433.5</v>
      </c>
      <c r="R321" s="8">
        <f>IFERROR(Q321/Q444, "NA")</f>
        <v>1.0287760891825364E-2</v>
      </c>
      <c r="S321" s="9"/>
      <c r="T321" s="7">
        <v>11872.09</v>
      </c>
      <c r="U321" s="8">
        <f>IFERROR(T321/T444, "NA")</f>
        <v>1.2476954277479895E-2</v>
      </c>
      <c r="V321" s="9"/>
      <c r="W321" s="10">
        <f t="shared" si="78"/>
        <v>2438.59</v>
      </c>
      <c r="X321" s="8">
        <f>IFERROR(W321/W444, "NA")</f>
        <v>-7.0564932678590597E-2</v>
      </c>
      <c r="Y321" s="9"/>
      <c r="Z321" s="7">
        <v>23139.65</v>
      </c>
      <c r="AA321" s="8">
        <f>IFERROR(Z321/Z444, "NA")</f>
        <v>2.5325297920136661E-2</v>
      </c>
      <c r="AB321" s="9"/>
      <c r="AC321" s="10">
        <f t="shared" si="79"/>
        <v>13706.150000000001</v>
      </c>
      <c r="AD321" s="8">
        <f>IFERROR(AC321/AC444, "NA")</f>
        <v>4.1961926688361828</v>
      </c>
    </row>
    <row r="322" spans="1:30" ht="16.5" customHeight="1" x14ac:dyDescent="0.45">
      <c r="A322" s="6" t="s">
        <v>294</v>
      </c>
      <c r="B322" s="7">
        <v>1381.8799999999999</v>
      </c>
      <c r="C322" s="8">
        <f>IFERROR(B322/B444, "NA")</f>
        <v>2.8674987645028764E-3</v>
      </c>
      <c r="D322" s="9"/>
      <c r="E322" s="7">
        <v>1413</v>
      </c>
      <c r="F322" s="8">
        <f>IFERROR(E322/E444, "NA")</f>
        <v>2.8101883068800408E-3</v>
      </c>
      <c r="G322" s="9"/>
      <c r="H322" s="10">
        <f t="shared" si="76"/>
        <v>31.120000000000118</v>
      </c>
      <c r="I322" s="8">
        <f>IFERROR(H322/H444, "NA")</f>
        <v>-1.4888527413644684E-3</v>
      </c>
      <c r="J322" s="9"/>
      <c r="K322" s="7">
        <v>1718.16</v>
      </c>
      <c r="L322" s="8">
        <f>IFERROR(K322/K444, "NA")</f>
        <v>3.5934123450704833E-3</v>
      </c>
      <c r="M322" s="9"/>
      <c r="N322" s="10">
        <f t="shared" si="77"/>
        <v>336.2800000000002</v>
      </c>
      <c r="O322" s="8">
        <f>IFERROR(N322/N444, "NA")</f>
        <v>8.9206984184250701E-2</v>
      </c>
      <c r="P322" s="9"/>
      <c r="Q322" s="7">
        <v>3076.71</v>
      </c>
      <c r="R322" s="8">
        <f>IFERROR(Q322/Q444, "NA")</f>
        <v>3.3553248331465537E-3</v>
      </c>
      <c r="S322" s="9"/>
      <c r="T322" s="7">
        <v>2826</v>
      </c>
      <c r="U322" s="8">
        <f>IFERROR(T322/T444, "NA")</f>
        <v>2.9699802467937982E-3</v>
      </c>
      <c r="V322" s="9"/>
      <c r="W322" s="10">
        <f t="shared" si="78"/>
        <v>-250.71000000000004</v>
      </c>
      <c r="X322" s="8">
        <f>IFERROR(W322/W444, "NA")</f>
        <v>7.2547391204956348E-3</v>
      </c>
      <c r="Y322" s="9"/>
      <c r="Z322" s="7">
        <v>2794.26</v>
      </c>
      <c r="AA322" s="8">
        <f>IFERROR(Z322/Z444, "NA")</f>
        <v>3.0581908959868048E-3</v>
      </c>
      <c r="AB322" s="9"/>
      <c r="AC322" s="10">
        <f t="shared" si="79"/>
        <v>-282.44999999999982</v>
      </c>
      <c r="AD322" s="8">
        <f>IFERROR(AC322/AC444, "NA")</f>
        <v>-8.6473197747929137E-2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0.01</v>
      </c>
      <c r="R323" s="8">
        <f>IFERROR(Q323/Q444, "NA")</f>
        <v>1.0905560917819858E-8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-0.01</v>
      </c>
      <c r="X323" s="8">
        <f>IFERROR(W323/W444, "NA")</f>
        <v>2.8936776038034519E-7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-0.01</v>
      </c>
      <c r="AD323" s="8">
        <f>IFERROR(AC323/AC444, "NA")</f>
        <v>-3.0615400158587074E-6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20518.660000000003</v>
      </c>
      <c r="C324" s="15">
        <f>IFERROR(B324/B444, "NA")</f>
        <v>4.2577671143119958E-2</v>
      </c>
      <c r="D324" s="2"/>
      <c r="E324" s="14">
        <f>IFERROR(E297+E298+E299+E300+E301+E302+E303+E304+E305+E306+E307+E308+E309+E310+E311+E312+E313+E314+E315+E316+E317+E318+E319+E320+E321+E322+E323, "NA")</f>
        <v>20536.61</v>
      </c>
      <c r="F324" s="15">
        <f>IFERROR(E324/E444, "NA")</f>
        <v>4.0843412091263777E-2</v>
      </c>
      <c r="G324" s="2"/>
      <c r="H324" s="14">
        <f t="shared" si="76"/>
        <v>17.94999999999709</v>
      </c>
      <c r="I324" s="15">
        <f>IFERROR(H324/H444, "NA")</f>
        <v>-8.5876949574189502E-4</v>
      </c>
      <c r="J324" s="2"/>
      <c r="K324" s="14">
        <f>IFERROR(K297+K298+K299+K300+K301+K302+K303+K304+K305+K306+K307+K308+K309+K310+K311+K312+K313+K314+K315+K316+K317+K318+K319+K320+K321+K322+K323, "NA")</f>
        <v>24302.13</v>
      </c>
      <c r="L324" s="15">
        <f>IFERROR(K324/K444, "NA")</f>
        <v>5.0826217554539588E-2</v>
      </c>
      <c r="M324" s="2"/>
      <c r="N324" s="14">
        <f t="shared" si="77"/>
        <v>3783.4699999999975</v>
      </c>
      <c r="O324" s="15">
        <f>IFERROR(N324/N444, "NA")</f>
        <v>1.003663460365132</v>
      </c>
      <c r="P324" s="2"/>
      <c r="Q324" s="14">
        <f>IFERROR(Q297+Q298+Q299+Q300+Q301+Q302+Q303+Q304+Q305+Q306+Q307+Q308+Q309+Q310+Q311+Q312+Q313+Q314+Q315+Q316+Q317+Q318+Q319+Q320+Q321+Q322+Q323, "NA")</f>
        <v>42818.96</v>
      </c>
      <c r="R324" s="15">
        <f>IFERROR(Q324/Q444, "NA")</f>
        <v>4.6696477671769182E-2</v>
      </c>
      <c r="S324" s="2"/>
      <c r="T324" s="14">
        <f>IFERROR(T297+T298+T299+T300+T301+T302+T303+T304+T305+T306+T307+T308+T309+T310+T311+T312+T313+T314+T315+T316+T317+T318+T319+T320+T321+T322+T323, "NA")</f>
        <v>39820.92</v>
      </c>
      <c r="U324" s="15">
        <f>IFERROR(T324/T444, "NA")</f>
        <v>4.1849733124259055E-2</v>
      </c>
      <c r="V324" s="2"/>
      <c r="W324" s="14">
        <f t="shared" si="78"/>
        <v>-2998.0400000000009</v>
      </c>
      <c r="X324" s="15">
        <f>IFERROR(W324/W444, "NA")</f>
        <v>8.6753612033069027E-2</v>
      </c>
      <c r="Y324" s="2"/>
      <c r="Z324" s="14">
        <f>IFERROR(Z297+Z298+Z299+Z300+Z301+Z302+Z303+Z304+Z305+Z306+Z307+Z308+Z309+Z310+Z311+Z312+Z313+Z314+Z315+Z316+Z317+Z318+Z319+Z320+Z321+Z322+Z323, "NA")</f>
        <v>49439.520000000004</v>
      </c>
      <c r="AA324" s="15">
        <f>IFERROR(Z324/Z444, "NA")</f>
        <v>5.410931336595648E-2</v>
      </c>
      <c r="AB324" s="2"/>
      <c r="AC324" s="14">
        <f t="shared" si="79"/>
        <v>6620.5600000000049</v>
      </c>
      <c r="AD324" s="15">
        <f>IFERROR(AC324/AC444, "NA")</f>
        <v>2.0269109367393541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136524.57999999999</v>
      </c>
      <c r="C325" s="15">
        <f>IFERROR(B325/B444, "NA")</f>
        <v>0.28329816226754428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122129.18999999997</v>
      </c>
      <c r="F325" s="15">
        <f>IFERROR(E325/E444, "NA")</f>
        <v>0.24289173507907341</v>
      </c>
      <c r="G325" s="2"/>
      <c r="H325" s="14">
        <f t="shared" si="76"/>
        <v>-14395.390000000014</v>
      </c>
      <c r="I325" s="15">
        <f>IFERROR(H325/H444, "NA")</f>
        <v>0.68870873600612448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146415.15</v>
      </c>
      <c r="L325" s="15">
        <f>IFERROR(K325/K444, "NA")</f>
        <v>0.30621712035860837</v>
      </c>
      <c r="M325" s="2"/>
      <c r="N325" s="14">
        <f t="shared" si="77"/>
        <v>9890.570000000007</v>
      </c>
      <c r="O325" s="15">
        <f>IFERROR(N325/N444, "NA")</f>
        <v>2.6237299915642458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260048.90999999997</v>
      </c>
      <c r="R325" s="15">
        <f>IFERROR(Q325/Q444, "NA")</f>
        <v>0.28359792296176534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233386.81999999995</v>
      </c>
      <c r="U325" s="15">
        <f>IFERROR(T325/T444, "NA")</f>
        <v>0.24527751070842874</v>
      </c>
      <c r="V325" s="2"/>
      <c r="W325" s="14">
        <f t="shared" si="78"/>
        <v>-26662.090000000026</v>
      </c>
      <c r="X325" s="15">
        <f>IFERROR(W325/W444, "NA")</f>
        <v>0.77151492703592051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277806.39</v>
      </c>
      <c r="AA325" s="15">
        <f>IFERROR(Z325/Z444, "NA")</f>
        <v>0.30404649987651822</v>
      </c>
      <c r="AB325" s="2"/>
      <c r="AC325" s="14">
        <f t="shared" si="79"/>
        <v>17757.48000000004</v>
      </c>
      <c r="AD325" s="15">
        <f>IFERROR(AC325/AC444, "NA")</f>
        <v>5.4365235600810804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60203.63</v>
      </c>
      <c r="C329" s="8">
        <f>IFERROR(B329/B444, "NA")</f>
        <v>0.12492679150402952</v>
      </c>
      <c r="D329" s="9"/>
      <c r="E329" s="7">
        <v>60203.63</v>
      </c>
      <c r="F329" s="8">
        <f>IFERROR(E329/E444, "NA")</f>
        <v>0.11973357187383753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52829.58</v>
      </c>
      <c r="L329" s="8">
        <f>IFERROR(K329/K444, "NA")</f>
        <v>0.11048939851753545</v>
      </c>
      <c r="M329" s="9"/>
      <c r="N329" s="10">
        <f t="shared" si="81"/>
        <v>-7374.0499999999956</v>
      </c>
      <c r="O329" s="8">
        <f>IFERROR(N329/N444, "NA")</f>
        <v>-1.9561578497795677</v>
      </c>
      <c r="P329" s="9"/>
      <c r="Q329" s="7">
        <v>120407.26</v>
      </c>
      <c r="R329" s="8">
        <f>IFERROR(Q329/Q444, "NA")</f>
        <v>0.13131087088777743</v>
      </c>
      <c r="S329" s="9"/>
      <c r="T329" s="7">
        <v>120407.26</v>
      </c>
      <c r="U329" s="8">
        <f>IFERROR(T329/T444, "NA")</f>
        <v>0.1265418201594356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105659.16</v>
      </c>
      <c r="AA329" s="8">
        <f>IFERROR(Z329/Z444, "NA")</f>
        <v>0.11563916070430567</v>
      </c>
      <c r="AB329" s="9"/>
      <c r="AC329" s="10">
        <f t="shared" si="83"/>
        <v>-14748.099999999991</v>
      </c>
      <c r="AD329" s="8">
        <f>IFERROR(AC329/AC444, "NA")</f>
        <v>-4.5151898307885778</v>
      </c>
    </row>
    <row r="330" spans="1:30" ht="16.5" customHeight="1" x14ac:dyDescent="0.45">
      <c r="A330" s="6" t="s">
        <v>301</v>
      </c>
      <c r="B330" s="7">
        <v>6433.13</v>
      </c>
      <c r="C330" s="8">
        <f>IFERROR(B330/B444, "NA")</f>
        <v>1.3349199877620626E-2</v>
      </c>
      <c r="D330" s="9"/>
      <c r="E330" s="7">
        <v>6433.13</v>
      </c>
      <c r="F330" s="8">
        <f>IFERROR(E330/E444, "NA")</f>
        <v>1.2794272259475725E-2</v>
      </c>
      <c r="G330" s="9"/>
      <c r="H330" s="10">
        <f t="shared" si="80"/>
        <v>0</v>
      </c>
      <c r="I330" s="8">
        <f>IFERROR(H330/H444, "NA")</f>
        <v>0</v>
      </c>
      <c r="J330" s="9"/>
      <c r="K330" s="7">
        <v>6225.6100000000006</v>
      </c>
      <c r="L330" s="8">
        <f>IFERROR(K330/K444, "NA")</f>
        <v>1.302043105973498E-2</v>
      </c>
      <c r="M330" s="9"/>
      <c r="N330" s="10">
        <f t="shared" si="81"/>
        <v>-207.51999999999953</v>
      </c>
      <c r="O330" s="8">
        <f>IFERROR(N330/N444, "NA")</f>
        <v>-5.5050057564873474E-2</v>
      </c>
      <c r="P330" s="9"/>
      <c r="Q330" s="7">
        <v>12866.26</v>
      </c>
      <c r="R330" s="8">
        <f>IFERROR(Q330/Q444, "NA")</f>
        <v>1.4031378221450895E-2</v>
      </c>
      <c r="S330" s="9"/>
      <c r="T330" s="7">
        <v>12866.26</v>
      </c>
      <c r="U330" s="8">
        <f>IFERROR(T330/T444, "NA")</f>
        <v>1.3521775672368426E-2</v>
      </c>
      <c r="V330" s="9"/>
      <c r="W330" s="10">
        <f t="shared" si="82"/>
        <v>0</v>
      </c>
      <c r="X330" s="8">
        <f>IFERROR(W330/W444, "NA")</f>
        <v>0</v>
      </c>
      <c r="Y330" s="9"/>
      <c r="Z330" s="7">
        <v>12451.220000000001</v>
      </c>
      <c r="AA330" s="8">
        <f>IFERROR(Z330/Z444, "NA")</f>
        <v>1.3627295830713256E-2</v>
      </c>
      <c r="AB330" s="9"/>
      <c r="AC330" s="10">
        <f t="shared" si="83"/>
        <v>-415.03999999999905</v>
      </c>
      <c r="AD330" s="8">
        <f>IFERROR(AC330/AC444, "NA")</f>
        <v>-0.12706615681819949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195.16</v>
      </c>
      <c r="C332" s="8">
        <f>IFERROR(B332/B444, "NA")</f>
        <v>4.0497080707469635E-4</v>
      </c>
      <c r="D332" s="9"/>
      <c r="E332" s="7">
        <v>313</v>
      </c>
      <c r="F332" s="8">
        <f>IFERROR(E332/E444, "NA")</f>
        <v>6.2249748057569205E-4</v>
      </c>
      <c r="G332" s="9"/>
      <c r="H332" s="10">
        <f t="shared" si="80"/>
        <v>117.84</v>
      </c>
      <c r="I332" s="8">
        <f>IFERROR(H332/H444, "NA")</f>
        <v>-5.6377380155009094E-3</v>
      </c>
      <c r="J332" s="9"/>
      <c r="K332" s="7">
        <v>195.16</v>
      </c>
      <c r="L332" s="8">
        <f>IFERROR(K332/K444, "NA")</f>
        <v>4.0816358969127174E-4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390.32</v>
      </c>
      <c r="R332" s="8">
        <f>IFERROR(Q332/Q444, "NA")</f>
        <v>4.2566585374434474E-4</v>
      </c>
      <c r="S332" s="9"/>
      <c r="T332" s="7">
        <v>626</v>
      </c>
      <c r="U332" s="8">
        <f>IFERROR(T332/T444, "NA")</f>
        <v>6.5789371355021858E-4</v>
      </c>
      <c r="V332" s="9"/>
      <c r="W332" s="10">
        <f t="shared" si="82"/>
        <v>235.68</v>
      </c>
      <c r="X332" s="8">
        <f>IFERROR(W332/W444, "NA")</f>
        <v>-6.8198193766439751E-3</v>
      </c>
      <c r="Y332" s="9"/>
      <c r="Z332" s="7">
        <v>390.32</v>
      </c>
      <c r="AA332" s="8">
        <f>IFERROR(Z332/Z444, "NA")</f>
        <v>4.271875453685661E-4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5737.81</v>
      </c>
      <c r="C333" s="8">
        <f>IFERROR(B333/B444, "NA")</f>
        <v>1.1906361685495305E-2</v>
      </c>
      <c r="D333" s="9"/>
      <c r="E333" s="7">
        <v>5619</v>
      </c>
      <c r="F333" s="8">
        <f>IFERROR(E333/E444, "NA")</f>
        <v>1.1175122502731033E-2</v>
      </c>
      <c r="G333" s="9"/>
      <c r="H333" s="10">
        <f t="shared" si="80"/>
        <v>-118.8100000000004</v>
      </c>
      <c r="I333" s="8">
        <f>IFERROR(H333/H444, "NA")</f>
        <v>5.6841450578892167E-3</v>
      </c>
      <c r="J333" s="9"/>
      <c r="K333" s="7">
        <v>5618.89</v>
      </c>
      <c r="L333" s="8">
        <f>IFERROR(K333/K444, "NA")</f>
        <v>1.1751518305392448E-2</v>
      </c>
      <c r="M333" s="9"/>
      <c r="N333" s="10">
        <f t="shared" si="81"/>
        <v>-118.92000000000007</v>
      </c>
      <c r="O333" s="8">
        <f>IFERROR(N333/N444, "NA")</f>
        <v>-3.1546611630757386E-2</v>
      </c>
      <c r="P333" s="9"/>
      <c r="Q333" s="7">
        <v>11475.62</v>
      </c>
      <c r="R333" s="8">
        <f>IFERROR(Q333/Q444, "NA")</f>
        <v>1.2514807297975194E-2</v>
      </c>
      <c r="S333" s="9"/>
      <c r="T333" s="7">
        <v>11238</v>
      </c>
      <c r="U333" s="8">
        <f>IFERROR(T333/T444, "NA")</f>
        <v>1.1810558391177886E-2</v>
      </c>
      <c r="V333" s="9"/>
      <c r="W333" s="10">
        <f t="shared" si="82"/>
        <v>-237.6200000000008</v>
      </c>
      <c r="X333" s="8">
        <f>IFERROR(W333/W444, "NA")</f>
        <v>6.8759567221577857E-3</v>
      </c>
      <c r="Y333" s="9"/>
      <c r="Z333" s="7">
        <v>11142.49</v>
      </c>
      <c r="AA333" s="8">
        <f>IFERROR(Z333/Z444, "NA")</f>
        <v>1.219495017522493E-2</v>
      </c>
      <c r="AB333" s="9"/>
      <c r="AC333" s="10">
        <f t="shared" si="83"/>
        <v>-333.13000000000102</v>
      </c>
      <c r="AD333" s="8">
        <f>IFERROR(AC333/AC444, "NA")</f>
        <v>-0.10198908254830143</v>
      </c>
    </row>
    <row r="334" spans="1:30" ht="16.5" customHeight="1" x14ac:dyDescent="0.45">
      <c r="A334" s="6" t="s">
        <v>305</v>
      </c>
      <c r="B334" s="7">
        <v>-4635.6899999999996</v>
      </c>
      <c r="C334" s="8">
        <f>IFERROR(B334/B444, "NA")</f>
        <v>-9.6193847133024136E-3</v>
      </c>
      <c r="D334" s="9"/>
      <c r="E334" s="7">
        <v>-4635.6899999999996</v>
      </c>
      <c r="F334" s="8">
        <f>IFERROR(E334/E444, "NA")</f>
        <v>-9.2195058969007336E-3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-4067.87</v>
      </c>
      <c r="L334" s="8">
        <f>IFERROR(K334/K444, "NA")</f>
        <v>-8.5076676654920764E-3</v>
      </c>
      <c r="M334" s="9"/>
      <c r="N334" s="10">
        <f t="shared" si="81"/>
        <v>567.81999999999971</v>
      </c>
      <c r="O334" s="8">
        <f>IFERROR(N334/N444, "NA")</f>
        <v>0.15062896919085636</v>
      </c>
      <c r="P334" s="9"/>
      <c r="Q334" s="7">
        <v>-9271.3799999999992</v>
      </c>
      <c r="R334" s="8">
        <f>IFERROR(Q334/Q444, "NA")</f>
        <v>-1.0110959938225667E-2</v>
      </c>
      <c r="S334" s="9"/>
      <c r="T334" s="7">
        <v>-9271.3799999999992</v>
      </c>
      <c r="U334" s="8">
        <f>IFERROR(T334/T444, "NA")</f>
        <v>-9.7437422011744813E-3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-8135.74</v>
      </c>
      <c r="AA334" s="8">
        <f>IFERROR(Z334/Z444, "NA")</f>
        <v>-8.9041986071860483E-3</v>
      </c>
      <c r="AB334" s="9"/>
      <c r="AC334" s="10">
        <f t="shared" si="83"/>
        <v>1135.6399999999994</v>
      </c>
      <c r="AD334" s="8">
        <f>IFERROR(AC334/AC444, "NA")</f>
        <v>0.34768073036097807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235.04</v>
      </c>
      <c r="F335" s="8">
        <f>IFERROR(E335/E444, "NA")</f>
        <v>4.6744986528597649E-4</v>
      </c>
      <c r="G335" s="9"/>
      <c r="H335" s="10">
        <f t="shared" si="80"/>
        <v>235.04</v>
      </c>
      <c r="I335" s="8">
        <f>IFERROR(H335/H444, "NA")</f>
        <v>-1.1244856951487895E-2</v>
      </c>
      <c r="J335" s="9"/>
      <c r="K335" s="7">
        <v>1654.81</v>
      </c>
      <c r="L335" s="8">
        <f>IFERROR(K335/K444, "NA")</f>
        <v>3.4609202185745718E-3</v>
      </c>
      <c r="M335" s="9"/>
      <c r="N335" s="10">
        <f t="shared" si="81"/>
        <v>1654.81</v>
      </c>
      <c r="O335" s="8">
        <f>IFERROR(N335/N444, "NA")</f>
        <v>0.43898123438188358</v>
      </c>
      <c r="P335" s="9"/>
      <c r="Q335" s="7">
        <v>0</v>
      </c>
      <c r="R335" s="8">
        <f>IFERROR(Q335/Q444, "NA")</f>
        <v>0</v>
      </c>
      <c r="S335" s="9"/>
      <c r="T335" s="7">
        <v>448.29</v>
      </c>
      <c r="U335" s="8">
        <f>IFERROR(T335/T444, "NA")</f>
        <v>4.7112966908534744E-4</v>
      </c>
      <c r="V335" s="9"/>
      <c r="W335" s="10">
        <f t="shared" si="82"/>
        <v>448.29</v>
      </c>
      <c r="X335" s="8">
        <f>IFERROR(W335/W444, "NA")</f>
        <v>-1.2972067330090495E-2</v>
      </c>
      <c r="Y335" s="9"/>
      <c r="Z335" s="7">
        <v>3309.62</v>
      </c>
      <c r="AA335" s="8">
        <f>IFERROR(Z335/Z444, "NA")</f>
        <v>3.6222290528354012E-3</v>
      </c>
      <c r="AB335" s="9"/>
      <c r="AC335" s="10">
        <f t="shared" si="83"/>
        <v>3309.62</v>
      </c>
      <c r="AD335" s="8">
        <f>IFERROR(AC335/AC444, "NA")</f>
        <v>1.0132534067286294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9631.7800000000007</v>
      </c>
      <c r="C338" s="8">
        <f>IFERROR(B338/B444, "NA")</f>
        <v>1.998662492399016E-2</v>
      </c>
      <c r="D338" s="9"/>
      <c r="E338" s="7">
        <v>8913.57</v>
      </c>
      <c r="F338" s="8">
        <f>IFERROR(E338/E444, "NA")</f>
        <v>1.7727395744201502E-2</v>
      </c>
      <c r="G338" s="9"/>
      <c r="H338" s="10">
        <f t="shared" si="84"/>
        <v>-718.21000000000095</v>
      </c>
      <c r="I338" s="8">
        <f>IFERROR(H338/H444, "NA")</f>
        <v>3.4360826715146918E-2</v>
      </c>
      <c r="J338" s="9"/>
      <c r="K338" s="7">
        <v>10383.23</v>
      </c>
      <c r="L338" s="8">
        <f>IFERROR(K338/K444, "NA")</f>
        <v>2.171580461872363E-2</v>
      </c>
      <c r="M338" s="9"/>
      <c r="N338" s="10">
        <f t="shared" si="85"/>
        <v>751.44999999999891</v>
      </c>
      <c r="O338" s="8">
        <f>IFERROR(N338/N444, "NA")</f>
        <v>0.19934158518274964</v>
      </c>
      <c r="P338" s="9"/>
      <c r="Q338" s="7">
        <v>19387.29</v>
      </c>
      <c r="R338" s="8">
        <f>IFERROR(Q338/Q444, "NA")</f>
        <v>2.1142927212643978E-2</v>
      </c>
      <c r="S338" s="9"/>
      <c r="T338" s="7">
        <v>16819</v>
      </c>
      <c r="U338" s="8">
        <f>IFERROR(T338/T444, "NA")</f>
        <v>1.7675901546647166E-2</v>
      </c>
      <c r="V338" s="9"/>
      <c r="W338" s="10">
        <f t="shared" si="86"/>
        <v>-2568.2900000000009</v>
      </c>
      <c r="X338" s="8">
        <f>IFERROR(W338/W444, "NA")</f>
        <v>7.4318032530723693E-2</v>
      </c>
      <c r="Y338" s="9"/>
      <c r="Z338" s="7">
        <v>20939.68</v>
      </c>
      <c r="AA338" s="8">
        <f>IFERROR(Z338/Z444, "NA")</f>
        <v>2.2917530487813222E-2</v>
      </c>
      <c r="AB338" s="9"/>
      <c r="AC338" s="10">
        <f t="shared" si="87"/>
        <v>1552.3899999999994</v>
      </c>
      <c r="AD338" s="8">
        <f>IFERROR(AC338/AC444, "NA")</f>
        <v>0.47527041052188973</v>
      </c>
    </row>
    <row r="339" spans="1:30" ht="16.5" customHeight="1" x14ac:dyDescent="0.45">
      <c r="A339" s="12" t="s">
        <v>309</v>
      </c>
      <c r="B339" s="7">
        <v>3046.26</v>
      </c>
      <c r="C339" s="8">
        <f>IFERROR(B339/B444, "NA")</f>
        <v>6.3212050151637868E-3</v>
      </c>
      <c r="D339" s="9"/>
      <c r="E339" s="7">
        <v>2001.23</v>
      </c>
      <c r="F339" s="8">
        <f>IFERROR(E339/E444, "NA")</f>
        <v>3.9800659202955018E-3</v>
      </c>
      <c r="G339" s="9"/>
      <c r="H339" s="10">
        <f t="shared" si="84"/>
        <v>-1045.0300000000002</v>
      </c>
      <c r="I339" s="8">
        <f>IFERROR(H339/H444, "NA")</f>
        <v>4.9996651038178172E-2</v>
      </c>
      <c r="J339" s="9"/>
      <c r="K339" s="7">
        <v>3147.78</v>
      </c>
      <c r="L339" s="8">
        <f>IFERROR(K339/K444, "NA")</f>
        <v>6.5833633139905281E-3</v>
      </c>
      <c r="M339" s="9"/>
      <c r="N339" s="10">
        <f t="shared" si="85"/>
        <v>101.51999999999998</v>
      </c>
      <c r="O339" s="8">
        <f>IFERROR(N339/N444, "NA")</f>
        <v>2.6930810736246948E-2</v>
      </c>
      <c r="P339" s="9"/>
      <c r="Q339" s="7">
        <v>5958.48</v>
      </c>
      <c r="R339" s="8">
        <f>IFERROR(Q339/Q444, "NA")</f>
        <v>6.4980566617611271E-3</v>
      </c>
      <c r="S339" s="9"/>
      <c r="T339" s="7">
        <v>3795.62</v>
      </c>
      <c r="U339" s="8">
        <f>IFERROR(T339/T444, "NA")</f>
        <v>3.9890008578681796E-3</v>
      </c>
      <c r="V339" s="9"/>
      <c r="W339" s="10">
        <f t="shared" si="86"/>
        <v>-2162.8599999999997</v>
      </c>
      <c r="X339" s="8">
        <f>IFERROR(W339/W444, "NA")</f>
        <v>6.2586195421623331E-2</v>
      </c>
      <c r="Y339" s="9"/>
      <c r="Z339" s="7">
        <v>6070.01</v>
      </c>
      <c r="AA339" s="8">
        <f>IFERROR(Z339/Z444, "NA")</f>
        <v>6.6433507692730326E-3</v>
      </c>
      <c r="AB339" s="9"/>
      <c r="AC339" s="10">
        <f t="shared" si="87"/>
        <v>111.53000000000065</v>
      </c>
      <c r="AD339" s="8">
        <f>IFERROR(AC339/AC444, "NA")</f>
        <v>3.4145355796872362E-2</v>
      </c>
    </row>
    <row r="340" spans="1:30" ht="16.5" customHeight="1" x14ac:dyDescent="0.45">
      <c r="A340" s="12" t="s">
        <v>310</v>
      </c>
      <c r="B340" s="7">
        <v>2939.23</v>
      </c>
      <c r="C340" s="8">
        <f>IFERROR(B340/B444, "NA")</f>
        <v>6.099110193062922E-3</v>
      </c>
      <c r="D340" s="9"/>
      <c r="E340" s="7">
        <v>2230.25</v>
      </c>
      <c r="F340" s="8">
        <f>IFERROR(E340/E444, "NA")</f>
        <v>4.4355431503320672E-3</v>
      </c>
      <c r="G340" s="9"/>
      <c r="H340" s="10">
        <f t="shared" si="84"/>
        <v>-708.98</v>
      </c>
      <c r="I340" s="8">
        <f>IFERROR(H340/H444, "NA")</f>
        <v>3.3919242177782034E-2</v>
      </c>
      <c r="J340" s="9"/>
      <c r="K340" s="7">
        <v>2489.13</v>
      </c>
      <c r="L340" s="8">
        <f>IFERROR(K340/K444, "NA")</f>
        <v>5.2058425702410094E-3</v>
      </c>
      <c r="M340" s="9"/>
      <c r="N340" s="10">
        <f t="shared" si="85"/>
        <v>-450.09999999999991</v>
      </c>
      <c r="O340" s="8">
        <f>IFERROR(N340/N444, "NA")</f>
        <v>-0.11940068865627218</v>
      </c>
      <c r="P340" s="9"/>
      <c r="Q340" s="7">
        <v>6257.68</v>
      </c>
      <c r="R340" s="8">
        <f>IFERROR(Q340/Q444, "NA")</f>
        <v>6.8243510444222976E-3</v>
      </c>
      <c r="S340" s="9"/>
      <c r="T340" s="7">
        <v>4240.7700000000004</v>
      </c>
      <c r="U340" s="8">
        <f>IFERROR(T340/T444, "NA")</f>
        <v>4.4568305489015346E-3</v>
      </c>
      <c r="V340" s="9"/>
      <c r="W340" s="10">
        <f t="shared" si="86"/>
        <v>-2016.9099999999999</v>
      </c>
      <c r="X340" s="8">
        <f>IFERROR(W340/W444, "NA")</f>
        <v>5.8362872958872193E-2</v>
      </c>
      <c r="Y340" s="9"/>
      <c r="Z340" s="7">
        <v>5398.69</v>
      </c>
      <c r="AA340" s="8">
        <f>IFERROR(Z340/Z444, "NA")</f>
        <v>5.9086214626609549E-3</v>
      </c>
      <c r="AB340" s="9"/>
      <c r="AC340" s="10">
        <f t="shared" si="87"/>
        <v>-858.99000000000069</v>
      </c>
      <c r="AD340" s="8">
        <f>IFERROR(AC340/AC444, "NA")</f>
        <v>-0.26298322582224731</v>
      </c>
    </row>
    <row r="341" spans="1:30" ht="16.5" customHeight="1" x14ac:dyDescent="0.45">
      <c r="A341" s="12" t="s">
        <v>311</v>
      </c>
      <c r="B341" s="7">
        <v>1884.5900000000001</v>
      </c>
      <c r="C341" s="8">
        <f>IFERROR(B341/B444, "NA")</f>
        <v>3.9106575799595315E-3</v>
      </c>
      <c r="D341" s="9"/>
      <c r="E341" s="7">
        <v>1536.94</v>
      </c>
      <c r="F341" s="8">
        <f>IFERROR(E341/E444, "NA")</f>
        <v>3.0566813987092782E-3</v>
      </c>
      <c r="G341" s="9"/>
      <c r="H341" s="10">
        <f t="shared" si="84"/>
        <v>-347.65000000000009</v>
      </c>
      <c r="I341" s="8">
        <f>IFERROR(H341/H444, "NA")</f>
        <v>1.6632379676585977E-2</v>
      </c>
      <c r="J341" s="9"/>
      <c r="K341" s="7">
        <v>1863.98</v>
      </c>
      <c r="L341" s="8">
        <f>IFERROR(K341/K444, "NA")</f>
        <v>3.8983847505264231E-3</v>
      </c>
      <c r="M341" s="9"/>
      <c r="N341" s="10">
        <f t="shared" si="85"/>
        <v>-20.610000000000127</v>
      </c>
      <c r="O341" s="8">
        <f>IFERROR(N341/N444, "NA")</f>
        <v>-5.4673365767735731E-3</v>
      </c>
      <c r="P341" s="9"/>
      <c r="Q341" s="7">
        <v>3769.1800000000003</v>
      </c>
      <c r="R341" s="8">
        <f>IFERROR(Q341/Q444, "NA")</f>
        <v>4.1105022100228258E-3</v>
      </c>
      <c r="S341" s="9"/>
      <c r="T341" s="7">
        <v>2997.9300000000003</v>
      </c>
      <c r="U341" s="8">
        <f>IFERROR(T341/T444, "NA")</f>
        <v>3.1506698093667841E-3</v>
      </c>
      <c r="V341" s="9"/>
      <c r="W341" s="10">
        <f t="shared" si="86"/>
        <v>-771.25</v>
      </c>
      <c r="X341" s="8">
        <f>IFERROR(W341/W444, "NA")</f>
        <v>2.2317488519334121E-2</v>
      </c>
      <c r="Y341" s="9"/>
      <c r="Z341" s="7">
        <v>3766.8</v>
      </c>
      <c r="AA341" s="8">
        <f>IFERROR(Z341/Z444, "NA")</f>
        <v>4.122591837195929E-3</v>
      </c>
      <c r="AB341" s="9"/>
      <c r="AC341" s="10">
        <f t="shared" si="87"/>
        <v>-2.3800000000001091</v>
      </c>
      <c r="AD341" s="8">
        <f>IFERROR(AC341/AC444, "NA")</f>
        <v>-7.2864652377440579E-4</v>
      </c>
    </row>
    <row r="342" spans="1:30" ht="16.5" customHeight="1" x14ac:dyDescent="0.45">
      <c r="A342" s="13" t="s">
        <v>312</v>
      </c>
      <c r="B342" s="14">
        <f>IFERROR(B337+B338+B339+B340+B341, "NA")</f>
        <v>17501.86</v>
      </c>
      <c r="C342" s="15">
        <f>IFERROR(B342/B444, "NA")</f>
        <v>3.6317597712176401E-2</v>
      </c>
      <c r="D342" s="2"/>
      <c r="E342" s="14">
        <f>IFERROR(E337+E338+E339+E340+E341, "NA")</f>
        <v>14681.99</v>
      </c>
      <c r="F342" s="15">
        <f>IFERROR(E342/E444, "NA")</f>
        <v>2.9199686213538353E-2</v>
      </c>
      <c r="G342" s="2"/>
      <c r="H342" s="14">
        <f t="shared" si="84"/>
        <v>-2819.8700000000008</v>
      </c>
      <c r="I342" s="15">
        <f>IFERROR(H342/H444, "NA")</f>
        <v>0.13490909960769309</v>
      </c>
      <c r="J342" s="2"/>
      <c r="K342" s="14">
        <f>IFERROR(K337+K338+K339+K340+K341, "NA")</f>
        <v>17884.12</v>
      </c>
      <c r="L342" s="15">
        <f>IFERROR(K342/K444, "NA")</f>
        <v>3.7403395253481589E-2</v>
      </c>
      <c r="M342" s="2"/>
      <c r="N342" s="14">
        <f t="shared" si="85"/>
        <v>382.2599999999984</v>
      </c>
      <c r="O342" s="15">
        <f>IFERROR(N342/N444, "NA")</f>
        <v>0.10140437068595072</v>
      </c>
      <c r="P342" s="2"/>
      <c r="Q342" s="14">
        <f>IFERROR(Q337+Q338+Q339+Q340+Q341, "NA")</f>
        <v>35372.630000000005</v>
      </c>
      <c r="R342" s="15">
        <f>IFERROR(Q342/Q444, "NA")</f>
        <v>3.8575837128850231E-2</v>
      </c>
      <c r="S342" s="2"/>
      <c r="T342" s="14">
        <f>IFERROR(T337+T338+T339+T340+T341, "NA")</f>
        <v>27853.32</v>
      </c>
      <c r="U342" s="15">
        <f>IFERROR(T342/T444, "NA")</f>
        <v>2.9272402762783662E-2</v>
      </c>
      <c r="V342" s="2"/>
      <c r="W342" s="14">
        <f t="shared" si="86"/>
        <v>-7519.3100000000049</v>
      </c>
      <c r="X342" s="15">
        <f>IFERROR(W342/W444, "NA")</f>
        <v>0.21758458943055348</v>
      </c>
      <c r="Y342" s="2"/>
      <c r="Z342" s="14">
        <f>IFERROR(Z337+Z338+Z339+Z340+Z341, "NA")</f>
        <v>36175.18</v>
      </c>
      <c r="AA342" s="15">
        <f>IFERROR(Z342/Z444, "NA")</f>
        <v>3.9592094556943139E-2</v>
      </c>
      <c r="AB342" s="2"/>
      <c r="AC342" s="14">
        <f t="shared" si="87"/>
        <v>802.54999999999563</v>
      </c>
      <c r="AD342" s="15">
        <f>IFERROR(AC342/AC444, "NA")</f>
        <v>0.24570389397273923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85435.89999999998</v>
      </c>
      <c r="C343" s="15">
        <f>IFERROR(B343/B444, "NA")</f>
        <v>0.17728553687309409</v>
      </c>
      <c r="D343" s="2"/>
      <c r="E343" s="14">
        <f>IFERROR(E328+E329+E330+E331+E332+E333+E334+E335+E337+E338+E339+E340+E341, "NA")</f>
        <v>82850.099999999991</v>
      </c>
      <c r="F343" s="15">
        <f>IFERROR(E343/E444, "NA")</f>
        <v>0.16477309429854356</v>
      </c>
      <c r="G343" s="2"/>
      <c r="H343" s="14">
        <f t="shared" si="84"/>
        <v>-2585.7999999999884</v>
      </c>
      <c r="I343" s="15">
        <f>IFERROR(H343/H444, "NA")</f>
        <v>0.12371064969859288</v>
      </c>
      <c r="J343" s="2"/>
      <c r="K343" s="14">
        <f>IFERROR(K328+K329+K330+K331+K332+K333+K334+K335+K337+K338+K339+K340+K341, "NA")</f>
        <v>80340.3</v>
      </c>
      <c r="L343" s="15">
        <f>IFERROR(K343/K444, "NA")</f>
        <v>0.16802615927891823</v>
      </c>
      <c r="M343" s="2"/>
      <c r="N343" s="14">
        <f t="shared" si="85"/>
        <v>-5095.5999999999767</v>
      </c>
      <c r="O343" s="15">
        <f>IFERROR(N343/N444, "NA")</f>
        <v>-1.3517399447165026</v>
      </c>
      <c r="P343" s="2"/>
      <c r="Q343" s="14">
        <f>IFERROR(Q328+Q329+Q330+Q331+Q332+Q333+Q334+Q335+Q337+Q338+Q339+Q340+Q341, "NA")</f>
        <v>171240.71</v>
      </c>
      <c r="R343" s="15">
        <f>IFERROR(Q343/Q444, "NA")</f>
        <v>0.1867475994515724</v>
      </c>
      <c r="S343" s="2"/>
      <c r="T343" s="14">
        <f>IFERROR(T328+T329+T330+T331+T332+T333+T334+T335+T337+T338+T339+T340+T341, "NA")</f>
        <v>164167.74999999997</v>
      </c>
      <c r="U343" s="15">
        <f>IFERROR(T343/T444, "NA")</f>
        <v>0.17253183816722664</v>
      </c>
      <c r="V343" s="2"/>
      <c r="W343" s="14">
        <f t="shared" si="86"/>
        <v>-7072.960000000021</v>
      </c>
      <c r="X343" s="15">
        <f>IFERROR(W343/W444, "NA")</f>
        <v>0.20466865944597723</v>
      </c>
      <c r="Y343" s="2"/>
      <c r="Z343" s="14">
        <f>IFERROR(Z328+Z329+Z330+Z331+Z332+Z333+Z334+Z335+Z337+Z338+Z339+Z340+Z341, "NA")</f>
        <v>160992.25</v>
      </c>
      <c r="AA343" s="15">
        <f>IFERROR(Z343/Z444, "NA")</f>
        <v>0.17619871925820491</v>
      </c>
      <c r="AB343" s="2"/>
      <c r="AC343" s="14">
        <f t="shared" si="87"/>
        <v>-10248.459999999992</v>
      </c>
      <c r="AD343" s="15">
        <f>IFERROR(AC343/AC444, "NA")</f>
        <v>-3.1376070390927304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85435.89999999998</v>
      </c>
      <c r="C344" s="15">
        <f>IFERROR(B344/B444, "NA")</f>
        <v>0.17728553687309409</v>
      </c>
      <c r="D344" s="2"/>
      <c r="E344" s="14">
        <f>IFERROR(E328+E329+E330+E331+E332+E333+E334+E335+E337+E338+E339+E340+E341, "NA")</f>
        <v>82850.099999999991</v>
      </c>
      <c r="F344" s="15">
        <f>IFERROR(E344/E444, "NA")</f>
        <v>0.16477309429854356</v>
      </c>
      <c r="G344" s="2"/>
      <c r="H344" s="14">
        <f t="shared" si="84"/>
        <v>-2585.7999999999884</v>
      </c>
      <c r="I344" s="15">
        <f>IFERROR(H344/H444, "NA")</f>
        <v>0.12371064969859288</v>
      </c>
      <c r="J344" s="2"/>
      <c r="K344" s="14">
        <f>IFERROR(K328+K329+K330+K331+K332+K333+K334+K335+K337+K338+K339+K340+K341, "NA")</f>
        <v>80340.3</v>
      </c>
      <c r="L344" s="15">
        <f>IFERROR(K344/K444, "NA")</f>
        <v>0.16802615927891823</v>
      </c>
      <c r="M344" s="2"/>
      <c r="N344" s="14">
        <f t="shared" si="85"/>
        <v>-5095.5999999999767</v>
      </c>
      <c r="O344" s="15">
        <f>IFERROR(N344/N444, "NA")</f>
        <v>-1.3517399447165026</v>
      </c>
      <c r="P344" s="2"/>
      <c r="Q344" s="14">
        <f>IFERROR(Q328+Q329+Q330+Q331+Q332+Q333+Q334+Q335+Q337+Q338+Q339+Q340+Q341, "NA")</f>
        <v>171240.71</v>
      </c>
      <c r="R344" s="15">
        <f>IFERROR(Q344/Q444, "NA")</f>
        <v>0.1867475994515724</v>
      </c>
      <c r="S344" s="2"/>
      <c r="T344" s="14">
        <f>IFERROR(T328+T329+T330+T331+T332+T333+T334+T335+T337+T338+T339+T340+T341, "NA")</f>
        <v>164167.74999999997</v>
      </c>
      <c r="U344" s="15">
        <f>IFERROR(T344/T444, "NA")</f>
        <v>0.17253183816722664</v>
      </c>
      <c r="V344" s="2"/>
      <c r="W344" s="14">
        <f t="shared" si="86"/>
        <v>-7072.960000000021</v>
      </c>
      <c r="X344" s="15">
        <f>IFERROR(W344/W444, "NA")</f>
        <v>0.20466865944597723</v>
      </c>
      <c r="Y344" s="2"/>
      <c r="Z344" s="14">
        <f>IFERROR(Z328+Z329+Z330+Z331+Z332+Z333+Z334+Z335+Z337+Z338+Z339+Z340+Z341, "NA")</f>
        <v>160992.25</v>
      </c>
      <c r="AA344" s="15">
        <f>IFERROR(Z344/Z444, "NA")</f>
        <v>0.17619871925820491</v>
      </c>
      <c r="AB344" s="2"/>
      <c r="AC344" s="14">
        <f t="shared" si="87"/>
        <v>-10248.459999999992</v>
      </c>
      <c r="AD344" s="15">
        <f>IFERROR(AC344/AC444, "NA")</f>
        <v>-3.1376070390927304</v>
      </c>
    </row>
    <row r="345" spans="1:30" ht="16.5" customHeight="1" x14ac:dyDescent="0.45">
      <c r="A345" s="22" t="s">
        <v>315</v>
      </c>
      <c r="B345" s="23">
        <f>IFERROR(B198-B325-B344, "NA")</f>
        <v>-12056.159999999902</v>
      </c>
      <c r="C345" s="24">
        <f>IFERROR(B345/B444, "NA")</f>
        <v>-2.5017384942722033E-2</v>
      </c>
      <c r="D345" s="25"/>
      <c r="E345" s="23">
        <f>IFERROR(E198-E325-E344, "NA")</f>
        <v>20612.750000000015</v>
      </c>
      <c r="F345" s="24">
        <f>IFERROR(E345/E444, "NA")</f>
        <v>4.0994840072640912E-2</v>
      </c>
      <c r="G345" s="25"/>
      <c r="H345" s="23">
        <f>IFERROR(B345-E345, "NA")</f>
        <v>-32668.909999999916</v>
      </c>
      <c r="I345" s="24">
        <f>IFERROR(H345/H444, "NA")</f>
        <v>1.5629561764424418</v>
      </c>
      <c r="J345" s="25"/>
      <c r="K345" s="23">
        <f>IFERROR(K198-K325-K344, "NA")</f>
        <v>-23282.539999999935</v>
      </c>
      <c r="L345" s="24">
        <f>IFERROR(K345/K444, "NA")</f>
        <v>-4.8693815861501309E-2</v>
      </c>
      <c r="M345" s="25"/>
      <c r="N345" s="23">
        <f>IFERROR(B345-K345, "NA")</f>
        <v>11226.380000000034</v>
      </c>
      <c r="O345" s="24">
        <f>IFERROR(N345/N444, "NA")</f>
        <v>2.9780882095467787</v>
      </c>
      <c r="P345" s="25"/>
      <c r="Q345" s="23">
        <f>IFERROR(Q198-Q325-Q344, "NA")</f>
        <v>-43654.009999999806</v>
      </c>
      <c r="R345" s="24">
        <f>IFERROR(Q345/Q444, "NA")</f>
        <v>-4.7607146536211516E-2</v>
      </c>
      <c r="S345" s="25"/>
      <c r="T345" s="23">
        <f>IFERROR(T198-T325-T344, "NA")</f>
        <v>19821.360000000364</v>
      </c>
      <c r="U345" s="24">
        <f>IFERROR(T345/T444, "NA")</f>
        <v>2.0831227057533545E-2</v>
      </c>
      <c r="V345" s="25"/>
      <c r="W345" s="23">
        <f>IFERROR(Q345-T345, "NA")</f>
        <v>-63475.37000000017</v>
      </c>
      <c r="X345" s="24">
        <f>IFERROR(W345/W444, "NA")</f>
        <v>1.83677256562138</v>
      </c>
      <c r="Y345" s="25"/>
      <c r="Z345" s="23">
        <f>IFERROR(Z198-Z325-Z344, "NA")</f>
        <v>-48234.5799999999</v>
      </c>
      <c r="AA345" s="24">
        <f>IFERROR(Z345/Z444, "NA")</f>
        <v>-5.2790561160288199E-2</v>
      </c>
      <c r="AB345" s="25"/>
      <c r="AC345" s="23">
        <f>IFERROR(Q345-Z345, "NA")</f>
        <v>4580.5700000000943</v>
      </c>
      <c r="AD345" s="24">
        <f>IFERROR(AC345/AC444, "NA")</f>
        <v>1.4023598350442208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35399.03</v>
      </c>
      <c r="C350" s="8">
        <f>IFERROR(B350/B444, "NA")</f>
        <v>7.345549164153202E-2</v>
      </c>
      <c r="D350" s="9"/>
      <c r="E350" s="7">
        <v>36000</v>
      </c>
      <c r="F350" s="8">
        <f>IFERROR(E350/E444, "NA")</f>
        <v>7.1597154315415051E-2</v>
      </c>
      <c r="G350" s="9"/>
      <c r="H350" s="10">
        <f t="shared" si="88"/>
        <v>600.97000000000116</v>
      </c>
      <c r="I350" s="8">
        <f>IFERROR(H350/H444, "NA")</f>
        <v>-2.8751794086690326E-2</v>
      </c>
      <c r="J350" s="9"/>
      <c r="K350" s="7">
        <v>65276.88</v>
      </c>
      <c r="L350" s="8">
        <f>IFERROR(K350/K444, "NA")</f>
        <v>0.13652206222917801</v>
      </c>
      <c r="M350" s="9"/>
      <c r="N350" s="10">
        <f t="shared" si="89"/>
        <v>29877.85</v>
      </c>
      <c r="O350" s="8">
        <f>IFERROR(N350/N444, "NA")</f>
        <v>7.9258739514970058</v>
      </c>
      <c r="P350" s="9"/>
      <c r="Q350" s="7">
        <v>70802.87</v>
      </c>
      <c r="R350" s="8">
        <f>IFERROR(Q350/Q444, "NA")</f>
        <v>7.7214501194148008E-2</v>
      </c>
      <c r="S350" s="9"/>
      <c r="T350" s="7">
        <v>72000</v>
      </c>
      <c r="U350" s="8">
        <f>IFERROR(T350/T444, "NA")</f>
        <v>7.5668286542517144E-2</v>
      </c>
      <c r="V350" s="9"/>
      <c r="W350" s="10">
        <f t="shared" si="90"/>
        <v>1197.1300000000047</v>
      </c>
      <c r="X350" s="8">
        <f>IFERROR(W350/W444, "NA")</f>
        <v>-3.4641082698412394E-2</v>
      </c>
      <c r="Y350" s="9"/>
      <c r="Z350" s="7">
        <v>125887.42</v>
      </c>
      <c r="AA350" s="8">
        <f>IFERROR(Z350/Z444, "NA")</f>
        <v>0.13777807425338628</v>
      </c>
      <c r="AB350" s="9"/>
      <c r="AC350" s="10">
        <f t="shared" si="91"/>
        <v>55084.55</v>
      </c>
      <c r="AD350" s="8">
        <f>IFERROR(AC350/AC444, "NA")</f>
        <v>16.864355408056976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2581.85</v>
      </c>
      <c r="L353" s="8">
        <f>IFERROR(K353/K444, "NA")</f>
        <v>5.3997600125251588E-3</v>
      </c>
      <c r="M353" s="9"/>
      <c r="N353" s="10">
        <f t="shared" si="89"/>
        <v>2581.85</v>
      </c>
      <c r="O353" s="8">
        <f>IFERROR(N353/N444, "NA")</f>
        <v>0.68490261721216705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6774.8</v>
      </c>
      <c r="AA353" s="8">
        <f>IFERROR(Z353/Z444, "NA")</f>
        <v>7.4147114735677441E-3</v>
      </c>
      <c r="AB353" s="9"/>
      <c r="AC353" s="10">
        <f t="shared" si="91"/>
        <v>6774.8</v>
      </c>
      <c r="AD353" s="8">
        <f>IFERROR(AC353/AC444, "NA")</f>
        <v>2.074132129943957</v>
      </c>
    </row>
    <row r="354" spans="1:30" ht="16.5" customHeight="1" x14ac:dyDescent="0.45">
      <c r="A354" s="6" t="s">
        <v>323</v>
      </c>
      <c r="B354" s="7">
        <v>2967.71</v>
      </c>
      <c r="C354" s="8">
        <f>IFERROR(B354/B444, "NA")</f>
        <v>6.1582082079506412E-3</v>
      </c>
      <c r="D354" s="9"/>
      <c r="E354" s="7">
        <v>2988</v>
      </c>
      <c r="F354" s="8">
        <f>IFERROR(E354/E444, "NA")</f>
        <v>5.9425638081794492E-3</v>
      </c>
      <c r="G354" s="9"/>
      <c r="H354" s="10">
        <f t="shared" si="88"/>
        <v>20.289999999999964</v>
      </c>
      <c r="I354" s="8">
        <f>IFERROR(H354/H444, "NA")</f>
        <v>-9.707205052148102E-4</v>
      </c>
      <c r="J354" s="9"/>
      <c r="K354" s="7">
        <v>5617.07</v>
      </c>
      <c r="L354" s="8">
        <f>IFERROR(K354/K444, "NA")</f>
        <v>1.174771190175831E-2</v>
      </c>
      <c r="M354" s="9"/>
      <c r="N354" s="10">
        <f t="shared" si="89"/>
        <v>2649.3599999999997</v>
      </c>
      <c r="O354" s="8">
        <f>IFERROR(N354/N444, "NA")</f>
        <v>0.70281139413104032</v>
      </c>
      <c r="P354" s="9"/>
      <c r="Q354" s="7">
        <v>6268.91</v>
      </c>
      <c r="R354" s="8">
        <f>IFERROR(Q354/Q444, "NA")</f>
        <v>6.8365979893330086E-3</v>
      </c>
      <c r="S354" s="9"/>
      <c r="T354" s="7">
        <v>5976</v>
      </c>
      <c r="U354" s="8">
        <f>IFERROR(T354/T444, "NA")</f>
        <v>6.2804677830289235E-3</v>
      </c>
      <c r="V354" s="9"/>
      <c r="W354" s="10">
        <f t="shared" si="90"/>
        <v>-292.90999999999985</v>
      </c>
      <c r="X354" s="8">
        <f>IFERROR(W354/W444, "NA")</f>
        <v>8.4758710693006861E-3</v>
      </c>
      <c r="Y354" s="9"/>
      <c r="Z354" s="7">
        <v>12407.31</v>
      </c>
      <c r="AA354" s="8">
        <f>IFERROR(Z354/Z444, "NA")</f>
        <v>1.3579238326313957E-2</v>
      </c>
      <c r="AB354" s="9"/>
      <c r="AC354" s="10">
        <f t="shared" si="91"/>
        <v>6138.4</v>
      </c>
      <c r="AD354" s="8">
        <f>IFERROR(AC354/AC444, "NA")</f>
        <v>1.879295723334709</v>
      </c>
    </row>
    <row r="355" spans="1:30" ht="16.5" customHeight="1" x14ac:dyDescent="0.45">
      <c r="A355" s="6" t="s">
        <v>324</v>
      </c>
      <c r="B355" s="7">
        <v>206.7</v>
      </c>
      <c r="C355" s="8">
        <f>IFERROR(B355/B444, "NA")</f>
        <v>4.2891712350040859E-4</v>
      </c>
      <c r="D355" s="9"/>
      <c r="E355" s="7">
        <v>212</v>
      </c>
      <c r="F355" s="8">
        <f>IFERROR(E355/E444, "NA")</f>
        <v>4.2162768652411088E-4</v>
      </c>
      <c r="G355" s="9"/>
      <c r="H355" s="10">
        <f t="shared" si="88"/>
        <v>5.3000000000000114</v>
      </c>
      <c r="I355" s="8">
        <f>IFERROR(H355/H444, "NA")</f>
        <v>-2.5356425222466803E-4</v>
      </c>
      <c r="J355" s="9"/>
      <c r="K355" s="7">
        <v>307.39999999999998</v>
      </c>
      <c r="L355" s="8">
        <f>IFERROR(K355/K444, "NA")</f>
        <v>6.4290575666682169E-4</v>
      </c>
      <c r="M355" s="9"/>
      <c r="N355" s="10">
        <f t="shared" si="89"/>
        <v>100.69999999999999</v>
      </c>
      <c r="O355" s="8">
        <f>IFERROR(N355/N444, "NA")</f>
        <v>2.6713284487195309E-2</v>
      </c>
      <c r="P355" s="9"/>
      <c r="Q355" s="7">
        <v>376.3</v>
      </c>
      <c r="R355" s="8">
        <f>IFERROR(Q355/Q444, "NA")</f>
        <v>4.1037625733756131E-4</v>
      </c>
      <c r="S355" s="9"/>
      <c r="T355" s="7">
        <v>424</v>
      </c>
      <c r="U355" s="8">
        <f>IFERROR(T355/T444, "NA")</f>
        <v>4.456021318614899E-4</v>
      </c>
      <c r="V355" s="9"/>
      <c r="W355" s="10">
        <f t="shared" si="90"/>
        <v>47.699999999999989</v>
      </c>
      <c r="X355" s="8">
        <f>IFERROR(W355/W444, "NA")</f>
        <v>-1.3802842170142463E-3</v>
      </c>
      <c r="Y355" s="9"/>
      <c r="Z355" s="7">
        <v>540.6</v>
      </c>
      <c r="AA355" s="8">
        <f>IFERROR(Z355/Z444, "NA")</f>
        <v>5.916621926271953E-4</v>
      </c>
      <c r="AB355" s="9"/>
      <c r="AC355" s="10">
        <f t="shared" si="91"/>
        <v>164.3</v>
      </c>
      <c r="AD355" s="8">
        <f>IFERROR(AC355/AC444, "NA")</f>
        <v>5.0301102460558564E-2</v>
      </c>
    </row>
    <row r="356" spans="1:30" ht="16.5" customHeight="1" x14ac:dyDescent="0.45">
      <c r="A356" s="6" t="s">
        <v>325</v>
      </c>
      <c r="B356" s="7">
        <v>4500</v>
      </c>
      <c r="C356" s="8">
        <f>IFERROR(B356/B444, "NA")</f>
        <v>9.3378183635792877E-3</v>
      </c>
      <c r="D356" s="9"/>
      <c r="E356" s="7">
        <v>4500</v>
      </c>
      <c r="F356" s="8">
        <f>IFERROR(E356/E444, "NA")</f>
        <v>8.9496442894268814E-3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6187.5</v>
      </c>
      <c r="L356" s="8">
        <f>IFERROR(K356/K444, "NA")</f>
        <v>1.294072664078061E-2</v>
      </c>
      <c r="M356" s="9"/>
      <c r="N356" s="10">
        <f t="shared" si="89"/>
        <v>1687.5</v>
      </c>
      <c r="O356" s="8">
        <f>IFERROR(N356/N444, "NA")</f>
        <v>0.44765310399346664</v>
      </c>
      <c r="P356" s="9"/>
      <c r="Q356" s="7">
        <v>9000</v>
      </c>
      <c r="R356" s="8">
        <f>IFERROR(Q356/Q444, "NA")</f>
        <v>9.8150048260378722E-3</v>
      </c>
      <c r="S356" s="9"/>
      <c r="T356" s="7">
        <v>9000</v>
      </c>
      <c r="U356" s="8">
        <f>IFERROR(T356/T444, "NA")</f>
        <v>9.4585358178146429E-3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12375</v>
      </c>
      <c r="AA356" s="8">
        <f>IFERROR(Z356/Z444, "NA")</f>
        <v>1.3543876496044285E-2</v>
      </c>
      <c r="AB356" s="9"/>
      <c r="AC356" s="10">
        <f t="shared" si="91"/>
        <v>3375</v>
      </c>
      <c r="AD356" s="8">
        <f>IFERROR(AC356/AC444, "NA")</f>
        <v>1.0332697553523138</v>
      </c>
    </row>
    <row r="357" spans="1:30" ht="16.5" customHeight="1" x14ac:dyDescent="0.45">
      <c r="A357" s="6" t="s">
        <v>326</v>
      </c>
      <c r="B357" s="7">
        <v>3319.24</v>
      </c>
      <c r="C357" s="8">
        <f>IFERROR(B357/B444, "NA")</f>
        <v>6.8876578278059802E-3</v>
      </c>
      <c r="D357" s="9"/>
      <c r="E357" s="7">
        <v>3680</v>
      </c>
      <c r="F357" s="8">
        <f>IFERROR(E357/E444, "NA")</f>
        <v>7.3188202189090942E-3</v>
      </c>
      <c r="G357" s="9"/>
      <c r="H357" s="10">
        <f t="shared" si="88"/>
        <v>360.76000000000022</v>
      </c>
      <c r="I357" s="8">
        <f>IFERROR(H357/H444, "NA")</f>
        <v>-1.7259592383503983E-2</v>
      </c>
      <c r="J357" s="9"/>
      <c r="K357" s="7">
        <v>3469.35</v>
      </c>
      <c r="L357" s="8">
        <f>IFERROR(K357/K444, "NA")</f>
        <v>7.2559046418088418E-3</v>
      </c>
      <c r="M357" s="9"/>
      <c r="N357" s="10">
        <f t="shared" si="89"/>
        <v>150.11000000000013</v>
      </c>
      <c r="O357" s="8">
        <f>IFERROR(N357/N444, "NA")</f>
        <v>3.9820567372124048E-2</v>
      </c>
      <c r="P357" s="9"/>
      <c r="Q357" s="7">
        <v>6638.48</v>
      </c>
      <c r="R357" s="8">
        <f>IFERROR(Q357/Q444, "NA")</f>
        <v>7.2396348041728767E-3</v>
      </c>
      <c r="S357" s="9"/>
      <c r="T357" s="7">
        <v>7360</v>
      </c>
      <c r="U357" s="8">
        <f>IFERROR(T357/T444, "NA")</f>
        <v>7.7349804021239754E-3</v>
      </c>
      <c r="V357" s="9"/>
      <c r="W357" s="10">
        <f t="shared" si="90"/>
        <v>721.52000000000044</v>
      </c>
      <c r="X357" s="8">
        <f>IFERROR(W357/W444, "NA")</f>
        <v>-2.0878462646962678E-2</v>
      </c>
      <c r="Y357" s="9"/>
      <c r="Z357" s="7">
        <v>6938.7</v>
      </c>
      <c r="AA357" s="8">
        <f>IFERROR(Z357/Z444, "NA")</f>
        <v>7.5940925933820191E-3</v>
      </c>
      <c r="AB357" s="9"/>
      <c r="AC357" s="10">
        <f t="shared" si="91"/>
        <v>300.22000000000025</v>
      </c>
      <c r="AD357" s="8">
        <f>IFERROR(AC357/AC444, "NA")</f>
        <v>9.1913554356110191E-2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46392.679999999993</v>
      </c>
      <c r="C358" s="15">
        <f>IFERROR(B358/B444, "NA")</f>
        <v>9.6268093164368324E-2</v>
      </c>
      <c r="D358" s="2"/>
      <c r="E358" s="14">
        <f>IFERROR(E349+E350+E351+E352+E353+E354+E355+E356+E357, "NA")</f>
        <v>47380</v>
      </c>
      <c r="F358" s="15">
        <f>IFERROR(E358/E444, "NA")</f>
        <v>9.4229810318454593E-2</v>
      </c>
      <c r="G358" s="2"/>
      <c r="H358" s="14">
        <f t="shared" si="88"/>
        <v>987.32000000000698</v>
      </c>
      <c r="I358" s="15">
        <f>IFERROR(H358/H444, "NA")</f>
        <v>-4.723567122763405E-2</v>
      </c>
      <c r="J358" s="2"/>
      <c r="K358" s="14">
        <f>IFERROR(K349+K350+K351+K352+K353+K354+K355+K356+K357, "NA")</f>
        <v>83440.049999999988</v>
      </c>
      <c r="L358" s="15">
        <f>IFERROR(K358/K444, "NA")</f>
        <v>0.17450907118271775</v>
      </c>
      <c r="M358" s="2"/>
      <c r="N358" s="14">
        <f t="shared" si="89"/>
        <v>37047.369999999995</v>
      </c>
      <c r="O358" s="15">
        <f>IFERROR(N358/N444, "NA")</f>
        <v>9.8277749186929988</v>
      </c>
      <c r="P358" s="2"/>
      <c r="Q358" s="14">
        <f>IFERROR(Q349+Q350+Q351+Q352+Q353+Q354+Q355+Q356+Q357, "NA")</f>
        <v>93086.56</v>
      </c>
      <c r="R358" s="15">
        <f>IFERROR(Q358/Q444, "NA")</f>
        <v>0.10151611507102934</v>
      </c>
      <c r="S358" s="2"/>
      <c r="T358" s="14">
        <f>IFERROR(T349+T350+T351+T352+T353+T354+T355+T356+T357, "NA")</f>
        <v>94760</v>
      </c>
      <c r="U358" s="15">
        <f>IFERROR(T358/T444, "NA")</f>
        <v>9.9587872677346187E-2</v>
      </c>
      <c r="V358" s="2"/>
      <c r="W358" s="14">
        <f t="shared" si="90"/>
        <v>1673.4400000000023</v>
      </c>
      <c r="X358" s="15">
        <f>IFERROR(W358/W444, "NA")</f>
        <v>-4.8423958493088552E-2</v>
      </c>
      <c r="Y358" s="2"/>
      <c r="Z358" s="14">
        <f>IFERROR(Z349+Z350+Z351+Z352+Z353+Z354+Z355+Z356+Z357, "NA")</f>
        <v>164923.83000000002</v>
      </c>
      <c r="AA358" s="15">
        <f>IFERROR(Z358/Z444, "NA")</f>
        <v>0.1805016553353215</v>
      </c>
      <c r="AB358" s="2"/>
      <c r="AC358" s="14">
        <f t="shared" si="91"/>
        <v>71837.270000000019</v>
      </c>
      <c r="AD358" s="15">
        <f>IFERROR(AC358/AC444, "NA")</f>
        <v>21.993267673504629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customHeight="1" x14ac:dyDescent="0.45">
      <c r="A362" s="6" t="s">
        <v>330</v>
      </c>
      <c r="B362" s="7">
        <v>354.82</v>
      </c>
      <c r="C362" s="8">
        <f>IFERROR(B362/B444, "NA")</f>
        <v>7.3627660261448946E-4</v>
      </c>
      <c r="D362" s="9"/>
      <c r="E362" s="7">
        <v>864</v>
      </c>
      <c r="F362" s="8">
        <f>IFERROR(E362/E444, "NA")</f>
        <v>1.7183317035699612E-3</v>
      </c>
      <c r="G362" s="9"/>
      <c r="H362" s="10">
        <f t="shared" si="92"/>
        <v>509.18</v>
      </c>
      <c r="I362" s="8">
        <f>IFERROR(H362/H444, "NA")</f>
        <v>-2.436034829202947E-2</v>
      </c>
      <c r="J362" s="9"/>
      <c r="K362" s="7">
        <v>1011.15</v>
      </c>
      <c r="L362" s="8">
        <f>IFERROR(K362/K444, "NA")</f>
        <v>2.1147500190424749E-3</v>
      </c>
      <c r="M362" s="9"/>
      <c r="N362" s="10">
        <f t="shared" si="93"/>
        <v>656.32999999999993</v>
      </c>
      <c r="O362" s="8">
        <f>IFERROR(N362/N444, "NA")</f>
        <v>0.17410854029275966</v>
      </c>
      <c r="P362" s="9"/>
      <c r="Q362" s="7">
        <v>605.77</v>
      </c>
      <c r="R362" s="8">
        <f>IFERROR(Q362/Q444, "NA")</f>
        <v>6.6062616371877355E-4</v>
      </c>
      <c r="S362" s="9"/>
      <c r="T362" s="7">
        <v>1728</v>
      </c>
      <c r="U362" s="8">
        <f>IFERROR(T362/T444, "NA")</f>
        <v>1.8160388770204117E-3</v>
      </c>
      <c r="V362" s="9"/>
      <c r="W362" s="10">
        <f t="shared" si="94"/>
        <v>1122.23</v>
      </c>
      <c r="X362" s="8">
        <f>IFERROR(W362/W444, "NA")</f>
        <v>-3.2473718173163475E-2</v>
      </c>
      <c r="Y362" s="9"/>
      <c r="Z362" s="7">
        <v>1737.43</v>
      </c>
      <c r="AA362" s="8">
        <f>IFERROR(Z362/Z444, "NA")</f>
        <v>1.9015383709512909E-3</v>
      </c>
      <c r="AB362" s="9"/>
      <c r="AC362" s="10">
        <f t="shared" si="95"/>
        <v>1131.6600000000001</v>
      </c>
      <c r="AD362" s="8">
        <f>IFERROR(AC362/AC444, "NA")</f>
        <v>0.34646223743466653</v>
      </c>
    </row>
    <row r="363" spans="1:30" ht="16.5" customHeight="1" x14ac:dyDescent="0.45">
      <c r="A363" s="6" t="s">
        <v>331</v>
      </c>
      <c r="B363" s="7">
        <v>502.39</v>
      </c>
      <c r="C363" s="8">
        <f>IFERROR(B363/B444, "NA")</f>
        <v>1.0424947928174663E-3</v>
      </c>
      <c r="D363" s="9"/>
      <c r="E363" s="7">
        <v>150</v>
      </c>
      <c r="F363" s="8">
        <f>IFERROR(E363/E444, "NA")</f>
        <v>2.9832147631422937E-4</v>
      </c>
      <c r="G363" s="9"/>
      <c r="H363" s="10">
        <f t="shared" si="92"/>
        <v>-352.39</v>
      </c>
      <c r="I363" s="8">
        <f>IFERROR(H363/H444, "NA")</f>
        <v>1.6859152234235959E-2</v>
      </c>
      <c r="J363" s="9"/>
      <c r="K363" s="7">
        <v>724.19</v>
      </c>
      <c r="L363" s="8">
        <f>IFERROR(K363/K444, "NA")</f>
        <v>1.5145931031898038E-3</v>
      </c>
      <c r="M363" s="9"/>
      <c r="N363" s="10">
        <f t="shared" si="93"/>
        <v>221.80000000000007</v>
      </c>
      <c r="O363" s="8">
        <f>IFERROR(N363/N444, "NA")</f>
        <v>5.8838197609333884E-2</v>
      </c>
      <c r="P363" s="9"/>
      <c r="Q363" s="7">
        <v>1314.33</v>
      </c>
      <c r="R363" s="8">
        <f>IFERROR(Q363/Q444, "NA")</f>
        <v>1.4333505881118174E-3</v>
      </c>
      <c r="S363" s="9"/>
      <c r="T363" s="7">
        <v>300</v>
      </c>
      <c r="U363" s="8">
        <f>IFERROR(T363/T444, "NA")</f>
        <v>3.1528452726048813E-4</v>
      </c>
      <c r="V363" s="9"/>
      <c r="W363" s="10">
        <f t="shared" si="94"/>
        <v>-1014.3299999999999</v>
      </c>
      <c r="X363" s="8">
        <f>IFERROR(W363/W444, "NA")</f>
        <v>2.9351440038659551E-2</v>
      </c>
      <c r="Y363" s="9"/>
      <c r="Z363" s="7">
        <v>1050.74</v>
      </c>
      <c r="AA363" s="8">
        <f>IFERROR(Z363/Z444, "NA")</f>
        <v>1.1499872961174605E-3</v>
      </c>
      <c r="AB363" s="9"/>
      <c r="AC363" s="10">
        <f t="shared" si="95"/>
        <v>-263.58999999999992</v>
      </c>
      <c r="AD363" s="8">
        <f>IFERROR(AC363/AC444, "NA")</f>
        <v>-8.0699133278019641E-2</v>
      </c>
    </row>
    <row r="364" spans="1:30" ht="16.5" customHeight="1" x14ac:dyDescent="0.45">
      <c r="A364" s="6" t="s">
        <v>332</v>
      </c>
      <c r="B364" s="7">
        <v>144.4</v>
      </c>
      <c r="C364" s="8">
        <f>IFERROR(B364/B444, "NA")</f>
        <v>2.9964021593352204E-4</v>
      </c>
      <c r="D364" s="9"/>
      <c r="E364" s="7">
        <v>750</v>
      </c>
      <c r="F364" s="8">
        <f>IFERROR(E364/E444, "NA")</f>
        <v>1.4916073815711469E-3</v>
      </c>
      <c r="G364" s="9"/>
      <c r="H364" s="10">
        <f t="shared" si="92"/>
        <v>605.6</v>
      </c>
      <c r="I364" s="8">
        <f>IFERROR(H364/H444, "NA")</f>
        <v>-2.8973303990048799E-2</v>
      </c>
      <c r="J364" s="9"/>
      <c r="K364" s="7">
        <v>1851.27</v>
      </c>
      <c r="L364" s="8">
        <f>IFERROR(K364/K444, "NA")</f>
        <v>3.8718026680045125E-3</v>
      </c>
      <c r="M364" s="9"/>
      <c r="N364" s="10">
        <f t="shared" si="93"/>
        <v>1706.87</v>
      </c>
      <c r="O364" s="8">
        <f>IFERROR(N364/N444, "NA")</f>
        <v>0.45279149843752792</v>
      </c>
      <c r="P364" s="9"/>
      <c r="Q364" s="7">
        <v>199.03</v>
      </c>
      <c r="R364" s="8">
        <f>IFERROR(Q364/Q444, "NA")</f>
        <v>2.1705337894736864E-4</v>
      </c>
      <c r="S364" s="9"/>
      <c r="T364" s="7">
        <v>1150</v>
      </c>
      <c r="U364" s="8">
        <f>IFERROR(T364/T444, "NA")</f>
        <v>1.2085906878318712E-3</v>
      </c>
      <c r="V364" s="9"/>
      <c r="W364" s="10">
        <f t="shared" si="94"/>
        <v>950.97</v>
      </c>
      <c r="X364" s="8">
        <f>IFERROR(W364/W444, "NA")</f>
        <v>-2.7518005908889687E-2</v>
      </c>
      <c r="Y364" s="9"/>
      <c r="Z364" s="7">
        <v>1896.53</v>
      </c>
      <c r="AA364" s="8">
        <f>IFERROR(Z364/Z444, "NA")</f>
        <v>2.0756661083671008E-3</v>
      </c>
      <c r="AB364" s="9"/>
      <c r="AC364" s="10">
        <f t="shared" si="95"/>
        <v>1697.5</v>
      </c>
      <c r="AD364" s="8">
        <f>IFERROR(AC364/AC444, "NA")</f>
        <v>0.51969641769201558</v>
      </c>
    </row>
    <row r="365" spans="1:30" ht="16.5" customHeight="1" x14ac:dyDescent="0.45">
      <c r="A365" s="6" t="s">
        <v>333</v>
      </c>
      <c r="B365" s="7">
        <v>292</v>
      </c>
      <c r="C365" s="8">
        <f>IFERROR(B365/B444, "NA")</f>
        <v>6.0592065825892266E-4</v>
      </c>
      <c r="D365" s="9"/>
      <c r="E365" s="7">
        <v>675</v>
      </c>
      <c r="F365" s="8">
        <f>IFERROR(E365/E444, "NA")</f>
        <v>1.3424466434140323E-3</v>
      </c>
      <c r="G365" s="9"/>
      <c r="H365" s="10">
        <f t="shared" si="92"/>
        <v>383</v>
      </c>
      <c r="I365" s="8">
        <f>IFERROR(H365/H444, "NA")</f>
        <v>-1.8323605396612763E-2</v>
      </c>
      <c r="J365" s="9"/>
      <c r="K365" s="7">
        <v>896.2</v>
      </c>
      <c r="L365" s="8">
        <f>IFERROR(K365/K444, "NA")</f>
        <v>1.8743400752270843E-3</v>
      </c>
      <c r="M365" s="9"/>
      <c r="N365" s="10">
        <f t="shared" si="93"/>
        <v>604.20000000000005</v>
      </c>
      <c r="O365" s="8">
        <f>IFERROR(N365/N444, "NA")</f>
        <v>0.16027970692317189</v>
      </c>
      <c r="P365" s="9"/>
      <c r="Q365" s="7">
        <v>292</v>
      </c>
      <c r="R365" s="8">
        <f>IFERROR(Q365/Q444, "NA")</f>
        <v>3.1844237880033989E-4</v>
      </c>
      <c r="S365" s="9"/>
      <c r="T365" s="7">
        <v>1575</v>
      </c>
      <c r="U365" s="8">
        <f>IFERROR(T365/T444, "NA")</f>
        <v>1.6552437681175626E-3</v>
      </c>
      <c r="V365" s="9"/>
      <c r="W365" s="10">
        <f t="shared" si="94"/>
        <v>1283</v>
      </c>
      <c r="X365" s="8">
        <f>IFERROR(W365/W444, "NA")</f>
        <v>-3.7125883656798288E-2</v>
      </c>
      <c r="Y365" s="9"/>
      <c r="Z365" s="7">
        <v>896.2</v>
      </c>
      <c r="AA365" s="8">
        <f>IFERROR(Z365/Z444, "NA")</f>
        <v>9.8085027198019305E-4</v>
      </c>
      <c r="AB365" s="9"/>
      <c r="AC365" s="10">
        <f t="shared" si="95"/>
        <v>604.20000000000005</v>
      </c>
      <c r="AD365" s="8">
        <f>IFERROR(AC365/AC444, "NA")</f>
        <v>0.18497824775818311</v>
      </c>
    </row>
    <row r="366" spans="1:30" ht="16.5" customHeight="1" x14ac:dyDescent="0.45">
      <c r="A366" s="6" t="s">
        <v>334</v>
      </c>
      <c r="B366" s="7">
        <v>797.8</v>
      </c>
      <c r="C366" s="8">
        <f>IFERROR(B366/B444, "NA")</f>
        <v>1.6554914423252344E-3</v>
      </c>
      <c r="D366" s="9"/>
      <c r="E366" s="7">
        <v>450</v>
      </c>
      <c r="F366" s="8">
        <f>IFERROR(E366/E444, "NA")</f>
        <v>8.9496442894268816E-4</v>
      </c>
      <c r="G366" s="9"/>
      <c r="H366" s="10">
        <f t="shared" si="92"/>
        <v>-347.79999999999995</v>
      </c>
      <c r="I366" s="8">
        <f>IFERROR(H366/H444, "NA")</f>
        <v>1.6639556023347046E-2</v>
      </c>
      <c r="J366" s="9"/>
      <c r="K366" s="7">
        <v>1049.3499999999999</v>
      </c>
      <c r="L366" s="8">
        <f>IFERROR(K366/K444, "NA")</f>
        <v>2.1946426667479812E-3</v>
      </c>
      <c r="M366" s="9"/>
      <c r="N366" s="10">
        <f t="shared" si="93"/>
        <v>251.54999999999995</v>
      </c>
      <c r="O366" s="8">
        <f>IFERROR(N366/N444, "NA")</f>
        <v>6.6730156035292754E-2</v>
      </c>
      <c r="P366" s="9"/>
      <c r="Q366" s="7">
        <v>797.8</v>
      </c>
      <c r="R366" s="8">
        <f>IFERROR(Q366/Q444, "NA")</f>
        <v>8.7004565002366831E-4</v>
      </c>
      <c r="S366" s="9"/>
      <c r="T366" s="7">
        <v>900</v>
      </c>
      <c r="U366" s="8">
        <f>IFERROR(T366/T444, "NA")</f>
        <v>9.4585358178146434E-4</v>
      </c>
      <c r="V366" s="9"/>
      <c r="W366" s="10">
        <f t="shared" si="94"/>
        <v>102.20000000000005</v>
      </c>
      <c r="X366" s="8">
        <f>IFERROR(W366/W444, "NA")</f>
        <v>-2.9573385110871291E-3</v>
      </c>
      <c r="Y366" s="9"/>
      <c r="Z366" s="7">
        <v>1049.3499999999999</v>
      </c>
      <c r="AA366" s="8">
        <f>IFERROR(Z366/Z444, "NA")</f>
        <v>1.148466004131238E-3</v>
      </c>
      <c r="AB366" s="9"/>
      <c r="AC366" s="10">
        <f t="shared" si="95"/>
        <v>251.54999999999995</v>
      </c>
      <c r="AD366" s="8">
        <f>IFERROR(AC366/AC444, "NA")</f>
        <v>7.7013039098925776E-2</v>
      </c>
    </row>
    <row r="367" spans="1:30" ht="16.5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1667.61</v>
      </c>
      <c r="R367" s="8">
        <f>IFERROR(Q367/Q444, "NA")</f>
        <v>1.8186222442165573E-3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-1667.61</v>
      </c>
      <c r="X367" s="8">
        <f>IFERROR(W367/W444, "NA")</f>
        <v>4.8255257088786738E-2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-1667.61</v>
      </c>
      <c r="AD367" s="8">
        <f>IFERROR(AC367/AC444, "NA")</f>
        <v>-0.51054547458461386</v>
      </c>
    </row>
    <row r="368" spans="1:30" ht="16.5" customHeight="1" x14ac:dyDescent="0.45">
      <c r="A368" s="19" t="s">
        <v>336</v>
      </c>
      <c r="B368" s="14">
        <f>IFERROR(B360+B361+B362+B363+B364+B365+B366+B367, "NA")</f>
        <v>2091.41</v>
      </c>
      <c r="C368" s="15">
        <f>IFERROR(B368/B444, "NA")</f>
        <v>4.3398237119496343E-3</v>
      </c>
      <c r="D368" s="2"/>
      <c r="E368" s="14">
        <f>IFERROR(E360+E361+E362+E363+E364+E365+E366+E367, "NA")</f>
        <v>2889</v>
      </c>
      <c r="F368" s="15">
        <f>IFERROR(E368/E444, "NA")</f>
        <v>5.7456716338120583E-3</v>
      </c>
      <c r="G368" s="2"/>
      <c r="H368" s="14">
        <f t="shared" si="92"/>
        <v>797.59000000000015</v>
      </c>
      <c r="I368" s="15">
        <f>IFERROR(H368/H444, "NA")</f>
        <v>-3.8158549421108037E-2</v>
      </c>
      <c r="J368" s="2"/>
      <c r="K368" s="14">
        <f>IFERROR(K360+K361+K362+K363+K364+K365+K366+K367, "NA")</f>
        <v>5532.16</v>
      </c>
      <c r="L368" s="15">
        <f>IFERROR(K368/K444, "NA")</f>
        <v>1.1570128532211857E-2</v>
      </c>
      <c r="M368" s="2"/>
      <c r="N368" s="14">
        <f t="shared" si="93"/>
        <v>3440.75</v>
      </c>
      <c r="O368" s="15">
        <f>IFERROR(N368/N444, "NA")</f>
        <v>0.91274809929808609</v>
      </c>
      <c r="P368" s="2"/>
      <c r="Q368" s="14">
        <f>IFERROR(Q360+Q361+Q362+Q363+Q364+Q365+Q366+Q367, "NA")</f>
        <v>4876.54</v>
      </c>
      <c r="R368" s="15">
        <f>IFERROR(Q368/Q444, "NA")</f>
        <v>5.3181404038185253E-3</v>
      </c>
      <c r="S368" s="2"/>
      <c r="T368" s="14">
        <f>IFERROR(T360+T361+T362+T363+T364+T365+T366+T367, "NA")</f>
        <v>5653</v>
      </c>
      <c r="U368" s="15">
        <f>IFERROR(T368/T444, "NA")</f>
        <v>5.9410114420117982E-3</v>
      </c>
      <c r="V368" s="2"/>
      <c r="W368" s="14">
        <f t="shared" si="94"/>
        <v>776.46</v>
      </c>
      <c r="X368" s="15">
        <f>IFERROR(W368/W444, "NA")</f>
        <v>-2.2468249122492283E-2</v>
      </c>
      <c r="Y368" s="2"/>
      <c r="Z368" s="14">
        <f>IFERROR(Z360+Z361+Z362+Z363+Z364+Z365+Z366+Z367, "NA")</f>
        <v>6630.25</v>
      </c>
      <c r="AA368" s="15">
        <f>IFERROR(Z368/Z444, "NA")</f>
        <v>7.256508051547283E-3</v>
      </c>
      <c r="AB368" s="2"/>
      <c r="AC368" s="14">
        <f t="shared" si="95"/>
        <v>1753.71</v>
      </c>
      <c r="AD368" s="15">
        <f>IFERROR(AC368/AC444, "NA")</f>
        <v>0.53690533412115737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98</v>
      </c>
      <c r="C370" s="8">
        <f>IFERROR(B370/B444, "NA")</f>
        <v>2.0335693325128227E-4</v>
      </c>
      <c r="D370" s="9"/>
      <c r="E370" s="7">
        <v>100</v>
      </c>
      <c r="F370" s="8">
        <f>IFERROR(E370/E444, "NA")</f>
        <v>1.9888098420948626E-4</v>
      </c>
      <c r="G370" s="9"/>
      <c r="H370" s="10">
        <f t="shared" si="92"/>
        <v>2</v>
      </c>
      <c r="I370" s="8">
        <f>IFERROR(H370/H444, "NA")</f>
        <v>-9.5684623481006597E-5</v>
      </c>
      <c r="J370" s="9"/>
      <c r="K370" s="7">
        <v>103</v>
      </c>
      <c r="L370" s="8">
        <f>IFERROR(K370/K444, "NA")</f>
        <v>2.1541734852531763E-4</v>
      </c>
      <c r="M370" s="9"/>
      <c r="N370" s="10">
        <f t="shared" si="93"/>
        <v>5</v>
      </c>
      <c r="O370" s="8">
        <f>IFERROR(N370/N444, "NA")</f>
        <v>1.3263795673880492E-3</v>
      </c>
      <c r="P370" s="9"/>
      <c r="Q370" s="7">
        <v>196</v>
      </c>
      <c r="R370" s="8">
        <f>IFERROR(Q370/Q444, "NA")</f>
        <v>2.1374899398926924E-4</v>
      </c>
      <c r="S370" s="9"/>
      <c r="T370" s="7">
        <v>200</v>
      </c>
      <c r="U370" s="8">
        <f>IFERROR(T370/T444, "NA")</f>
        <v>2.1018968484032543E-4</v>
      </c>
      <c r="V370" s="9"/>
      <c r="W370" s="10">
        <f t="shared" si="94"/>
        <v>4</v>
      </c>
      <c r="X370" s="8">
        <f>IFERROR(W370/W444, "NA")</f>
        <v>-1.1574710415213807E-4</v>
      </c>
      <c r="Y370" s="9"/>
      <c r="Z370" s="7">
        <v>206</v>
      </c>
      <c r="AA370" s="8">
        <f>IFERROR(Z370/Z444, "NA")</f>
        <v>2.2545766126748468E-4</v>
      </c>
      <c r="AB370" s="9"/>
      <c r="AC370" s="10">
        <f t="shared" si="95"/>
        <v>10</v>
      </c>
      <c r="AD370" s="8">
        <f>IFERROR(AC370/AC444, "NA")</f>
        <v>3.0615400158587073E-3</v>
      </c>
    </row>
    <row r="371" spans="1:30" ht="16.5" customHeight="1" x14ac:dyDescent="0.45">
      <c r="A371" s="20" t="s">
        <v>339</v>
      </c>
      <c r="B371" s="7">
        <v>357.01</v>
      </c>
      <c r="C371" s="8">
        <f>IFERROR(B371/B444, "NA")</f>
        <v>7.4082100755143139E-4</v>
      </c>
      <c r="D371" s="9"/>
      <c r="E371" s="7">
        <v>125</v>
      </c>
      <c r="F371" s="8">
        <f>IFERROR(E371/E444, "NA")</f>
        <v>2.4860123026185785E-4</v>
      </c>
      <c r="G371" s="9"/>
      <c r="H371" s="10">
        <f t="shared" si="92"/>
        <v>-232.01</v>
      </c>
      <c r="I371" s="8">
        <f>IFERROR(H371/H444, "NA")</f>
        <v>1.109989474691417E-2</v>
      </c>
      <c r="J371" s="9"/>
      <c r="K371" s="7">
        <v>187.21</v>
      </c>
      <c r="L371" s="8">
        <f>IFERROR(K371/K444, "NA")</f>
        <v>3.9153671667402638E-4</v>
      </c>
      <c r="M371" s="9"/>
      <c r="N371" s="10">
        <f t="shared" si="93"/>
        <v>-169.79999999999998</v>
      </c>
      <c r="O371" s="8">
        <f>IFERROR(N371/N444, "NA")</f>
        <v>-4.5043850108498151E-2</v>
      </c>
      <c r="P371" s="9"/>
      <c r="Q371" s="7">
        <v>446.61</v>
      </c>
      <c r="R371" s="8">
        <f>IFERROR(Q371/Q444, "NA")</f>
        <v>4.8705325615075272E-4</v>
      </c>
      <c r="S371" s="9"/>
      <c r="T371" s="7">
        <v>250</v>
      </c>
      <c r="U371" s="8">
        <f>IFERROR(T371/T444, "NA")</f>
        <v>2.6273710605040677E-4</v>
      </c>
      <c r="V371" s="9"/>
      <c r="W371" s="10">
        <f t="shared" si="94"/>
        <v>-196.61</v>
      </c>
      <c r="X371" s="8">
        <f>IFERROR(W371/W444, "NA")</f>
        <v>5.6892595368379668E-3</v>
      </c>
      <c r="Y371" s="9"/>
      <c r="Z371" s="7">
        <v>297.27999999999997</v>
      </c>
      <c r="AA371" s="8">
        <f>IFERROR(Z371/Z444, "NA")</f>
        <v>3.2535948321164003E-4</v>
      </c>
      <c r="AB371" s="9"/>
      <c r="AC371" s="10">
        <f t="shared" si="95"/>
        <v>-149.33000000000004</v>
      </c>
      <c r="AD371" s="8">
        <f>IFERROR(AC371/AC444, "NA")</f>
        <v>-4.5717977056818092E-2</v>
      </c>
    </row>
    <row r="372" spans="1:30" ht="16.5" customHeight="1" x14ac:dyDescent="0.45">
      <c r="A372" s="20" t="s">
        <v>340</v>
      </c>
      <c r="B372" s="7">
        <v>254.08</v>
      </c>
      <c r="C372" s="8">
        <f>IFERROR(B372/B444, "NA")</f>
        <v>5.2723397551516116E-4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-254.08</v>
      </c>
      <c r="I372" s="8">
        <f>IFERROR(H372/H444, "NA")</f>
        <v>1.2155774567027079E-2</v>
      </c>
      <c r="J372" s="9"/>
      <c r="K372" s="7">
        <v>277.17</v>
      </c>
      <c r="L372" s="8">
        <f>IFERROR(K372/K444, "NA")</f>
        <v>5.7968181058992523E-4</v>
      </c>
      <c r="M372" s="9"/>
      <c r="N372" s="10">
        <f t="shared" si="93"/>
        <v>23.090000000000003</v>
      </c>
      <c r="O372" s="8">
        <f>IFERROR(N372/N444, "NA")</f>
        <v>6.1252208421980125E-3</v>
      </c>
      <c r="P372" s="9"/>
      <c r="Q372" s="7">
        <v>508.16</v>
      </c>
      <c r="R372" s="8">
        <f>IFERROR(Q372/Q444, "NA")</f>
        <v>5.5417698359993401E-4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-508.16</v>
      </c>
      <c r="X372" s="8">
        <f>IFERROR(W372/W444, "NA")</f>
        <v>1.4704512111487621E-2</v>
      </c>
      <c r="Y372" s="9"/>
      <c r="Z372" s="7">
        <v>277.17</v>
      </c>
      <c r="AA372" s="8">
        <f>IFERROR(Z372/Z444, "NA")</f>
        <v>3.0334999987140162E-4</v>
      </c>
      <c r="AB372" s="9"/>
      <c r="AC372" s="10">
        <f t="shared" si="95"/>
        <v>-230.99</v>
      </c>
      <c r="AD372" s="8">
        <f>IFERROR(AC372/AC444, "NA")</f>
        <v>-7.0718512826320287E-2</v>
      </c>
    </row>
    <row r="373" spans="1:30" ht="16.5" customHeight="1" x14ac:dyDescent="0.45">
      <c r="A373" s="20" t="s">
        <v>341</v>
      </c>
      <c r="B373" s="7">
        <v>935.18</v>
      </c>
      <c r="C373" s="8">
        <f>IFERROR(B373/B444, "NA")</f>
        <v>1.9405646616115727E-3</v>
      </c>
      <c r="D373" s="9"/>
      <c r="E373" s="7">
        <v>629</v>
      </c>
      <c r="F373" s="8">
        <f>IFERROR(E373/E444, "NA")</f>
        <v>1.2509613906776687E-3</v>
      </c>
      <c r="G373" s="9"/>
      <c r="H373" s="10">
        <f t="shared" si="92"/>
        <v>-306.17999999999995</v>
      </c>
      <c r="I373" s="8">
        <f>IFERROR(H373/H444, "NA")</f>
        <v>1.4648359008707298E-2</v>
      </c>
      <c r="J373" s="9"/>
      <c r="K373" s="7">
        <v>607.08000000000004</v>
      </c>
      <c r="L373" s="8">
        <f>IFERROR(K373/K444, "NA")</f>
        <v>1.2696656693470859E-3</v>
      </c>
      <c r="M373" s="9"/>
      <c r="N373" s="10">
        <f t="shared" si="93"/>
        <v>-328.09999999999991</v>
      </c>
      <c r="O373" s="8">
        <f>IFERROR(N373/N444, "NA")</f>
        <v>-8.7037027212003779E-2</v>
      </c>
      <c r="P373" s="9"/>
      <c r="Q373" s="7">
        <v>1602.31</v>
      </c>
      <c r="R373" s="8">
        <f>IFERROR(Q373/Q444, "NA")</f>
        <v>1.7474089314231938E-3</v>
      </c>
      <c r="S373" s="9"/>
      <c r="T373" s="7">
        <v>1258</v>
      </c>
      <c r="U373" s="8">
        <f>IFERROR(T373/T444, "NA")</f>
        <v>1.3220931176456468E-3</v>
      </c>
      <c r="V373" s="9"/>
      <c r="W373" s="10">
        <f t="shared" si="94"/>
        <v>-344.30999999999995</v>
      </c>
      <c r="X373" s="8">
        <f>IFERROR(W373/W444, "NA")</f>
        <v>9.9632213576556633E-3</v>
      </c>
      <c r="Y373" s="9"/>
      <c r="Z373" s="7">
        <v>1061.97</v>
      </c>
      <c r="AA373" s="8">
        <f>IFERROR(Z373/Z444, "NA")</f>
        <v>1.1622780220205374E-3</v>
      </c>
      <c r="AB373" s="9"/>
      <c r="AC373" s="10">
        <f t="shared" si="95"/>
        <v>-540.33999999999992</v>
      </c>
      <c r="AD373" s="8">
        <f>IFERROR(AC373/AC444, "NA")</f>
        <v>-0.16542725321690938</v>
      </c>
    </row>
    <row r="374" spans="1:30" ht="16.5" customHeight="1" x14ac:dyDescent="0.45">
      <c r="A374" s="20" t="s">
        <v>342</v>
      </c>
      <c r="B374" s="7">
        <v>2114.1</v>
      </c>
      <c r="C374" s="8">
        <f>IFERROR(B374/B444, "NA")</f>
        <v>4.3869070672095493E-3</v>
      </c>
      <c r="D374" s="9"/>
      <c r="E374" s="7">
        <v>2150</v>
      </c>
      <c r="F374" s="8">
        <f>IFERROR(E374/E444, "NA")</f>
        <v>4.2759411605039549E-3</v>
      </c>
      <c r="G374" s="9"/>
      <c r="H374" s="10">
        <f t="shared" si="92"/>
        <v>35.900000000000091</v>
      </c>
      <c r="I374" s="8">
        <f>IFERROR(H374/H444, "NA")</f>
        <v>-1.7175389914840728E-3</v>
      </c>
      <c r="J374" s="9"/>
      <c r="K374" s="7">
        <v>1897.01</v>
      </c>
      <c r="L374" s="8">
        <f>IFERROR(K374/K444, "NA")</f>
        <v>3.9674647021942996E-3</v>
      </c>
      <c r="M374" s="9"/>
      <c r="N374" s="10">
        <f t="shared" si="93"/>
        <v>-217.08999999999992</v>
      </c>
      <c r="O374" s="8">
        <f>IFERROR(N374/N444, "NA")</f>
        <v>-5.7588748056854301E-2</v>
      </c>
      <c r="P374" s="9"/>
      <c r="Q374" s="7">
        <v>4228.2</v>
      </c>
      <c r="R374" s="8">
        <f>IFERROR(Q374/Q444, "NA")</f>
        <v>4.6110892672725926E-3</v>
      </c>
      <c r="S374" s="9"/>
      <c r="T374" s="7">
        <v>4300</v>
      </c>
      <c r="U374" s="8">
        <f>IFERROR(T374/T444, "NA")</f>
        <v>4.5190782240669969E-3</v>
      </c>
      <c r="V374" s="9"/>
      <c r="W374" s="10">
        <f t="shared" si="94"/>
        <v>71.800000000000182</v>
      </c>
      <c r="X374" s="8">
        <f>IFERROR(W374/W444, "NA")</f>
        <v>-2.0776605195308839E-3</v>
      </c>
      <c r="Y374" s="9"/>
      <c r="Z374" s="7">
        <v>3794.02</v>
      </c>
      <c r="AA374" s="8">
        <f>IFERROR(Z374/Z444, "NA")</f>
        <v>4.1523828932138939E-3</v>
      </c>
      <c r="AB374" s="9"/>
      <c r="AC374" s="10">
        <f t="shared" si="95"/>
        <v>-434.17999999999984</v>
      </c>
      <c r="AD374" s="8">
        <f>IFERROR(AC374/AC444, "NA")</f>
        <v>-0.13292594440855332</v>
      </c>
    </row>
    <row r="375" spans="1:30" ht="16.5" customHeight="1" x14ac:dyDescent="0.45">
      <c r="A375" s="20" t="s">
        <v>343</v>
      </c>
      <c r="B375" s="7">
        <v>110</v>
      </c>
      <c r="C375" s="8">
        <f>IFERROR(B375/B444, "NA")</f>
        <v>2.2825778222082703E-4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-110</v>
      </c>
      <c r="I375" s="8">
        <f>IFERROR(H375/H444, "NA")</f>
        <v>5.2626542914553627E-3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-110</v>
      </c>
      <c r="O375" s="8">
        <f>IFERROR(N375/N444, "NA")</f>
        <v>-2.9180350482537084E-2</v>
      </c>
      <c r="P375" s="9"/>
      <c r="Q375" s="7">
        <v>110</v>
      </c>
      <c r="R375" s="8">
        <f>IFERROR(Q375/Q444, "NA")</f>
        <v>1.1996117009601845E-4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-110</v>
      </c>
      <c r="X375" s="8">
        <f>IFERROR(W375/W444, "NA")</f>
        <v>3.1830453641837971E-3</v>
      </c>
      <c r="Y375" s="9"/>
      <c r="Z375" s="7">
        <v>205.26</v>
      </c>
      <c r="AA375" s="8">
        <f>IFERROR(Z375/Z444, "NA")</f>
        <v>2.2464776481438789E-4</v>
      </c>
      <c r="AB375" s="9"/>
      <c r="AC375" s="10">
        <f t="shared" si="95"/>
        <v>95.259999999999991</v>
      </c>
      <c r="AD375" s="8">
        <f>IFERROR(AC375/AC444, "NA")</f>
        <v>2.9164230191070045E-2</v>
      </c>
    </row>
    <row r="376" spans="1:30" ht="16.5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-2413</v>
      </c>
      <c r="AA376" s="8">
        <f>IFERROR(Z376/Z444, "NA")</f>
        <v>-2.6409191098953422E-3</v>
      </c>
      <c r="AB376" s="9"/>
      <c r="AC376" s="10">
        <f t="shared" si="95"/>
        <v>-2413</v>
      </c>
      <c r="AD376" s="8">
        <f>IFERROR(AC376/AC444, "NA")</f>
        <v>-0.73874960582670612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6296.44</v>
      </c>
      <c r="C378" s="8">
        <f>IFERROR(B378/B444, "NA")</f>
        <v>1.3065558457150036E-2</v>
      </c>
      <c r="D378" s="9"/>
      <c r="E378" s="7">
        <v>7484</v>
      </c>
      <c r="F378" s="8">
        <f>IFERROR(E378/E444, "NA")</f>
        <v>1.4884252858237952E-2</v>
      </c>
      <c r="G378" s="9"/>
      <c r="H378" s="10">
        <f t="shared" si="92"/>
        <v>1187.5600000000004</v>
      </c>
      <c r="I378" s="8">
        <f>IFERROR(H378/H444, "NA")</f>
        <v>-5.6815615730552119E-2</v>
      </c>
      <c r="J378" s="9"/>
      <c r="K378" s="7">
        <v>8906.06</v>
      </c>
      <c r="L378" s="8">
        <f>IFERROR(K378/K444, "NA")</f>
        <v>1.8626406126285341E-2</v>
      </c>
      <c r="M378" s="9"/>
      <c r="N378" s="10">
        <f t="shared" si="93"/>
        <v>2609.62</v>
      </c>
      <c r="O378" s="8">
        <f>IFERROR(N378/N444, "NA")</f>
        <v>0.69226932932944019</v>
      </c>
      <c r="P378" s="9"/>
      <c r="Q378" s="7">
        <v>12870.62</v>
      </c>
      <c r="R378" s="8">
        <f>IFERROR(Q378/Q444, "NA")</f>
        <v>1.4036133046011064E-2</v>
      </c>
      <c r="S378" s="9"/>
      <c r="T378" s="7">
        <v>16968</v>
      </c>
      <c r="U378" s="8">
        <f>IFERROR(T378/T444, "NA")</f>
        <v>1.7832492861853209E-2</v>
      </c>
      <c r="V378" s="9"/>
      <c r="W378" s="10">
        <f t="shared" si="94"/>
        <v>4097.3799999999992</v>
      </c>
      <c r="X378" s="8">
        <f>IFERROR(W378/W444, "NA")</f>
        <v>-0.11856496740272185</v>
      </c>
      <c r="Y378" s="9"/>
      <c r="Z378" s="7">
        <v>16835.02</v>
      </c>
      <c r="AA378" s="8">
        <f>IFERROR(Z378/Z444, "NA")</f>
        <v>1.8425166197045293E-2</v>
      </c>
      <c r="AB378" s="9"/>
      <c r="AC378" s="10">
        <f t="shared" si="95"/>
        <v>3964.3999999999996</v>
      </c>
      <c r="AD378" s="8">
        <f>IFERROR(AC378/AC444, "NA")</f>
        <v>1.2137169238870258</v>
      </c>
    </row>
    <row r="379" spans="1:30" ht="16.5" customHeight="1" x14ac:dyDescent="0.45">
      <c r="A379" s="20" t="s">
        <v>347</v>
      </c>
      <c r="B379" s="7">
        <v>892.87</v>
      </c>
      <c r="C379" s="8">
        <f>IFERROR(B379/B444, "NA")</f>
        <v>1.8527684182864529E-3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-892.87</v>
      </c>
      <c r="I379" s="8">
        <f>IFERROR(H379/H444, "NA")</f>
        <v>4.2716964883743186E-2</v>
      </c>
      <c r="J379" s="9"/>
      <c r="K379" s="7">
        <v>214.32</v>
      </c>
      <c r="L379" s="8">
        <f>IFERROR(K379/K444, "NA")</f>
        <v>4.4823539937811723E-4</v>
      </c>
      <c r="M379" s="9"/>
      <c r="N379" s="10">
        <f t="shared" si="93"/>
        <v>-678.55</v>
      </c>
      <c r="O379" s="8">
        <f>IFERROR(N379/N444, "NA")</f>
        <v>-0.18000297109023217</v>
      </c>
      <c r="P379" s="9"/>
      <c r="Q379" s="7">
        <v>1633.39</v>
      </c>
      <c r="R379" s="8">
        <f>IFERROR(Q379/Q444, "NA")</f>
        <v>1.781303414755778E-3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-1633.39</v>
      </c>
      <c r="X379" s="8">
        <f>IFERROR(W379/W444, "NA")</f>
        <v>4.7265040612765201E-2</v>
      </c>
      <c r="Y379" s="9"/>
      <c r="Z379" s="7">
        <v>232.73</v>
      </c>
      <c r="AA379" s="8">
        <f>IFERROR(Z379/Z444, "NA")</f>
        <v>2.5471243449894034E-4</v>
      </c>
      <c r="AB379" s="9"/>
      <c r="AC379" s="10">
        <f t="shared" si="95"/>
        <v>-1400.66</v>
      </c>
      <c r="AD379" s="8">
        <f>IFERROR(AC379/AC444, "NA")</f>
        <v>-0.42881766386126574</v>
      </c>
    </row>
    <row r="380" spans="1:30" ht="16.5" customHeight="1" x14ac:dyDescent="0.45">
      <c r="A380" s="20" t="s">
        <v>348</v>
      </c>
      <c r="B380" s="7">
        <v>11855.67</v>
      </c>
      <c r="C380" s="8">
        <f>IFERROR(B380/B444, "NA")</f>
        <v>2.4601354008563565E-2</v>
      </c>
      <c r="D380" s="9"/>
      <c r="E380" s="7">
        <v>11800</v>
      </c>
      <c r="F380" s="8">
        <f>IFERROR(E380/E444, "NA")</f>
        <v>2.346795613671938E-2</v>
      </c>
      <c r="G380" s="9"/>
      <c r="H380" s="10">
        <f t="shared" si="92"/>
        <v>-55.670000000000073</v>
      </c>
      <c r="I380" s="8">
        <f>IFERROR(H380/H444, "NA")</f>
        <v>2.6633814945938223E-3</v>
      </c>
      <c r="J380" s="9"/>
      <c r="K380" s="7">
        <v>11500</v>
      </c>
      <c r="L380" s="8">
        <f>IFERROR(K380/K444, "NA")</f>
        <v>2.4051451534380125E-2</v>
      </c>
      <c r="M380" s="9"/>
      <c r="N380" s="10">
        <f t="shared" si="93"/>
        <v>-355.67000000000007</v>
      </c>
      <c r="O380" s="8">
        <f>IFERROR(N380/N444, "NA")</f>
        <v>-9.4350684146581515E-2</v>
      </c>
      <c r="P380" s="9"/>
      <c r="Q380" s="7">
        <v>23655.67</v>
      </c>
      <c r="R380" s="8">
        <f>IFERROR(Q380/Q444, "NA")</f>
        <v>2.5797835023684369E-2</v>
      </c>
      <c r="S380" s="9"/>
      <c r="T380" s="7">
        <v>23600</v>
      </c>
      <c r="U380" s="8">
        <f>IFERROR(T380/T444, "NA")</f>
        <v>2.4802382811158399E-2</v>
      </c>
      <c r="V380" s="9"/>
      <c r="W380" s="10">
        <f t="shared" si="94"/>
        <v>-55.669999999998254</v>
      </c>
      <c r="X380" s="8">
        <f>IFERROR(W380/W444, "NA")</f>
        <v>1.6109103220373312E-3</v>
      </c>
      <c r="Y380" s="9"/>
      <c r="Z380" s="7">
        <v>23000</v>
      </c>
      <c r="AA380" s="8">
        <f>IFERROR(Z380/Z444, "NA")</f>
        <v>2.51724573259813E-2</v>
      </c>
      <c r="AB380" s="9"/>
      <c r="AC380" s="10">
        <f t="shared" si="95"/>
        <v>-655.66999999999825</v>
      </c>
      <c r="AD380" s="8">
        <f>IFERROR(AC380/AC444, "NA")</f>
        <v>-0.20073599421980734</v>
      </c>
    </row>
    <row r="381" spans="1:30" ht="16.5" customHeight="1" x14ac:dyDescent="0.45">
      <c r="A381" s="20" t="s">
        <v>349</v>
      </c>
      <c r="B381" s="7">
        <v>125</v>
      </c>
      <c r="C381" s="8">
        <f>IFERROR(B381/B444, "NA")</f>
        <v>2.5938384343275795E-4</v>
      </c>
      <c r="D381" s="9"/>
      <c r="E381" s="7">
        <v>3000</v>
      </c>
      <c r="F381" s="8">
        <f>IFERROR(E381/E444, "NA")</f>
        <v>5.9664295262845876E-3</v>
      </c>
      <c r="G381" s="9"/>
      <c r="H381" s="10">
        <f t="shared" si="92"/>
        <v>2875</v>
      </c>
      <c r="I381" s="8">
        <f>IFERROR(H381/H444, "NA")</f>
        <v>-0.137546646253947</v>
      </c>
      <c r="J381" s="9"/>
      <c r="K381" s="7">
        <v>13241.51</v>
      </c>
      <c r="L381" s="8">
        <f>IFERROR(K381/K444, "NA")</f>
        <v>2.7693698783218243E-2</v>
      </c>
      <c r="M381" s="9"/>
      <c r="N381" s="10">
        <f t="shared" si="93"/>
        <v>13116.51</v>
      </c>
      <c r="O381" s="8">
        <f>IFERROR(N381/N444, "NA")</f>
        <v>3.4794941718882044</v>
      </c>
      <c r="P381" s="9"/>
      <c r="Q381" s="7">
        <v>3672.5</v>
      </c>
      <c r="R381" s="8">
        <f>IFERROR(Q381/Q444, "NA")</f>
        <v>4.0050672470693435E-3</v>
      </c>
      <c r="S381" s="9"/>
      <c r="T381" s="7">
        <v>5500</v>
      </c>
      <c r="U381" s="8">
        <f>IFERROR(T381/T444, "NA")</f>
        <v>5.7802163331089488E-3</v>
      </c>
      <c r="V381" s="9"/>
      <c r="W381" s="10">
        <f t="shared" si="94"/>
        <v>1827.5</v>
      </c>
      <c r="X381" s="8">
        <f>IFERROR(W381/W444, "NA")</f>
        <v>-5.2881958209508084E-2</v>
      </c>
      <c r="Y381" s="9"/>
      <c r="Z381" s="7">
        <v>17241.509999999998</v>
      </c>
      <c r="AA381" s="8">
        <f>IFERROR(Z381/Z444, "NA")</f>
        <v>1.8870051074368687E-2</v>
      </c>
      <c r="AB381" s="9"/>
      <c r="AC381" s="10">
        <f t="shared" si="95"/>
        <v>13569.009999999998</v>
      </c>
      <c r="AD381" s="8">
        <f>IFERROR(AC381/AC444, "NA")</f>
        <v>4.1542067090586956</v>
      </c>
    </row>
    <row r="382" spans="1:30" ht="16.5" customHeight="1" x14ac:dyDescent="0.45">
      <c r="A382" s="20" t="s">
        <v>350</v>
      </c>
      <c r="B382" s="7">
        <v>719.16</v>
      </c>
      <c r="C382" s="8">
        <f>IFERROR(B382/B444, "NA")</f>
        <v>1.4923078787448178E-3</v>
      </c>
      <c r="D382" s="9"/>
      <c r="E382" s="7">
        <v>506</v>
      </c>
      <c r="F382" s="8">
        <f>IFERROR(E382/E444, "NA")</f>
        <v>1.0063377801000004E-3</v>
      </c>
      <c r="G382" s="9"/>
      <c r="H382" s="10">
        <f t="shared" si="92"/>
        <v>-213.15999999999997</v>
      </c>
      <c r="I382" s="8">
        <f>IFERROR(H382/H444, "NA")</f>
        <v>1.0198067170605682E-2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-719.16</v>
      </c>
      <c r="O382" s="8">
        <f>IFERROR(N382/N444, "NA")</f>
        <v>-0.1907758259365579</v>
      </c>
      <c r="P382" s="9"/>
      <c r="Q382" s="7">
        <v>1393.32</v>
      </c>
      <c r="R382" s="8">
        <f>IFERROR(Q382/Q444, "NA")</f>
        <v>1.5194936138016766E-3</v>
      </c>
      <c r="S382" s="9"/>
      <c r="T382" s="7">
        <v>1012</v>
      </c>
      <c r="U382" s="8">
        <f>IFERROR(T382/T444, "NA")</f>
        <v>1.0635598052920465E-3</v>
      </c>
      <c r="V382" s="9"/>
      <c r="W382" s="10">
        <f t="shared" si="94"/>
        <v>-381.31999999999994</v>
      </c>
      <c r="X382" s="8">
        <f>IFERROR(W382/W444, "NA")</f>
        <v>1.103417143882332E-2</v>
      </c>
      <c r="Y382" s="9"/>
      <c r="Z382" s="7">
        <v>505.62</v>
      </c>
      <c r="AA382" s="8">
        <f>IFERROR(Z382/Z444, "NA")</f>
        <v>5.5337816839837672E-4</v>
      </c>
      <c r="AB382" s="9"/>
      <c r="AC382" s="10">
        <f t="shared" si="95"/>
        <v>-887.69999999999993</v>
      </c>
      <c r="AD382" s="8">
        <f>IFERROR(AC382/AC444, "NA")</f>
        <v>-0.27177290720777741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8400.0499999999993</v>
      </c>
      <c r="C385" s="8">
        <f>IFERROR(B385/B444, "NA")</f>
        <v>1.7430698032218708E-2</v>
      </c>
      <c r="D385" s="9"/>
      <c r="E385" s="7">
        <v>1000</v>
      </c>
      <c r="F385" s="8">
        <f>IFERROR(E385/E444, "NA")</f>
        <v>1.9888098420948628E-3</v>
      </c>
      <c r="G385" s="9"/>
      <c r="H385" s="10">
        <f>IFERROR(-(B385-E385), "NA")</f>
        <v>-7400.0499999999993</v>
      </c>
      <c r="I385" s="8">
        <f>IFERROR(H385/H444, "NA")</f>
        <v>0.35403549899531139</v>
      </c>
      <c r="J385" s="9"/>
      <c r="K385" s="7">
        <v>2098.5</v>
      </c>
      <c r="L385" s="8">
        <f>IFERROR(K385/K444, "NA")</f>
        <v>4.3888670473823214E-3</v>
      </c>
      <c r="M385" s="9"/>
      <c r="N385" s="10">
        <f>IFERROR(-(B385-K385), "NA")</f>
        <v>-6301.5499999999993</v>
      </c>
      <c r="O385" s="8">
        <f>IFERROR(N385/N444, "NA")</f>
        <v>-1.6716494325748323</v>
      </c>
      <c r="P385" s="9"/>
      <c r="Q385" s="7">
        <v>10622.35</v>
      </c>
      <c r="R385" s="8">
        <f>IFERROR(Q385/Q444, "NA")</f>
        <v>1.1584268501540379E-2</v>
      </c>
      <c r="S385" s="9"/>
      <c r="T385" s="7">
        <v>1750</v>
      </c>
      <c r="U385" s="8">
        <f>IFERROR(T385/T444, "NA")</f>
        <v>1.8391597423528473E-3</v>
      </c>
      <c r="V385" s="9"/>
      <c r="W385" s="10">
        <f>IFERROR(-(Q385-T385), "NA")</f>
        <v>-8872.35</v>
      </c>
      <c r="X385" s="8">
        <f>IFERROR(W385/W444, "NA")</f>
        <v>0.25673720488105556</v>
      </c>
      <c r="Y385" s="9"/>
      <c r="Z385" s="7">
        <v>4295.7299999999996</v>
      </c>
      <c r="AA385" s="8">
        <f>IFERROR(Z385/Z444, "NA")</f>
        <v>4.7014817438668539E-3</v>
      </c>
      <c r="AB385" s="9"/>
      <c r="AC385" s="10">
        <f>IFERROR(-(Q385-Z385), "NA")</f>
        <v>-6326.6200000000008</v>
      </c>
      <c r="AD385" s="8">
        <f>IFERROR(AC385/AC444, "NA")</f>
        <v>-1.9369200295132019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10559.08</v>
      </c>
      <c r="F388" s="8">
        <f>IFERROR(E388/E444, "NA")</f>
        <v>2.1000002227467021E-2</v>
      </c>
      <c r="G388" s="9"/>
      <c r="H388" s="10">
        <f t="shared" ref="H388:H403" si="96">IFERROR(-(B388-E388), "NA")</f>
        <v>10559.08</v>
      </c>
      <c r="I388" s="8">
        <f>IFERROR(H388/H444, "NA")</f>
        <v>-0.50517079705291357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19981.95</v>
      </c>
      <c r="U388" s="8">
        <f>IFERROR(T388/T444, "NA")</f>
        <v>2.0999998864975705E-2</v>
      </c>
      <c r="V388" s="9"/>
      <c r="W388" s="10">
        <f t="shared" ref="W388:W403" si="98">IFERROR(-(Q388-T388), "NA")</f>
        <v>19981.95</v>
      </c>
      <c r="X388" s="8">
        <f>IFERROR(W388/W444, "NA")</f>
        <v>-0.57821321195320385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7232.35</v>
      </c>
      <c r="C389" s="8">
        <f>IFERROR(B389/B444, "NA")</f>
        <v>1.5007637920407258E-2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-7232.35</v>
      </c>
      <c r="I389" s="8">
        <f>IFERROR(H389/H444, "NA")</f>
        <v>0.34601234331642905</v>
      </c>
      <c r="J389" s="9"/>
      <c r="K389" s="7">
        <v>3611.72</v>
      </c>
      <c r="L389" s="8">
        <f>IFERROR(K389/K444, "NA")</f>
        <v>7.5536616118044679E-3</v>
      </c>
      <c r="M389" s="9"/>
      <c r="N389" s="10">
        <f t="shared" si="97"/>
        <v>-3620.6300000000006</v>
      </c>
      <c r="O389" s="8">
        <f>IFERROR(N389/N444, "NA")</f>
        <v>-0.96046593061443875</v>
      </c>
      <c r="P389" s="9"/>
      <c r="Q389" s="7">
        <v>14132.77</v>
      </c>
      <c r="R389" s="8">
        <f>IFERROR(Q389/Q444, "NA")</f>
        <v>1.5412578417253697E-2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-14132.77</v>
      </c>
      <c r="X389" s="8">
        <f>IFERROR(W389/W444, "NA")</f>
        <v>0.40895680028705311</v>
      </c>
      <c r="Y389" s="9"/>
      <c r="Z389" s="7">
        <v>6806.47</v>
      </c>
      <c r="AA389" s="8">
        <f>IFERROR(Z389/Z444, "NA")</f>
        <v>7.449372852850954E-3</v>
      </c>
      <c r="AB389" s="9"/>
      <c r="AC389" s="10">
        <f t="shared" si="99"/>
        <v>-7326.3</v>
      </c>
      <c r="AD389" s="8">
        <f>IFERROR(AC389/AC444, "NA")</f>
        <v>-2.242976061818565</v>
      </c>
    </row>
    <row r="390" spans="1:30" ht="16.5" customHeight="1" x14ac:dyDescent="0.45">
      <c r="A390" s="12" t="s">
        <v>356</v>
      </c>
      <c r="B390" s="7">
        <v>6789.99</v>
      </c>
      <c r="C390" s="8">
        <f>IFERROR(B390/B444, "NA")</f>
        <v>1.4089709624559939E-2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-6789.99</v>
      </c>
      <c r="I390" s="8">
        <f>IFERROR(H390/H444, "NA")</f>
        <v>0.32484881829489998</v>
      </c>
      <c r="J390" s="9"/>
      <c r="K390" s="7">
        <v>10432.280000000001</v>
      </c>
      <c r="L390" s="8">
        <f>IFERROR(K390/K444, "NA")</f>
        <v>2.1818389288094184E-2</v>
      </c>
      <c r="M390" s="9"/>
      <c r="N390" s="10">
        <f t="shared" si="97"/>
        <v>3642.2900000000009</v>
      </c>
      <c r="O390" s="8">
        <f>IFERROR(N390/N444, "NA")</f>
        <v>0.9662118069003639</v>
      </c>
      <c r="P390" s="9"/>
      <c r="Q390" s="7">
        <v>9992.35</v>
      </c>
      <c r="R390" s="8">
        <f>IFERROR(Q390/Q444, "NA")</f>
        <v>1.0897218163717727E-2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-9992.35</v>
      </c>
      <c r="X390" s="8">
        <f>IFERROR(W390/W444, "NA")</f>
        <v>0.28914639404365422</v>
      </c>
      <c r="Y390" s="9"/>
      <c r="Z390" s="7">
        <v>23238.48</v>
      </c>
      <c r="AA390" s="8">
        <f>IFERROR(Z390/Z444, "NA")</f>
        <v>2.5433462874811734E-2</v>
      </c>
      <c r="AB390" s="9"/>
      <c r="AC390" s="10">
        <f t="shared" si="99"/>
        <v>13246.13</v>
      </c>
      <c r="AD390" s="8">
        <f>IFERROR(AC390/AC444, "NA")</f>
        <v>4.05535570502665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4186.76</v>
      </c>
      <c r="C392" s="8">
        <f>IFERROR(B392/B444, "NA")</f>
        <v>8.6878232026442702E-3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-4186.76</v>
      </c>
      <c r="I392" s="8">
        <f>IFERROR(H392/H444, "NA")</f>
        <v>0.2003042771026696</v>
      </c>
      <c r="J392" s="9"/>
      <c r="K392" s="7">
        <v>4786.21</v>
      </c>
      <c r="L392" s="8">
        <f>IFERROR(K392/K444, "NA")</f>
        <v>1.0010025899857869E-2</v>
      </c>
      <c r="M392" s="9"/>
      <c r="N392" s="10">
        <f t="shared" si="97"/>
        <v>599.44999999999982</v>
      </c>
      <c r="O392" s="8">
        <f>IFERROR(N392/N444, "NA")</f>
        <v>0.15901964633415319</v>
      </c>
      <c r="P392" s="9"/>
      <c r="Q392" s="7">
        <v>9024.31</v>
      </c>
      <c r="R392" s="8">
        <f>IFERROR(Q392/Q444, "NA")</f>
        <v>9.8415162446290928E-3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-9024.31</v>
      </c>
      <c r="X392" s="8">
        <f>IFERROR(W392/W444, "NA")</f>
        <v>0.26113443736779529</v>
      </c>
      <c r="Y392" s="9"/>
      <c r="Z392" s="7">
        <v>9130.93</v>
      </c>
      <c r="AA392" s="8">
        <f>IFERROR(Z392/Z444, "NA")</f>
        <v>9.9933889465879319E-3</v>
      </c>
      <c r="AB392" s="9"/>
      <c r="AC392" s="10">
        <f t="shared" si="99"/>
        <v>106.6200000000008</v>
      </c>
      <c r="AD392" s="8">
        <f>IFERROR(AC392/AC444, "NA")</f>
        <v>3.2642139649085786E-2</v>
      </c>
    </row>
    <row r="393" spans="1:30" ht="16.5" customHeight="1" x14ac:dyDescent="0.45">
      <c r="A393" s="13" t="s">
        <v>359</v>
      </c>
      <c r="B393" s="14">
        <f>IFERROR(B388+B389+B390+B391+B392, "NA")</f>
        <v>18209.099999999999</v>
      </c>
      <c r="C393" s="15">
        <f>IFERROR(B393/B444, "NA")</f>
        <v>3.7785170747611466E-2</v>
      </c>
      <c r="D393" s="2"/>
      <c r="E393" s="14">
        <f>IFERROR(E388+E389+E390+E391+E392, "NA")</f>
        <v>10559.08</v>
      </c>
      <c r="F393" s="15">
        <f>IFERROR(E393/E444, "NA")</f>
        <v>2.1000002227467021E-2</v>
      </c>
      <c r="G393" s="2"/>
      <c r="H393" s="14">
        <f t="shared" si="96"/>
        <v>-7650.0199999999986</v>
      </c>
      <c r="I393" s="15">
        <f>IFERROR(H393/H444, "NA")</f>
        <v>0.36599464166108497</v>
      </c>
      <c r="J393" s="2"/>
      <c r="K393" s="14">
        <f>IFERROR(K388+K389+K390+K391+K392, "NA")</f>
        <v>18830.21</v>
      </c>
      <c r="L393" s="15">
        <f>IFERROR(K393/K444, "NA")</f>
        <v>3.938207679975652E-2</v>
      </c>
      <c r="M393" s="2"/>
      <c r="N393" s="14">
        <f t="shared" si="97"/>
        <v>621.11000000000058</v>
      </c>
      <c r="O393" s="15">
        <f>IFERROR(N393/N444, "NA")</f>
        <v>0.1647655226200784</v>
      </c>
      <c r="P393" s="2"/>
      <c r="Q393" s="14">
        <f>IFERROR(Q388+Q389+Q390+Q391+Q392, "NA")</f>
        <v>33149.43</v>
      </c>
      <c r="R393" s="15">
        <f>IFERROR(Q393/Q444, "NA")</f>
        <v>3.6151312825600516E-2</v>
      </c>
      <c r="S393" s="2"/>
      <c r="T393" s="14">
        <f>IFERROR(T388+T389+T390+T391+T392, "NA")</f>
        <v>19981.95</v>
      </c>
      <c r="U393" s="15">
        <f>IFERROR(T393/T444, "NA")</f>
        <v>2.0999998864975705E-2</v>
      </c>
      <c r="V393" s="2"/>
      <c r="W393" s="14">
        <f t="shared" si="98"/>
        <v>-13167.48</v>
      </c>
      <c r="X393" s="15">
        <f>IFERROR(W393/W444, "NA")</f>
        <v>0.38102441974529871</v>
      </c>
      <c r="Y393" s="2"/>
      <c r="Z393" s="14">
        <f>IFERROR(Z388+Z389+Z390+Z391+Z392, "NA")</f>
        <v>39175.880000000005</v>
      </c>
      <c r="AA393" s="15">
        <f>IFERROR(Z393/Z444, "NA")</f>
        <v>4.2876224674250625E-2</v>
      </c>
      <c r="AB393" s="2"/>
      <c r="AC393" s="14">
        <f t="shared" si="99"/>
        <v>6026.4500000000044</v>
      </c>
      <c r="AD393" s="15">
        <f>IFERROR(AC393/AC444, "NA")</f>
        <v>1.845021782857172</v>
      </c>
    </row>
    <row r="394" spans="1:30" ht="16.5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4022.51</v>
      </c>
      <c r="F394" s="8">
        <f>IFERROR(E394/E444, "NA")</f>
        <v>8.0000074779250068E-3</v>
      </c>
      <c r="G394" s="9"/>
      <c r="H394" s="10">
        <f t="shared" si="96"/>
        <v>4022.51</v>
      </c>
      <c r="I394" s="8">
        <f>IFERROR(H394/H444, "NA")</f>
        <v>-0.19244617739929196</v>
      </c>
      <c r="J394" s="9"/>
      <c r="K394" s="7">
        <v>2711.79</v>
      </c>
      <c r="L394" s="8">
        <f>IFERROR(K394/K444, "NA")</f>
        <v>5.671520500557972E-3</v>
      </c>
      <c r="M394" s="9"/>
      <c r="N394" s="10">
        <f t="shared" si="97"/>
        <v>2711.79</v>
      </c>
      <c r="O394" s="8">
        <f>IFERROR(N394/N444, "NA")</f>
        <v>0.7193725694094476</v>
      </c>
      <c r="P394" s="9"/>
      <c r="Q394" s="7">
        <v>0</v>
      </c>
      <c r="R394" s="8">
        <f>IFERROR(Q394/Q444, "NA")</f>
        <v>0</v>
      </c>
      <c r="S394" s="9"/>
      <c r="T394" s="7">
        <v>4022.51</v>
      </c>
      <c r="U394" s="8">
        <f>IFERROR(T394/T444, "NA")</f>
        <v>4.2274505458352873E-3</v>
      </c>
      <c r="V394" s="9"/>
      <c r="W394" s="10">
        <f t="shared" si="98"/>
        <v>4022.51</v>
      </c>
      <c r="X394" s="8">
        <f>IFERROR(W394/W444, "NA")</f>
        <v>-0.11639847098075423</v>
      </c>
      <c r="Y394" s="9"/>
      <c r="Z394" s="7">
        <v>6612.06</v>
      </c>
      <c r="AA394" s="8">
        <f>IFERROR(Z394/Z444, "NA")</f>
        <v>7.2365999211664311E-3</v>
      </c>
      <c r="AB394" s="9"/>
      <c r="AC394" s="10">
        <f t="shared" si="99"/>
        <v>6612.06</v>
      </c>
      <c r="AD394" s="8">
        <f>IFERROR(AC394/AC444, "NA")</f>
        <v>2.0243086277258726</v>
      </c>
    </row>
    <row r="395" spans="1:30" ht="16.5" customHeight="1" x14ac:dyDescent="0.45">
      <c r="A395" s="6" t="s">
        <v>361</v>
      </c>
      <c r="B395" s="7">
        <v>72.86</v>
      </c>
      <c r="C395" s="8">
        <f>IFERROR(B395/B444, "NA")</f>
        <v>1.5118965466008597E-4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-72.86</v>
      </c>
      <c r="I395" s="8">
        <f>IFERROR(H395/H444, "NA")</f>
        <v>3.4857908334130707E-3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-72.86</v>
      </c>
      <c r="O395" s="8">
        <f>IFERROR(N395/N444, "NA")</f>
        <v>-1.9328003055978656E-2</v>
      </c>
      <c r="P395" s="9"/>
      <c r="Q395" s="7">
        <v>109.24</v>
      </c>
      <c r="R395" s="8">
        <f>IFERROR(Q395/Q444, "NA")</f>
        <v>1.1913234746626413E-4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-109.24</v>
      </c>
      <c r="X395" s="8">
        <f>IFERROR(W395/W444, "NA")</f>
        <v>3.1610534143948904E-3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-109.24</v>
      </c>
      <c r="AD395" s="8">
        <f>IFERROR(AC395/AC444, "NA")</f>
        <v>-3.3444263133240518E-2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26682.010000000002</v>
      </c>
      <c r="C396" s="15">
        <f>IFERROR(B396/B444, "NA")</f>
        <v>5.5367058434490267E-2</v>
      </c>
      <c r="D396" s="2"/>
      <c r="E396" s="14">
        <f>IFERROR(E385+E386+E388+E389+E390+E391+E392+E394+E395, "NA")</f>
        <v>15581.59</v>
      </c>
      <c r="F396" s="15">
        <f>IFERROR(E396/E444, "NA")</f>
        <v>3.098881954748689E-2</v>
      </c>
      <c r="G396" s="2"/>
      <c r="H396" s="14">
        <f t="shared" si="96"/>
        <v>-11100.420000000002</v>
      </c>
      <c r="I396" s="15">
        <f>IFERROR(H396/H444, "NA")</f>
        <v>0.53106975409051771</v>
      </c>
      <c r="J396" s="2"/>
      <c r="K396" s="14">
        <f>IFERROR(K385+K386+K388+K389+K390+K391+K392+K394+K395, "NA")</f>
        <v>23640.5</v>
      </c>
      <c r="L396" s="15">
        <f>IFERROR(K396/K444, "NA")</f>
        <v>4.9442464347696814E-2</v>
      </c>
      <c r="M396" s="2"/>
      <c r="N396" s="14">
        <f t="shared" si="97"/>
        <v>-3041.510000000002</v>
      </c>
      <c r="O396" s="15">
        <f>IFERROR(N396/N444, "NA")</f>
        <v>-0.80683934360128573</v>
      </c>
      <c r="P396" s="2"/>
      <c r="Q396" s="14">
        <f>IFERROR(Q385+Q386+Q388+Q389+Q390+Q391+Q392+Q394+Q395, "NA")</f>
        <v>43881.02</v>
      </c>
      <c r="R396" s="15">
        <f>IFERROR(Q396/Q444, "NA")</f>
        <v>4.7854713674607155E-2</v>
      </c>
      <c r="S396" s="2"/>
      <c r="T396" s="14">
        <f>IFERROR(T385+T386+T388+T389+T390+T391+T392+T394+T395, "NA")</f>
        <v>25754.46</v>
      </c>
      <c r="U396" s="15">
        <f>IFERROR(T396/T444, "NA")</f>
        <v>2.7066609153163834E-2</v>
      </c>
      <c r="V396" s="2"/>
      <c r="W396" s="14">
        <f t="shared" si="98"/>
        <v>-18126.559999999998</v>
      </c>
      <c r="X396" s="15">
        <f>IFERROR(W396/W444, "NA")</f>
        <v>0.52452420705999492</v>
      </c>
      <c r="Y396" s="2"/>
      <c r="Z396" s="14">
        <f>IFERROR(Z385+Z386+Z388+Z389+Z390+Z391+Z392+Z394+Z395, "NA")</f>
        <v>50083.67</v>
      </c>
      <c r="AA396" s="15">
        <f>IFERROR(Z396/Z444, "NA")</f>
        <v>5.4814306339283907E-2</v>
      </c>
      <c r="AB396" s="2"/>
      <c r="AC396" s="14">
        <f t="shared" si="99"/>
        <v>6202.6500000000015</v>
      </c>
      <c r="AD396" s="15">
        <f>IFERROR(AC396/AC444, "NA")</f>
        <v>1.8989661179366015</v>
      </c>
    </row>
    <row r="397" spans="1:30" ht="16.5" customHeight="1" x14ac:dyDescent="0.45">
      <c r="A397" s="20" t="s">
        <v>363</v>
      </c>
      <c r="B397" s="7">
        <v>12449.5</v>
      </c>
      <c r="C397" s="8">
        <f>IFERROR(B397/B444, "NA")</f>
        <v>2.5833593270528962E-2</v>
      </c>
      <c r="D397" s="9"/>
      <c r="E397" s="7">
        <v>9200</v>
      </c>
      <c r="F397" s="8">
        <f>IFERROR(E397/E444, "NA")</f>
        <v>1.8297050547272736E-2</v>
      </c>
      <c r="G397" s="9"/>
      <c r="H397" s="10">
        <f t="shared" si="96"/>
        <v>-3249.5</v>
      </c>
      <c r="I397" s="8">
        <f>IFERROR(H397/H444, "NA")</f>
        <v>0.15546359200076548</v>
      </c>
      <c r="J397" s="9"/>
      <c r="K397" s="7">
        <v>2790.41</v>
      </c>
      <c r="L397" s="8">
        <f>IFERROR(K397/K444, "NA")</f>
        <v>5.8359487718304039E-3</v>
      </c>
      <c r="M397" s="9"/>
      <c r="N397" s="10">
        <f t="shared" si="97"/>
        <v>-9659.09</v>
      </c>
      <c r="O397" s="8">
        <f>IFERROR(N397/N444, "NA")</f>
        <v>-2.5623239231124466</v>
      </c>
      <c r="P397" s="9"/>
      <c r="Q397" s="7">
        <v>23705.75</v>
      </c>
      <c r="R397" s="8">
        <f>IFERROR(Q397/Q444, "NA")</f>
        <v>2.585245007276081E-2</v>
      </c>
      <c r="S397" s="9"/>
      <c r="T397" s="7">
        <v>16400</v>
      </c>
      <c r="U397" s="8">
        <f>IFERROR(T397/T444, "NA")</f>
        <v>1.7235554156906686E-2</v>
      </c>
      <c r="V397" s="9"/>
      <c r="W397" s="10">
        <f t="shared" si="98"/>
        <v>-7305.75</v>
      </c>
      <c r="X397" s="8">
        <f>IFERROR(W397/W444, "NA")</f>
        <v>0.21140485153987068</v>
      </c>
      <c r="Y397" s="9"/>
      <c r="Z397" s="7">
        <v>4561.84</v>
      </c>
      <c r="AA397" s="8">
        <f>IFERROR(Z397/Z444, "NA")</f>
        <v>4.9927270751284579E-3</v>
      </c>
      <c r="AB397" s="9"/>
      <c r="AC397" s="10">
        <f t="shared" si="99"/>
        <v>-19143.91</v>
      </c>
      <c r="AD397" s="8">
        <f>IFERROR(AC397/AC444, "NA")</f>
        <v>-5.8609846524997664</v>
      </c>
    </row>
    <row r="398" spans="1:30" ht="16.5" customHeight="1" x14ac:dyDescent="0.45">
      <c r="A398" s="20" t="s">
        <v>364</v>
      </c>
      <c r="B398" s="7">
        <v>233.45</v>
      </c>
      <c r="C398" s="8">
        <f>IFERROR(B398/B444, "NA")</f>
        <v>4.8442526599501879E-4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-233.45</v>
      </c>
      <c r="I398" s="8">
        <f>IFERROR(H398/H444, "NA")</f>
        <v>1.1168787675820495E-2</v>
      </c>
      <c r="J398" s="9"/>
      <c r="K398" s="7">
        <v>179.87</v>
      </c>
      <c r="L398" s="8">
        <f>IFERROR(K398/K444, "NA")</f>
        <v>3.7618561630338725E-4</v>
      </c>
      <c r="M398" s="9"/>
      <c r="N398" s="10">
        <f t="shared" si="97"/>
        <v>-53.579999999999984</v>
      </c>
      <c r="O398" s="8">
        <f>IFERROR(N398/N444, "NA")</f>
        <v>-1.4213483444130332E-2</v>
      </c>
      <c r="P398" s="9"/>
      <c r="Q398" s="7">
        <v>624.1</v>
      </c>
      <c r="R398" s="8">
        <f>IFERROR(Q398/Q444, "NA")</f>
        <v>6.8061605688113738E-4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-624.1</v>
      </c>
      <c r="X398" s="8">
        <f>IFERROR(W398/W444, "NA")</f>
        <v>1.8059441925337344E-2</v>
      </c>
      <c r="Y398" s="9"/>
      <c r="Z398" s="7">
        <v>300.02999999999997</v>
      </c>
      <c r="AA398" s="8">
        <f>IFERROR(Z398/Z444, "NA")</f>
        <v>3.2836923354409429E-4</v>
      </c>
      <c r="AB398" s="9"/>
      <c r="AC398" s="10">
        <f t="shared" si="99"/>
        <v>-324.07000000000005</v>
      </c>
      <c r="AD398" s="8">
        <f>IFERROR(AC398/AC444, "NA")</f>
        <v>-9.9215327293933148E-2</v>
      </c>
    </row>
    <row r="399" spans="1:30" ht="16.5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815.84</v>
      </c>
      <c r="R399" s="8">
        <f>IFERROR(Q399/Q444, "NA")</f>
        <v>8.8971928191941541E-4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-815.84</v>
      </c>
      <c r="X399" s="8">
        <f>IFERROR(W399/W444, "NA")</f>
        <v>2.3607779362870084E-2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-815.84</v>
      </c>
      <c r="AD399" s="8">
        <f>IFERROR(AC399/AC444, "NA")</f>
        <v>-0.2497726806538168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111606.56000000001</v>
      </c>
      <c r="C403" s="15">
        <f>IFERROR(B403/B444, "NA")</f>
        <v>0.23159150788086971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100844.59</v>
      </c>
      <c r="F403" s="15">
        <f>IFERROR(E403/E444, "NA")</f>
        <v>0.20056071311402116</v>
      </c>
      <c r="G403" s="2"/>
      <c r="H403" s="14">
        <f t="shared" si="96"/>
        <v>-10761.970000000016</v>
      </c>
      <c r="I403" s="15">
        <f>IFERROR(H403/H444, "NA")</f>
        <v>0.51487752368194506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152516.34999999998</v>
      </c>
      <c r="L403" s="15">
        <f>IFERROR(K403/K444, "NA")</f>
        <v>0.31897735654135267</v>
      </c>
      <c r="M403" s="2"/>
      <c r="N403" s="14">
        <f t="shared" si="97"/>
        <v>40909.789999999964</v>
      </c>
      <c r="O403" s="15">
        <f>IFERROR(N403/N444, "NA")</f>
        <v>10.85238191242718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217306.59</v>
      </c>
      <c r="R403" s="15">
        <f>IFERROR(Q403/Q444, "NA")</f>
        <v>0.23698502550887038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195655.46000000002</v>
      </c>
      <c r="U403" s="15">
        <f>IFERROR(T403/T444, "NA")</f>
        <v>0.20562379737344449</v>
      </c>
      <c r="V403" s="2"/>
      <c r="W403" s="14">
        <f t="shared" si="98"/>
        <v>-21651.129999999976</v>
      </c>
      <c r="X403" s="15">
        <f>IFERROR(W403/W444, "NA")</f>
        <v>0.62651389978036953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287743.20000000007</v>
      </c>
      <c r="AA403" s="15">
        <f>IFERROR(Z403/Z444, "NA")</f>
        <v>0.31492188794962189</v>
      </c>
      <c r="AB403" s="2"/>
      <c r="AC403" s="14">
        <f t="shared" si="99"/>
        <v>70436.610000000073</v>
      </c>
      <c r="AD403" s="15">
        <f>IFERROR(AC403/AC444, "NA")</f>
        <v>21.56445000964338</v>
      </c>
    </row>
    <row r="404" spans="1:30" ht="16.5" customHeight="1" x14ac:dyDescent="0.45">
      <c r="A404" s="22" t="s">
        <v>370</v>
      </c>
      <c r="B404" s="23">
        <f>IFERROR(B345-B403, "NA")</f>
        <v>-123662.71999999991</v>
      </c>
      <c r="C404" s="24">
        <f>IFERROR(B404/B444, "NA")</f>
        <v>-0.25660889282359173</v>
      </c>
      <c r="D404" s="25"/>
      <c r="E404" s="23">
        <f>IFERROR(E345-E403, "NA")</f>
        <v>-80231.839999999982</v>
      </c>
      <c r="F404" s="24">
        <f>IFERROR(E404/E444, "NA")</f>
        <v>-0.15956587304138026</v>
      </c>
      <c r="G404" s="25"/>
      <c r="H404" s="23">
        <f>IFERROR(B404-E404, "NA")</f>
        <v>-43430.879999999932</v>
      </c>
      <c r="I404" s="24">
        <f>IFERROR(H404/H444, "NA")</f>
        <v>2.077833700124387</v>
      </c>
      <c r="J404" s="25"/>
      <c r="K404" s="23">
        <f>IFERROR(K345-K403, "NA")</f>
        <v>-175798.8899999999</v>
      </c>
      <c r="L404" s="24">
        <f>IFERROR(K404/K444, "NA")</f>
        <v>-0.36767117240285396</v>
      </c>
      <c r="M404" s="25"/>
      <c r="N404" s="23">
        <f>IFERROR(B404-K404, "NA")</f>
        <v>52136.169999999984</v>
      </c>
      <c r="O404" s="24">
        <f>IFERROR(N404/N444, "NA")</f>
        <v>13.830470121973955</v>
      </c>
      <c r="P404" s="25"/>
      <c r="Q404" s="23">
        <f>IFERROR(Q345-Q403, "NA")</f>
        <v>-260960.5999999998</v>
      </c>
      <c r="R404" s="24">
        <f>IFERROR(Q404/Q444, "NA")</f>
        <v>-0.28459217204508191</v>
      </c>
      <c r="S404" s="25"/>
      <c r="T404" s="23">
        <f>IFERROR(T345-T403, "NA")</f>
        <v>-175834.09999999966</v>
      </c>
      <c r="U404" s="24">
        <f>IFERROR(T404/T444, "NA")</f>
        <v>-0.18479257031591095</v>
      </c>
      <c r="V404" s="25"/>
      <c r="W404" s="23">
        <f>IFERROR(Q404-T404, "NA")</f>
        <v>-85126.500000000146</v>
      </c>
      <c r="X404" s="24">
        <f>IFERROR(W404/W444, "NA")</f>
        <v>2.4632864654017497</v>
      </c>
      <c r="Y404" s="25"/>
      <c r="Z404" s="23">
        <f>IFERROR(Z345-Z403, "NA")</f>
        <v>-335977.77999999997</v>
      </c>
      <c r="AA404" s="24">
        <f>IFERROR(Z404/Z444, "NA")</f>
        <v>-0.36771244910991013</v>
      </c>
      <c r="AB404" s="25"/>
      <c r="AC404" s="23">
        <f>IFERROR(Q404-Z404, "NA")</f>
        <v>75017.180000000168</v>
      </c>
      <c r="AD404" s="24">
        <f>IFERROR(AC404/AC444, "NA")</f>
        <v>22.966809844687603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15551.05</v>
      </c>
      <c r="F407" s="8">
        <f>IFERROR(E407/E444, "NA")</f>
        <v>3.0928081294909312E-2</v>
      </c>
      <c r="G407" s="9"/>
      <c r="H407" s="10">
        <f t="shared" ref="H407:H429" si="100">IFERROR(-(B407-E407), "NA")</f>
        <v>15551.05</v>
      </c>
      <c r="I407" s="8">
        <f>IFERROR(H407/H444, "NA")</f>
        <v>-0.74399818199215384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30426.38</v>
      </c>
      <c r="U407" s="8">
        <f>IFERROR(T407/T444, "NA")</f>
        <v>3.1976556115159906E-2</v>
      </c>
      <c r="V407" s="9"/>
      <c r="W407" s="10">
        <f t="shared" ref="W407:W429" si="102">IFERROR(-(Q407-T407), "NA")</f>
        <v>30426.38</v>
      </c>
      <c r="X407" s="8">
        <f>IFERROR(W407/W444, "NA")</f>
        <v>-0.88044134370813276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31482.380000000005</v>
      </c>
      <c r="C410" s="8">
        <f>IFERROR(B410/B444, "NA")</f>
        <v>6.5328165798484744E-2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-31482.380000000005</v>
      </c>
      <c r="I410" s="8">
        <f>IFERROR(H410/H444, "NA")</f>
        <v>1.5061898382929866</v>
      </c>
      <c r="J410" s="9"/>
      <c r="K410" s="7">
        <v>28073.379999999997</v>
      </c>
      <c r="L410" s="8">
        <f>IFERROR(K410/K444, "NA")</f>
        <v>5.8713525084890111E-2</v>
      </c>
      <c r="M410" s="9"/>
      <c r="N410" s="10">
        <f t="shared" si="101"/>
        <v>-3409.0000000000073</v>
      </c>
      <c r="O410" s="8">
        <f>IFERROR(N410/N444, "NA")</f>
        <v>-0.90432558904517391</v>
      </c>
      <c r="P410" s="9"/>
      <c r="Q410" s="7">
        <v>62887.350000000006</v>
      </c>
      <c r="R410" s="8">
        <f>IFERROR(Q410/Q444, "NA")</f>
        <v>6.8582182638525876E-2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-62887.350000000006</v>
      </c>
      <c r="X410" s="8">
        <f>IFERROR(W410/W444, "NA")</f>
        <v>1.8197571625754903</v>
      </c>
      <c r="Y410" s="9"/>
      <c r="Z410" s="7">
        <v>55836.619999999995</v>
      </c>
      <c r="AA410" s="8">
        <f>IFERROR(Z410/Z444, "NA")</f>
        <v>6.1110649312044948E-2</v>
      </c>
      <c r="AB410" s="9"/>
      <c r="AC410" s="10">
        <f t="shared" si="103"/>
        <v>-7050.7300000000105</v>
      </c>
      <c r="AD410" s="8">
        <f>IFERROR(AC410/AC444, "NA")</f>
        <v>-2.1586092036015496</v>
      </c>
    </row>
    <row r="411" spans="1:30" ht="16.5" customHeight="1" x14ac:dyDescent="0.45">
      <c r="A411" s="6" t="s">
        <v>376</v>
      </c>
      <c r="B411" s="7">
        <v>268.37</v>
      </c>
      <c r="C411" s="8">
        <f>IFERROR(B411/B444, "NA")</f>
        <v>5.5688673649639407E-4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-268.37</v>
      </c>
      <c r="I411" s="8">
        <f>IFERROR(H411/H444, "NA")</f>
        <v>1.2839441201798871E-2</v>
      </c>
      <c r="J411" s="9"/>
      <c r="K411" s="7">
        <v>268.37</v>
      </c>
      <c r="L411" s="8">
        <f>IFERROR(K411/K444, "NA")</f>
        <v>5.6127722158970383E-4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536.74</v>
      </c>
      <c r="R411" s="8">
        <f>IFERROR(Q411/Q444, "NA")</f>
        <v>5.8534507670306309E-4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-536.74</v>
      </c>
      <c r="X411" s="8">
        <f>IFERROR(W411/W444, "NA")</f>
        <v>1.5531525170654648E-2</v>
      </c>
      <c r="Y411" s="9"/>
      <c r="Z411" s="7">
        <v>268.37</v>
      </c>
      <c r="AA411" s="8">
        <f>IFERROR(Z411/Z444, "NA")</f>
        <v>2.9371879880754788E-4</v>
      </c>
      <c r="AB411" s="9"/>
      <c r="AC411" s="10">
        <f t="shared" si="103"/>
        <v>-268.37</v>
      </c>
      <c r="AD411" s="8">
        <f>IFERROR(AC411/AC444, "NA")</f>
        <v>-8.2162549405600138E-2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-189.72</v>
      </c>
      <c r="C416" s="8">
        <f>IFERROR(B416/B444, "NA")</f>
        <v>-3.9368242220850277E-4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189.72</v>
      </c>
      <c r="I416" s="8">
        <f>IFERROR(H416/H444, "NA")</f>
        <v>-9.0766433834082866E-3</v>
      </c>
      <c r="J416" s="9"/>
      <c r="K416" s="7">
        <v>-104.37</v>
      </c>
      <c r="L416" s="8">
        <f>IFERROR(K416/K444, "NA")</f>
        <v>-2.1828260840376119E-4</v>
      </c>
      <c r="M416" s="9"/>
      <c r="N416" s="10">
        <f t="shared" si="101"/>
        <v>85.35</v>
      </c>
      <c r="O416" s="8">
        <f>IFERROR(N416/N444, "NA")</f>
        <v>2.2641299215313999E-2</v>
      </c>
      <c r="P416" s="9"/>
      <c r="Q416" s="7">
        <v>-293.11</v>
      </c>
      <c r="R416" s="8">
        <f>IFERROR(Q416/Q444, "NA")</f>
        <v>-3.1965289606221788E-4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293.11</v>
      </c>
      <c r="X416" s="8">
        <f>IFERROR(W416/W444, "NA")</f>
        <v>-8.4816584245082979E-3</v>
      </c>
      <c r="Y416" s="9"/>
      <c r="Z416" s="7">
        <v>-214.08999999999997</v>
      </c>
      <c r="AA416" s="8">
        <f>IFERROR(Z416/Z444, "NA")</f>
        <v>-2.3431179951823199E-4</v>
      </c>
      <c r="AB416" s="9"/>
      <c r="AC416" s="10">
        <f t="shared" si="103"/>
        <v>79.020000000000039</v>
      </c>
      <c r="AD416" s="8">
        <f>IFERROR(AC416/AC444, "NA")</f>
        <v>2.4192289205315517E-2</v>
      </c>
    </row>
    <row r="417" spans="1:30" ht="16.5" customHeight="1" x14ac:dyDescent="0.45">
      <c r="A417" s="6" t="s">
        <v>382</v>
      </c>
      <c r="B417" s="7">
        <v>756.49999999999989</v>
      </c>
      <c r="C417" s="8">
        <f>IFERROR(B417/B444, "NA")</f>
        <v>1.5697910204550511E-3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-756.49999999999989</v>
      </c>
      <c r="I417" s="8">
        <f>IFERROR(H417/H444, "NA")</f>
        <v>3.6192708831690741E-2</v>
      </c>
      <c r="J417" s="9"/>
      <c r="K417" s="7">
        <v>-249.45999999999998</v>
      </c>
      <c r="L417" s="8">
        <f>IFERROR(K417/K444, "NA")</f>
        <v>-5.2172826954491E-4</v>
      </c>
      <c r="M417" s="9"/>
      <c r="N417" s="10">
        <f t="shared" si="101"/>
        <v>-1005.9599999999998</v>
      </c>
      <c r="O417" s="8">
        <f>IFERROR(N417/N444, "NA")</f>
        <v>-0.26685695792193637</v>
      </c>
      <c r="P417" s="9"/>
      <c r="Q417" s="7">
        <v>781.12999999999988</v>
      </c>
      <c r="R417" s="8">
        <f>IFERROR(Q417/Q444, "NA")</f>
        <v>8.5186607997366252E-4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-781.12999999999988</v>
      </c>
      <c r="X417" s="8">
        <f>IFERROR(W417/W444, "NA")</f>
        <v>2.2603383866589898E-2</v>
      </c>
      <c r="Y417" s="9"/>
      <c r="Z417" s="7">
        <v>-10.969999999999999</v>
      </c>
      <c r="AA417" s="8">
        <f>IFERROR(Z417/Z444, "NA")</f>
        <v>-1.2006167689826732E-5</v>
      </c>
      <c r="AB417" s="9"/>
      <c r="AC417" s="10">
        <f t="shared" si="103"/>
        <v>-792.09999999999991</v>
      </c>
      <c r="AD417" s="8">
        <f>IFERROR(AC417/AC444, "NA")</f>
        <v>-0.2425045846561682</v>
      </c>
    </row>
    <row r="418" spans="1:30" ht="16.5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-1725.69</v>
      </c>
      <c r="L418" s="8">
        <f>IFERROR(K418/K444, "NA")</f>
        <v>-3.6091608172490815E-3</v>
      </c>
      <c r="M418" s="9"/>
      <c r="N418" s="10">
        <f t="shared" si="101"/>
        <v>-1725.69</v>
      </c>
      <c r="O418" s="8">
        <f>IFERROR(N418/N444, "NA")</f>
        <v>-0.45778399112917656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-1725.69</v>
      </c>
      <c r="AA418" s="8">
        <f>IFERROR(Z418/Z444, "NA")</f>
        <v>-1.8886894731683769E-3</v>
      </c>
      <c r="AB418" s="9"/>
      <c r="AC418" s="10">
        <f t="shared" si="103"/>
        <v>-1725.69</v>
      </c>
      <c r="AD418" s="8">
        <f>IFERROR(AC418/AC444, "NA")</f>
        <v>-0.52832689899672125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96</v>
      </c>
      <c r="C421" s="8">
        <f>IFERROR(B421/B444, "NA")</f>
        <v>1.9920679175635812E-4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-96</v>
      </c>
      <c r="I421" s="8">
        <f>IFERROR(H421/H444, "NA")</f>
        <v>4.5928619270883169E-3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-96</v>
      </c>
      <c r="O421" s="8">
        <f>IFERROR(N421/N444, "NA")</f>
        <v>-2.5466487693850546E-2</v>
      </c>
      <c r="P421" s="9"/>
      <c r="Q421" s="7">
        <v>96</v>
      </c>
      <c r="R421" s="8">
        <f>IFERROR(Q421/Q444, "NA")</f>
        <v>1.0469338481107064E-4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-96</v>
      </c>
      <c r="X421" s="8">
        <f>IFERROR(W421/W444, "NA")</f>
        <v>2.7779304996513139E-3</v>
      </c>
      <c r="Y421" s="9"/>
      <c r="Z421" s="7">
        <v>-20</v>
      </c>
      <c r="AA421" s="8">
        <f>IFERROR(Z421/Z444, "NA")</f>
        <v>-2.1889093326940262E-5</v>
      </c>
      <c r="AB421" s="9"/>
      <c r="AC421" s="10">
        <f t="shared" si="103"/>
        <v>-116</v>
      </c>
      <c r="AD421" s="8">
        <f>IFERROR(AC421/AC444, "NA")</f>
        <v>-3.5513864183961005E-2</v>
      </c>
    </row>
    <row r="422" spans="1:30" ht="16.5" customHeight="1" x14ac:dyDescent="0.45">
      <c r="A422" s="6" t="s">
        <v>387</v>
      </c>
      <c r="B422" s="7">
        <v>-506.82</v>
      </c>
      <c r="C422" s="8">
        <f>IFERROR(B422/B444, "NA")</f>
        <v>-1.0516873562287231E-3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506.82</v>
      </c>
      <c r="I422" s="8">
        <f>IFERROR(H422/H444, "NA")</f>
        <v>-2.4247440436321883E-2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506.82</v>
      </c>
      <c r="O422" s="8">
        <f>IFERROR(N422/N444, "NA")</f>
        <v>0.13444713846872222</v>
      </c>
      <c r="P422" s="9"/>
      <c r="Q422" s="7">
        <v>-1012.04</v>
      </c>
      <c r="R422" s="8">
        <f>IFERROR(Q422/Q444, "NA")</f>
        <v>-1.1036863871270409E-3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1012.04</v>
      </c>
      <c r="X422" s="8">
        <f>IFERROR(W422/W444, "NA")</f>
        <v>-2.9285174821532454E-2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1012.04</v>
      </c>
      <c r="AD422" s="8">
        <f>IFERROR(AC422/AC444, "NA")</f>
        <v>0.30984009576496463</v>
      </c>
    </row>
    <row r="423" spans="1:30" ht="16.5" customHeight="1" x14ac:dyDescent="0.45">
      <c r="A423" s="6" t="s">
        <v>388</v>
      </c>
      <c r="B423" s="7">
        <v>-14712.35</v>
      </c>
      <c r="C423" s="8">
        <f>IFERROR(B423/B444, "NA")</f>
        <v>-3.0529167111423495E-2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14712.35</v>
      </c>
      <c r="I423" s="8">
        <f>IFERROR(H423/H444, "NA")</f>
        <v>-0.70387283513539378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14712.35</v>
      </c>
      <c r="O423" s="8">
        <f>IFERROR(N423/N444, "NA")</f>
        <v>3.9028320856523138</v>
      </c>
      <c r="P423" s="9"/>
      <c r="Q423" s="7">
        <v>-30813.360000000001</v>
      </c>
      <c r="R423" s="8">
        <f>IFERROR(Q423/Q444, "NA")</f>
        <v>-3.360369745627137E-2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30813.360000000001</v>
      </c>
      <c r="X423" s="8">
        <f>IFERROR(W423/W444, "NA")</f>
        <v>-0.89163929729933133</v>
      </c>
      <c r="Y423" s="9"/>
      <c r="Z423" s="7">
        <v>-0.99</v>
      </c>
      <c r="AA423" s="8">
        <f>IFERROR(Z423/Z444, "NA")</f>
        <v>-1.0835101196835429E-6</v>
      </c>
      <c r="AB423" s="9"/>
      <c r="AC423" s="10">
        <f t="shared" si="103"/>
        <v>30812.37</v>
      </c>
      <c r="AD423" s="8">
        <f>IFERROR(AC423/AC444, "NA")</f>
        <v>9.4333303738444361</v>
      </c>
    </row>
    <row r="424" spans="1:30" ht="16.5" customHeight="1" x14ac:dyDescent="0.45">
      <c r="A424" s="6" t="s">
        <v>389</v>
      </c>
      <c r="B424" s="7">
        <v>67.08</v>
      </c>
      <c r="C424" s="8">
        <f>IFERROR(B424/B444, "NA")</f>
        <v>1.3919574573975524E-4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-67.08</v>
      </c>
      <c r="I424" s="8">
        <f>IFERROR(H424/H444, "NA")</f>
        <v>3.2092622715529612E-3</v>
      </c>
      <c r="J424" s="9"/>
      <c r="K424" s="7">
        <v>47.92</v>
      </c>
      <c r="L424" s="8">
        <f>IFERROR(K424/K444, "NA")</f>
        <v>1.0022135282847788E-4</v>
      </c>
      <c r="M424" s="9"/>
      <c r="N424" s="10">
        <f t="shared" si="101"/>
        <v>-19.159999999999997</v>
      </c>
      <c r="O424" s="8">
        <f>IFERROR(N424/N444, "NA")</f>
        <v>-5.0826865022310036E-3</v>
      </c>
      <c r="P424" s="9"/>
      <c r="Q424" s="7">
        <v>134.16</v>
      </c>
      <c r="R424" s="8">
        <f>IFERROR(Q424/Q444, "NA")</f>
        <v>1.4630900527347123E-4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-134.16</v>
      </c>
      <c r="X424" s="8">
        <f>IFERROR(W424/W444, "NA")</f>
        <v>3.8821578732627106E-3</v>
      </c>
      <c r="Y424" s="9"/>
      <c r="Z424" s="7">
        <v>95.84</v>
      </c>
      <c r="AA424" s="8">
        <f>IFERROR(Z424/Z444, "NA")</f>
        <v>1.0489253522269773E-4</v>
      </c>
      <c r="AB424" s="9"/>
      <c r="AC424" s="10">
        <f t="shared" si="103"/>
        <v>-38.319999999999993</v>
      </c>
      <c r="AD424" s="8">
        <f>IFERROR(AC424/AC444, "NA")</f>
        <v>-1.1731821340770564E-2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-1734.57</v>
      </c>
      <c r="C426" s="8">
        <f>IFERROR(B426/B444, "NA")</f>
        <v>-3.5993554664252719E-3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1734.57</v>
      </c>
      <c r="I426" s="8">
        <f>IFERROR(H426/H444, "NA")</f>
        <v>-8.2985838675724802E-2</v>
      </c>
      <c r="J426" s="9"/>
      <c r="K426" s="7">
        <v>-355.3</v>
      </c>
      <c r="L426" s="8">
        <f>IFERROR(K426/K444, "NA")</f>
        <v>-7.4308528088393557E-4</v>
      </c>
      <c r="M426" s="9"/>
      <c r="N426" s="10">
        <f t="shared" si="101"/>
        <v>1379.27</v>
      </c>
      <c r="O426" s="8">
        <f>IFERROR(N426/N444, "NA")</f>
        <v>0.36588710918226297</v>
      </c>
      <c r="P426" s="9"/>
      <c r="Q426" s="7">
        <v>-4167.5</v>
      </c>
      <c r="R426" s="8">
        <f>IFERROR(Q426/Q444, "NA")</f>
        <v>-4.5448925125014259E-3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4167.5</v>
      </c>
      <c r="X426" s="8">
        <f>IFERROR(W426/W444, "NA")</f>
        <v>-0.12059401413850886</v>
      </c>
      <c r="Y426" s="9"/>
      <c r="Z426" s="7">
        <v>-730.8</v>
      </c>
      <c r="AA426" s="8">
        <f>IFERROR(Z426/Z444, "NA")</f>
        <v>-7.9982747016639705E-4</v>
      </c>
      <c r="AB426" s="9"/>
      <c r="AC426" s="10">
        <f t="shared" si="103"/>
        <v>3436.7</v>
      </c>
      <c r="AD426" s="8">
        <f>IFERROR(AC426/AC444, "NA")</f>
        <v>1.052159457250162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15526.870000000003</v>
      </c>
      <c r="C428" s="15">
        <f>IFERROR(B428/B444, "NA")</f>
        <v>3.2219353736646299E-2</v>
      </c>
      <c r="D428" s="2"/>
      <c r="E428" s="14">
        <f>IFERROR(E407+E408+E409+E410+E411+E412+E413+E414+E415+E416+E417+E418+E419+E420+E421+E422+E423+E424+E425+E426+E427, "NA")</f>
        <v>15551.05</v>
      </c>
      <c r="F428" s="15">
        <f>IFERROR(E428/E444, "NA")</f>
        <v>3.0928081294909312E-2</v>
      </c>
      <c r="G428" s="2"/>
      <c r="H428" s="14">
        <f t="shared" si="100"/>
        <v>24.179999999996653</v>
      </c>
      <c r="I428" s="15">
        <f>IFERROR(H428/H444, "NA")</f>
        <v>-1.1568270978852097E-3</v>
      </c>
      <c r="J428" s="2"/>
      <c r="K428" s="14">
        <f>IFERROR(K407+K408+K409+K410+K411+K412+K413+K414+K415+K416+K417+K418+K419+K420+K421+K422+K423+K424+K425+K426+K427, "NA")</f>
        <v>25954.85</v>
      </c>
      <c r="L428" s="15">
        <f>IFERROR(K428/K444, "NA")</f>
        <v>5.4282766683226603E-2</v>
      </c>
      <c r="M428" s="2"/>
      <c r="N428" s="14">
        <f t="shared" si="101"/>
        <v>10427.979999999996</v>
      </c>
      <c r="O428" s="15">
        <f>IFERROR(N428/N444, "NA")</f>
        <v>2.7662919202262448</v>
      </c>
      <c r="P428" s="2"/>
      <c r="Q428" s="14">
        <f>IFERROR(Q407+Q408+Q409+Q410+Q411+Q412+Q413+Q414+Q415+Q416+Q417+Q418+Q419+Q420+Q421+Q422+Q423+Q424+Q425+Q426+Q427, "NA")</f>
        <v>28149.37</v>
      </c>
      <c r="R428" s="15">
        <f>IFERROR(Q428/Q444, "NA")</f>
        <v>3.0698466933325078E-2</v>
      </c>
      <c r="S428" s="2"/>
      <c r="T428" s="14">
        <f>IFERROR(T407+T408+T409+T410+T411+T412+T413+T414+T415+T416+T417+T418+T419+T420+T421+T422+T423+T424+T425+T426+T427, "NA")</f>
        <v>30426.38</v>
      </c>
      <c r="U428" s="15">
        <f>IFERROR(T428/T444, "NA")</f>
        <v>3.1976556115159906E-2</v>
      </c>
      <c r="V428" s="2"/>
      <c r="W428" s="14">
        <f t="shared" si="102"/>
        <v>2277.010000000002</v>
      </c>
      <c r="X428" s="15">
        <f>IFERROR(W428/W444, "NA")</f>
        <v>-6.5889328406365036E-2</v>
      </c>
      <c r="Y428" s="2"/>
      <c r="Z428" s="14">
        <f>IFERROR(Z407+Z408+Z409+Z410+Z411+Z412+Z413+Z414+Z415+Z416+Z417+Z418+Z419+Z420+Z421+Z422+Z423+Z424+Z425+Z426+Z427, "NA")</f>
        <v>53498.289999999994</v>
      </c>
      <c r="AA428" s="15">
        <f>IFERROR(Z428/Z444, "NA")</f>
        <v>5.8551453132085735E-2</v>
      </c>
      <c r="AB428" s="2"/>
      <c r="AC428" s="14">
        <f t="shared" si="103"/>
        <v>25348.919999999995</v>
      </c>
      <c r="AD428" s="15">
        <f>IFERROR(AC428/AC444, "NA")</f>
        <v>7.7606732938801093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15526.870000000003</v>
      </c>
      <c r="C429" s="15">
        <f>IFERROR(B429/B444, "NA")</f>
        <v>3.2219353736646299E-2</v>
      </c>
      <c r="D429" s="2"/>
      <c r="E429" s="14">
        <f>IFERROR(E407+E408+E409+E410+E411+E412+E413+E414+E415+E416+E417+E418+E419+E420+E421+E422+E423+E424+E425+E426+E427, "NA")</f>
        <v>15551.05</v>
      </c>
      <c r="F429" s="15">
        <f>IFERROR(E429/E444, "NA")</f>
        <v>3.0928081294909312E-2</v>
      </c>
      <c r="G429" s="2"/>
      <c r="H429" s="14">
        <f t="shared" si="100"/>
        <v>24.179999999996653</v>
      </c>
      <c r="I429" s="15">
        <f>IFERROR(H429/H444, "NA")</f>
        <v>-1.1568270978852097E-3</v>
      </c>
      <c r="J429" s="2"/>
      <c r="K429" s="14">
        <f>IFERROR(K407+K408+K409+K410+K411+K412+K413+K414+K415+K416+K417+K418+K419+K420+K421+K422+K423+K424+K425+K426+K427, "NA")</f>
        <v>25954.85</v>
      </c>
      <c r="L429" s="15">
        <f>IFERROR(K429/K444, "NA")</f>
        <v>5.4282766683226603E-2</v>
      </c>
      <c r="M429" s="2"/>
      <c r="N429" s="14">
        <f t="shared" si="101"/>
        <v>10427.979999999996</v>
      </c>
      <c r="O429" s="15">
        <f>IFERROR(N429/N444, "NA")</f>
        <v>2.7662919202262448</v>
      </c>
      <c r="P429" s="2"/>
      <c r="Q429" s="14">
        <f>IFERROR(Q407+Q408+Q409+Q410+Q411+Q412+Q413+Q414+Q415+Q416+Q417+Q418+Q419+Q420+Q421+Q422+Q423+Q424+Q425+Q426+Q427, "NA")</f>
        <v>28149.37</v>
      </c>
      <c r="R429" s="15">
        <f>IFERROR(Q429/Q444, "NA")</f>
        <v>3.0698466933325078E-2</v>
      </c>
      <c r="S429" s="2"/>
      <c r="T429" s="14">
        <f>IFERROR(T407+T408+T409+T410+T411+T412+T413+T414+T415+T416+T417+T418+T419+T420+T421+T422+T423+T424+T425+T426+T427, "NA")</f>
        <v>30426.38</v>
      </c>
      <c r="U429" s="15">
        <f>IFERROR(T429/T444, "NA")</f>
        <v>3.1976556115159906E-2</v>
      </c>
      <c r="V429" s="2"/>
      <c r="W429" s="14">
        <f t="shared" si="102"/>
        <v>2277.010000000002</v>
      </c>
      <c r="X429" s="15">
        <f>IFERROR(W429/W444, "NA")</f>
        <v>-6.5889328406365036E-2</v>
      </c>
      <c r="Y429" s="2"/>
      <c r="Z429" s="14">
        <f>IFERROR(Z407+Z408+Z409+Z410+Z411+Z412+Z413+Z414+Z415+Z416+Z417+Z418+Z419+Z420+Z421+Z422+Z423+Z424+Z425+Z426+Z427, "NA")</f>
        <v>53498.289999999994</v>
      </c>
      <c r="AA429" s="15">
        <f>IFERROR(Z429/Z444, "NA")</f>
        <v>5.8551453132085735E-2</v>
      </c>
      <c r="AB429" s="2"/>
      <c r="AC429" s="14">
        <f t="shared" si="103"/>
        <v>25348.919999999995</v>
      </c>
      <c r="AD429" s="15">
        <f>IFERROR(AC429/AC444, "NA")</f>
        <v>7.7606732938801093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-139189.58999999991</v>
      </c>
      <c r="C443" s="24">
        <f>IFERROR(B443/B444, "NA")</f>
        <v>-0.28882824656023803</v>
      </c>
      <c r="D443" s="25"/>
      <c r="E443" s="23">
        <f>IFERROR(E404-E429-E442, "NA")</f>
        <v>-95782.889999999985</v>
      </c>
      <c r="F443" s="24">
        <f>IFERROR(E443/E444, "NA")</f>
        <v>-0.19049395433628957</v>
      </c>
      <c r="G443" s="25"/>
      <c r="H443" s="23">
        <f>IFERROR(B443-E443, "NA")</f>
        <v>-43406.699999999924</v>
      </c>
      <c r="I443" s="24">
        <f>IFERROR(H443/H444, "NA")</f>
        <v>2.0766768730265008</v>
      </c>
      <c r="J443" s="25"/>
      <c r="K443" s="23">
        <f>IFERROR(K404-K429-K442, "NA")</f>
        <v>-201753.7399999999</v>
      </c>
      <c r="L443" s="24">
        <f>IFERROR(K443/K444, "NA")</f>
        <v>-0.42195393908608059</v>
      </c>
      <c r="M443" s="25"/>
      <c r="N443" s="23">
        <f>IFERROR(B443-K443, "NA")</f>
        <v>62564.149999999994</v>
      </c>
      <c r="O443" s="24">
        <f>IFERROR(N443/N444, "NA")</f>
        <v>16.596762042200204</v>
      </c>
      <c r="P443" s="25"/>
      <c r="Q443" s="23">
        <f>IFERROR(Q404-Q429-Q442, "NA")</f>
        <v>-289109.9699999998</v>
      </c>
      <c r="R443" s="24">
        <f>IFERROR(Q443/Q444, "NA")</f>
        <v>-0.31529063897840698</v>
      </c>
      <c r="S443" s="25"/>
      <c r="T443" s="23">
        <f>IFERROR(T404-T429-T442, "NA")</f>
        <v>-206260.47999999966</v>
      </c>
      <c r="U443" s="24">
        <f>IFERROR(T443/T444, "NA")</f>
        <v>-0.21676912643107085</v>
      </c>
      <c r="V443" s="25"/>
      <c r="W443" s="23">
        <f>IFERROR(Q443-T443, "NA")</f>
        <v>-82849.490000000136</v>
      </c>
      <c r="X443" s="24">
        <f>IFERROR(W443/W444, "NA")</f>
        <v>2.3973971369953841</v>
      </c>
      <c r="Y443" s="25"/>
      <c r="Z443" s="23">
        <f>IFERROR(Z404-Z429-Z442, "NA")</f>
        <v>-389476.06999999995</v>
      </c>
      <c r="AA443" s="24">
        <f>IFERROR(Z443/Z444, "NA")</f>
        <v>-0.42626390224199584</v>
      </c>
      <c r="AB443" s="25"/>
      <c r="AC443" s="23">
        <f>IFERROR(Q443-Z443, "NA")</f>
        <v>100366.10000000015</v>
      </c>
      <c r="AD443" s="24">
        <f>IFERROR(AC443/AC444, "NA")</f>
        <v>30.72748313856771</v>
      </c>
    </row>
    <row r="444" spans="1:30" ht="15.75" hidden="1" x14ac:dyDescent="0.45">
      <c r="A444" s="26" t="s">
        <v>117</v>
      </c>
      <c r="B444" s="7">
        <v>481911.28</v>
      </c>
      <c r="C444" s="27"/>
      <c r="D444" s="9"/>
      <c r="E444" s="7">
        <v>502813.28</v>
      </c>
      <c r="F444" s="27"/>
      <c r="G444" s="9"/>
      <c r="H444" s="10">
        <f>IFERROR(B444-E444, "NA")</f>
        <v>-20902</v>
      </c>
      <c r="I444" s="27"/>
      <c r="J444" s="9"/>
      <c r="K444" s="7">
        <v>478141.62000000005</v>
      </c>
      <c r="L444" s="27"/>
      <c r="M444" s="9"/>
      <c r="N444" s="10">
        <f>IFERROR(B444-K444, "NA")</f>
        <v>3769.6599999999744</v>
      </c>
      <c r="O444" s="27"/>
      <c r="P444" s="9"/>
      <c r="Q444" s="7">
        <v>916963.38</v>
      </c>
      <c r="R444" s="27"/>
      <c r="S444" s="9"/>
      <c r="T444" s="7">
        <v>951521.48</v>
      </c>
      <c r="U444" s="27"/>
      <c r="V444" s="9"/>
      <c r="W444" s="10">
        <f>IFERROR(Q444-T444, "NA")</f>
        <v>-34558.099999999977</v>
      </c>
      <c r="X444" s="27"/>
      <c r="Y444" s="9"/>
      <c r="Z444" s="7">
        <v>913697.04999999993</v>
      </c>
      <c r="AA444" s="27"/>
      <c r="AB444" s="9"/>
      <c r="AC444" s="10">
        <f>IFERROR(Q444-Z444, "NA")</f>
        <v>3266.3300000000745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35399.03</v>
      </c>
      <c r="C350" s="8" t="str">
        <f>IFERROR(B350/B444, "NA")</f>
        <v>NA</v>
      </c>
      <c r="D350" s="9"/>
      <c r="E350" s="7">
        <v>36000</v>
      </c>
      <c r="F350" s="8" t="str">
        <f>IFERROR(E350/E444, "NA")</f>
        <v>NA</v>
      </c>
      <c r="G350" s="9"/>
      <c r="H350" s="10">
        <f t="shared" si="88"/>
        <v>600.97000000000116</v>
      </c>
      <c r="I350" s="8" t="str">
        <f>IFERROR(H350/H444, "NA")</f>
        <v>NA</v>
      </c>
      <c r="J350" s="9"/>
      <c r="K350" s="7">
        <v>65276.88</v>
      </c>
      <c r="L350" s="8" t="str">
        <f>IFERROR(K350/K444, "NA")</f>
        <v>NA</v>
      </c>
      <c r="M350" s="9"/>
      <c r="N350" s="10">
        <f t="shared" si="89"/>
        <v>29877.85</v>
      </c>
      <c r="O350" s="8" t="str">
        <f>IFERROR(N350/N444, "NA")</f>
        <v>NA</v>
      </c>
      <c r="P350" s="9"/>
      <c r="Q350" s="7">
        <v>70802.87</v>
      </c>
      <c r="R350" s="8" t="str">
        <f>IFERROR(Q350/Q444, "NA")</f>
        <v>NA</v>
      </c>
      <c r="S350" s="9"/>
      <c r="T350" s="7">
        <v>72000</v>
      </c>
      <c r="U350" s="8" t="str">
        <f>IFERROR(T350/T444, "NA")</f>
        <v>NA</v>
      </c>
      <c r="V350" s="9"/>
      <c r="W350" s="10">
        <f t="shared" si="90"/>
        <v>1197.1300000000047</v>
      </c>
      <c r="X350" s="8" t="str">
        <f>IFERROR(W350/W444, "NA")</f>
        <v>NA</v>
      </c>
      <c r="Y350" s="9"/>
      <c r="Z350" s="7">
        <v>125887.42</v>
      </c>
      <c r="AA350" s="8" t="str">
        <f>IFERROR(Z350/Z444, "NA")</f>
        <v>NA</v>
      </c>
      <c r="AB350" s="9"/>
      <c r="AC350" s="10">
        <f t="shared" si="91"/>
        <v>55084.55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hidden="1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0</v>
      </c>
      <c r="F352" s="8" t="str">
        <f>IFERROR(E352/E444, "NA")</f>
        <v>NA</v>
      </c>
      <c r="G352" s="9"/>
      <c r="H352" s="10">
        <f t="shared" si="88"/>
        <v>0</v>
      </c>
      <c r="I352" s="8" t="str">
        <f>IFERROR(H352/H444, "NA")</f>
        <v>NA</v>
      </c>
      <c r="J352" s="9"/>
      <c r="K352" s="7">
        <v>0</v>
      </c>
      <c r="L352" s="8" t="str">
        <f>IFERROR(K352/K444, "NA")</f>
        <v>NA</v>
      </c>
      <c r="M352" s="9"/>
      <c r="N352" s="10">
        <f t="shared" si="89"/>
        <v>0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0</v>
      </c>
      <c r="U352" s="8" t="str">
        <f>IFERROR(T352/T444, "NA")</f>
        <v>NA</v>
      </c>
      <c r="V352" s="9"/>
      <c r="W352" s="10">
        <f t="shared" si="90"/>
        <v>0</v>
      </c>
      <c r="X352" s="8" t="str">
        <f>IFERROR(W352/W444, "NA")</f>
        <v>NA</v>
      </c>
      <c r="Y352" s="9"/>
      <c r="Z352" s="7">
        <v>0</v>
      </c>
      <c r="AA352" s="8" t="str">
        <f>IFERROR(Z352/Z444, "NA")</f>
        <v>NA</v>
      </c>
      <c r="AB352" s="9"/>
      <c r="AC352" s="10">
        <f t="shared" si="91"/>
        <v>0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0</v>
      </c>
      <c r="C353" s="8" t="str">
        <f>IFERROR(B353/B444, "NA")</f>
        <v>NA</v>
      </c>
      <c r="D353" s="9"/>
      <c r="E353" s="7">
        <v>0</v>
      </c>
      <c r="F353" s="8" t="str">
        <f>IFERROR(E353/E444, "NA")</f>
        <v>NA</v>
      </c>
      <c r="G353" s="9"/>
      <c r="H353" s="10">
        <f t="shared" si="88"/>
        <v>0</v>
      </c>
      <c r="I353" s="8" t="str">
        <f>IFERROR(H353/H444, "NA")</f>
        <v>NA</v>
      </c>
      <c r="J353" s="9"/>
      <c r="K353" s="7">
        <v>2581.85</v>
      </c>
      <c r="L353" s="8" t="str">
        <f>IFERROR(K353/K444, "NA")</f>
        <v>NA</v>
      </c>
      <c r="M353" s="9"/>
      <c r="N353" s="10">
        <f t="shared" si="89"/>
        <v>2581.85</v>
      </c>
      <c r="O353" s="8" t="str">
        <f>IFERROR(N353/N444, "NA")</f>
        <v>NA</v>
      </c>
      <c r="P353" s="9"/>
      <c r="Q353" s="7">
        <v>0</v>
      </c>
      <c r="R353" s="8" t="str">
        <f>IFERROR(Q353/Q444, "NA")</f>
        <v>NA</v>
      </c>
      <c r="S353" s="9"/>
      <c r="T353" s="7">
        <v>0</v>
      </c>
      <c r="U353" s="8" t="str">
        <f>IFERROR(T353/T444, "NA")</f>
        <v>NA</v>
      </c>
      <c r="V353" s="9"/>
      <c r="W353" s="10">
        <f t="shared" si="90"/>
        <v>0</v>
      </c>
      <c r="X353" s="8" t="str">
        <f>IFERROR(W353/W444, "NA")</f>
        <v>NA</v>
      </c>
      <c r="Y353" s="9"/>
      <c r="Z353" s="7">
        <v>6774.8</v>
      </c>
      <c r="AA353" s="8" t="str">
        <f>IFERROR(Z353/Z444, "NA")</f>
        <v>NA</v>
      </c>
      <c r="AB353" s="9"/>
      <c r="AC353" s="10">
        <f t="shared" si="91"/>
        <v>6774.8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2967.71</v>
      </c>
      <c r="C354" s="8" t="str">
        <f>IFERROR(B354/B444, "NA")</f>
        <v>NA</v>
      </c>
      <c r="D354" s="9"/>
      <c r="E354" s="7">
        <v>2988</v>
      </c>
      <c r="F354" s="8" t="str">
        <f>IFERROR(E354/E444, "NA")</f>
        <v>NA</v>
      </c>
      <c r="G354" s="9"/>
      <c r="H354" s="10">
        <f t="shared" si="88"/>
        <v>20.289999999999964</v>
      </c>
      <c r="I354" s="8" t="str">
        <f>IFERROR(H354/H444, "NA")</f>
        <v>NA</v>
      </c>
      <c r="J354" s="9"/>
      <c r="K354" s="7">
        <v>5617.07</v>
      </c>
      <c r="L354" s="8" t="str">
        <f>IFERROR(K354/K444, "NA")</f>
        <v>NA</v>
      </c>
      <c r="M354" s="9"/>
      <c r="N354" s="10">
        <f t="shared" si="89"/>
        <v>2649.3599999999997</v>
      </c>
      <c r="O354" s="8" t="str">
        <f>IFERROR(N354/N444, "NA")</f>
        <v>NA</v>
      </c>
      <c r="P354" s="9"/>
      <c r="Q354" s="7">
        <v>6268.91</v>
      </c>
      <c r="R354" s="8" t="str">
        <f>IFERROR(Q354/Q444, "NA")</f>
        <v>NA</v>
      </c>
      <c r="S354" s="9"/>
      <c r="T354" s="7">
        <v>5976</v>
      </c>
      <c r="U354" s="8" t="str">
        <f>IFERROR(T354/T444, "NA")</f>
        <v>NA</v>
      </c>
      <c r="V354" s="9"/>
      <c r="W354" s="10">
        <f t="shared" si="90"/>
        <v>-292.90999999999985</v>
      </c>
      <c r="X354" s="8" t="str">
        <f>IFERROR(W354/W444, "NA")</f>
        <v>NA</v>
      </c>
      <c r="Y354" s="9"/>
      <c r="Z354" s="7">
        <v>12407.31</v>
      </c>
      <c r="AA354" s="8" t="str">
        <f>IFERROR(Z354/Z444, "NA")</f>
        <v>NA</v>
      </c>
      <c r="AB354" s="9"/>
      <c r="AC354" s="10">
        <f t="shared" si="91"/>
        <v>6138.4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206.7</v>
      </c>
      <c r="C355" s="8" t="str">
        <f>IFERROR(B355/B444, "NA")</f>
        <v>NA</v>
      </c>
      <c r="D355" s="9"/>
      <c r="E355" s="7">
        <v>212</v>
      </c>
      <c r="F355" s="8" t="str">
        <f>IFERROR(E355/E444, "NA")</f>
        <v>NA</v>
      </c>
      <c r="G355" s="9"/>
      <c r="H355" s="10">
        <f t="shared" si="88"/>
        <v>5.3000000000000114</v>
      </c>
      <c r="I355" s="8" t="str">
        <f>IFERROR(H355/H444, "NA")</f>
        <v>NA</v>
      </c>
      <c r="J355" s="9"/>
      <c r="K355" s="7">
        <v>307.39999999999998</v>
      </c>
      <c r="L355" s="8" t="str">
        <f>IFERROR(K355/K444, "NA")</f>
        <v>NA</v>
      </c>
      <c r="M355" s="9"/>
      <c r="N355" s="10">
        <f t="shared" si="89"/>
        <v>100.69999999999999</v>
      </c>
      <c r="O355" s="8" t="str">
        <f>IFERROR(N355/N444, "NA")</f>
        <v>NA</v>
      </c>
      <c r="P355" s="9"/>
      <c r="Q355" s="7">
        <v>376.3</v>
      </c>
      <c r="R355" s="8" t="str">
        <f>IFERROR(Q355/Q444, "NA")</f>
        <v>NA</v>
      </c>
      <c r="S355" s="9"/>
      <c r="T355" s="7">
        <v>424</v>
      </c>
      <c r="U355" s="8" t="str">
        <f>IFERROR(T355/T444, "NA")</f>
        <v>NA</v>
      </c>
      <c r="V355" s="9"/>
      <c r="W355" s="10">
        <f t="shared" si="90"/>
        <v>47.699999999999989</v>
      </c>
      <c r="X355" s="8" t="str">
        <f>IFERROR(W355/W444, "NA")</f>
        <v>NA</v>
      </c>
      <c r="Y355" s="9"/>
      <c r="Z355" s="7">
        <v>540.6</v>
      </c>
      <c r="AA355" s="8" t="str">
        <f>IFERROR(Z355/Z444, "NA")</f>
        <v>NA</v>
      </c>
      <c r="AB355" s="9"/>
      <c r="AC355" s="10">
        <f t="shared" si="91"/>
        <v>164.3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4500</v>
      </c>
      <c r="C356" s="8" t="str">
        <f>IFERROR(B356/B444, "NA")</f>
        <v>NA</v>
      </c>
      <c r="D356" s="9"/>
      <c r="E356" s="7">
        <v>4500</v>
      </c>
      <c r="F356" s="8" t="str">
        <f>IFERROR(E356/E444, "NA")</f>
        <v>NA</v>
      </c>
      <c r="G356" s="9"/>
      <c r="H356" s="10">
        <f t="shared" si="88"/>
        <v>0</v>
      </c>
      <c r="I356" s="8" t="str">
        <f>IFERROR(H356/H444, "NA")</f>
        <v>NA</v>
      </c>
      <c r="J356" s="9"/>
      <c r="K356" s="7">
        <v>6187.5</v>
      </c>
      <c r="L356" s="8" t="str">
        <f>IFERROR(K356/K444, "NA")</f>
        <v>NA</v>
      </c>
      <c r="M356" s="9"/>
      <c r="N356" s="10">
        <f t="shared" si="89"/>
        <v>1687.5</v>
      </c>
      <c r="O356" s="8" t="str">
        <f>IFERROR(N356/N444, "NA")</f>
        <v>NA</v>
      </c>
      <c r="P356" s="9"/>
      <c r="Q356" s="7">
        <v>9000</v>
      </c>
      <c r="R356" s="8" t="str">
        <f>IFERROR(Q356/Q444, "NA")</f>
        <v>NA</v>
      </c>
      <c r="S356" s="9"/>
      <c r="T356" s="7">
        <v>9000</v>
      </c>
      <c r="U356" s="8" t="str">
        <f>IFERROR(T356/T444, "NA")</f>
        <v>NA</v>
      </c>
      <c r="V356" s="9"/>
      <c r="W356" s="10">
        <f t="shared" si="90"/>
        <v>0</v>
      </c>
      <c r="X356" s="8" t="str">
        <f>IFERROR(W356/W444, "NA")</f>
        <v>NA</v>
      </c>
      <c r="Y356" s="9"/>
      <c r="Z356" s="7">
        <v>12375</v>
      </c>
      <c r="AA356" s="8" t="str">
        <f>IFERROR(Z356/Z444, "NA")</f>
        <v>NA</v>
      </c>
      <c r="AB356" s="9"/>
      <c r="AC356" s="10">
        <f t="shared" si="91"/>
        <v>3375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3319.24</v>
      </c>
      <c r="C357" s="8" t="str">
        <f>IFERROR(B357/B444, "NA")</f>
        <v>NA</v>
      </c>
      <c r="D357" s="9"/>
      <c r="E357" s="7">
        <v>3680</v>
      </c>
      <c r="F357" s="8" t="str">
        <f>IFERROR(E357/E444, "NA")</f>
        <v>NA</v>
      </c>
      <c r="G357" s="9"/>
      <c r="H357" s="10">
        <f t="shared" si="88"/>
        <v>360.76000000000022</v>
      </c>
      <c r="I357" s="8" t="str">
        <f>IFERROR(H357/H444, "NA")</f>
        <v>NA</v>
      </c>
      <c r="J357" s="9"/>
      <c r="K357" s="7">
        <v>3469.35</v>
      </c>
      <c r="L357" s="8" t="str">
        <f>IFERROR(K357/K444, "NA")</f>
        <v>NA</v>
      </c>
      <c r="M357" s="9"/>
      <c r="N357" s="10">
        <f t="shared" si="89"/>
        <v>150.11000000000013</v>
      </c>
      <c r="O357" s="8" t="str">
        <f>IFERROR(N357/N444, "NA")</f>
        <v>NA</v>
      </c>
      <c r="P357" s="9"/>
      <c r="Q357" s="7">
        <v>6638.48</v>
      </c>
      <c r="R357" s="8" t="str">
        <f>IFERROR(Q357/Q444, "NA")</f>
        <v>NA</v>
      </c>
      <c r="S357" s="9"/>
      <c r="T357" s="7">
        <v>7360</v>
      </c>
      <c r="U357" s="8" t="str">
        <f>IFERROR(T357/T444, "NA")</f>
        <v>NA</v>
      </c>
      <c r="V357" s="9"/>
      <c r="W357" s="10">
        <f t="shared" si="90"/>
        <v>721.52000000000044</v>
      </c>
      <c r="X357" s="8" t="str">
        <f>IFERROR(W357/W444, "NA")</f>
        <v>NA</v>
      </c>
      <c r="Y357" s="9"/>
      <c r="Z357" s="7">
        <v>6938.7</v>
      </c>
      <c r="AA357" s="8" t="str">
        <f>IFERROR(Z357/Z444, "NA")</f>
        <v>NA</v>
      </c>
      <c r="AB357" s="9"/>
      <c r="AC357" s="10">
        <f t="shared" si="91"/>
        <v>300.22000000000025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46392.679999999993</v>
      </c>
      <c r="C358" s="15" t="str">
        <f>IFERROR(B358/B444, "NA")</f>
        <v>NA</v>
      </c>
      <c r="D358" s="2"/>
      <c r="E358" s="14">
        <f>IFERROR(E349+E350+E351+E352+E353+E354+E355+E356+E357, "NA")</f>
        <v>47380</v>
      </c>
      <c r="F358" s="15" t="str">
        <f>IFERROR(E358/E444, "NA")</f>
        <v>NA</v>
      </c>
      <c r="G358" s="2"/>
      <c r="H358" s="14">
        <f t="shared" si="88"/>
        <v>987.32000000000698</v>
      </c>
      <c r="I358" s="15" t="str">
        <f>IFERROR(H358/H444, "NA")</f>
        <v>NA</v>
      </c>
      <c r="J358" s="2"/>
      <c r="K358" s="14">
        <f>IFERROR(K349+K350+K351+K352+K353+K354+K355+K356+K357, "NA")</f>
        <v>83440.049999999988</v>
      </c>
      <c r="L358" s="15" t="str">
        <f>IFERROR(K358/K444, "NA")</f>
        <v>NA</v>
      </c>
      <c r="M358" s="2"/>
      <c r="N358" s="14">
        <f t="shared" si="89"/>
        <v>37047.369999999995</v>
      </c>
      <c r="O358" s="15" t="str">
        <f>IFERROR(N358/N444, "NA")</f>
        <v>NA</v>
      </c>
      <c r="P358" s="2"/>
      <c r="Q358" s="14">
        <f>IFERROR(Q349+Q350+Q351+Q352+Q353+Q354+Q355+Q356+Q357, "NA")</f>
        <v>93086.56</v>
      </c>
      <c r="R358" s="15" t="str">
        <f>IFERROR(Q358/Q444, "NA")</f>
        <v>NA</v>
      </c>
      <c r="S358" s="2"/>
      <c r="T358" s="14">
        <f>IFERROR(T349+T350+T351+T352+T353+T354+T355+T356+T357, "NA")</f>
        <v>94760</v>
      </c>
      <c r="U358" s="15" t="str">
        <f>IFERROR(T358/T444, "NA")</f>
        <v>NA</v>
      </c>
      <c r="V358" s="2"/>
      <c r="W358" s="14">
        <f t="shared" si="90"/>
        <v>1673.4400000000023</v>
      </c>
      <c r="X358" s="15" t="str">
        <f>IFERROR(W358/W444, "NA")</f>
        <v>NA</v>
      </c>
      <c r="Y358" s="2"/>
      <c r="Z358" s="14">
        <f>IFERROR(Z349+Z350+Z351+Z352+Z353+Z354+Z355+Z356+Z357, "NA")</f>
        <v>164923.83000000002</v>
      </c>
      <c r="AA358" s="15" t="str">
        <f>IFERROR(Z358/Z444, "NA")</f>
        <v>NA</v>
      </c>
      <c r="AB358" s="2"/>
      <c r="AC358" s="14">
        <f t="shared" si="91"/>
        <v>71837.270000000019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0</v>
      </c>
      <c r="F360" s="8" t="str">
        <f>IFERROR(E360/E444, "NA")</f>
        <v>NA</v>
      </c>
      <c r="G360" s="9"/>
      <c r="H360" s="10">
        <f t="shared" ref="H360:H383" si="92">IFERROR(-(B360-E360), "NA")</f>
        <v>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0</v>
      </c>
      <c r="U360" s="8" t="str">
        <f>IFERROR(T360/T444, "NA")</f>
        <v>NA</v>
      </c>
      <c r="V360" s="9"/>
      <c r="W360" s="10">
        <f t="shared" ref="W360:W383" si="94">IFERROR(-(Q360-T360), "NA")</f>
        <v>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hidden="1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0</v>
      </c>
      <c r="L361" s="8" t="str">
        <f>IFERROR(K361/K444, "NA")</f>
        <v>NA</v>
      </c>
      <c r="M361" s="9"/>
      <c r="N361" s="10">
        <f t="shared" si="93"/>
        <v>0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0</v>
      </c>
      <c r="AA361" s="8" t="str">
        <f>IFERROR(Z361/Z444, "NA")</f>
        <v>NA</v>
      </c>
      <c r="AB361" s="9"/>
      <c r="AC361" s="10">
        <f t="shared" si="95"/>
        <v>0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354.82</v>
      </c>
      <c r="C362" s="8" t="str">
        <f>IFERROR(B362/B444, "NA")</f>
        <v>NA</v>
      </c>
      <c r="D362" s="9"/>
      <c r="E362" s="7">
        <v>864</v>
      </c>
      <c r="F362" s="8" t="str">
        <f>IFERROR(E362/E444, "NA")</f>
        <v>NA</v>
      </c>
      <c r="G362" s="9"/>
      <c r="H362" s="10">
        <f t="shared" si="92"/>
        <v>509.18</v>
      </c>
      <c r="I362" s="8" t="str">
        <f>IFERROR(H362/H444, "NA")</f>
        <v>NA</v>
      </c>
      <c r="J362" s="9"/>
      <c r="K362" s="7">
        <v>1011.15</v>
      </c>
      <c r="L362" s="8" t="str">
        <f>IFERROR(K362/K444, "NA")</f>
        <v>NA</v>
      </c>
      <c r="M362" s="9"/>
      <c r="N362" s="10">
        <f t="shared" si="93"/>
        <v>656.32999999999993</v>
      </c>
      <c r="O362" s="8" t="str">
        <f>IFERROR(N362/N444, "NA")</f>
        <v>NA</v>
      </c>
      <c r="P362" s="9"/>
      <c r="Q362" s="7">
        <v>605.77</v>
      </c>
      <c r="R362" s="8" t="str">
        <f>IFERROR(Q362/Q444, "NA")</f>
        <v>NA</v>
      </c>
      <c r="S362" s="9"/>
      <c r="T362" s="7">
        <v>1728</v>
      </c>
      <c r="U362" s="8" t="str">
        <f>IFERROR(T362/T444, "NA")</f>
        <v>NA</v>
      </c>
      <c r="V362" s="9"/>
      <c r="W362" s="10">
        <f t="shared" si="94"/>
        <v>1122.23</v>
      </c>
      <c r="X362" s="8" t="str">
        <f>IFERROR(W362/W444, "NA")</f>
        <v>NA</v>
      </c>
      <c r="Y362" s="9"/>
      <c r="Z362" s="7">
        <v>1737.43</v>
      </c>
      <c r="AA362" s="8" t="str">
        <f>IFERROR(Z362/Z444, "NA")</f>
        <v>NA</v>
      </c>
      <c r="AB362" s="9"/>
      <c r="AC362" s="10">
        <f t="shared" si="95"/>
        <v>1131.6600000000001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502.39</v>
      </c>
      <c r="C363" s="8" t="str">
        <f>IFERROR(B363/B444, "NA")</f>
        <v>NA</v>
      </c>
      <c r="D363" s="9"/>
      <c r="E363" s="7">
        <v>150</v>
      </c>
      <c r="F363" s="8" t="str">
        <f>IFERROR(E363/E444, "NA")</f>
        <v>NA</v>
      </c>
      <c r="G363" s="9"/>
      <c r="H363" s="10">
        <f t="shared" si="92"/>
        <v>-352.39</v>
      </c>
      <c r="I363" s="8" t="str">
        <f>IFERROR(H363/H444, "NA")</f>
        <v>NA</v>
      </c>
      <c r="J363" s="9"/>
      <c r="K363" s="7">
        <v>724.19</v>
      </c>
      <c r="L363" s="8" t="str">
        <f>IFERROR(K363/K444, "NA")</f>
        <v>NA</v>
      </c>
      <c r="M363" s="9"/>
      <c r="N363" s="10">
        <f t="shared" si="93"/>
        <v>221.80000000000007</v>
      </c>
      <c r="O363" s="8" t="str">
        <f>IFERROR(N363/N444, "NA")</f>
        <v>NA</v>
      </c>
      <c r="P363" s="9"/>
      <c r="Q363" s="7">
        <v>1314.33</v>
      </c>
      <c r="R363" s="8" t="str">
        <f>IFERROR(Q363/Q444, "NA")</f>
        <v>NA</v>
      </c>
      <c r="S363" s="9"/>
      <c r="T363" s="7">
        <v>300</v>
      </c>
      <c r="U363" s="8" t="str">
        <f>IFERROR(T363/T444, "NA")</f>
        <v>NA</v>
      </c>
      <c r="V363" s="9"/>
      <c r="W363" s="10">
        <f t="shared" si="94"/>
        <v>-1014.3299999999999</v>
      </c>
      <c r="X363" s="8" t="str">
        <f>IFERROR(W363/W444, "NA")</f>
        <v>NA</v>
      </c>
      <c r="Y363" s="9"/>
      <c r="Z363" s="7">
        <v>1050.74</v>
      </c>
      <c r="AA363" s="8" t="str">
        <f>IFERROR(Z363/Z444, "NA")</f>
        <v>NA</v>
      </c>
      <c r="AB363" s="9"/>
      <c r="AC363" s="10">
        <f t="shared" si="95"/>
        <v>-263.58999999999992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144.4</v>
      </c>
      <c r="C364" s="8" t="str">
        <f>IFERROR(B364/B444, "NA")</f>
        <v>NA</v>
      </c>
      <c r="D364" s="9"/>
      <c r="E364" s="7">
        <v>750</v>
      </c>
      <c r="F364" s="8" t="str">
        <f>IFERROR(E364/E444, "NA")</f>
        <v>NA</v>
      </c>
      <c r="G364" s="9"/>
      <c r="H364" s="10">
        <f t="shared" si="92"/>
        <v>605.6</v>
      </c>
      <c r="I364" s="8" t="str">
        <f>IFERROR(H364/H444, "NA")</f>
        <v>NA</v>
      </c>
      <c r="J364" s="9"/>
      <c r="K364" s="7">
        <v>1851.27</v>
      </c>
      <c r="L364" s="8" t="str">
        <f>IFERROR(K364/K444, "NA")</f>
        <v>NA</v>
      </c>
      <c r="M364" s="9"/>
      <c r="N364" s="10">
        <f t="shared" si="93"/>
        <v>1706.87</v>
      </c>
      <c r="O364" s="8" t="str">
        <f>IFERROR(N364/N444, "NA")</f>
        <v>NA</v>
      </c>
      <c r="P364" s="9"/>
      <c r="Q364" s="7">
        <v>199.03</v>
      </c>
      <c r="R364" s="8" t="str">
        <f>IFERROR(Q364/Q444, "NA")</f>
        <v>NA</v>
      </c>
      <c r="S364" s="9"/>
      <c r="T364" s="7">
        <v>1150</v>
      </c>
      <c r="U364" s="8" t="str">
        <f>IFERROR(T364/T444, "NA")</f>
        <v>NA</v>
      </c>
      <c r="V364" s="9"/>
      <c r="W364" s="10">
        <f t="shared" si="94"/>
        <v>950.97</v>
      </c>
      <c r="X364" s="8" t="str">
        <f>IFERROR(W364/W444, "NA")</f>
        <v>NA</v>
      </c>
      <c r="Y364" s="9"/>
      <c r="Z364" s="7">
        <v>1896.53</v>
      </c>
      <c r="AA364" s="8" t="str">
        <f>IFERROR(Z364/Z444, "NA")</f>
        <v>NA</v>
      </c>
      <c r="AB364" s="9"/>
      <c r="AC364" s="10">
        <f t="shared" si="95"/>
        <v>1697.5</v>
      </c>
      <c r="AD364" s="8" t="str">
        <f>IFERROR(AC364/AC444, "NA")</f>
        <v>NA</v>
      </c>
    </row>
    <row r="365" spans="1:30" ht="16.5" customHeight="1" x14ac:dyDescent="0.45">
      <c r="A365" s="6" t="s">
        <v>333</v>
      </c>
      <c r="B365" s="7">
        <v>292</v>
      </c>
      <c r="C365" s="8" t="str">
        <f>IFERROR(B365/B444, "NA")</f>
        <v>NA</v>
      </c>
      <c r="D365" s="9"/>
      <c r="E365" s="7">
        <v>675</v>
      </c>
      <c r="F365" s="8" t="str">
        <f>IFERROR(E365/E444, "NA")</f>
        <v>NA</v>
      </c>
      <c r="G365" s="9"/>
      <c r="H365" s="10">
        <f t="shared" si="92"/>
        <v>383</v>
      </c>
      <c r="I365" s="8" t="str">
        <f>IFERROR(H365/H444, "NA")</f>
        <v>NA</v>
      </c>
      <c r="J365" s="9"/>
      <c r="K365" s="7">
        <v>896.2</v>
      </c>
      <c r="L365" s="8" t="str">
        <f>IFERROR(K365/K444, "NA")</f>
        <v>NA</v>
      </c>
      <c r="M365" s="9"/>
      <c r="N365" s="10">
        <f t="shared" si="93"/>
        <v>604.20000000000005</v>
      </c>
      <c r="O365" s="8" t="str">
        <f>IFERROR(N365/N444, "NA")</f>
        <v>NA</v>
      </c>
      <c r="P365" s="9"/>
      <c r="Q365" s="7">
        <v>292</v>
      </c>
      <c r="R365" s="8" t="str">
        <f>IFERROR(Q365/Q444, "NA")</f>
        <v>NA</v>
      </c>
      <c r="S365" s="9"/>
      <c r="T365" s="7">
        <v>1575</v>
      </c>
      <c r="U365" s="8" t="str">
        <f>IFERROR(T365/T444, "NA")</f>
        <v>NA</v>
      </c>
      <c r="V365" s="9"/>
      <c r="W365" s="10">
        <f t="shared" si="94"/>
        <v>1283</v>
      </c>
      <c r="X365" s="8" t="str">
        <f>IFERROR(W365/W444, "NA")</f>
        <v>NA</v>
      </c>
      <c r="Y365" s="9"/>
      <c r="Z365" s="7">
        <v>896.2</v>
      </c>
      <c r="AA365" s="8" t="str">
        <f>IFERROR(Z365/Z444, "NA")</f>
        <v>NA</v>
      </c>
      <c r="AB365" s="9"/>
      <c r="AC365" s="10">
        <f t="shared" si="95"/>
        <v>604.20000000000005</v>
      </c>
      <c r="AD365" s="8" t="str">
        <f>IFERROR(AC365/AC444, "NA")</f>
        <v>NA</v>
      </c>
    </row>
    <row r="366" spans="1:30" ht="16.5" customHeight="1" x14ac:dyDescent="0.45">
      <c r="A366" s="6" t="s">
        <v>334</v>
      </c>
      <c r="B366" s="7">
        <v>797.8</v>
      </c>
      <c r="C366" s="8" t="str">
        <f>IFERROR(B366/B444, "NA")</f>
        <v>NA</v>
      </c>
      <c r="D366" s="9"/>
      <c r="E366" s="7">
        <v>450</v>
      </c>
      <c r="F366" s="8" t="str">
        <f>IFERROR(E366/E444, "NA")</f>
        <v>NA</v>
      </c>
      <c r="G366" s="9"/>
      <c r="H366" s="10">
        <f t="shared" si="92"/>
        <v>-347.79999999999995</v>
      </c>
      <c r="I366" s="8" t="str">
        <f>IFERROR(H366/H444, "NA")</f>
        <v>NA</v>
      </c>
      <c r="J366" s="9"/>
      <c r="K366" s="7">
        <v>1049.3499999999999</v>
      </c>
      <c r="L366" s="8" t="str">
        <f>IFERROR(K366/K444, "NA")</f>
        <v>NA</v>
      </c>
      <c r="M366" s="9"/>
      <c r="N366" s="10">
        <f t="shared" si="93"/>
        <v>251.54999999999995</v>
      </c>
      <c r="O366" s="8" t="str">
        <f>IFERROR(N366/N444, "NA")</f>
        <v>NA</v>
      </c>
      <c r="P366" s="9"/>
      <c r="Q366" s="7">
        <v>797.8</v>
      </c>
      <c r="R366" s="8" t="str">
        <f>IFERROR(Q366/Q444, "NA")</f>
        <v>NA</v>
      </c>
      <c r="S366" s="9"/>
      <c r="T366" s="7">
        <v>900</v>
      </c>
      <c r="U366" s="8" t="str">
        <f>IFERROR(T366/T444, "NA")</f>
        <v>NA</v>
      </c>
      <c r="V366" s="9"/>
      <c r="W366" s="10">
        <f t="shared" si="94"/>
        <v>102.20000000000005</v>
      </c>
      <c r="X366" s="8" t="str">
        <f>IFERROR(W366/W444, "NA")</f>
        <v>NA</v>
      </c>
      <c r="Y366" s="9"/>
      <c r="Z366" s="7">
        <v>1049.3499999999999</v>
      </c>
      <c r="AA366" s="8" t="str">
        <f>IFERROR(Z366/Z444, "NA")</f>
        <v>NA</v>
      </c>
      <c r="AB366" s="9"/>
      <c r="AC366" s="10">
        <f t="shared" si="95"/>
        <v>251.54999999999995</v>
      </c>
      <c r="AD366" s="8" t="str">
        <f>IFERROR(AC366/AC444, "NA")</f>
        <v>NA</v>
      </c>
    </row>
    <row r="367" spans="1:30" ht="16.5" customHeight="1" x14ac:dyDescent="0.45">
      <c r="A367" s="6" t="s">
        <v>335</v>
      </c>
      <c r="B367" s="7">
        <v>0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0</v>
      </c>
      <c r="I367" s="8" t="str">
        <f>IFERROR(H367/H444, "NA")</f>
        <v>NA</v>
      </c>
      <c r="J367" s="9"/>
      <c r="K367" s="7">
        <v>0</v>
      </c>
      <c r="L367" s="8" t="str">
        <f>IFERROR(K367/K444, "NA")</f>
        <v>NA</v>
      </c>
      <c r="M367" s="9"/>
      <c r="N367" s="10">
        <f t="shared" si="93"/>
        <v>0</v>
      </c>
      <c r="O367" s="8" t="str">
        <f>IFERROR(N367/N444, "NA")</f>
        <v>NA</v>
      </c>
      <c r="P367" s="9"/>
      <c r="Q367" s="7">
        <v>1667.61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-1667.61</v>
      </c>
      <c r="X367" s="8" t="str">
        <f>IFERROR(W367/W444, "NA")</f>
        <v>NA</v>
      </c>
      <c r="Y367" s="9"/>
      <c r="Z367" s="7">
        <v>0</v>
      </c>
      <c r="AA367" s="8" t="str">
        <f>IFERROR(Z367/Z444, "NA")</f>
        <v>NA</v>
      </c>
      <c r="AB367" s="9"/>
      <c r="AC367" s="10">
        <f t="shared" si="95"/>
        <v>-1667.61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2091.41</v>
      </c>
      <c r="C368" s="15" t="str">
        <f>IFERROR(B368/B444, "NA")</f>
        <v>NA</v>
      </c>
      <c r="D368" s="2"/>
      <c r="E368" s="14">
        <f>IFERROR(E360+E361+E362+E363+E364+E365+E366+E367, "NA")</f>
        <v>2889</v>
      </c>
      <c r="F368" s="15" t="str">
        <f>IFERROR(E368/E444, "NA")</f>
        <v>NA</v>
      </c>
      <c r="G368" s="2"/>
      <c r="H368" s="14">
        <f t="shared" si="92"/>
        <v>797.59000000000015</v>
      </c>
      <c r="I368" s="15" t="str">
        <f>IFERROR(H368/H444, "NA")</f>
        <v>NA</v>
      </c>
      <c r="J368" s="2"/>
      <c r="K368" s="14">
        <f>IFERROR(K360+K361+K362+K363+K364+K365+K366+K367, "NA")</f>
        <v>5532.16</v>
      </c>
      <c r="L368" s="15" t="str">
        <f>IFERROR(K368/K444, "NA")</f>
        <v>NA</v>
      </c>
      <c r="M368" s="2"/>
      <c r="N368" s="14">
        <f t="shared" si="93"/>
        <v>3440.75</v>
      </c>
      <c r="O368" s="15" t="str">
        <f>IFERROR(N368/N444, "NA")</f>
        <v>NA</v>
      </c>
      <c r="P368" s="2"/>
      <c r="Q368" s="14">
        <f>IFERROR(Q360+Q361+Q362+Q363+Q364+Q365+Q366+Q367, "NA")</f>
        <v>4876.54</v>
      </c>
      <c r="R368" s="15" t="str">
        <f>IFERROR(Q368/Q444, "NA")</f>
        <v>NA</v>
      </c>
      <c r="S368" s="2"/>
      <c r="T368" s="14">
        <f>IFERROR(T360+T361+T362+T363+T364+T365+T366+T367, "NA")</f>
        <v>5653</v>
      </c>
      <c r="U368" s="15" t="str">
        <f>IFERROR(T368/T444, "NA")</f>
        <v>NA</v>
      </c>
      <c r="V368" s="2"/>
      <c r="W368" s="14">
        <f t="shared" si="94"/>
        <v>776.46</v>
      </c>
      <c r="X368" s="15" t="str">
        <f>IFERROR(W368/W444, "NA")</f>
        <v>NA</v>
      </c>
      <c r="Y368" s="2"/>
      <c r="Z368" s="14">
        <f>IFERROR(Z360+Z361+Z362+Z363+Z364+Z365+Z366+Z367, "NA")</f>
        <v>6630.25</v>
      </c>
      <c r="AA368" s="15" t="str">
        <f>IFERROR(Z368/Z444, "NA")</f>
        <v>NA</v>
      </c>
      <c r="AB368" s="2"/>
      <c r="AC368" s="14">
        <f t="shared" si="95"/>
        <v>1753.71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98</v>
      </c>
      <c r="C370" s="8" t="str">
        <f>IFERROR(B370/B444, "NA")</f>
        <v>NA</v>
      </c>
      <c r="D370" s="9"/>
      <c r="E370" s="7">
        <v>100</v>
      </c>
      <c r="F370" s="8" t="str">
        <f>IFERROR(E370/E444, "NA")</f>
        <v>NA</v>
      </c>
      <c r="G370" s="9"/>
      <c r="H370" s="10">
        <f t="shared" si="92"/>
        <v>2</v>
      </c>
      <c r="I370" s="8" t="str">
        <f>IFERROR(H370/H444, "NA")</f>
        <v>NA</v>
      </c>
      <c r="J370" s="9"/>
      <c r="K370" s="7">
        <v>103</v>
      </c>
      <c r="L370" s="8" t="str">
        <f>IFERROR(K370/K444, "NA")</f>
        <v>NA</v>
      </c>
      <c r="M370" s="9"/>
      <c r="N370" s="10">
        <f t="shared" si="93"/>
        <v>5</v>
      </c>
      <c r="O370" s="8" t="str">
        <f>IFERROR(N370/N444, "NA")</f>
        <v>NA</v>
      </c>
      <c r="P370" s="9"/>
      <c r="Q370" s="7">
        <v>196</v>
      </c>
      <c r="R370" s="8" t="str">
        <f>IFERROR(Q370/Q444, "NA")</f>
        <v>NA</v>
      </c>
      <c r="S370" s="9"/>
      <c r="T370" s="7">
        <v>200</v>
      </c>
      <c r="U370" s="8" t="str">
        <f>IFERROR(T370/T444, "NA")</f>
        <v>NA</v>
      </c>
      <c r="V370" s="9"/>
      <c r="W370" s="10">
        <f t="shared" si="94"/>
        <v>4</v>
      </c>
      <c r="X370" s="8" t="str">
        <f>IFERROR(W370/W444, "NA")</f>
        <v>NA</v>
      </c>
      <c r="Y370" s="9"/>
      <c r="Z370" s="7">
        <v>206</v>
      </c>
      <c r="AA370" s="8" t="str">
        <f>IFERROR(Z370/Z444, "NA")</f>
        <v>NA</v>
      </c>
      <c r="AB370" s="9"/>
      <c r="AC370" s="10">
        <f t="shared" si="95"/>
        <v>10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357.01</v>
      </c>
      <c r="C371" s="8" t="str">
        <f>IFERROR(B371/B444, "NA")</f>
        <v>NA</v>
      </c>
      <c r="D371" s="9"/>
      <c r="E371" s="7">
        <v>125</v>
      </c>
      <c r="F371" s="8" t="str">
        <f>IFERROR(E371/E444, "NA")</f>
        <v>NA</v>
      </c>
      <c r="G371" s="9"/>
      <c r="H371" s="10">
        <f t="shared" si="92"/>
        <v>-232.01</v>
      </c>
      <c r="I371" s="8" t="str">
        <f>IFERROR(H371/H444, "NA")</f>
        <v>NA</v>
      </c>
      <c r="J371" s="9"/>
      <c r="K371" s="7">
        <v>187.21</v>
      </c>
      <c r="L371" s="8" t="str">
        <f>IFERROR(K371/K444, "NA")</f>
        <v>NA</v>
      </c>
      <c r="M371" s="9"/>
      <c r="N371" s="10">
        <f t="shared" si="93"/>
        <v>-169.79999999999998</v>
      </c>
      <c r="O371" s="8" t="str">
        <f>IFERROR(N371/N444, "NA")</f>
        <v>NA</v>
      </c>
      <c r="P371" s="9"/>
      <c r="Q371" s="7">
        <v>446.61</v>
      </c>
      <c r="R371" s="8" t="str">
        <f>IFERROR(Q371/Q444, "NA")</f>
        <v>NA</v>
      </c>
      <c r="S371" s="9"/>
      <c r="T371" s="7">
        <v>250</v>
      </c>
      <c r="U371" s="8" t="str">
        <f>IFERROR(T371/T444, "NA")</f>
        <v>NA</v>
      </c>
      <c r="V371" s="9"/>
      <c r="W371" s="10">
        <f t="shared" si="94"/>
        <v>-196.61</v>
      </c>
      <c r="X371" s="8" t="str">
        <f>IFERROR(W371/W444, "NA")</f>
        <v>NA</v>
      </c>
      <c r="Y371" s="9"/>
      <c r="Z371" s="7">
        <v>297.27999999999997</v>
      </c>
      <c r="AA371" s="8" t="str">
        <f>IFERROR(Z371/Z444, "NA")</f>
        <v>NA</v>
      </c>
      <c r="AB371" s="9"/>
      <c r="AC371" s="10">
        <f t="shared" si="95"/>
        <v>-149.33000000000004</v>
      </c>
      <c r="AD371" s="8" t="str">
        <f>IFERROR(AC371/AC444, "NA")</f>
        <v>NA</v>
      </c>
    </row>
    <row r="372" spans="1:30" ht="16.5" customHeight="1" x14ac:dyDescent="0.45">
      <c r="A372" s="20" t="s">
        <v>340</v>
      </c>
      <c r="B372" s="7">
        <v>254.08</v>
      </c>
      <c r="C372" s="8" t="str">
        <f>IFERROR(B372/B444, "NA")</f>
        <v>NA</v>
      </c>
      <c r="D372" s="9"/>
      <c r="E372" s="7">
        <v>0</v>
      </c>
      <c r="F372" s="8" t="str">
        <f>IFERROR(E372/E444, "NA")</f>
        <v>NA</v>
      </c>
      <c r="G372" s="9"/>
      <c r="H372" s="10">
        <f t="shared" si="92"/>
        <v>-254.08</v>
      </c>
      <c r="I372" s="8" t="str">
        <f>IFERROR(H372/H444, "NA")</f>
        <v>NA</v>
      </c>
      <c r="J372" s="9"/>
      <c r="K372" s="7">
        <v>277.17</v>
      </c>
      <c r="L372" s="8" t="str">
        <f>IFERROR(K372/K444, "NA")</f>
        <v>NA</v>
      </c>
      <c r="M372" s="9"/>
      <c r="N372" s="10">
        <f t="shared" si="93"/>
        <v>23.090000000000003</v>
      </c>
      <c r="O372" s="8" t="str">
        <f>IFERROR(N372/N444, "NA")</f>
        <v>NA</v>
      </c>
      <c r="P372" s="9"/>
      <c r="Q372" s="7">
        <v>508.16</v>
      </c>
      <c r="R372" s="8" t="str">
        <f>IFERROR(Q372/Q444, "NA")</f>
        <v>NA</v>
      </c>
      <c r="S372" s="9"/>
      <c r="T372" s="7">
        <v>0</v>
      </c>
      <c r="U372" s="8" t="str">
        <f>IFERROR(T372/T444, "NA")</f>
        <v>NA</v>
      </c>
      <c r="V372" s="9"/>
      <c r="W372" s="10">
        <f t="shared" si="94"/>
        <v>-508.16</v>
      </c>
      <c r="X372" s="8" t="str">
        <f>IFERROR(W372/W444, "NA")</f>
        <v>NA</v>
      </c>
      <c r="Y372" s="9"/>
      <c r="Z372" s="7">
        <v>277.17</v>
      </c>
      <c r="AA372" s="8" t="str">
        <f>IFERROR(Z372/Z444, "NA")</f>
        <v>NA</v>
      </c>
      <c r="AB372" s="9"/>
      <c r="AC372" s="10">
        <f t="shared" si="95"/>
        <v>-230.99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935.18</v>
      </c>
      <c r="C373" s="8" t="str">
        <f>IFERROR(B373/B444, "NA")</f>
        <v>NA</v>
      </c>
      <c r="D373" s="9"/>
      <c r="E373" s="7">
        <v>629</v>
      </c>
      <c r="F373" s="8" t="str">
        <f>IFERROR(E373/E444, "NA")</f>
        <v>NA</v>
      </c>
      <c r="G373" s="9"/>
      <c r="H373" s="10">
        <f t="shared" si="92"/>
        <v>-306.17999999999995</v>
      </c>
      <c r="I373" s="8" t="str">
        <f>IFERROR(H373/H444, "NA")</f>
        <v>NA</v>
      </c>
      <c r="J373" s="9"/>
      <c r="K373" s="7">
        <v>607.08000000000004</v>
      </c>
      <c r="L373" s="8" t="str">
        <f>IFERROR(K373/K444, "NA")</f>
        <v>NA</v>
      </c>
      <c r="M373" s="9"/>
      <c r="N373" s="10">
        <f t="shared" si="93"/>
        <v>-328.09999999999991</v>
      </c>
      <c r="O373" s="8" t="str">
        <f>IFERROR(N373/N444, "NA")</f>
        <v>NA</v>
      </c>
      <c r="P373" s="9"/>
      <c r="Q373" s="7">
        <v>1602.31</v>
      </c>
      <c r="R373" s="8" t="str">
        <f>IFERROR(Q373/Q444, "NA")</f>
        <v>NA</v>
      </c>
      <c r="S373" s="9"/>
      <c r="T373" s="7">
        <v>1258</v>
      </c>
      <c r="U373" s="8" t="str">
        <f>IFERROR(T373/T444, "NA")</f>
        <v>NA</v>
      </c>
      <c r="V373" s="9"/>
      <c r="W373" s="10">
        <f t="shared" si="94"/>
        <v>-344.30999999999995</v>
      </c>
      <c r="X373" s="8" t="str">
        <f>IFERROR(W373/W444, "NA")</f>
        <v>NA</v>
      </c>
      <c r="Y373" s="9"/>
      <c r="Z373" s="7">
        <v>1061.97</v>
      </c>
      <c r="AA373" s="8" t="str">
        <f>IFERROR(Z373/Z444, "NA")</f>
        <v>NA</v>
      </c>
      <c r="AB373" s="9"/>
      <c r="AC373" s="10">
        <f t="shared" si="95"/>
        <v>-540.33999999999992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2114.1</v>
      </c>
      <c r="C374" s="8" t="str">
        <f>IFERROR(B374/B444, "NA")</f>
        <v>NA</v>
      </c>
      <c r="D374" s="9"/>
      <c r="E374" s="7">
        <v>2150</v>
      </c>
      <c r="F374" s="8" t="str">
        <f>IFERROR(E374/E444, "NA")</f>
        <v>NA</v>
      </c>
      <c r="G374" s="9"/>
      <c r="H374" s="10">
        <f t="shared" si="92"/>
        <v>35.900000000000091</v>
      </c>
      <c r="I374" s="8" t="str">
        <f>IFERROR(H374/H444, "NA")</f>
        <v>NA</v>
      </c>
      <c r="J374" s="9"/>
      <c r="K374" s="7">
        <v>1897.01</v>
      </c>
      <c r="L374" s="8" t="str">
        <f>IFERROR(K374/K444, "NA")</f>
        <v>NA</v>
      </c>
      <c r="M374" s="9"/>
      <c r="N374" s="10">
        <f t="shared" si="93"/>
        <v>-217.08999999999992</v>
      </c>
      <c r="O374" s="8" t="str">
        <f>IFERROR(N374/N444, "NA")</f>
        <v>NA</v>
      </c>
      <c r="P374" s="9"/>
      <c r="Q374" s="7">
        <v>4228.2</v>
      </c>
      <c r="R374" s="8" t="str">
        <f>IFERROR(Q374/Q444, "NA")</f>
        <v>NA</v>
      </c>
      <c r="S374" s="9"/>
      <c r="T374" s="7">
        <v>4300</v>
      </c>
      <c r="U374" s="8" t="str">
        <f>IFERROR(T374/T444, "NA")</f>
        <v>NA</v>
      </c>
      <c r="V374" s="9"/>
      <c r="W374" s="10">
        <f t="shared" si="94"/>
        <v>71.800000000000182</v>
      </c>
      <c r="X374" s="8" t="str">
        <f>IFERROR(W374/W444, "NA")</f>
        <v>NA</v>
      </c>
      <c r="Y374" s="9"/>
      <c r="Z374" s="7">
        <v>3794.02</v>
      </c>
      <c r="AA374" s="8" t="str">
        <f>IFERROR(Z374/Z444, "NA")</f>
        <v>NA</v>
      </c>
      <c r="AB374" s="9"/>
      <c r="AC374" s="10">
        <f t="shared" si="95"/>
        <v>-434.17999999999984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110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-110</v>
      </c>
      <c r="I375" s="8" t="str">
        <f>IFERROR(H375/H444, "NA")</f>
        <v>NA</v>
      </c>
      <c r="J375" s="9"/>
      <c r="K375" s="7">
        <v>0</v>
      </c>
      <c r="L375" s="8" t="str">
        <f>IFERROR(K375/K444, "NA")</f>
        <v>NA</v>
      </c>
      <c r="M375" s="9"/>
      <c r="N375" s="10">
        <f t="shared" si="93"/>
        <v>-110</v>
      </c>
      <c r="O375" s="8" t="str">
        <f>IFERROR(N375/N444, "NA")</f>
        <v>NA</v>
      </c>
      <c r="P375" s="9"/>
      <c r="Q375" s="7">
        <v>110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-110</v>
      </c>
      <c r="X375" s="8" t="str">
        <f>IFERROR(W375/W444, "NA")</f>
        <v>NA</v>
      </c>
      <c r="Y375" s="9"/>
      <c r="Z375" s="7">
        <v>205.26</v>
      </c>
      <c r="AA375" s="8" t="str">
        <f>IFERROR(Z375/Z444, "NA")</f>
        <v>NA</v>
      </c>
      <c r="AB375" s="9"/>
      <c r="AC375" s="10">
        <f t="shared" si="95"/>
        <v>95.259999999999991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0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0</v>
      </c>
      <c r="I376" s="8" t="str">
        <f>IFERROR(H376/H444, "NA")</f>
        <v>NA</v>
      </c>
      <c r="J376" s="9"/>
      <c r="K376" s="7">
        <v>0</v>
      </c>
      <c r="L376" s="8" t="str">
        <f>IFERROR(K376/K444, "NA")</f>
        <v>NA</v>
      </c>
      <c r="M376" s="9"/>
      <c r="N376" s="10">
        <f t="shared" si="93"/>
        <v>0</v>
      </c>
      <c r="O376" s="8" t="str">
        <f>IFERROR(N376/N444, "NA")</f>
        <v>NA</v>
      </c>
      <c r="P376" s="9"/>
      <c r="Q376" s="7">
        <v>0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0</v>
      </c>
      <c r="X376" s="8" t="str">
        <f>IFERROR(W376/W444, "NA")</f>
        <v>NA</v>
      </c>
      <c r="Y376" s="9"/>
      <c r="Z376" s="7">
        <v>-2413</v>
      </c>
      <c r="AA376" s="8" t="str">
        <f>IFERROR(Z376/Z444, "NA")</f>
        <v>NA</v>
      </c>
      <c r="AB376" s="9"/>
      <c r="AC376" s="10">
        <f t="shared" si="95"/>
        <v>-2413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6296.44</v>
      </c>
      <c r="C378" s="8" t="str">
        <f>IFERROR(B378/B444, "NA")</f>
        <v>NA</v>
      </c>
      <c r="D378" s="9"/>
      <c r="E378" s="7">
        <v>7484</v>
      </c>
      <c r="F378" s="8" t="str">
        <f>IFERROR(E378/E444, "NA")</f>
        <v>NA</v>
      </c>
      <c r="G378" s="9"/>
      <c r="H378" s="10">
        <f t="shared" si="92"/>
        <v>1187.5600000000004</v>
      </c>
      <c r="I378" s="8" t="str">
        <f>IFERROR(H378/H444, "NA")</f>
        <v>NA</v>
      </c>
      <c r="J378" s="9"/>
      <c r="K378" s="7">
        <v>8906.06</v>
      </c>
      <c r="L378" s="8" t="str">
        <f>IFERROR(K378/K444, "NA")</f>
        <v>NA</v>
      </c>
      <c r="M378" s="9"/>
      <c r="N378" s="10">
        <f t="shared" si="93"/>
        <v>2609.62</v>
      </c>
      <c r="O378" s="8" t="str">
        <f>IFERROR(N378/N444, "NA")</f>
        <v>NA</v>
      </c>
      <c r="P378" s="9"/>
      <c r="Q378" s="7">
        <v>12870.62</v>
      </c>
      <c r="R378" s="8" t="str">
        <f>IFERROR(Q378/Q444, "NA")</f>
        <v>NA</v>
      </c>
      <c r="S378" s="9"/>
      <c r="T378" s="7">
        <v>16968</v>
      </c>
      <c r="U378" s="8" t="str">
        <f>IFERROR(T378/T444, "NA")</f>
        <v>NA</v>
      </c>
      <c r="V378" s="9"/>
      <c r="W378" s="10">
        <f t="shared" si="94"/>
        <v>4097.3799999999992</v>
      </c>
      <c r="X378" s="8" t="str">
        <f>IFERROR(W378/W444, "NA")</f>
        <v>NA</v>
      </c>
      <c r="Y378" s="9"/>
      <c r="Z378" s="7">
        <v>16835.02</v>
      </c>
      <c r="AA378" s="8" t="str">
        <f>IFERROR(Z378/Z444, "NA")</f>
        <v>NA</v>
      </c>
      <c r="AB378" s="9"/>
      <c r="AC378" s="10">
        <f t="shared" si="95"/>
        <v>3964.3999999999996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892.87</v>
      </c>
      <c r="C379" s="8" t="str">
        <f>IFERROR(B379/B444, "NA")</f>
        <v>NA</v>
      </c>
      <c r="D379" s="9"/>
      <c r="E379" s="7">
        <v>0</v>
      </c>
      <c r="F379" s="8" t="str">
        <f>IFERROR(E379/E444, "NA")</f>
        <v>NA</v>
      </c>
      <c r="G379" s="9"/>
      <c r="H379" s="10">
        <f t="shared" si="92"/>
        <v>-892.87</v>
      </c>
      <c r="I379" s="8" t="str">
        <f>IFERROR(H379/H444, "NA")</f>
        <v>NA</v>
      </c>
      <c r="J379" s="9"/>
      <c r="K379" s="7">
        <v>214.32</v>
      </c>
      <c r="L379" s="8" t="str">
        <f>IFERROR(K379/K444, "NA")</f>
        <v>NA</v>
      </c>
      <c r="M379" s="9"/>
      <c r="N379" s="10">
        <f t="shared" si="93"/>
        <v>-678.55</v>
      </c>
      <c r="O379" s="8" t="str">
        <f>IFERROR(N379/N444, "NA")</f>
        <v>NA</v>
      </c>
      <c r="P379" s="9"/>
      <c r="Q379" s="7">
        <v>1633.39</v>
      </c>
      <c r="R379" s="8" t="str">
        <f>IFERROR(Q379/Q444, "NA")</f>
        <v>NA</v>
      </c>
      <c r="S379" s="9"/>
      <c r="T379" s="7">
        <v>0</v>
      </c>
      <c r="U379" s="8" t="str">
        <f>IFERROR(T379/T444, "NA")</f>
        <v>NA</v>
      </c>
      <c r="V379" s="9"/>
      <c r="W379" s="10">
        <f t="shared" si="94"/>
        <v>-1633.39</v>
      </c>
      <c r="X379" s="8" t="str">
        <f>IFERROR(W379/W444, "NA")</f>
        <v>NA</v>
      </c>
      <c r="Y379" s="9"/>
      <c r="Z379" s="7">
        <v>232.73</v>
      </c>
      <c r="AA379" s="8" t="str">
        <f>IFERROR(Z379/Z444, "NA")</f>
        <v>NA</v>
      </c>
      <c r="AB379" s="9"/>
      <c r="AC379" s="10">
        <f t="shared" si="95"/>
        <v>-1400.66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11855.67</v>
      </c>
      <c r="C380" s="8" t="str">
        <f>IFERROR(B380/B444, "NA")</f>
        <v>NA</v>
      </c>
      <c r="D380" s="9"/>
      <c r="E380" s="7">
        <v>11800</v>
      </c>
      <c r="F380" s="8" t="str">
        <f>IFERROR(E380/E444, "NA")</f>
        <v>NA</v>
      </c>
      <c r="G380" s="9"/>
      <c r="H380" s="10">
        <f t="shared" si="92"/>
        <v>-55.670000000000073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-355.67000000000007</v>
      </c>
      <c r="O380" s="8" t="str">
        <f>IFERROR(N380/N444, "NA")</f>
        <v>NA</v>
      </c>
      <c r="P380" s="9"/>
      <c r="Q380" s="7">
        <v>23655.67</v>
      </c>
      <c r="R380" s="8" t="str">
        <f>IFERROR(Q380/Q444, "NA")</f>
        <v>NA</v>
      </c>
      <c r="S380" s="9"/>
      <c r="T380" s="7">
        <v>23600</v>
      </c>
      <c r="U380" s="8" t="str">
        <f>IFERROR(T380/T444, "NA")</f>
        <v>NA</v>
      </c>
      <c r="V380" s="9"/>
      <c r="W380" s="10">
        <f t="shared" si="94"/>
        <v>-55.669999999998254</v>
      </c>
      <c r="X380" s="8" t="str">
        <f>IFERROR(W380/W444, "NA")</f>
        <v>NA</v>
      </c>
      <c r="Y380" s="9"/>
      <c r="Z380" s="7">
        <v>23000</v>
      </c>
      <c r="AA380" s="8" t="str">
        <f>IFERROR(Z380/Z444, "NA")</f>
        <v>NA</v>
      </c>
      <c r="AB380" s="9"/>
      <c r="AC380" s="10">
        <f t="shared" si="95"/>
        <v>-655.66999999999825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125</v>
      </c>
      <c r="C381" s="8" t="str">
        <f>IFERROR(B381/B444, "NA")</f>
        <v>NA</v>
      </c>
      <c r="D381" s="9"/>
      <c r="E381" s="7">
        <v>3000</v>
      </c>
      <c r="F381" s="8" t="str">
        <f>IFERROR(E381/E444, "NA")</f>
        <v>NA</v>
      </c>
      <c r="G381" s="9"/>
      <c r="H381" s="10">
        <f t="shared" si="92"/>
        <v>2875</v>
      </c>
      <c r="I381" s="8" t="str">
        <f>IFERROR(H381/H444, "NA")</f>
        <v>NA</v>
      </c>
      <c r="J381" s="9"/>
      <c r="K381" s="7">
        <v>13241.51</v>
      </c>
      <c r="L381" s="8" t="str">
        <f>IFERROR(K381/K444, "NA")</f>
        <v>NA</v>
      </c>
      <c r="M381" s="9"/>
      <c r="N381" s="10">
        <f t="shared" si="93"/>
        <v>13116.51</v>
      </c>
      <c r="O381" s="8" t="str">
        <f>IFERROR(N381/N444, "NA")</f>
        <v>NA</v>
      </c>
      <c r="P381" s="9"/>
      <c r="Q381" s="7">
        <v>3672.5</v>
      </c>
      <c r="R381" s="8" t="str">
        <f>IFERROR(Q381/Q444, "NA")</f>
        <v>NA</v>
      </c>
      <c r="S381" s="9"/>
      <c r="T381" s="7">
        <v>5500</v>
      </c>
      <c r="U381" s="8" t="str">
        <f>IFERROR(T381/T444, "NA")</f>
        <v>NA</v>
      </c>
      <c r="V381" s="9"/>
      <c r="W381" s="10">
        <f t="shared" si="94"/>
        <v>1827.5</v>
      </c>
      <c r="X381" s="8" t="str">
        <f>IFERROR(W381/W444, "NA")</f>
        <v>NA</v>
      </c>
      <c r="Y381" s="9"/>
      <c r="Z381" s="7">
        <v>17241.509999999998</v>
      </c>
      <c r="AA381" s="8" t="str">
        <f>IFERROR(Z381/Z444, "NA")</f>
        <v>NA</v>
      </c>
      <c r="AB381" s="9"/>
      <c r="AC381" s="10">
        <f t="shared" si="95"/>
        <v>13569.009999999998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719.16</v>
      </c>
      <c r="C382" s="8" t="str">
        <f>IFERROR(B382/B444, "NA")</f>
        <v>NA</v>
      </c>
      <c r="D382" s="9"/>
      <c r="E382" s="7">
        <v>506</v>
      </c>
      <c r="F382" s="8" t="str">
        <f>IFERROR(E382/E444, "NA")</f>
        <v>NA</v>
      </c>
      <c r="G382" s="9"/>
      <c r="H382" s="10">
        <f t="shared" si="92"/>
        <v>-213.15999999999997</v>
      </c>
      <c r="I382" s="8" t="str">
        <f>IFERROR(H382/H444, "NA")</f>
        <v>NA</v>
      </c>
      <c r="J382" s="9"/>
      <c r="K382" s="7">
        <v>0</v>
      </c>
      <c r="L382" s="8" t="str">
        <f>IFERROR(K382/K444, "NA")</f>
        <v>NA</v>
      </c>
      <c r="M382" s="9"/>
      <c r="N382" s="10">
        <f t="shared" si="93"/>
        <v>-719.16</v>
      </c>
      <c r="O382" s="8" t="str">
        <f>IFERROR(N382/N444, "NA")</f>
        <v>NA</v>
      </c>
      <c r="P382" s="9"/>
      <c r="Q382" s="7">
        <v>1393.32</v>
      </c>
      <c r="R382" s="8" t="str">
        <f>IFERROR(Q382/Q444, "NA")</f>
        <v>NA</v>
      </c>
      <c r="S382" s="9"/>
      <c r="T382" s="7">
        <v>1012</v>
      </c>
      <c r="U382" s="8" t="str">
        <f>IFERROR(T382/T444, "NA")</f>
        <v>NA</v>
      </c>
      <c r="V382" s="9"/>
      <c r="W382" s="10">
        <f t="shared" si="94"/>
        <v>-381.31999999999994</v>
      </c>
      <c r="X382" s="8" t="str">
        <f>IFERROR(W382/W444, "NA")</f>
        <v>NA</v>
      </c>
      <c r="Y382" s="9"/>
      <c r="Z382" s="7">
        <v>505.62</v>
      </c>
      <c r="AA382" s="8" t="str">
        <f>IFERROR(Z382/Z444, "NA")</f>
        <v>NA</v>
      </c>
      <c r="AB382" s="9"/>
      <c r="AC382" s="10">
        <f t="shared" si="95"/>
        <v>-887.69999999999993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8400.0499999999993</v>
      </c>
      <c r="C385" s="8" t="str">
        <f>IFERROR(B385/B444, "NA")</f>
        <v>NA</v>
      </c>
      <c r="D385" s="9"/>
      <c r="E385" s="7">
        <v>1000</v>
      </c>
      <c r="F385" s="8" t="str">
        <f>IFERROR(E385/E444, "NA")</f>
        <v>NA</v>
      </c>
      <c r="G385" s="9"/>
      <c r="H385" s="10">
        <f>IFERROR(-(B385-E385), "NA")</f>
        <v>-7400.0499999999993</v>
      </c>
      <c r="I385" s="8" t="str">
        <f>IFERROR(H385/H444, "NA")</f>
        <v>NA</v>
      </c>
      <c r="J385" s="9"/>
      <c r="K385" s="7">
        <v>2098.5</v>
      </c>
      <c r="L385" s="8" t="str">
        <f>IFERROR(K385/K444, "NA")</f>
        <v>NA</v>
      </c>
      <c r="M385" s="9"/>
      <c r="N385" s="10">
        <f>IFERROR(-(B385-K385), "NA")</f>
        <v>-6301.5499999999993</v>
      </c>
      <c r="O385" s="8" t="str">
        <f>IFERROR(N385/N444, "NA")</f>
        <v>NA</v>
      </c>
      <c r="P385" s="9"/>
      <c r="Q385" s="7">
        <v>10622.35</v>
      </c>
      <c r="R385" s="8" t="str">
        <f>IFERROR(Q385/Q444, "NA")</f>
        <v>NA</v>
      </c>
      <c r="S385" s="9"/>
      <c r="T385" s="7">
        <v>1750</v>
      </c>
      <c r="U385" s="8" t="str">
        <f>IFERROR(T385/T444, "NA")</f>
        <v>NA</v>
      </c>
      <c r="V385" s="9"/>
      <c r="W385" s="10">
        <f>IFERROR(-(Q385-T385), "NA")</f>
        <v>-8872.35</v>
      </c>
      <c r="X385" s="8" t="str">
        <f>IFERROR(W385/W444, "NA")</f>
        <v>NA</v>
      </c>
      <c r="Y385" s="9"/>
      <c r="Z385" s="7">
        <v>4295.7299999999996</v>
      </c>
      <c r="AA385" s="8" t="str">
        <f>IFERROR(Z385/Z444, "NA")</f>
        <v>NA</v>
      </c>
      <c r="AB385" s="9"/>
      <c r="AC385" s="10">
        <f>IFERROR(-(Q385-Z385), "NA")</f>
        <v>-6326.6200000000008</v>
      </c>
      <c r="AD385" s="8" t="str">
        <f>IFERROR(AC385/AC444, "NA")</f>
        <v>NA</v>
      </c>
    </row>
    <row r="386" spans="1:30" ht="16.5" hidden="1" customHeight="1" x14ac:dyDescent="0.45">
      <c r="A386" s="6" t="s">
        <v>353</v>
      </c>
      <c r="B386" s="7">
        <v>0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0</v>
      </c>
      <c r="I386" s="8" t="str">
        <f>IFERROR(H386/H444, "NA")</f>
        <v>NA</v>
      </c>
      <c r="J386" s="9"/>
      <c r="K386" s="7">
        <v>0</v>
      </c>
      <c r="L386" s="8" t="str">
        <f>IFERROR(K386/K444, "NA")</f>
        <v>NA</v>
      </c>
      <c r="M386" s="9"/>
      <c r="N386" s="10">
        <f>IFERROR(-(B386-K386), "NA")</f>
        <v>0</v>
      </c>
      <c r="O386" s="8" t="str">
        <f>IFERROR(N386/N444, "NA")</f>
        <v>NA</v>
      </c>
      <c r="P386" s="9"/>
      <c r="Q386" s="7">
        <v>0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0</v>
      </c>
      <c r="X386" s="8" t="str">
        <f>IFERROR(W386/W444, "NA")</f>
        <v>NA</v>
      </c>
      <c r="Y386" s="9"/>
      <c r="Z386" s="7">
        <v>0</v>
      </c>
      <c r="AA386" s="8" t="str">
        <f>IFERROR(Z386/Z444, "NA")</f>
        <v>NA</v>
      </c>
      <c r="AB386" s="9"/>
      <c r="AC386" s="10">
        <f>IFERROR(-(Q386-Z386), "NA")</f>
        <v>0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10559.08</v>
      </c>
      <c r="F388" s="8" t="str">
        <f>IFERROR(E388/E444, "NA")</f>
        <v>NA</v>
      </c>
      <c r="G388" s="9"/>
      <c r="H388" s="10">
        <f t="shared" ref="H388:H403" si="96">IFERROR(-(B388-E388), "NA")</f>
        <v>10559.08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19981.95</v>
      </c>
      <c r="U388" s="8" t="str">
        <f>IFERROR(T388/T444, "NA")</f>
        <v>NA</v>
      </c>
      <c r="V388" s="9"/>
      <c r="W388" s="10">
        <f t="shared" ref="W388:W403" si="98">IFERROR(-(Q388-T388), "NA")</f>
        <v>19981.95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7232.35</v>
      </c>
      <c r="C389" s="8" t="str">
        <f>IFERROR(B389/B444, "NA")</f>
        <v>NA</v>
      </c>
      <c r="D389" s="9"/>
      <c r="E389" s="7">
        <v>0</v>
      </c>
      <c r="F389" s="8" t="str">
        <f>IFERROR(E389/E444, "NA")</f>
        <v>NA</v>
      </c>
      <c r="G389" s="9"/>
      <c r="H389" s="10">
        <f t="shared" si="96"/>
        <v>-7232.35</v>
      </c>
      <c r="I389" s="8" t="str">
        <f>IFERROR(H389/H444, "NA")</f>
        <v>NA</v>
      </c>
      <c r="J389" s="9"/>
      <c r="K389" s="7">
        <v>3611.72</v>
      </c>
      <c r="L389" s="8" t="str">
        <f>IFERROR(K389/K444, "NA")</f>
        <v>NA</v>
      </c>
      <c r="M389" s="9"/>
      <c r="N389" s="10">
        <f t="shared" si="97"/>
        <v>-3620.6300000000006</v>
      </c>
      <c r="O389" s="8" t="str">
        <f>IFERROR(N389/N444, "NA")</f>
        <v>NA</v>
      </c>
      <c r="P389" s="9"/>
      <c r="Q389" s="7">
        <v>14132.77</v>
      </c>
      <c r="R389" s="8" t="str">
        <f>IFERROR(Q389/Q444, "NA")</f>
        <v>NA</v>
      </c>
      <c r="S389" s="9"/>
      <c r="T389" s="7">
        <v>0</v>
      </c>
      <c r="U389" s="8" t="str">
        <f>IFERROR(T389/T444, "NA")</f>
        <v>NA</v>
      </c>
      <c r="V389" s="9"/>
      <c r="W389" s="10">
        <f t="shared" si="98"/>
        <v>-14132.77</v>
      </c>
      <c r="X389" s="8" t="str">
        <f>IFERROR(W389/W444, "NA")</f>
        <v>NA</v>
      </c>
      <c r="Y389" s="9"/>
      <c r="Z389" s="7">
        <v>6806.47</v>
      </c>
      <c r="AA389" s="8" t="str">
        <f>IFERROR(Z389/Z444, "NA")</f>
        <v>NA</v>
      </c>
      <c r="AB389" s="9"/>
      <c r="AC389" s="10">
        <f t="shared" si="99"/>
        <v>-7326.3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6789.99</v>
      </c>
      <c r="C390" s="8" t="str">
        <f>IFERROR(B390/B444, "NA")</f>
        <v>NA</v>
      </c>
      <c r="D390" s="9"/>
      <c r="E390" s="7">
        <v>0</v>
      </c>
      <c r="F390" s="8" t="str">
        <f>IFERROR(E390/E444, "NA")</f>
        <v>NA</v>
      </c>
      <c r="G390" s="9"/>
      <c r="H390" s="10">
        <f t="shared" si="96"/>
        <v>-6789.99</v>
      </c>
      <c r="I390" s="8" t="str">
        <f>IFERROR(H390/H444, "NA")</f>
        <v>NA</v>
      </c>
      <c r="J390" s="9"/>
      <c r="K390" s="7">
        <v>10432.280000000001</v>
      </c>
      <c r="L390" s="8" t="str">
        <f>IFERROR(K390/K444, "NA")</f>
        <v>NA</v>
      </c>
      <c r="M390" s="9"/>
      <c r="N390" s="10">
        <f t="shared" si="97"/>
        <v>3642.2900000000009</v>
      </c>
      <c r="O390" s="8" t="str">
        <f>IFERROR(N390/N444, "NA")</f>
        <v>NA</v>
      </c>
      <c r="P390" s="9"/>
      <c r="Q390" s="7">
        <v>9992.35</v>
      </c>
      <c r="R390" s="8" t="str">
        <f>IFERROR(Q390/Q444, "NA")</f>
        <v>NA</v>
      </c>
      <c r="S390" s="9"/>
      <c r="T390" s="7">
        <v>0</v>
      </c>
      <c r="U390" s="8" t="str">
        <f>IFERROR(T390/T444, "NA")</f>
        <v>NA</v>
      </c>
      <c r="V390" s="9"/>
      <c r="W390" s="10">
        <f t="shared" si="98"/>
        <v>-9992.35</v>
      </c>
      <c r="X390" s="8" t="str">
        <f>IFERROR(W390/W444, "NA")</f>
        <v>NA</v>
      </c>
      <c r="Y390" s="9"/>
      <c r="Z390" s="7">
        <v>23238.48</v>
      </c>
      <c r="AA390" s="8" t="str">
        <f>IFERROR(Z390/Z444, "NA")</f>
        <v>NA</v>
      </c>
      <c r="AB390" s="9"/>
      <c r="AC390" s="10">
        <f t="shared" si="99"/>
        <v>13246.13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4186.76</v>
      </c>
      <c r="C392" s="8" t="str">
        <f>IFERROR(B392/B444, "NA")</f>
        <v>NA</v>
      </c>
      <c r="D392" s="9"/>
      <c r="E392" s="7">
        <v>0</v>
      </c>
      <c r="F392" s="8" t="str">
        <f>IFERROR(E392/E444, "NA")</f>
        <v>NA</v>
      </c>
      <c r="G392" s="9"/>
      <c r="H392" s="10">
        <f t="shared" si="96"/>
        <v>-4186.76</v>
      </c>
      <c r="I392" s="8" t="str">
        <f>IFERROR(H392/H444, "NA")</f>
        <v>NA</v>
      </c>
      <c r="J392" s="9"/>
      <c r="K392" s="7">
        <v>4786.21</v>
      </c>
      <c r="L392" s="8" t="str">
        <f>IFERROR(K392/K444, "NA")</f>
        <v>NA</v>
      </c>
      <c r="M392" s="9"/>
      <c r="N392" s="10">
        <f t="shared" si="97"/>
        <v>599.44999999999982</v>
      </c>
      <c r="O392" s="8" t="str">
        <f>IFERROR(N392/N444, "NA")</f>
        <v>NA</v>
      </c>
      <c r="P392" s="9"/>
      <c r="Q392" s="7">
        <v>9024.31</v>
      </c>
      <c r="R392" s="8" t="str">
        <f>IFERROR(Q392/Q444, "NA")</f>
        <v>NA</v>
      </c>
      <c r="S392" s="9"/>
      <c r="T392" s="7">
        <v>0</v>
      </c>
      <c r="U392" s="8" t="str">
        <f>IFERROR(T392/T444, "NA")</f>
        <v>NA</v>
      </c>
      <c r="V392" s="9"/>
      <c r="W392" s="10">
        <f t="shared" si="98"/>
        <v>-9024.31</v>
      </c>
      <c r="X392" s="8" t="str">
        <f>IFERROR(W392/W444, "NA")</f>
        <v>NA</v>
      </c>
      <c r="Y392" s="9"/>
      <c r="Z392" s="7">
        <v>9130.93</v>
      </c>
      <c r="AA392" s="8" t="str">
        <f>IFERROR(Z392/Z444, "NA")</f>
        <v>NA</v>
      </c>
      <c r="AB392" s="9"/>
      <c r="AC392" s="10">
        <f t="shared" si="99"/>
        <v>106.6200000000008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18209.099999999999</v>
      </c>
      <c r="C393" s="15" t="str">
        <f>IFERROR(B393/B444, "NA")</f>
        <v>NA</v>
      </c>
      <c r="D393" s="2"/>
      <c r="E393" s="14">
        <f>IFERROR(E388+E389+E390+E391+E392, "NA")</f>
        <v>10559.08</v>
      </c>
      <c r="F393" s="15" t="str">
        <f>IFERROR(E393/E444, "NA")</f>
        <v>NA</v>
      </c>
      <c r="G393" s="2"/>
      <c r="H393" s="14">
        <f t="shared" si="96"/>
        <v>-7650.0199999999986</v>
      </c>
      <c r="I393" s="15" t="str">
        <f>IFERROR(H393/H444, "NA")</f>
        <v>NA</v>
      </c>
      <c r="J393" s="2"/>
      <c r="K393" s="14">
        <f>IFERROR(K388+K389+K390+K391+K392, "NA")</f>
        <v>18830.21</v>
      </c>
      <c r="L393" s="15" t="str">
        <f>IFERROR(K393/K444, "NA")</f>
        <v>NA</v>
      </c>
      <c r="M393" s="2"/>
      <c r="N393" s="14">
        <f t="shared" si="97"/>
        <v>621.11000000000058</v>
      </c>
      <c r="O393" s="15" t="str">
        <f>IFERROR(N393/N444, "NA")</f>
        <v>NA</v>
      </c>
      <c r="P393" s="2"/>
      <c r="Q393" s="14">
        <f>IFERROR(Q388+Q389+Q390+Q391+Q392, "NA")</f>
        <v>33149.43</v>
      </c>
      <c r="R393" s="15" t="str">
        <f>IFERROR(Q393/Q444, "NA")</f>
        <v>NA</v>
      </c>
      <c r="S393" s="2"/>
      <c r="T393" s="14">
        <f>IFERROR(T388+T389+T390+T391+T392, "NA")</f>
        <v>19981.95</v>
      </c>
      <c r="U393" s="15" t="str">
        <f>IFERROR(T393/T444, "NA")</f>
        <v>NA</v>
      </c>
      <c r="V393" s="2"/>
      <c r="W393" s="14">
        <f t="shared" si="98"/>
        <v>-13167.48</v>
      </c>
      <c r="X393" s="15" t="str">
        <f>IFERROR(W393/W444, "NA")</f>
        <v>NA</v>
      </c>
      <c r="Y393" s="2"/>
      <c r="Z393" s="14">
        <f>IFERROR(Z388+Z389+Z390+Z391+Z392, "NA")</f>
        <v>39175.880000000005</v>
      </c>
      <c r="AA393" s="15" t="str">
        <f>IFERROR(Z393/Z444, "NA")</f>
        <v>NA</v>
      </c>
      <c r="AB393" s="2"/>
      <c r="AC393" s="14">
        <f t="shared" si="99"/>
        <v>6026.4500000000044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0</v>
      </c>
      <c r="C394" s="8" t="str">
        <f>IFERROR(B394/B444, "NA")</f>
        <v>NA</v>
      </c>
      <c r="D394" s="9"/>
      <c r="E394" s="7">
        <v>4022.51</v>
      </c>
      <c r="F394" s="8" t="str">
        <f>IFERROR(E394/E444, "NA")</f>
        <v>NA</v>
      </c>
      <c r="G394" s="9"/>
      <c r="H394" s="10">
        <f t="shared" si="96"/>
        <v>4022.51</v>
      </c>
      <c r="I394" s="8" t="str">
        <f>IFERROR(H394/H444, "NA")</f>
        <v>NA</v>
      </c>
      <c r="J394" s="9"/>
      <c r="K394" s="7">
        <v>2711.79</v>
      </c>
      <c r="L394" s="8" t="str">
        <f>IFERROR(K394/K444, "NA")</f>
        <v>NA</v>
      </c>
      <c r="M394" s="9"/>
      <c r="N394" s="10">
        <f t="shared" si="97"/>
        <v>2711.79</v>
      </c>
      <c r="O394" s="8" t="str">
        <f>IFERROR(N394/N444, "NA")</f>
        <v>NA</v>
      </c>
      <c r="P394" s="9"/>
      <c r="Q394" s="7">
        <v>0</v>
      </c>
      <c r="R394" s="8" t="str">
        <f>IFERROR(Q394/Q444, "NA")</f>
        <v>NA</v>
      </c>
      <c r="S394" s="9"/>
      <c r="T394" s="7">
        <v>4022.51</v>
      </c>
      <c r="U394" s="8" t="str">
        <f>IFERROR(T394/T444, "NA")</f>
        <v>NA</v>
      </c>
      <c r="V394" s="9"/>
      <c r="W394" s="10">
        <f t="shared" si="98"/>
        <v>4022.51</v>
      </c>
      <c r="X394" s="8" t="str">
        <f>IFERROR(W394/W444, "NA")</f>
        <v>NA</v>
      </c>
      <c r="Y394" s="9"/>
      <c r="Z394" s="7">
        <v>6612.06</v>
      </c>
      <c r="AA394" s="8" t="str">
        <f>IFERROR(Z394/Z444, "NA")</f>
        <v>NA</v>
      </c>
      <c r="AB394" s="9"/>
      <c r="AC394" s="10">
        <f t="shared" si="99"/>
        <v>6612.06</v>
      </c>
      <c r="AD394" s="8" t="str">
        <f>IFERROR(AC394/AC444, "NA")</f>
        <v>NA</v>
      </c>
    </row>
    <row r="395" spans="1:30" ht="16.5" customHeight="1" x14ac:dyDescent="0.45">
      <c r="A395" s="6" t="s">
        <v>361</v>
      </c>
      <c r="B395" s="7">
        <v>72.86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-72.86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-72.86</v>
      </c>
      <c r="O395" s="8" t="str">
        <f>IFERROR(N395/N444, "NA")</f>
        <v>NA</v>
      </c>
      <c r="P395" s="9"/>
      <c r="Q395" s="7">
        <v>109.24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-109.24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-109.24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26682.010000000002</v>
      </c>
      <c r="C396" s="15" t="str">
        <f>IFERROR(B396/B444, "NA")</f>
        <v>NA</v>
      </c>
      <c r="D396" s="2"/>
      <c r="E396" s="14">
        <f>IFERROR(E385+E386+E388+E389+E390+E391+E392+E394+E395, "NA")</f>
        <v>15581.59</v>
      </c>
      <c r="F396" s="15" t="str">
        <f>IFERROR(E396/E444, "NA")</f>
        <v>NA</v>
      </c>
      <c r="G396" s="2"/>
      <c r="H396" s="14">
        <f t="shared" si="96"/>
        <v>-11100.420000000002</v>
      </c>
      <c r="I396" s="15" t="str">
        <f>IFERROR(H396/H444, "NA")</f>
        <v>NA</v>
      </c>
      <c r="J396" s="2"/>
      <c r="K396" s="14">
        <f>IFERROR(K385+K386+K388+K389+K390+K391+K392+K394+K395, "NA")</f>
        <v>23640.5</v>
      </c>
      <c r="L396" s="15" t="str">
        <f>IFERROR(K396/K444, "NA")</f>
        <v>NA</v>
      </c>
      <c r="M396" s="2"/>
      <c r="N396" s="14">
        <f t="shared" si="97"/>
        <v>-3041.510000000002</v>
      </c>
      <c r="O396" s="15" t="str">
        <f>IFERROR(N396/N444, "NA")</f>
        <v>NA</v>
      </c>
      <c r="P396" s="2"/>
      <c r="Q396" s="14">
        <f>IFERROR(Q385+Q386+Q388+Q389+Q390+Q391+Q392+Q394+Q395, "NA")</f>
        <v>43881.02</v>
      </c>
      <c r="R396" s="15" t="str">
        <f>IFERROR(Q396/Q444, "NA")</f>
        <v>NA</v>
      </c>
      <c r="S396" s="2"/>
      <c r="T396" s="14">
        <f>IFERROR(T385+T386+T388+T389+T390+T391+T392+T394+T395, "NA")</f>
        <v>25754.46</v>
      </c>
      <c r="U396" s="15" t="str">
        <f>IFERROR(T396/T444, "NA")</f>
        <v>NA</v>
      </c>
      <c r="V396" s="2"/>
      <c r="W396" s="14">
        <f t="shared" si="98"/>
        <v>-18126.559999999998</v>
      </c>
      <c r="X396" s="15" t="str">
        <f>IFERROR(W396/W444, "NA")</f>
        <v>NA</v>
      </c>
      <c r="Y396" s="2"/>
      <c r="Z396" s="14">
        <f>IFERROR(Z385+Z386+Z388+Z389+Z390+Z391+Z392+Z394+Z395, "NA")</f>
        <v>50083.67</v>
      </c>
      <c r="AA396" s="15" t="str">
        <f>IFERROR(Z396/Z444, "NA")</f>
        <v>NA</v>
      </c>
      <c r="AB396" s="2"/>
      <c r="AC396" s="14">
        <f t="shared" si="99"/>
        <v>6202.6500000000015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12449.5</v>
      </c>
      <c r="C397" s="8" t="str">
        <f>IFERROR(B397/B444, "NA")</f>
        <v>NA</v>
      </c>
      <c r="D397" s="9"/>
      <c r="E397" s="7">
        <v>9200</v>
      </c>
      <c r="F397" s="8" t="str">
        <f>IFERROR(E397/E444, "NA")</f>
        <v>NA</v>
      </c>
      <c r="G397" s="9"/>
      <c r="H397" s="10">
        <f t="shared" si="96"/>
        <v>-3249.5</v>
      </c>
      <c r="I397" s="8" t="str">
        <f>IFERROR(H397/H444, "NA")</f>
        <v>NA</v>
      </c>
      <c r="J397" s="9"/>
      <c r="K397" s="7">
        <v>2790.41</v>
      </c>
      <c r="L397" s="8" t="str">
        <f>IFERROR(K397/K444, "NA")</f>
        <v>NA</v>
      </c>
      <c r="M397" s="9"/>
      <c r="N397" s="10">
        <f t="shared" si="97"/>
        <v>-9659.09</v>
      </c>
      <c r="O397" s="8" t="str">
        <f>IFERROR(N397/N444, "NA")</f>
        <v>NA</v>
      </c>
      <c r="P397" s="9"/>
      <c r="Q397" s="7">
        <v>23705.75</v>
      </c>
      <c r="R397" s="8" t="str">
        <f>IFERROR(Q397/Q444, "NA")</f>
        <v>NA</v>
      </c>
      <c r="S397" s="9"/>
      <c r="T397" s="7">
        <v>16400</v>
      </c>
      <c r="U397" s="8" t="str">
        <f>IFERROR(T397/T444, "NA")</f>
        <v>NA</v>
      </c>
      <c r="V397" s="9"/>
      <c r="W397" s="10">
        <f t="shared" si="98"/>
        <v>-7305.75</v>
      </c>
      <c r="X397" s="8" t="str">
        <f>IFERROR(W397/W444, "NA")</f>
        <v>NA</v>
      </c>
      <c r="Y397" s="9"/>
      <c r="Z397" s="7">
        <v>4561.84</v>
      </c>
      <c r="AA397" s="8" t="str">
        <f>IFERROR(Z397/Z444, "NA")</f>
        <v>NA</v>
      </c>
      <c r="AB397" s="9"/>
      <c r="AC397" s="10">
        <f t="shared" si="99"/>
        <v>-19143.91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233.45</v>
      </c>
      <c r="C398" s="8" t="str">
        <f>IFERROR(B398/B444, "NA")</f>
        <v>NA</v>
      </c>
      <c r="D398" s="9"/>
      <c r="E398" s="7">
        <v>0</v>
      </c>
      <c r="F398" s="8" t="str">
        <f>IFERROR(E398/E444, "NA")</f>
        <v>NA</v>
      </c>
      <c r="G398" s="9"/>
      <c r="H398" s="10">
        <f t="shared" si="96"/>
        <v>-233.45</v>
      </c>
      <c r="I398" s="8" t="str">
        <f>IFERROR(H398/H444, "NA")</f>
        <v>NA</v>
      </c>
      <c r="J398" s="9"/>
      <c r="K398" s="7">
        <v>179.87</v>
      </c>
      <c r="L398" s="8" t="str">
        <f>IFERROR(K398/K444, "NA")</f>
        <v>NA</v>
      </c>
      <c r="M398" s="9"/>
      <c r="N398" s="10">
        <f t="shared" si="97"/>
        <v>-53.579999999999984</v>
      </c>
      <c r="O398" s="8" t="str">
        <f>IFERROR(N398/N444, "NA")</f>
        <v>NA</v>
      </c>
      <c r="P398" s="9"/>
      <c r="Q398" s="7">
        <v>624.1</v>
      </c>
      <c r="R398" s="8" t="str">
        <f>IFERROR(Q398/Q444, "NA")</f>
        <v>NA</v>
      </c>
      <c r="S398" s="9"/>
      <c r="T398" s="7">
        <v>0</v>
      </c>
      <c r="U398" s="8" t="str">
        <f>IFERROR(T398/T444, "NA")</f>
        <v>NA</v>
      </c>
      <c r="V398" s="9"/>
      <c r="W398" s="10">
        <f t="shared" si="98"/>
        <v>-624.1</v>
      </c>
      <c r="X398" s="8" t="str">
        <f>IFERROR(W398/W444, "NA")</f>
        <v>NA</v>
      </c>
      <c r="Y398" s="9"/>
      <c r="Z398" s="7">
        <v>300.02999999999997</v>
      </c>
      <c r="AA398" s="8" t="str">
        <f>IFERROR(Z398/Z444, "NA")</f>
        <v>NA</v>
      </c>
      <c r="AB398" s="9"/>
      <c r="AC398" s="10">
        <f t="shared" si="99"/>
        <v>-324.07000000000005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0</v>
      </c>
      <c r="C399" s="8" t="str">
        <f>IFERROR(B399/B444, "NA")</f>
        <v>NA</v>
      </c>
      <c r="D399" s="9"/>
      <c r="E399" s="7">
        <v>0</v>
      </c>
      <c r="F399" s="8" t="str">
        <f>IFERROR(E399/E444, "NA")</f>
        <v>NA</v>
      </c>
      <c r="G399" s="9"/>
      <c r="H399" s="10">
        <f t="shared" si="96"/>
        <v>0</v>
      </c>
      <c r="I399" s="8" t="str">
        <f>IFERROR(H399/H444, "NA")</f>
        <v>NA</v>
      </c>
      <c r="J399" s="9"/>
      <c r="K399" s="7">
        <v>0</v>
      </c>
      <c r="L399" s="8" t="str">
        <f>IFERROR(K399/K444, "NA")</f>
        <v>NA</v>
      </c>
      <c r="M399" s="9"/>
      <c r="N399" s="10">
        <f t="shared" si="97"/>
        <v>0</v>
      </c>
      <c r="O399" s="8" t="str">
        <f>IFERROR(N399/N444, "NA")</f>
        <v>NA</v>
      </c>
      <c r="P399" s="9"/>
      <c r="Q399" s="7">
        <v>815.84</v>
      </c>
      <c r="R399" s="8" t="str">
        <f>IFERROR(Q399/Q444, "NA")</f>
        <v>NA</v>
      </c>
      <c r="S399" s="9"/>
      <c r="T399" s="7">
        <v>0</v>
      </c>
      <c r="U399" s="8" t="str">
        <f>IFERROR(T399/T444, "NA")</f>
        <v>NA</v>
      </c>
      <c r="V399" s="9"/>
      <c r="W399" s="10">
        <f t="shared" si="98"/>
        <v>-815.84</v>
      </c>
      <c r="X399" s="8" t="str">
        <f>IFERROR(W399/W444, "NA")</f>
        <v>NA</v>
      </c>
      <c r="Y399" s="9"/>
      <c r="Z399" s="7">
        <v>0</v>
      </c>
      <c r="AA399" s="8" t="str">
        <f>IFERROR(Z399/Z444, "NA")</f>
        <v>NA</v>
      </c>
      <c r="AB399" s="9"/>
      <c r="AC399" s="10">
        <f t="shared" si="99"/>
        <v>-815.84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hidden="1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0</v>
      </c>
      <c r="L401" s="8" t="str">
        <f>IFERROR(K401/K444, "NA")</f>
        <v>NA</v>
      </c>
      <c r="M401" s="9"/>
      <c r="N401" s="10">
        <f t="shared" si="97"/>
        <v>0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0</v>
      </c>
      <c r="AA401" s="8" t="str">
        <f>IFERROR(Z401/Z444, "NA")</f>
        <v>NA</v>
      </c>
      <c r="AB401" s="9"/>
      <c r="AC401" s="10">
        <f t="shared" si="99"/>
        <v>0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111606.56000000001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100844.59</v>
      </c>
      <c r="F403" s="15" t="str">
        <f>IFERROR(E403/E444, "NA")</f>
        <v>NA</v>
      </c>
      <c r="G403" s="2"/>
      <c r="H403" s="14">
        <f t="shared" si="96"/>
        <v>-10761.970000000016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152516.34999999998</v>
      </c>
      <c r="L403" s="15" t="str">
        <f>IFERROR(K403/K444, "NA")</f>
        <v>NA</v>
      </c>
      <c r="M403" s="2"/>
      <c r="N403" s="14">
        <f t="shared" si="97"/>
        <v>40909.789999999964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217306.59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195655.46000000002</v>
      </c>
      <c r="U403" s="15" t="str">
        <f>IFERROR(T403/T444, "NA")</f>
        <v>NA</v>
      </c>
      <c r="V403" s="2"/>
      <c r="W403" s="14">
        <f t="shared" si="98"/>
        <v>-21651.129999999976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287743.20000000007</v>
      </c>
      <c r="AA403" s="15" t="str">
        <f>IFERROR(Z403/Z444, "NA")</f>
        <v>NA</v>
      </c>
      <c r="AB403" s="2"/>
      <c r="AC403" s="14">
        <f t="shared" si="99"/>
        <v>70436.610000000073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-111606.56000000001</v>
      </c>
      <c r="C404" s="24" t="str">
        <f>IFERROR(B404/B444, "NA")</f>
        <v>NA</v>
      </c>
      <c r="D404" s="25"/>
      <c r="E404" s="23">
        <f>IFERROR(E345-E403, "NA")</f>
        <v>-100844.59</v>
      </c>
      <c r="F404" s="24" t="str">
        <f>IFERROR(E404/E444, "NA")</f>
        <v>NA</v>
      </c>
      <c r="G404" s="25"/>
      <c r="H404" s="23">
        <f>IFERROR(B404-E404, "NA")</f>
        <v>-10761.970000000016</v>
      </c>
      <c r="I404" s="24" t="str">
        <f>IFERROR(H404/H444, "NA")</f>
        <v>NA</v>
      </c>
      <c r="J404" s="25"/>
      <c r="K404" s="23">
        <f>IFERROR(K345-K403, "NA")</f>
        <v>-152516.34999999998</v>
      </c>
      <c r="L404" s="24" t="str">
        <f>IFERROR(K404/K444, "NA")</f>
        <v>NA</v>
      </c>
      <c r="M404" s="25"/>
      <c r="N404" s="23">
        <f>IFERROR(B404-K404, "NA")</f>
        <v>40909.789999999964</v>
      </c>
      <c r="O404" s="24" t="str">
        <f>IFERROR(N404/N444, "NA")</f>
        <v>NA</v>
      </c>
      <c r="P404" s="25"/>
      <c r="Q404" s="23">
        <f>IFERROR(Q345-Q403, "NA")</f>
        <v>-217306.59</v>
      </c>
      <c r="R404" s="24" t="str">
        <f>IFERROR(Q404/Q444, "NA")</f>
        <v>NA</v>
      </c>
      <c r="S404" s="25"/>
      <c r="T404" s="23">
        <f>IFERROR(T345-T403, "NA")</f>
        <v>-195655.46000000002</v>
      </c>
      <c r="U404" s="24" t="str">
        <f>IFERROR(T404/T444, "NA")</f>
        <v>NA</v>
      </c>
      <c r="V404" s="25"/>
      <c r="W404" s="23">
        <f>IFERROR(Q404-T404, "NA")</f>
        <v>-21651.129999999976</v>
      </c>
      <c r="X404" s="24" t="str">
        <f>IFERROR(W404/W444, "NA")</f>
        <v>NA</v>
      </c>
      <c r="Y404" s="25"/>
      <c r="Z404" s="23">
        <f>IFERROR(Z345-Z403, "NA")</f>
        <v>-287743.20000000007</v>
      </c>
      <c r="AA404" s="24" t="str">
        <f>IFERROR(Z404/Z444, "NA")</f>
        <v>NA</v>
      </c>
      <c r="AB404" s="25"/>
      <c r="AC404" s="23">
        <f>IFERROR(Q404-Z404, "NA")</f>
        <v>70436.610000000073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-13500</v>
      </c>
      <c r="F407" s="8" t="str">
        <f>IFERROR(E407/E444, "NA")</f>
        <v>NA</v>
      </c>
      <c r="G407" s="9"/>
      <c r="H407" s="10">
        <f t="shared" ref="H407:H429" si="100">IFERROR(-(B407-E407), "NA")</f>
        <v>-13500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-27000</v>
      </c>
      <c r="U407" s="8" t="str">
        <f>IFERROR(T407/T444, "NA")</f>
        <v>NA</v>
      </c>
      <c r="V407" s="9"/>
      <c r="W407" s="10">
        <f t="shared" ref="W407:W429" si="102">IFERROR(-(Q407-T407), "NA")</f>
        <v>-27000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59.7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-59.7</v>
      </c>
      <c r="I410" s="8" t="str">
        <f>IFERROR(H410/H444, "NA")</f>
        <v>NA</v>
      </c>
      <c r="J410" s="9"/>
      <c r="K410" s="7">
        <v>59.7</v>
      </c>
      <c r="L410" s="8" t="str">
        <f>IFERROR(K410/K444, "NA")</f>
        <v>NA</v>
      </c>
      <c r="M410" s="9"/>
      <c r="N410" s="10">
        <f t="shared" si="101"/>
        <v>0</v>
      </c>
      <c r="O410" s="8" t="str">
        <f>IFERROR(N410/N444, "NA")</f>
        <v>NA</v>
      </c>
      <c r="P410" s="9"/>
      <c r="Q410" s="7">
        <v>119.4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-119.4</v>
      </c>
      <c r="X410" s="8" t="str">
        <f>IFERROR(W410/W444, "NA")</f>
        <v>NA</v>
      </c>
      <c r="Y410" s="9"/>
      <c r="Z410" s="7">
        <v>244.59</v>
      </c>
      <c r="AA410" s="8" t="str">
        <f>IFERROR(Z410/Z444, "NA")</f>
        <v>NA</v>
      </c>
      <c r="AB410" s="9"/>
      <c r="AC410" s="10">
        <f t="shared" si="103"/>
        <v>125.19</v>
      </c>
      <c r="AD410" s="8" t="str">
        <f>IFERROR(AC410/AC444, "NA")</f>
        <v>NA</v>
      </c>
    </row>
    <row r="411" spans="1:30" ht="16.5" customHeight="1" x14ac:dyDescent="0.45">
      <c r="A411" s="6" t="s">
        <v>376</v>
      </c>
      <c r="B411" s="7">
        <v>268.37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-268.37</v>
      </c>
      <c r="I411" s="8" t="str">
        <f>IFERROR(H411/H444, "NA")</f>
        <v>NA</v>
      </c>
      <c r="J411" s="9"/>
      <c r="K411" s="7">
        <v>268.37</v>
      </c>
      <c r="L411" s="8" t="str">
        <f>IFERROR(K411/K444, "NA")</f>
        <v>NA</v>
      </c>
      <c r="M411" s="9"/>
      <c r="N411" s="10">
        <f t="shared" si="101"/>
        <v>0</v>
      </c>
      <c r="O411" s="8" t="str">
        <f>IFERROR(N411/N444, "NA")</f>
        <v>NA</v>
      </c>
      <c r="P411" s="9"/>
      <c r="Q411" s="7">
        <v>536.74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-536.74</v>
      </c>
      <c r="X411" s="8" t="str">
        <f>IFERROR(W411/W444, "NA")</f>
        <v>NA</v>
      </c>
      <c r="Y411" s="9"/>
      <c r="Z411" s="7">
        <v>268.37</v>
      </c>
      <c r="AA411" s="8" t="str">
        <f>IFERROR(Z411/Z444, "NA")</f>
        <v>NA</v>
      </c>
      <c r="AB411" s="9"/>
      <c r="AC411" s="10">
        <f t="shared" si="103"/>
        <v>-268.37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customHeight="1" x14ac:dyDescent="0.45">
      <c r="A418" s="6" t="s">
        <v>383</v>
      </c>
      <c r="B418" s="7">
        <v>0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0</v>
      </c>
      <c r="I418" s="8" t="str">
        <f>IFERROR(H418/H444, "NA")</f>
        <v>NA</v>
      </c>
      <c r="J418" s="9"/>
      <c r="K418" s="7">
        <v>-1725.69</v>
      </c>
      <c r="L418" s="8" t="str">
        <f>IFERROR(K418/K444, "NA")</f>
        <v>NA</v>
      </c>
      <c r="M418" s="9"/>
      <c r="N418" s="10">
        <f t="shared" si="101"/>
        <v>-1725.69</v>
      </c>
      <c r="O418" s="8" t="str">
        <f>IFERROR(N418/N444, "NA")</f>
        <v>NA</v>
      </c>
      <c r="P418" s="9"/>
      <c r="Q418" s="7">
        <v>0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0</v>
      </c>
      <c r="X418" s="8" t="str">
        <f>IFERROR(W418/W444, "NA")</f>
        <v>NA</v>
      </c>
      <c r="Y418" s="9"/>
      <c r="Z418" s="7">
        <v>-1725.69</v>
      </c>
      <c r="AA418" s="8" t="str">
        <f>IFERROR(Z418/Z444, "NA")</f>
        <v>NA</v>
      </c>
      <c r="AB418" s="9"/>
      <c r="AC418" s="10">
        <f t="shared" si="103"/>
        <v>-1725.69</v>
      </c>
      <c r="AD418" s="8" t="str">
        <f>IFERROR(AC418/AC444, "NA")</f>
        <v>NA</v>
      </c>
    </row>
    <row r="419" spans="1:30" ht="16.5" hidden="1" customHeight="1" x14ac:dyDescent="0.45">
      <c r="A419" s="6" t="s">
        <v>384</v>
      </c>
      <c r="B419" s="7">
        <v>0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0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0</v>
      </c>
      <c r="O419" s="8" t="str">
        <f>IFERROR(N419/N444, "NA")</f>
        <v>NA</v>
      </c>
      <c r="P419" s="9"/>
      <c r="Q419" s="7">
        <v>0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0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0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customHeight="1" x14ac:dyDescent="0.45">
      <c r="A422" s="6" t="s">
        <v>387</v>
      </c>
      <c r="B422" s="7">
        <v>-506.82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506.82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506.82</v>
      </c>
      <c r="O422" s="8" t="str">
        <f>IFERROR(N422/N444, "NA")</f>
        <v>NA</v>
      </c>
      <c r="P422" s="9"/>
      <c r="Q422" s="7">
        <v>-1012.04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1012.04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1012.04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-14712.35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14712.35</v>
      </c>
      <c r="I423" s="8" t="str">
        <f>IFERROR(H423/H444, "NA")</f>
        <v>NA</v>
      </c>
      <c r="J423" s="9"/>
      <c r="K423" s="7">
        <v>0</v>
      </c>
      <c r="L423" s="8" t="str">
        <f>IFERROR(K423/K444, "NA")</f>
        <v>NA</v>
      </c>
      <c r="M423" s="9"/>
      <c r="N423" s="10">
        <f t="shared" si="101"/>
        <v>14712.35</v>
      </c>
      <c r="O423" s="8" t="str">
        <f>IFERROR(N423/N444, "NA")</f>
        <v>NA</v>
      </c>
      <c r="P423" s="9"/>
      <c r="Q423" s="7">
        <v>-30813.360000000001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30813.360000000001</v>
      </c>
      <c r="X423" s="8" t="str">
        <f>IFERROR(W423/W444, "NA")</f>
        <v>NA</v>
      </c>
      <c r="Y423" s="9"/>
      <c r="Z423" s="7">
        <v>-0.99</v>
      </c>
      <c r="AA423" s="8" t="str">
        <f>IFERROR(Z423/Z444, "NA")</f>
        <v>NA</v>
      </c>
      <c r="AB423" s="9"/>
      <c r="AC423" s="10">
        <f t="shared" si="103"/>
        <v>30812.37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-1621.56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1621.56</v>
      </c>
      <c r="I426" s="8" t="str">
        <f>IFERROR(H426/H444, "NA")</f>
        <v>NA</v>
      </c>
      <c r="J426" s="9"/>
      <c r="K426" s="7">
        <v>-220.36</v>
      </c>
      <c r="L426" s="8" t="str">
        <f>IFERROR(K426/K444, "NA")</f>
        <v>NA</v>
      </c>
      <c r="M426" s="9"/>
      <c r="N426" s="10">
        <f t="shared" si="101"/>
        <v>1401.1999999999998</v>
      </c>
      <c r="O426" s="8" t="str">
        <f>IFERROR(N426/N444, "NA")</f>
        <v>NA</v>
      </c>
      <c r="P426" s="9"/>
      <c r="Q426" s="7">
        <v>-3938.51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3938.51</v>
      </c>
      <c r="X426" s="8" t="str">
        <f>IFERROR(W426/W444, "NA")</f>
        <v>NA</v>
      </c>
      <c r="Y426" s="9"/>
      <c r="Z426" s="7">
        <v>-452.81</v>
      </c>
      <c r="AA426" s="8" t="str">
        <f>IFERROR(Z426/Z444, "NA")</f>
        <v>NA</v>
      </c>
      <c r="AB426" s="9"/>
      <c r="AC426" s="10">
        <f t="shared" si="103"/>
        <v>3485.7000000000003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-16512.66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-13500</v>
      </c>
      <c r="F428" s="15" t="str">
        <f>IFERROR(E428/E444, "NA")</f>
        <v>NA</v>
      </c>
      <c r="G428" s="2"/>
      <c r="H428" s="14">
        <f t="shared" si="100"/>
        <v>3012.66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-1617.98</v>
      </c>
      <c r="L428" s="15" t="str">
        <f>IFERROR(K428/K444, "NA")</f>
        <v>NA</v>
      </c>
      <c r="M428" s="2"/>
      <c r="N428" s="14">
        <f t="shared" si="101"/>
        <v>14894.68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-35107.770000000004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-27000</v>
      </c>
      <c r="U428" s="15" t="str">
        <f>IFERROR(T428/T444, "NA")</f>
        <v>NA</v>
      </c>
      <c r="V428" s="2"/>
      <c r="W428" s="14">
        <f t="shared" si="102"/>
        <v>8107.7700000000041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-1666.53</v>
      </c>
      <c r="AA428" s="15" t="str">
        <f>IFERROR(Z428/Z444, "NA")</f>
        <v>NA</v>
      </c>
      <c r="AB428" s="2"/>
      <c r="AC428" s="14">
        <f t="shared" si="103"/>
        <v>33441.240000000005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-16512.66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-13500</v>
      </c>
      <c r="F429" s="15" t="str">
        <f>IFERROR(E429/E444, "NA")</f>
        <v>NA</v>
      </c>
      <c r="G429" s="2"/>
      <c r="H429" s="14">
        <f t="shared" si="100"/>
        <v>3012.66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-1617.98</v>
      </c>
      <c r="L429" s="15" t="str">
        <f>IFERROR(K429/K444, "NA")</f>
        <v>NA</v>
      </c>
      <c r="M429" s="2"/>
      <c r="N429" s="14">
        <f t="shared" si="101"/>
        <v>14894.68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-35107.770000000004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-27000</v>
      </c>
      <c r="U429" s="15" t="str">
        <f>IFERROR(T429/T444, "NA")</f>
        <v>NA</v>
      </c>
      <c r="V429" s="2"/>
      <c r="W429" s="14">
        <f t="shared" si="102"/>
        <v>8107.7700000000041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-1666.53</v>
      </c>
      <c r="AA429" s="15" t="str">
        <f>IFERROR(Z429/Z444, "NA")</f>
        <v>NA</v>
      </c>
      <c r="AB429" s="2"/>
      <c r="AC429" s="14">
        <f t="shared" si="103"/>
        <v>33441.240000000005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-95093.900000000009</v>
      </c>
      <c r="C443" s="24" t="str">
        <f>IFERROR(B443/B444, "NA")</f>
        <v>NA</v>
      </c>
      <c r="D443" s="25"/>
      <c r="E443" s="23">
        <f>IFERROR(E404-E429-E442, "NA")</f>
        <v>-87344.59</v>
      </c>
      <c r="F443" s="24" t="str">
        <f>IFERROR(E443/E444, "NA")</f>
        <v>NA</v>
      </c>
      <c r="G443" s="25"/>
      <c r="H443" s="23">
        <f>IFERROR(B443-E443, "NA")</f>
        <v>-7749.3100000000122</v>
      </c>
      <c r="I443" s="24" t="str">
        <f>IFERROR(H443/H444, "NA")</f>
        <v>NA</v>
      </c>
      <c r="J443" s="25"/>
      <c r="K443" s="23">
        <f>IFERROR(K404-K429-K442, "NA")</f>
        <v>-150898.36999999997</v>
      </c>
      <c r="L443" s="24" t="str">
        <f>IFERROR(K443/K444, "NA")</f>
        <v>NA</v>
      </c>
      <c r="M443" s="25"/>
      <c r="N443" s="23">
        <f>IFERROR(B443-K443, "NA")</f>
        <v>55804.469999999958</v>
      </c>
      <c r="O443" s="24" t="str">
        <f>IFERROR(N443/N444, "NA")</f>
        <v>NA</v>
      </c>
      <c r="P443" s="25"/>
      <c r="Q443" s="23">
        <f>IFERROR(Q404-Q429-Q442, "NA")</f>
        <v>-182198.82</v>
      </c>
      <c r="R443" s="24" t="str">
        <f>IFERROR(Q443/Q444, "NA")</f>
        <v>NA</v>
      </c>
      <c r="S443" s="25"/>
      <c r="T443" s="23">
        <f>IFERROR(T404-T429-T442, "NA")</f>
        <v>-168655.46000000002</v>
      </c>
      <c r="U443" s="24" t="str">
        <f>IFERROR(T443/T444, "NA")</f>
        <v>NA</v>
      </c>
      <c r="V443" s="25"/>
      <c r="W443" s="23">
        <f>IFERROR(Q443-T443, "NA")</f>
        <v>-13543.359999999986</v>
      </c>
      <c r="X443" s="24" t="str">
        <f>IFERROR(W443/W444, "NA")</f>
        <v>NA</v>
      </c>
      <c r="Y443" s="25"/>
      <c r="Z443" s="23">
        <f>IFERROR(Z404-Z429-Z442, "NA")</f>
        <v>-286076.67000000004</v>
      </c>
      <c r="AA443" s="24" t="str">
        <f>IFERROR(Z443/Z444, "NA")</f>
        <v>NA</v>
      </c>
      <c r="AB443" s="25"/>
      <c r="AC443" s="23">
        <f>IFERROR(Q443-Z443, "NA")</f>
        <v>103877.85000000003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37097.760000000002</v>
      </c>
      <c r="F10" s="8">
        <f>IFERROR(E10/E444, "NA")</f>
        <v>0.45900003711814708</v>
      </c>
      <c r="G10" s="9"/>
      <c r="H10" s="10">
        <f t="shared" ref="H10:H19" si="0">IFERROR(B10-E10, "NA")</f>
        <v>-37097.760000000002</v>
      </c>
      <c r="I10" s="8">
        <f>IFERROR(H10/H444, "NA")</f>
        <v>5.1704555432442065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67197.350000000006</v>
      </c>
      <c r="U10" s="8">
        <f>IFERROR(T10/T444, "NA")</f>
        <v>0.45899998538245979</v>
      </c>
      <c r="V10" s="9"/>
      <c r="W10" s="10">
        <f t="shared" ref="W10:W19" si="2">IFERROR(Q10-T10, "NA")</f>
        <v>-67197.350000000006</v>
      </c>
      <c r="X10" s="8">
        <f>IFERROR(W10/W444, "NA")</f>
        <v>13.812944390428411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23119.4</v>
      </c>
      <c r="C11" s="8">
        <f>IFERROR(B11/B444, "NA")</f>
        <v>0.31391734064920934</v>
      </c>
      <c r="D11" s="9"/>
      <c r="E11" s="7">
        <v>0</v>
      </c>
      <c r="F11" s="8">
        <f>IFERROR(E11/E444, "NA")</f>
        <v>0</v>
      </c>
      <c r="G11" s="9"/>
      <c r="H11" s="10">
        <f t="shared" si="0"/>
        <v>23119.4</v>
      </c>
      <c r="I11" s="8">
        <f>IFERROR(H11/H444, "NA")</f>
        <v>-3.2222384824981374</v>
      </c>
      <c r="J11" s="9"/>
      <c r="K11" s="7">
        <v>28359.69</v>
      </c>
      <c r="L11" s="8">
        <f>IFERROR(K11/K444, "NA")</f>
        <v>0.36720252580092066</v>
      </c>
      <c r="M11" s="9"/>
      <c r="N11" s="10">
        <f t="shared" si="1"/>
        <v>-5240.2899999999972</v>
      </c>
      <c r="O11" s="8">
        <f>IFERROR(N11/N444, "NA")</f>
        <v>1.4622609656527195</v>
      </c>
      <c r="P11" s="9"/>
      <c r="Q11" s="7">
        <v>50562.11</v>
      </c>
      <c r="R11" s="8">
        <f>IFERROR(Q11/Q444, "NA")</f>
        <v>0.3572419192049438</v>
      </c>
      <c r="S11" s="9"/>
      <c r="T11" s="7">
        <v>0</v>
      </c>
      <c r="U11" s="8">
        <f>IFERROR(T11/T444, "NA")</f>
        <v>0</v>
      </c>
      <c r="V11" s="9"/>
      <c r="W11" s="10">
        <f t="shared" si="2"/>
        <v>50562.11</v>
      </c>
      <c r="X11" s="8">
        <f>IFERROR(W11/W444, "NA")</f>
        <v>-10.39343982601582</v>
      </c>
      <c r="Y11" s="9"/>
      <c r="Z11" s="7">
        <v>53661.68</v>
      </c>
      <c r="AA11" s="8">
        <f>IFERROR(Z11/Z444, "NA")</f>
        <v>0.38043599322269467</v>
      </c>
      <c r="AB11" s="9"/>
      <c r="AC11" s="10">
        <f t="shared" si="3"/>
        <v>-3099.5699999999997</v>
      </c>
      <c r="AD11" s="8">
        <f>IFERROR(AC11/AC444, "NA")</f>
        <v>-6.4367861444531034</v>
      </c>
    </row>
    <row r="12" spans="1:30" ht="16.5" customHeight="1" x14ac:dyDescent="0.45">
      <c r="A12" s="12" t="s">
        <v>14</v>
      </c>
      <c r="B12" s="7">
        <v>2112.1</v>
      </c>
      <c r="C12" s="8">
        <f>IFERROR(B12/B444, "NA")</f>
        <v>2.8678288155626657E-2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2112.1</v>
      </c>
      <c r="I12" s="8">
        <f>IFERROR(H12/H444, "NA")</f>
        <v>-0.29437138934766105</v>
      </c>
      <c r="J12" s="9"/>
      <c r="K12" s="7">
        <v>2566.4499999999998</v>
      </c>
      <c r="L12" s="8">
        <f>IFERROR(K12/K444, "NA")</f>
        <v>3.3230508596595126E-2</v>
      </c>
      <c r="M12" s="9"/>
      <c r="N12" s="10">
        <f t="shared" si="1"/>
        <v>-454.34999999999991</v>
      </c>
      <c r="O12" s="8">
        <f>IFERROR(N12/N444, "NA")</f>
        <v>0.12678272953296732</v>
      </c>
      <c r="P12" s="9"/>
      <c r="Q12" s="7">
        <v>4799.8999999999996</v>
      </c>
      <c r="R12" s="8">
        <f>IFERROR(Q12/Q444, "NA")</f>
        <v>3.3913250218232778E-2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4799.8999999999996</v>
      </c>
      <c r="X12" s="8">
        <f>IFERROR(W12/W444, "NA")</f>
        <v>-0.98665723841218911</v>
      </c>
      <c r="Y12" s="9"/>
      <c r="Z12" s="7">
        <v>4887.2</v>
      </c>
      <c r="AA12" s="8">
        <f>IFERROR(Z12/Z444, "NA")</f>
        <v>3.4647942182912526E-2</v>
      </c>
      <c r="AB12" s="9"/>
      <c r="AC12" s="10">
        <f t="shared" si="3"/>
        <v>-87.300000000000182</v>
      </c>
      <c r="AD12" s="8">
        <f>IFERROR(AC12/AC444, "NA")</f>
        <v>-0.18129335050047493</v>
      </c>
    </row>
    <row r="13" spans="1:30" ht="16.5" customHeight="1" x14ac:dyDescent="0.45">
      <c r="A13" s="12" t="s">
        <v>15</v>
      </c>
      <c r="B13" s="7">
        <v>101.5</v>
      </c>
      <c r="C13" s="8">
        <f>IFERROR(B13/B444, "NA")</f>
        <v>1.3781763400388741E-3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101.5</v>
      </c>
      <c r="I13" s="8">
        <f>IFERROR(H13/H444, "NA")</f>
        <v>-1.4146440044878368E-2</v>
      </c>
      <c r="J13" s="9"/>
      <c r="K13" s="7">
        <v>137.5</v>
      </c>
      <c r="L13" s="8">
        <f>IFERROR(K13/K444, "NA")</f>
        <v>1.7803561074760195E-3</v>
      </c>
      <c r="M13" s="9"/>
      <c r="N13" s="10">
        <f t="shared" si="1"/>
        <v>-36</v>
      </c>
      <c r="O13" s="8">
        <f>IFERROR(N13/N444, "NA")</f>
        <v>1.004551174906311E-2</v>
      </c>
      <c r="P13" s="9"/>
      <c r="Q13" s="7">
        <v>244.5</v>
      </c>
      <c r="R13" s="8">
        <f>IFERROR(Q13/Q444, "NA")</f>
        <v>1.7274921724114909E-3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244.5</v>
      </c>
      <c r="X13" s="8">
        <f>IFERROR(W13/W444, "NA")</f>
        <v>-5.0258900142040513E-2</v>
      </c>
      <c r="Y13" s="9"/>
      <c r="Z13" s="7">
        <v>218</v>
      </c>
      <c r="AA13" s="8">
        <f>IFERROR(Z13/Z444, "NA")</f>
        <v>1.5455171459884864E-3</v>
      </c>
      <c r="AB13" s="9"/>
      <c r="AC13" s="10">
        <f t="shared" si="3"/>
        <v>26.5</v>
      </c>
      <c r="AD13" s="8">
        <f>IFERROR(AC13/AC444, "NA")</f>
        <v>5.5031773061426988E-2</v>
      </c>
    </row>
    <row r="14" spans="1:30" ht="16.5" customHeight="1" x14ac:dyDescent="0.45">
      <c r="A14" s="12" t="s">
        <v>16</v>
      </c>
      <c r="B14" s="7">
        <v>10</v>
      </c>
      <c r="C14" s="8">
        <f>IFERROR(B14/B444, "NA")</f>
        <v>1.357809202008743E-4</v>
      </c>
      <c r="D14" s="9"/>
      <c r="E14" s="7">
        <v>0</v>
      </c>
      <c r="F14" s="8">
        <f>IFERROR(E14/E444, "NA")</f>
        <v>0</v>
      </c>
      <c r="G14" s="9"/>
      <c r="H14" s="10">
        <f t="shared" si="0"/>
        <v>10</v>
      </c>
      <c r="I14" s="8">
        <f>IFERROR(H14/H444, "NA")</f>
        <v>-1.3937379354559969E-3</v>
      </c>
      <c r="J14" s="9"/>
      <c r="K14" s="7">
        <v>260</v>
      </c>
      <c r="L14" s="8">
        <f>IFERROR(K14/K444, "NA")</f>
        <v>3.3664915486819277E-3</v>
      </c>
      <c r="M14" s="9"/>
      <c r="N14" s="10">
        <f t="shared" si="1"/>
        <v>-250</v>
      </c>
      <c r="O14" s="8">
        <f>IFERROR(N14/N444, "NA")</f>
        <v>6.9760498257382703E-2</v>
      </c>
      <c r="P14" s="9"/>
      <c r="Q14" s="7">
        <v>35</v>
      </c>
      <c r="R14" s="8">
        <f>IFERROR(Q14/Q444, "NA")</f>
        <v>2.4728926803436476E-4</v>
      </c>
      <c r="S14" s="9"/>
      <c r="T14" s="7">
        <v>0</v>
      </c>
      <c r="U14" s="8">
        <f>IFERROR(T14/T444, "NA")</f>
        <v>0</v>
      </c>
      <c r="V14" s="9"/>
      <c r="W14" s="10">
        <f t="shared" si="2"/>
        <v>35</v>
      </c>
      <c r="X14" s="8">
        <f>IFERROR(W14/W444, "NA")</f>
        <v>-7.1945255827051864E-3</v>
      </c>
      <c r="Y14" s="9"/>
      <c r="Z14" s="7">
        <v>375</v>
      </c>
      <c r="AA14" s="8">
        <f>IFERROR(Z14/Z444, "NA")</f>
        <v>2.6585730722279008E-3</v>
      </c>
      <c r="AB14" s="9"/>
      <c r="AC14" s="10">
        <f t="shared" si="3"/>
        <v>-340</v>
      </c>
      <c r="AD14" s="8">
        <f>IFERROR(AC14/AC444, "NA")</f>
        <v>-0.70606803173151611</v>
      </c>
    </row>
    <row r="15" spans="1:30" ht="16.5" customHeight="1" x14ac:dyDescent="0.45">
      <c r="A15" s="12" t="s">
        <v>17</v>
      </c>
      <c r="B15" s="7">
        <v>49</v>
      </c>
      <c r="C15" s="8">
        <f>IFERROR(B15/B444, "NA")</f>
        <v>6.6532650898428402E-4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49</v>
      </c>
      <c r="I15" s="8">
        <f>IFERROR(H15/H444, "NA")</f>
        <v>-6.8293158837343841E-3</v>
      </c>
      <c r="J15" s="9"/>
      <c r="K15" s="7">
        <v>33</v>
      </c>
      <c r="L15" s="8">
        <f>IFERROR(K15/K444, "NA")</f>
        <v>4.2728546579424466E-4</v>
      </c>
      <c r="M15" s="9"/>
      <c r="N15" s="10">
        <f t="shared" si="1"/>
        <v>16</v>
      </c>
      <c r="O15" s="8">
        <f>IFERROR(N15/N444, "NA")</f>
        <v>-4.4646718884724934E-3</v>
      </c>
      <c r="P15" s="9"/>
      <c r="Q15" s="7">
        <v>90</v>
      </c>
      <c r="R15" s="8">
        <f>IFERROR(Q15/Q444, "NA")</f>
        <v>6.3588668923122364E-4</v>
      </c>
      <c r="S15" s="9"/>
      <c r="T15" s="7">
        <v>0</v>
      </c>
      <c r="U15" s="8">
        <f>IFERROR(T15/T444, "NA")</f>
        <v>0</v>
      </c>
      <c r="V15" s="9"/>
      <c r="W15" s="10">
        <f t="shared" si="2"/>
        <v>90</v>
      </c>
      <c r="X15" s="8">
        <f>IFERROR(W15/W444, "NA")</f>
        <v>-1.8500208641241907E-2</v>
      </c>
      <c r="Y15" s="9"/>
      <c r="Z15" s="7">
        <v>69</v>
      </c>
      <c r="AA15" s="8">
        <f>IFERROR(Z15/Z444, "NA")</f>
        <v>4.8917744528993376E-4</v>
      </c>
      <c r="AB15" s="9"/>
      <c r="AC15" s="10">
        <f t="shared" si="3"/>
        <v>21</v>
      </c>
      <c r="AD15" s="8">
        <f>IFERROR(AC15/AC444, "NA")</f>
        <v>4.3610084312828937E-2</v>
      </c>
    </row>
    <row r="16" spans="1:30" ht="16.5" customHeight="1" x14ac:dyDescent="0.45">
      <c r="A16" s="12" t="s">
        <v>18</v>
      </c>
      <c r="B16" s="7">
        <v>0.83</v>
      </c>
      <c r="C16" s="8">
        <f>IFERROR(B16/B444, "NA")</f>
        <v>1.1269816376672566E-5</v>
      </c>
      <c r="D16" s="9"/>
      <c r="E16" s="7">
        <v>0</v>
      </c>
      <c r="F16" s="8">
        <f>IFERROR(E16/E444, "NA")</f>
        <v>0</v>
      </c>
      <c r="G16" s="9"/>
      <c r="H16" s="10">
        <f t="shared" si="0"/>
        <v>0.83</v>
      </c>
      <c r="I16" s="8">
        <f>IFERROR(H16/H444, "NA")</f>
        <v>-1.1568024864284773E-4</v>
      </c>
      <c r="J16" s="9"/>
      <c r="K16" s="7">
        <v>0</v>
      </c>
      <c r="L16" s="8">
        <f>IFERROR(K16/K444, "NA")</f>
        <v>0</v>
      </c>
      <c r="M16" s="9"/>
      <c r="N16" s="10">
        <f t="shared" si="1"/>
        <v>0.83</v>
      </c>
      <c r="O16" s="8">
        <f>IFERROR(N16/N444, "NA")</f>
        <v>-2.3160485421451057E-4</v>
      </c>
      <c r="P16" s="9"/>
      <c r="Q16" s="7">
        <v>1.87</v>
      </c>
      <c r="R16" s="8">
        <f>IFERROR(Q16/Q444, "NA")</f>
        <v>1.3212312320693203E-5</v>
      </c>
      <c r="S16" s="9"/>
      <c r="T16" s="7">
        <v>0</v>
      </c>
      <c r="U16" s="8">
        <f>IFERROR(T16/T444, "NA")</f>
        <v>0</v>
      </c>
      <c r="V16" s="9"/>
      <c r="W16" s="10">
        <f t="shared" si="2"/>
        <v>1.87</v>
      </c>
      <c r="X16" s="8">
        <f>IFERROR(W16/W444, "NA")</f>
        <v>-3.8439322399024857E-4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1.87</v>
      </c>
      <c r="AD16" s="8">
        <f>IFERROR(AC16/AC444, "NA")</f>
        <v>3.8833741745233387E-3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25392.83</v>
      </c>
      <c r="C18" s="15">
        <f>IFERROR(B18/B444, "NA")</f>
        <v>0.34478618239043668</v>
      </c>
      <c r="D18" s="2"/>
      <c r="E18" s="14">
        <f>IFERROR(E10+E11+E12+E13+E14+E15+E16+E17, "NA")</f>
        <v>37097.760000000002</v>
      </c>
      <c r="F18" s="15">
        <f>IFERROR(E18/E444, "NA")</f>
        <v>0.45900003711814708</v>
      </c>
      <c r="G18" s="2"/>
      <c r="H18" s="14">
        <f t="shared" si="0"/>
        <v>-11704.93</v>
      </c>
      <c r="I18" s="15">
        <f>IFERROR(H18/H444, "NA")</f>
        <v>1.6313604972856961</v>
      </c>
      <c r="J18" s="2"/>
      <c r="K18" s="14">
        <f>IFERROR(K10+K11+K12+K13+K14+K15+K16+K17, "NA")</f>
        <v>31356.639999999999</v>
      </c>
      <c r="L18" s="15">
        <f>IFERROR(K18/K444, "NA")</f>
        <v>0.40600716751946797</v>
      </c>
      <c r="M18" s="2"/>
      <c r="N18" s="14">
        <f t="shared" si="1"/>
        <v>-5963.8099999999977</v>
      </c>
      <c r="O18" s="15">
        <f>IFERROR(N18/N444, "NA")</f>
        <v>1.6641534284494457</v>
      </c>
      <c r="P18" s="2"/>
      <c r="Q18" s="14">
        <f>IFERROR(Q10+Q11+Q12+Q13+Q14+Q15+Q16+Q17, "NA")</f>
        <v>55733.380000000005</v>
      </c>
      <c r="R18" s="15">
        <f>IFERROR(Q18/Q444, "NA")</f>
        <v>0.39377904986517442</v>
      </c>
      <c r="S18" s="2"/>
      <c r="T18" s="14">
        <f>IFERROR(T10+T11+T12+T13+T14+T15+T16+T17, "NA")</f>
        <v>67197.350000000006</v>
      </c>
      <c r="U18" s="15">
        <f>IFERROR(T18/T444, "NA")</f>
        <v>0.45899998538245979</v>
      </c>
      <c r="V18" s="2"/>
      <c r="W18" s="14">
        <f t="shared" si="2"/>
        <v>-11463.970000000001</v>
      </c>
      <c r="X18" s="15">
        <f>IFERROR(W18/W444, "NA")</f>
        <v>2.3565092984104221</v>
      </c>
      <c r="Y18" s="2"/>
      <c r="Z18" s="14">
        <f>IFERROR(Z10+Z11+Z12+Z13+Z14+Z15+Z16+Z17, "NA")</f>
        <v>59210.879999999997</v>
      </c>
      <c r="AA18" s="15">
        <f>IFERROR(Z18/Z444, "NA")</f>
        <v>0.41977720306911348</v>
      </c>
      <c r="AB18" s="2"/>
      <c r="AC18" s="14">
        <f t="shared" si="3"/>
        <v>-3477.4999999999927</v>
      </c>
      <c r="AD18" s="15">
        <f>IFERROR(AC18/AC444, "NA")</f>
        <v>-7.2216222951363003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8082.3</v>
      </c>
      <c r="F21" s="8">
        <f>IFERROR(E21/E444, "NA")</f>
        <v>0.1</v>
      </c>
      <c r="G21" s="9"/>
      <c r="H21" s="10">
        <f t="shared" ref="H21:H29" si="4">IFERROR(B21-E21, "NA")</f>
        <v>-8082.3</v>
      </c>
      <c r="I21" s="8">
        <f>IFERROR(H21/H444, "NA")</f>
        <v>1.1264608115736003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14639.95</v>
      </c>
      <c r="U21" s="8">
        <f>IFERROR(T21/T444, "NA")</f>
        <v>0.10000002732250517</v>
      </c>
      <c r="V21" s="9"/>
      <c r="W21" s="10">
        <f t="shared" ref="W21:W29" si="6">IFERROR(Q21-T21, "NA")</f>
        <v>-14639.95</v>
      </c>
      <c r="X21" s="8">
        <f>IFERROR(W21/W444, "NA")</f>
        <v>3.0093569944149943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97.3</v>
      </c>
      <c r="C22" s="8">
        <f>IFERROR(B22/B444, "NA")</f>
        <v>1.3211483535545067E-3</v>
      </c>
      <c r="D22" s="9"/>
      <c r="E22" s="7">
        <v>0</v>
      </c>
      <c r="F22" s="8">
        <f>IFERROR(E22/E444, "NA")</f>
        <v>0</v>
      </c>
      <c r="G22" s="9"/>
      <c r="H22" s="10">
        <f t="shared" si="4"/>
        <v>97.3</v>
      </c>
      <c r="I22" s="8">
        <f>IFERROR(H22/H444, "NA")</f>
        <v>-1.3561070111986848E-2</v>
      </c>
      <c r="J22" s="9"/>
      <c r="K22" s="7">
        <v>5995.7</v>
      </c>
      <c r="L22" s="8">
        <f>IFERROR(K22/K444, "NA")</f>
        <v>7.7632589917047051E-2</v>
      </c>
      <c r="M22" s="9"/>
      <c r="N22" s="10">
        <f t="shared" si="5"/>
        <v>-5898.4</v>
      </c>
      <c r="O22" s="8">
        <f>IFERROR(N22/N444, "NA")</f>
        <v>1.6459012916853846</v>
      </c>
      <c r="P22" s="9"/>
      <c r="Q22" s="7">
        <v>1956.45</v>
      </c>
      <c r="R22" s="8">
        <f>IFERROR(Q22/Q444, "NA")</f>
        <v>1.3823116812738083E-2</v>
      </c>
      <c r="S22" s="9"/>
      <c r="T22" s="7">
        <v>0</v>
      </c>
      <c r="U22" s="8">
        <f>IFERROR(T22/T444, "NA")</f>
        <v>0</v>
      </c>
      <c r="V22" s="9"/>
      <c r="W22" s="10">
        <f t="shared" si="6"/>
        <v>1956.45</v>
      </c>
      <c r="X22" s="8">
        <f>IFERROR(W22/W444, "NA")</f>
        <v>-0.40216370217953035</v>
      </c>
      <c r="Y22" s="9"/>
      <c r="Z22" s="7">
        <v>11247</v>
      </c>
      <c r="AA22" s="8">
        <f>IFERROR(Z22/Z444, "NA")</f>
        <v>7.9735923582259199E-2</v>
      </c>
      <c r="AB22" s="9"/>
      <c r="AC22" s="10">
        <f t="shared" si="7"/>
        <v>-9290.5499999999993</v>
      </c>
      <c r="AD22" s="8">
        <f>IFERROR(AC22/AC444, "NA")</f>
        <v>-19.293412800597753</v>
      </c>
    </row>
    <row r="23" spans="1:30" ht="16.5" customHeight="1" x14ac:dyDescent="0.45">
      <c r="A23" s="12" t="s">
        <v>24</v>
      </c>
      <c r="B23" s="7">
        <v>4478.1499999999996</v>
      </c>
      <c r="C23" s="8">
        <f>IFERROR(B23/B444, "NA")</f>
        <v>6.0804732779754511E-2</v>
      </c>
      <c r="D23" s="9"/>
      <c r="E23" s="7">
        <v>0</v>
      </c>
      <c r="F23" s="8">
        <f>IFERROR(E23/E444, "NA")</f>
        <v>0</v>
      </c>
      <c r="G23" s="9"/>
      <c r="H23" s="10">
        <f t="shared" si="4"/>
        <v>4478.1499999999996</v>
      </c>
      <c r="I23" s="8">
        <f>IFERROR(H23/H444, "NA")</f>
        <v>-0.62413675356622711</v>
      </c>
      <c r="J23" s="9"/>
      <c r="K23" s="7">
        <v>0</v>
      </c>
      <c r="L23" s="8">
        <f>IFERROR(K23/K444, "NA")</f>
        <v>0</v>
      </c>
      <c r="M23" s="9"/>
      <c r="N23" s="10">
        <f t="shared" si="5"/>
        <v>4478.1499999999996</v>
      </c>
      <c r="O23" s="8">
        <f>IFERROR(N23/N444, "NA")</f>
        <v>-1.2495919010851935</v>
      </c>
      <c r="P23" s="9"/>
      <c r="Q23" s="7">
        <v>6818.92</v>
      </c>
      <c r="R23" s="8">
        <f>IFERROR(Q23/Q444, "NA")</f>
        <v>4.817844958813973E-2</v>
      </c>
      <c r="S23" s="9"/>
      <c r="T23" s="7">
        <v>0</v>
      </c>
      <c r="U23" s="8">
        <f>IFERROR(T23/T444, "NA")</f>
        <v>0</v>
      </c>
      <c r="V23" s="9"/>
      <c r="W23" s="10">
        <f t="shared" si="6"/>
        <v>6818.92</v>
      </c>
      <c r="X23" s="8">
        <f>IFERROR(W23/W444, "NA")</f>
        <v>-1.4016826967548586</v>
      </c>
      <c r="Y23" s="9"/>
      <c r="Z23" s="7">
        <v>0</v>
      </c>
      <c r="AA23" s="8">
        <f>IFERROR(Z23/Z444, "NA")</f>
        <v>0</v>
      </c>
      <c r="AB23" s="9"/>
      <c r="AC23" s="10">
        <f t="shared" si="7"/>
        <v>6818.92</v>
      </c>
      <c r="AD23" s="8">
        <f>IFERROR(AC23/AC444, "NA")</f>
        <v>14.160651243925498</v>
      </c>
    </row>
    <row r="24" spans="1:30" ht="16.5" customHeight="1" x14ac:dyDescent="0.45">
      <c r="A24" s="12" t="s">
        <v>25</v>
      </c>
      <c r="B24" s="7">
        <v>657.94</v>
      </c>
      <c r="C24" s="8">
        <f>IFERROR(B24/B444, "NA")</f>
        <v>8.9335698636963234E-3</v>
      </c>
      <c r="D24" s="9"/>
      <c r="E24" s="7">
        <v>0</v>
      </c>
      <c r="F24" s="8">
        <f>IFERROR(E24/E444, "NA")</f>
        <v>0</v>
      </c>
      <c r="G24" s="9"/>
      <c r="H24" s="10">
        <f t="shared" si="4"/>
        <v>657.94</v>
      </c>
      <c r="I24" s="8">
        <f>IFERROR(H24/H444, "NA")</f>
        <v>-9.1699593725391854E-2</v>
      </c>
      <c r="J24" s="9"/>
      <c r="K24" s="7">
        <v>794.92</v>
      </c>
      <c r="L24" s="8">
        <f>IFERROR(K24/K444, "NA")</f>
        <v>1.0292659468762453E-2</v>
      </c>
      <c r="M24" s="9"/>
      <c r="N24" s="10">
        <f t="shared" si="5"/>
        <v>-136.9799999999999</v>
      </c>
      <c r="O24" s="8">
        <f>IFERROR(N24/N444, "NA")</f>
        <v>3.8223172205185105E-2</v>
      </c>
      <c r="P24" s="9"/>
      <c r="Q24" s="7">
        <v>1314.92</v>
      </c>
      <c r="R24" s="8">
        <f>IFERROR(Q24/Q444, "NA")</f>
        <v>9.2904458378213397E-3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1314.92</v>
      </c>
      <c r="X24" s="8">
        <f>IFERROR(W24/W444, "NA")</f>
        <v>-0.27029215940602014</v>
      </c>
      <c r="Y24" s="9"/>
      <c r="Z24" s="7">
        <v>1205.3</v>
      </c>
      <c r="AA24" s="8">
        <f>IFERROR(Z24/Z444, "NA")</f>
        <v>8.5450083305501027E-3</v>
      </c>
      <c r="AB24" s="9"/>
      <c r="AC24" s="10">
        <f t="shared" si="7"/>
        <v>109.62000000000012</v>
      </c>
      <c r="AD24" s="8">
        <f>IFERROR(AC24/AC444, "NA")</f>
        <v>0.22764464011296728</v>
      </c>
    </row>
    <row r="25" spans="1:30" ht="16.5" customHeight="1" x14ac:dyDescent="0.45">
      <c r="A25" s="12" t="s">
        <v>26</v>
      </c>
      <c r="B25" s="7">
        <v>184.43</v>
      </c>
      <c r="C25" s="8">
        <f>IFERROR(B25/B444, "NA")</f>
        <v>2.5042075112647246E-3</v>
      </c>
      <c r="D25" s="9"/>
      <c r="E25" s="7">
        <v>0</v>
      </c>
      <c r="F25" s="8">
        <f>IFERROR(E25/E444, "NA")</f>
        <v>0</v>
      </c>
      <c r="G25" s="9"/>
      <c r="H25" s="10">
        <f t="shared" si="4"/>
        <v>184.43</v>
      </c>
      <c r="I25" s="8">
        <f>IFERROR(H25/H444, "NA")</f>
        <v>-2.5704708743614951E-2</v>
      </c>
      <c r="J25" s="9"/>
      <c r="K25" s="7">
        <v>0</v>
      </c>
      <c r="L25" s="8">
        <f>IFERROR(K25/K444, "NA")</f>
        <v>0</v>
      </c>
      <c r="M25" s="9"/>
      <c r="N25" s="10">
        <f t="shared" si="5"/>
        <v>184.43</v>
      </c>
      <c r="O25" s="8">
        <f>IFERROR(N25/N444, "NA")</f>
        <v>-5.1463714774436377E-2</v>
      </c>
      <c r="P25" s="9"/>
      <c r="Q25" s="7">
        <v>362.16</v>
      </c>
      <c r="R25" s="8">
        <f>IFERROR(Q25/Q444, "NA")</f>
        <v>2.5588080374664441E-3</v>
      </c>
      <c r="S25" s="9"/>
      <c r="T25" s="7">
        <v>0</v>
      </c>
      <c r="U25" s="8">
        <f>IFERROR(T25/T444, "NA")</f>
        <v>0</v>
      </c>
      <c r="V25" s="9"/>
      <c r="W25" s="10">
        <f t="shared" si="6"/>
        <v>362.16</v>
      </c>
      <c r="X25" s="8">
        <f>IFERROR(W25/W444, "NA")</f>
        <v>-7.4444839572357438E-2</v>
      </c>
      <c r="Y25" s="9"/>
      <c r="Z25" s="7">
        <v>0</v>
      </c>
      <c r="AA25" s="8">
        <f>IFERROR(Z25/Z444, "NA")</f>
        <v>0</v>
      </c>
      <c r="AB25" s="9"/>
      <c r="AC25" s="10">
        <f t="shared" si="7"/>
        <v>362.16</v>
      </c>
      <c r="AD25" s="8">
        <f>IFERROR(AC25/AC444, "NA")</f>
        <v>0.75208705403495846</v>
      </c>
    </row>
    <row r="26" spans="1:30" ht="16.5" customHeight="1" x14ac:dyDescent="0.45">
      <c r="A26" s="12" t="s">
        <v>27</v>
      </c>
      <c r="B26" s="7">
        <v>1673.59</v>
      </c>
      <c r="C26" s="8">
        <f>IFERROR(B26/B444, "NA")</f>
        <v>2.272415902389812E-2</v>
      </c>
      <c r="D26" s="9"/>
      <c r="E26" s="7">
        <v>0</v>
      </c>
      <c r="F26" s="8">
        <f>IFERROR(E26/E444, "NA")</f>
        <v>0</v>
      </c>
      <c r="G26" s="9"/>
      <c r="H26" s="10">
        <f t="shared" si="4"/>
        <v>1673.59</v>
      </c>
      <c r="I26" s="8">
        <f>IFERROR(H26/H444, "NA")</f>
        <v>-0.23325458713998015</v>
      </c>
      <c r="J26" s="9"/>
      <c r="K26" s="7">
        <v>0</v>
      </c>
      <c r="L26" s="8">
        <f>IFERROR(K26/K444, "NA")</f>
        <v>0</v>
      </c>
      <c r="M26" s="9"/>
      <c r="N26" s="10">
        <f t="shared" si="5"/>
        <v>1673.59</v>
      </c>
      <c r="O26" s="8">
        <f>IFERROR(N26/N444, "NA")</f>
        <v>-0.46700188911429247</v>
      </c>
      <c r="P26" s="9"/>
      <c r="Q26" s="7">
        <v>2128.67</v>
      </c>
      <c r="R26" s="8">
        <f>IFERROR(Q26/Q444, "NA")</f>
        <v>1.5039921319620321E-2</v>
      </c>
      <c r="S26" s="9"/>
      <c r="T26" s="7">
        <v>0</v>
      </c>
      <c r="U26" s="8">
        <f>IFERROR(T26/T444, "NA")</f>
        <v>0</v>
      </c>
      <c r="V26" s="9"/>
      <c r="W26" s="10">
        <f t="shared" si="6"/>
        <v>2128.67</v>
      </c>
      <c r="X26" s="8">
        <f>IFERROR(W26/W444, "NA")</f>
        <v>-0.43756487920391568</v>
      </c>
      <c r="Y26" s="9"/>
      <c r="Z26" s="7">
        <v>0</v>
      </c>
      <c r="AA26" s="8">
        <f>IFERROR(Z26/Z444, "NA")</f>
        <v>0</v>
      </c>
      <c r="AB26" s="9"/>
      <c r="AC26" s="10">
        <f t="shared" si="7"/>
        <v>2128.67</v>
      </c>
      <c r="AD26" s="8">
        <f>IFERROR(AC26/AC444, "NA")</f>
        <v>4.4205465797233128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730.78</v>
      </c>
      <c r="C28" s="8">
        <f>IFERROR(B28/B444, "NA")</f>
        <v>9.9225980864394905E-3</v>
      </c>
      <c r="D28" s="9"/>
      <c r="E28" s="7">
        <v>0</v>
      </c>
      <c r="F28" s="8">
        <f>IFERROR(E28/E444, "NA")</f>
        <v>0</v>
      </c>
      <c r="G28" s="9"/>
      <c r="H28" s="10">
        <f t="shared" si="4"/>
        <v>730.78</v>
      </c>
      <c r="I28" s="8">
        <f>IFERROR(H28/H444, "NA")</f>
        <v>-0.10185158084725333</v>
      </c>
      <c r="J28" s="9"/>
      <c r="K28" s="7">
        <v>712.81</v>
      </c>
      <c r="L28" s="8">
        <f>IFERROR(K28/K444, "NA")</f>
        <v>9.2294955415998647E-3</v>
      </c>
      <c r="M28" s="9"/>
      <c r="N28" s="10">
        <f t="shared" si="5"/>
        <v>17.970000000000027</v>
      </c>
      <c r="O28" s="8">
        <f>IFERROR(N28/N444, "NA")</f>
        <v>-5.014384614740677E-3</v>
      </c>
      <c r="P28" s="9"/>
      <c r="Q28" s="7">
        <v>1533.44</v>
      </c>
      <c r="R28" s="8">
        <f>IFERROR(Q28/Q444, "NA")</f>
        <v>1.0834378719274751E-2</v>
      </c>
      <c r="S28" s="9"/>
      <c r="T28" s="7">
        <v>0</v>
      </c>
      <c r="U28" s="8">
        <f>IFERROR(T28/T444, "NA")</f>
        <v>0</v>
      </c>
      <c r="V28" s="9"/>
      <c r="W28" s="10">
        <f t="shared" si="6"/>
        <v>1533.44</v>
      </c>
      <c r="X28" s="8">
        <f>IFERROR(W28/W444, "NA")</f>
        <v>-0.31521066598695546</v>
      </c>
      <c r="Y28" s="9"/>
      <c r="Z28" s="7">
        <v>1515.47</v>
      </c>
      <c r="AA28" s="8">
        <f>IFERROR(Z28/Z444, "NA")</f>
        <v>1.0743967290051245E-2</v>
      </c>
      <c r="AB28" s="9"/>
      <c r="AC28" s="10">
        <f t="shared" si="7"/>
        <v>17.970000000000027</v>
      </c>
      <c r="AD28" s="8">
        <f>IFERROR(AC28/AC444, "NA")</f>
        <v>3.7317772147692246E-2</v>
      </c>
    </row>
    <row r="29" spans="1:30" ht="16.5" customHeight="1" x14ac:dyDescent="0.45">
      <c r="A29" s="13" t="s">
        <v>30</v>
      </c>
      <c r="B29" s="14">
        <f>IFERROR(B21+B22+B23+B24+B25+B26+B27+B28, "NA")</f>
        <v>7822.19</v>
      </c>
      <c r="C29" s="15">
        <f>IFERROR(B29/B444, "NA")</f>
        <v>0.10621041561860768</v>
      </c>
      <c r="D29" s="2"/>
      <c r="E29" s="14">
        <f>IFERROR(E21+E22+E23+E24+E25+E26+E27+E28, "NA")</f>
        <v>8082.3</v>
      </c>
      <c r="F29" s="15">
        <f>IFERROR(E29/E444, "NA")</f>
        <v>0.1</v>
      </c>
      <c r="G29" s="2"/>
      <c r="H29" s="14">
        <f t="shared" si="4"/>
        <v>-260.11000000000058</v>
      </c>
      <c r="I29" s="15">
        <f>IFERROR(H29/H444, "NA")</f>
        <v>3.6252517439146016E-2</v>
      </c>
      <c r="J29" s="2"/>
      <c r="K29" s="14">
        <f>IFERROR(K21+K22+K23+K24+K25+K26+K27+K28, "NA")</f>
        <v>7503.43</v>
      </c>
      <c r="L29" s="15">
        <f>IFERROR(K29/K444, "NA")</f>
        <v>9.7154744927409373E-2</v>
      </c>
      <c r="M29" s="2"/>
      <c r="N29" s="14">
        <f t="shared" si="5"/>
        <v>318.75999999999931</v>
      </c>
      <c r="O29" s="15">
        <f>IFERROR(N29/N444, "NA")</f>
        <v>-8.8947425698093052E-2</v>
      </c>
      <c r="P29" s="2"/>
      <c r="Q29" s="14">
        <f>IFERROR(Q21+Q22+Q23+Q24+Q25+Q26+Q27+Q28, "NA")</f>
        <v>14114.560000000001</v>
      </c>
      <c r="R29" s="15">
        <f>IFERROR(Q29/Q444, "NA")</f>
        <v>9.9725120315060672E-2</v>
      </c>
      <c r="S29" s="2"/>
      <c r="T29" s="14">
        <f>IFERROR(T21+T22+T23+T24+T25+T26+T27+T28, "NA")</f>
        <v>14639.95</v>
      </c>
      <c r="U29" s="15">
        <f>IFERROR(T29/T444, "NA")</f>
        <v>0.10000002732250517</v>
      </c>
      <c r="V29" s="2"/>
      <c r="W29" s="14">
        <f t="shared" si="6"/>
        <v>-525.38999999999942</v>
      </c>
      <c r="X29" s="15">
        <f>IFERROR(W29/W444, "NA")</f>
        <v>0.10799805131135638</v>
      </c>
      <c r="Y29" s="2"/>
      <c r="Z29" s="14">
        <f>IFERROR(Z21+Z22+Z23+Z24+Z25+Z26+Z27+Z28, "NA")</f>
        <v>13967.769999999999</v>
      </c>
      <c r="AA29" s="15">
        <f>IFERROR(Z29/Z444, "NA")</f>
        <v>9.9024899202860533E-2</v>
      </c>
      <c r="AB29" s="2"/>
      <c r="AC29" s="14">
        <f t="shared" si="7"/>
        <v>146.79000000000269</v>
      </c>
      <c r="AD29" s="15">
        <f>IFERROR(AC29/AC444, "NA")</f>
        <v>0.30483448934667984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15356.37</v>
      </c>
      <c r="F31" s="8">
        <f>IFERROR(E31/E444, "NA")</f>
        <v>0.19</v>
      </c>
      <c r="G31" s="9"/>
      <c r="H31" s="10">
        <f t="shared" ref="H31:H40" si="8">IFERROR(B31-E31, "NA")</f>
        <v>-15356.37</v>
      </c>
      <c r="I31" s="8">
        <f>IFERROR(H31/H444, "NA")</f>
        <v>2.1402755419898405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27815.9</v>
      </c>
      <c r="U31" s="8">
        <f>IFERROR(T31/T444, "NA")</f>
        <v>0.19000001775962838</v>
      </c>
      <c r="V31" s="9"/>
      <c r="W31" s="10">
        <f t="shared" ref="W31:W40" si="10">IFERROR(Q31-T31, "NA")</f>
        <v>-27815.9</v>
      </c>
      <c r="X31" s="8">
        <f>IFERROR(W31/W444, "NA")</f>
        <v>5.71777726159912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5714.83</v>
      </c>
      <c r="C33" s="8">
        <f>IFERROR(B33/B444, "NA")</f>
        <v>7.7596487619156246E-2</v>
      </c>
      <c r="D33" s="9"/>
      <c r="E33" s="7">
        <v>0</v>
      </c>
      <c r="F33" s="8">
        <f>IFERROR(E33/E444, "NA")</f>
        <v>0</v>
      </c>
      <c r="G33" s="9"/>
      <c r="H33" s="10">
        <f t="shared" si="8"/>
        <v>5714.83</v>
      </c>
      <c r="I33" s="8">
        <f>IFERROR(H33/H444, "NA")</f>
        <v>-0.79649753656819944</v>
      </c>
      <c r="J33" s="9"/>
      <c r="K33" s="7">
        <v>6138.35</v>
      </c>
      <c r="L33" s="8">
        <f>IFERROR(K33/K444, "NA")</f>
        <v>7.9479628453275816E-2</v>
      </c>
      <c r="M33" s="9"/>
      <c r="N33" s="10">
        <f t="shared" si="9"/>
        <v>-423.52000000000044</v>
      </c>
      <c r="O33" s="8">
        <f>IFERROR(N33/N444, "NA")</f>
        <v>0.11817986488786703</v>
      </c>
      <c r="P33" s="9"/>
      <c r="Q33" s="7">
        <v>10808.92</v>
      </c>
      <c r="R33" s="8">
        <f>IFERROR(Q33/Q444, "NA")</f>
        <v>7.6369426144057312E-2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10808.92</v>
      </c>
      <c r="X33" s="8">
        <f>IFERROR(W33/W444, "NA")</f>
        <v>-2.2218586131832496</v>
      </c>
      <c r="Y33" s="9"/>
      <c r="Z33" s="7">
        <v>10832.71</v>
      </c>
      <c r="AA33" s="8">
        <f>IFERROR(Z33/Z444, "NA")</f>
        <v>7.6798802947343731E-2</v>
      </c>
      <c r="AB33" s="9"/>
      <c r="AC33" s="10">
        <f t="shared" si="11"/>
        <v>-23.789999999999054</v>
      </c>
      <c r="AD33" s="8">
        <f>IFERROR(AC33/AC444, "NA")</f>
        <v>-4.9403995514388531E-2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237.81</v>
      </c>
      <c r="C35" s="8">
        <f>IFERROR(B35/B444, "NA")</f>
        <v>3.2290060632969913E-3</v>
      </c>
      <c r="D35" s="9"/>
      <c r="E35" s="7">
        <v>0</v>
      </c>
      <c r="F35" s="8">
        <f>IFERROR(E35/E444, "NA")</f>
        <v>0</v>
      </c>
      <c r="G35" s="9"/>
      <c r="H35" s="10">
        <f t="shared" si="8"/>
        <v>237.81</v>
      </c>
      <c r="I35" s="8">
        <f>IFERROR(H35/H444, "NA")</f>
        <v>-3.3144481843079061E-2</v>
      </c>
      <c r="J35" s="9"/>
      <c r="K35" s="7">
        <v>530.87</v>
      </c>
      <c r="L35" s="8">
        <f>IFERROR(K35/K444, "NA")</f>
        <v>6.8737283401875959E-3</v>
      </c>
      <c r="M35" s="9"/>
      <c r="N35" s="10">
        <f t="shared" si="9"/>
        <v>-293.06</v>
      </c>
      <c r="O35" s="8">
        <f>IFERROR(N35/N444, "NA")</f>
        <v>8.1776046477234313E-2</v>
      </c>
      <c r="P35" s="9"/>
      <c r="Q35" s="7">
        <v>473.35</v>
      </c>
      <c r="R35" s="8">
        <f>IFERROR(Q35/Q444, "NA")</f>
        <v>3.34441071497333E-3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473.35</v>
      </c>
      <c r="X35" s="8">
        <f>IFERROR(W35/W444, "NA")</f>
        <v>-9.7300819559242857E-2</v>
      </c>
      <c r="Y35" s="9"/>
      <c r="Z35" s="7">
        <v>980.67</v>
      </c>
      <c r="AA35" s="8">
        <f>IFERROR(Z35/Z444, "NA")</f>
        <v>6.952487612644628E-3</v>
      </c>
      <c r="AB35" s="9"/>
      <c r="AC35" s="10">
        <f t="shared" si="11"/>
        <v>-507.31999999999994</v>
      </c>
      <c r="AD35" s="8">
        <f>IFERROR(AC35/AC444, "NA")</f>
        <v>-1.0535365701706845</v>
      </c>
    </row>
    <row r="36" spans="1:30" ht="16.5" customHeight="1" x14ac:dyDescent="0.45">
      <c r="A36" s="12" t="s">
        <v>36</v>
      </c>
      <c r="B36" s="7">
        <v>9848.0499999999993</v>
      </c>
      <c r="C36" s="8">
        <f>IFERROR(B36/B444, "NA")</f>
        <v>0.133717729118422</v>
      </c>
      <c r="D36" s="9"/>
      <c r="E36" s="7">
        <v>0</v>
      </c>
      <c r="F36" s="8">
        <f>IFERROR(E36/E444, "NA")</f>
        <v>0</v>
      </c>
      <c r="G36" s="9"/>
      <c r="H36" s="10">
        <f t="shared" si="8"/>
        <v>9848.0499999999993</v>
      </c>
      <c r="I36" s="8">
        <f>IFERROR(H36/H444, "NA")</f>
        <v>-1.3725600875267427</v>
      </c>
      <c r="J36" s="9"/>
      <c r="K36" s="7">
        <v>10386.49</v>
      </c>
      <c r="L36" s="8">
        <f>IFERROR(K36/K444, "NA")</f>
        <v>0.13448473386718982</v>
      </c>
      <c r="M36" s="9"/>
      <c r="N36" s="10">
        <f t="shared" si="9"/>
        <v>-538.44000000000051</v>
      </c>
      <c r="O36" s="8">
        <f>IFERROR(N36/N444, "NA")</f>
        <v>0.15024737072682073</v>
      </c>
      <c r="P36" s="9"/>
      <c r="Q36" s="7">
        <v>17802.349999999999</v>
      </c>
      <c r="R36" s="8">
        <f>IFERROR(Q36/Q444, "NA")</f>
        <v>0.12578086002261638</v>
      </c>
      <c r="S36" s="9"/>
      <c r="T36" s="7">
        <v>0</v>
      </c>
      <c r="U36" s="8">
        <f>IFERROR(T36/T444, "NA")</f>
        <v>0</v>
      </c>
      <c r="V36" s="9"/>
      <c r="W36" s="10">
        <f t="shared" si="10"/>
        <v>17802.349999999999</v>
      </c>
      <c r="X36" s="8">
        <f>IFERROR(W36/W444, "NA")</f>
        <v>-3.6594132144934761</v>
      </c>
      <c r="Y36" s="9"/>
      <c r="Z36" s="7">
        <v>19806.849999999999</v>
      </c>
      <c r="AA36" s="8">
        <f>IFERROR(Z36/Z444, "NA")</f>
        <v>0.14042122148175251</v>
      </c>
      <c r="AB36" s="9"/>
      <c r="AC36" s="10">
        <f t="shared" si="11"/>
        <v>-2004.5</v>
      </c>
      <c r="AD36" s="8">
        <f>IFERROR(AC36/AC444, "NA")</f>
        <v>-4.1626863811936001</v>
      </c>
    </row>
    <row r="37" spans="1:30" ht="16.5" customHeight="1" x14ac:dyDescent="0.45">
      <c r="A37" s="12" t="s">
        <v>37</v>
      </c>
      <c r="B37" s="7">
        <v>270.75</v>
      </c>
      <c r="C37" s="8">
        <f>IFERROR(B37/B444, "NA")</f>
        <v>3.6762684144386712E-3</v>
      </c>
      <c r="D37" s="9"/>
      <c r="E37" s="7">
        <v>0</v>
      </c>
      <c r="F37" s="8">
        <f>IFERROR(E37/E444, "NA")</f>
        <v>0</v>
      </c>
      <c r="G37" s="9"/>
      <c r="H37" s="10">
        <f t="shared" si="8"/>
        <v>270.75</v>
      </c>
      <c r="I37" s="8">
        <f>IFERROR(H37/H444, "NA")</f>
        <v>-3.7735454602471109E-2</v>
      </c>
      <c r="J37" s="9"/>
      <c r="K37" s="7">
        <v>0</v>
      </c>
      <c r="L37" s="8">
        <f>IFERROR(K37/K444, "NA")</f>
        <v>0</v>
      </c>
      <c r="M37" s="9"/>
      <c r="N37" s="10">
        <f t="shared" si="9"/>
        <v>270.75</v>
      </c>
      <c r="O37" s="8">
        <f>IFERROR(N37/N444, "NA")</f>
        <v>-7.5550619612745479E-2</v>
      </c>
      <c r="P37" s="9"/>
      <c r="Q37" s="7">
        <v>697.75</v>
      </c>
      <c r="R37" s="8">
        <f>IFERROR(Q37/Q444, "NA")</f>
        <v>4.9298881934565142E-3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697.75</v>
      </c>
      <c r="X37" s="8">
        <f>IFERROR(W37/W444, "NA")</f>
        <v>-0.14342800643807269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697.75</v>
      </c>
      <c r="AD37" s="8">
        <f>IFERROR(AC37/AC444, "NA")</f>
        <v>1.4489969680607804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22.6</v>
      </c>
      <c r="C39" s="8">
        <f>IFERROR(B39/B444, "NA")</f>
        <v>3.0686487965397592E-4</v>
      </c>
      <c r="D39" s="9"/>
      <c r="E39" s="7">
        <v>0</v>
      </c>
      <c r="F39" s="8">
        <f>IFERROR(E39/E444, "NA")</f>
        <v>0</v>
      </c>
      <c r="G39" s="9"/>
      <c r="H39" s="10">
        <f t="shared" si="8"/>
        <v>22.6</v>
      </c>
      <c r="I39" s="8">
        <f>IFERROR(H39/H444, "NA")</f>
        <v>-3.1498477341305531E-3</v>
      </c>
      <c r="J39" s="9"/>
      <c r="K39" s="7">
        <v>938.15</v>
      </c>
      <c r="L39" s="8">
        <f>IFERROR(K39/K444, "NA")</f>
        <v>1.2147207870753655E-2</v>
      </c>
      <c r="M39" s="9"/>
      <c r="N39" s="10">
        <f t="shared" si="9"/>
        <v>-915.55</v>
      </c>
      <c r="O39" s="8">
        <f>IFERROR(N39/N444, "NA")</f>
        <v>0.25547689671818696</v>
      </c>
      <c r="P39" s="9"/>
      <c r="Q39" s="7">
        <v>116.35</v>
      </c>
      <c r="R39" s="8">
        <f>IFERROR(Q39/Q444, "NA")</f>
        <v>8.2206018102280959E-4</v>
      </c>
      <c r="S39" s="9"/>
      <c r="T39" s="7">
        <v>0</v>
      </c>
      <c r="U39" s="8">
        <f>IFERROR(T39/T444, "NA")</f>
        <v>0</v>
      </c>
      <c r="V39" s="9"/>
      <c r="W39" s="10">
        <f t="shared" si="10"/>
        <v>116.35</v>
      </c>
      <c r="X39" s="8">
        <f>IFERROR(W39/W444, "NA")</f>
        <v>-2.3916658615649955E-2</v>
      </c>
      <c r="Y39" s="9"/>
      <c r="Z39" s="7">
        <v>1399.25</v>
      </c>
      <c r="AA39" s="8">
        <f>IFERROR(Z39/Z444, "NA")</f>
        <v>9.9200223235063733E-3</v>
      </c>
      <c r="AB39" s="9"/>
      <c r="AC39" s="10">
        <f t="shared" si="11"/>
        <v>-1282.9000000000001</v>
      </c>
      <c r="AD39" s="8">
        <f>IFERROR(AC39/AC444, "NA")</f>
        <v>-2.6641608173775353</v>
      </c>
    </row>
    <row r="40" spans="1:30" ht="16.5" customHeight="1" x14ac:dyDescent="0.45">
      <c r="A40" s="13" t="s">
        <v>40</v>
      </c>
      <c r="B40" s="14">
        <f>IFERROR(B31+B32+B33+B34+B35+B36+B37+B38+B39, "NA")</f>
        <v>16094.039999999999</v>
      </c>
      <c r="C40" s="15">
        <f>IFERROR(B40/B444, "NA")</f>
        <v>0.21852635609496787</v>
      </c>
      <c r="D40" s="2"/>
      <c r="E40" s="14">
        <f>IFERROR(E31+E32+E33+E34+E35+E36+E37+E38+E39, "NA")</f>
        <v>15356.37</v>
      </c>
      <c r="F40" s="15">
        <f>IFERROR(E40/E444, "NA")</f>
        <v>0.19</v>
      </c>
      <c r="G40" s="2"/>
      <c r="H40" s="14">
        <f t="shared" si="8"/>
        <v>737.66999999999825</v>
      </c>
      <c r="I40" s="15">
        <f>IFERROR(H40/H444, "NA")</f>
        <v>-0.10281186628478227</v>
      </c>
      <c r="J40" s="2"/>
      <c r="K40" s="14">
        <f>IFERROR(K31+K32+K33+K34+K35+K36+K37+K38+K39, "NA")</f>
        <v>17993.86</v>
      </c>
      <c r="L40" s="15">
        <f>IFERROR(K40/K444, "NA")</f>
        <v>0.2329852985314069</v>
      </c>
      <c r="M40" s="2"/>
      <c r="N40" s="14">
        <f t="shared" si="9"/>
        <v>-1899.8200000000015</v>
      </c>
      <c r="O40" s="15">
        <f>IFERROR(N40/N444, "NA")</f>
        <v>0.53012955919736371</v>
      </c>
      <c r="P40" s="2"/>
      <c r="Q40" s="14">
        <f>IFERROR(Q31+Q32+Q33+Q34+Q35+Q36+Q37+Q38+Q39, "NA")</f>
        <v>29898.719999999998</v>
      </c>
      <c r="R40" s="15">
        <f>IFERROR(Q40/Q444, "NA")</f>
        <v>0.21124664525612633</v>
      </c>
      <c r="S40" s="2"/>
      <c r="T40" s="14">
        <f>IFERROR(T31+T32+T33+T34+T35+T36+T37+T38+T39, "NA")</f>
        <v>27815.9</v>
      </c>
      <c r="U40" s="15">
        <f>IFERROR(T40/T444, "NA")</f>
        <v>0.19000001775962838</v>
      </c>
      <c r="V40" s="2"/>
      <c r="W40" s="14">
        <f t="shared" si="10"/>
        <v>2082.8199999999961</v>
      </c>
      <c r="X40" s="15">
        <f>IFERROR(W40/W444, "NA")</f>
        <v>-0.42814005069057109</v>
      </c>
      <c r="Y40" s="2"/>
      <c r="Z40" s="14">
        <f>IFERROR(Z31+Z32+Z33+Z34+Z35+Z36+Z37+Z38+Z39, "NA")</f>
        <v>33019.479999999996</v>
      </c>
      <c r="AA40" s="15">
        <f>IFERROR(Z40/Z444, "NA")</f>
        <v>0.23409253436524724</v>
      </c>
      <c r="AB40" s="2"/>
      <c r="AC40" s="14">
        <f t="shared" si="11"/>
        <v>-3120.7599999999984</v>
      </c>
      <c r="AD40" s="15">
        <f>IFERROR(AC40/AC444, "NA")</f>
        <v>-6.4807907961954268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16164.6</v>
      </c>
      <c r="F42" s="8">
        <f>IFERROR(E42/E444, "NA")</f>
        <v>0.2</v>
      </c>
      <c r="G42" s="9"/>
      <c r="H42" s="10">
        <f>IFERROR(B42-E42, "NA")</f>
        <v>-16164.6</v>
      </c>
      <c r="I42" s="8">
        <f>IFERROR(H42/H444, "NA")</f>
        <v>2.2529216231472007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29279.89</v>
      </c>
      <c r="U42" s="8">
        <f>IFERROR(T42/T444, "NA")</f>
        <v>0.19999998633874744</v>
      </c>
      <c r="V42" s="9"/>
      <c r="W42" s="10">
        <f>IFERROR(Q42-T42, "NA")</f>
        <v>-29279.89</v>
      </c>
      <c r="X42" s="8">
        <f>IFERROR(W42/W444, "NA")</f>
        <v>6.0187119332512502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2088.98</v>
      </c>
      <c r="C43" s="8">
        <f>IFERROR(B43/B444, "NA")</f>
        <v>2.8364362668122239E-2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2088.98</v>
      </c>
      <c r="I43" s="8">
        <f>IFERROR(H43/H444, "NA")</f>
        <v>-0.29114906724088679</v>
      </c>
      <c r="J43" s="9"/>
      <c r="K43" s="7">
        <v>13187.1</v>
      </c>
      <c r="L43" s="8">
        <f>IFERROR(K43/K444, "NA")</f>
        <v>0.17074715654470557</v>
      </c>
      <c r="M43" s="9"/>
      <c r="N43" s="10">
        <f>IFERROR(B43-K43, "NA")</f>
        <v>-11098.12</v>
      </c>
      <c r="O43" s="8">
        <f>IFERROR(N43/N444, "NA")</f>
        <v>3.0968415236808968</v>
      </c>
      <c r="P43" s="9"/>
      <c r="Q43" s="7">
        <v>4196.55</v>
      </c>
      <c r="R43" s="8">
        <f>IFERROR(Q43/Q444, "NA")</f>
        <v>2.965033650770324E-2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4196.55</v>
      </c>
      <c r="X43" s="8">
        <f>IFERROR(W43/W444, "NA")</f>
        <v>-0.86263389526004142</v>
      </c>
      <c r="Y43" s="9"/>
      <c r="Z43" s="7">
        <v>16365.76</v>
      </c>
      <c r="AA43" s="8">
        <f>IFERROR(Z43/Z444, "NA")</f>
        <v>0.11602551691345198</v>
      </c>
      <c r="AB43" s="9"/>
      <c r="AC43" s="10">
        <f>IFERROR(Q43-Z43, "NA")</f>
        <v>-12169.21</v>
      </c>
      <c r="AD43" s="8">
        <f>IFERROR(AC43/AC444, "NA")</f>
        <v>-25.271441624786711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647.17999999999995</v>
      </c>
      <c r="C47" s="8">
        <f>IFERROR(B47/B444, "NA")</f>
        <v>8.787469593560181E-3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647.17999999999995</v>
      </c>
      <c r="I47" s="8">
        <f>IFERROR(H47/H444, "NA")</f>
        <v>-9.0199931706841194E-2</v>
      </c>
      <c r="J47" s="9"/>
      <c r="K47" s="7">
        <v>2356.4499999999998</v>
      </c>
      <c r="L47" s="8">
        <f>IFERROR(K47/K444, "NA")</f>
        <v>3.051141926881357E-2</v>
      </c>
      <c r="M47" s="9"/>
      <c r="N47" s="10">
        <f t="shared" si="13"/>
        <v>-1709.27</v>
      </c>
      <c r="O47" s="8">
        <f>IFERROR(N47/N444, "NA")</f>
        <v>0.47695810742558614</v>
      </c>
      <c r="P47" s="9"/>
      <c r="Q47" s="7">
        <v>647.17999999999995</v>
      </c>
      <c r="R47" s="8">
        <f>IFERROR(Q47/Q444, "NA")</f>
        <v>4.5725905281851472E-3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647.17999999999995</v>
      </c>
      <c r="X47" s="8">
        <f>IFERROR(W47/W444, "NA")</f>
        <v>-0.13303294476043262</v>
      </c>
      <c r="Y47" s="9"/>
      <c r="Z47" s="7">
        <v>2873.15</v>
      </c>
      <c r="AA47" s="8">
        <f>IFERROR(Z47/Z444, "NA")</f>
        <v>2.0369277926590917E-2</v>
      </c>
      <c r="AB47" s="9"/>
      <c r="AC47" s="10">
        <f t="shared" si="15"/>
        <v>-2225.9700000000003</v>
      </c>
      <c r="AD47" s="8">
        <f>IFERROR(AC47/AC444, "NA")</f>
        <v>-4.6226066370394205</v>
      </c>
    </row>
    <row r="48" spans="1:30" ht="16.5" customHeight="1" x14ac:dyDescent="0.45">
      <c r="A48" s="17" t="s">
        <v>46</v>
      </c>
      <c r="B48" s="7">
        <v>953.28</v>
      </c>
      <c r="C48" s="8">
        <f>IFERROR(B48/B444, "NA")</f>
        <v>1.2943723560908943E-2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953.28</v>
      </c>
      <c r="I48" s="8">
        <f>IFERROR(H48/H444, "NA")</f>
        <v>-0.13286224991114925</v>
      </c>
      <c r="J48" s="9"/>
      <c r="K48" s="7">
        <v>7050.67</v>
      </c>
      <c r="L48" s="8">
        <f>IFERROR(K48/K444, "NA")</f>
        <v>9.1292388336712341E-2</v>
      </c>
      <c r="M48" s="9"/>
      <c r="N48" s="10">
        <f t="shared" si="13"/>
        <v>-6097.39</v>
      </c>
      <c r="O48" s="8">
        <f>IFERROR(N48/N444, "NA")</f>
        <v>1.7014278578783311</v>
      </c>
      <c r="P48" s="9"/>
      <c r="Q48" s="7">
        <v>2076.9899999999998</v>
      </c>
      <c r="R48" s="8">
        <f>IFERROR(Q48/Q444, "NA")</f>
        <v>1.4674781051848433E-2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2076.9899999999998</v>
      </c>
      <c r="X48" s="8">
        <f>IFERROR(W48/W444, "NA")</f>
        <v>-0.42694164828636694</v>
      </c>
      <c r="Y48" s="9"/>
      <c r="Z48" s="7">
        <v>20230.37</v>
      </c>
      <c r="AA48" s="8">
        <f>IFERROR(Z48/Z444, "NA")</f>
        <v>0.14342377846188575</v>
      </c>
      <c r="AB48" s="9"/>
      <c r="AC48" s="10">
        <f t="shared" si="15"/>
        <v>-18153.379999999997</v>
      </c>
      <c r="AD48" s="8">
        <f>IFERROR(AC48/AC444, "NA")</f>
        <v>-37.698592017277257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customHeight="1" x14ac:dyDescent="0.45">
      <c r="A50" s="17" t="s">
        <v>48</v>
      </c>
      <c r="B50" s="7">
        <v>5332</v>
      </c>
      <c r="C50" s="8">
        <f>IFERROR(B50/B444, "NA")</f>
        <v>7.2398386651106164E-2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5332</v>
      </c>
      <c r="I50" s="8">
        <f>IFERROR(H50/H444, "NA")</f>
        <v>-0.7431410671851375</v>
      </c>
      <c r="J50" s="9"/>
      <c r="K50" s="7">
        <v>1139.03</v>
      </c>
      <c r="L50" s="8">
        <f>IFERROR(K50/K444, "NA")</f>
        <v>1.4748211033442985E-2</v>
      </c>
      <c r="M50" s="9"/>
      <c r="N50" s="10">
        <f t="shared" si="13"/>
        <v>4192.97</v>
      </c>
      <c r="O50" s="8">
        <f>IFERROR(N50/N444, "NA")</f>
        <v>-1.1700147055130319</v>
      </c>
      <c r="P50" s="9"/>
      <c r="Q50" s="7">
        <v>5879</v>
      </c>
      <c r="R50" s="8">
        <f>IFERROR(Q50/Q444, "NA")</f>
        <v>4.1537531622115154E-2</v>
      </c>
      <c r="S50" s="9"/>
      <c r="T50" s="7">
        <v>0</v>
      </c>
      <c r="U50" s="8">
        <f>IFERROR(T50/T444, "NA")</f>
        <v>0</v>
      </c>
      <c r="V50" s="9"/>
      <c r="W50" s="10">
        <f t="shared" si="14"/>
        <v>5879</v>
      </c>
      <c r="X50" s="8">
        <f>IFERROR(W50/W444, "NA")</f>
        <v>-1.2084747400206797</v>
      </c>
      <c r="Y50" s="9"/>
      <c r="Z50" s="7">
        <v>1276.17</v>
      </c>
      <c r="AA50" s="8">
        <f>IFERROR(Z50/Z444, "NA")</f>
        <v>9.0474431935602135E-3</v>
      </c>
      <c r="AB50" s="9"/>
      <c r="AC50" s="10">
        <f t="shared" si="15"/>
        <v>4602.83</v>
      </c>
      <c r="AD50" s="8">
        <f>IFERROR(AC50/AC444, "NA")</f>
        <v>9.5585621132199243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customHeight="1" x14ac:dyDescent="0.45">
      <c r="A55" s="17" t="s">
        <v>53</v>
      </c>
      <c r="B55" s="7">
        <v>2480.61</v>
      </c>
      <c r="C55" s="8">
        <f>IFERROR(B55/B444, "NA")</f>
        <v>3.3681950845949077E-2</v>
      </c>
      <c r="D55" s="9"/>
      <c r="E55" s="7">
        <v>0</v>
      </c>
      <c r="F55" s="8">
        <f>IFERROR(E55/E444, "NA")</f>
        <v>0</v>
      </c>
      <c r="G55" s="9"/>
      <c r="H55" s="10">
        <f t="shared" si="12"/>
        <v>2480.61</v>
      </c>
      <c r="I55" s="8">
        <f>IFERROR(H55/H444, "NA")</f>
        <v>-0.34573202600715003</v>
      </c>
      <c r="J55" s="9"/>
      <c r="K55" s="7">
        <v>334.29</v>
      </c>
      <c r="L55" s="8">
        <f>IFERROR(K55/K444, "NA")</f>
        <v>4.3284017684956985E-3</v>
      </c>
      <c r="M55" s="9"/>
      <c r="N55" s="10">
        <f t="shared" si="13"/>
        <v>2146.3200000000002</v>
      </c>
      <c r="O55" s="8">
        <f>IFERROR(N55/N444, "NA")</f>
        <v>-0.5989134104791427</v>
      </c>
      <c r="P55" s="9"/>
      <c r="Q55" s="7">
        <v>4765.96</v>
      </c>
      <c r="R55" s="8">
        <f>IFERROR(Q55/Q444, "NA")</f>
        <v>3.3673450282316025E-2</v>
      </c>
      <c r="S55" s="9"/>
      <c r="T55" s="7">
        <v>0</v>
      </c>
      <c r="U55" s="8">
        <f>IFERROR(T55/T444, "NA")</f>
        <v>0</v>
      </c>
      <c r="V55" s="9"/>
      <c r="W55" s="10">
        <f t="shared" si="14"/>
        <v>4765.96</v>
      </c>
      <c r="X55" s="8">
        <f>IFERROR(W55/W444, "NA")</f>
        <v>-0.97968060417570313</v>
      </c>
      <c r="Y55" s="9"/>
      <c r="Z55" s="7">
        <v>334.29</v>
      </c>
      <c r="AA55" s="8">
        <f>IFERROR(Z55/Z444, "NA")</f>
        <v>2.3699583795068402E-3</v>
      </c>
      <c r="AB55" s="9"/>
      <c r="AC55" s="10">
        <f t="shared" si="15"/>
        <v>4431.67</v>
      </c>
      <c r="AD55" s="8">
        <f>IFERROR(AC55/AC444, "NA")</f>
        <v>9.2031191593635526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customHeight="1" x14ac:dyDescent="0.45">
      <c r="A57" s="17" t="s">
        <v>55</v>
      </c>
      <c r="B57" s="7">
        <v>1658.09</v>
      </c>
      <c r="C57" s="8">
        <f>IFERROR(B57/B444, "NA")</f>
        <v>2.2513698597586763E-2</v>
      </c>
      <c r="D57" s="9"/>
      <c r="E57" s="7">
        <v>0</v>
      </c>
      <c r="F57" s="8">
        <f>IFERROR(E57/E444, "NA")</f>
        <v>0</v>
      </c>
      <c r="G57" s="9"/>
      <c r="H57" s="10">
        <f t="shared" si="12"/>
        <v>1658.09</v>
      </c>
      <c r="I57" s="8">
        <f>IFERROR(H57/H444, "NA")</f>
        <v>-0.23109429334002335</v>
      </c>
      <c r="J57" s="9"/>
      <c r="K57" s="7">
        <v>0</v>
      </c>
      <c r="L57" s="8">
        <f>IFERROR(K57/K444, "NA")</f>
        <v>0</v>
      </c>
      <c r="M57" s="9"/>
      <c r="N57" s="10">
        <f t="shared" si="13"/>
        <v>1658.09</v>
      </c>
      <c r="O57" s="8">
        <f>IFERROR(N57/N444, "NA")</f>
        <v>-0.46267673822233474</v>
      </c>
      <c r="P57" s="9"/>
      <c r="Q57" s="7">
        <v>3735.79</v>
      </c>
      <c r="R57" s="8">
        <f>IFERROR(Q57/Q444, "NA")</f>
        <v>2.6394879275145697E-2</v>
      </c>
      <c r="S57" s="9"/>
      <c r="T57" s="7">
        <v>0</v>
      </c>
      <c r="U57" s="8">
        <f>IFERROR(T57/T444, "NA")</f>
        <v>0</v>
      </c>
      <c r="V57" s="9"/>
      <c r="W57" s="10">
        <f t="shared" si="14"/>
        <v>3735.79</v>
      </c>
      <c r="X57" s="8">
        <f>IFERROR(W57/W444, "NA")</f>
        <v>-0.76792104933183447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3735.79</v>
      </c>
      <c r="AD57" s="8">
        <f>IFERROR(AC57/AC444, "NA")</f>
        <v>7.758005565477295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11071.16</v>
      </c>
      <c r="C61" s="15">
        <f>IFERROR(B61/B444, "NA")</f>
        <v>0.15032522924911113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11071.16</v>
      </c>
      <c r="I61" s="15">
        <f>IFERROR(H61/H444, "NA")</f>
        <v>-1.5430295681503012</v>
      </c>
      <c r="J61" s="2"/>
      <c r="K61" s="14">
        <f>IFERROR(K46+K47+K48+K49+K50+K51+K52+K53+K54+K55+K56+K57+K58+K59+K60, "NA")</f>
        <v>10880.44</v>
      </c>
      <c r="L61" s="15">
        <f>IFERROR(K61/K444, "NA")</f>
        <v>0.1408804204074646</v>
      </c>
      <c r="M61" s="2"/>
      <c r="N61" s="14">
        <f t="shared" si="13"/>
        <v>190.71999999999935</v>
      </c>
      <c r="O61" s="15">
        <f>IFERROR(N61/N444, "NA")</f>
        <v>-5.3218888910591941E-2</v>
      </c>
      <c r="P61" s="2"/>
      <c r="Q61" s="14">
        <f>IFERROR(Q46+Q47+Q48+Q49+Q50+Q51+Q52+Q53+Q54+Q55+Q56+Q57+Q58+Q59+Q60, "NA")</f>
        <v>17104.920000000002</v>
      </c>
      <c r="R61" s="15">
        <f>IFERROR(Q61/Q444, "NA")</f>
        <v>0.12085323275961048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17104.920000000002</v>
      </c>
      <c r="X61" s="15">
        <f>IFERROR(W61/W444, "NA")</f>
        <v>-3.5160509865750171</v>
      </c>
      <c r="Y61" s="2"/>
      <c r="Z61" s="14">
        <f>IFERROR(Z46+Z47+Z48+Z49+Z50+Z51+Z52+Z53+Z54+Z55+Z56+Z57+Z58+Z59+Z60, "NA")</f>
        <v>24713.980000000003</v>
      </c>
      <c r="AA61" s="15">
        <f>IFERROR(Z61/Z444, "NA")</f>
        <v>0.17521045796154375</v>
      </c>
      <c r="AB61" s="2"/>
      <c r="AC61" s="14">
        <f t="shared" si="15"/>
        <v>-7609.0600000000013</v>
      </c>
      <c r="AD61" s="15">
        <f>IFERROR(AC61/AC444, "NA")</f>
        <v>-15.801511816255914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13160.14</v>
      </c>
      <c r="C62" s="15">
        <f>IFERROR(B62/B444, "NA")</f>
        <v>0.17868959191723335</v>
      </c>
      <c r="D62" s="2"/>
      <c r="E62" s="14">
        <f>IFERROR(E42+E43+E44+E46+E47+E48+E49+E50+E51+E52+E53+E54+E55+E56+E57+E58+E59+E60, "NA")</f>
        <v>16164.6</v>
      </c>
      <c r="F62" s="15">
        <f>IFERROR(E62/E444, "NA")</f>
        <v>0.2</v>
      </c>
      <c r="G62" s="2"/>
      <c r="H62" s="14">
        <f t="shared" si="12"/>
        <v>-3004.4600000000009</v>
      </c>
      <c r="I62" s="15">
        <f>IFERROR(H62/H444, "NA")</f>
        <v>0.41874298775601254</v>
      </c>
      <c r="J62" s="2"/>
      <c r="K62" s="14">
        <f>IFERROR(K42+K43+K44+K46+K47+K48+K49+K50+K51+K52+K53+K54+K55+K56+K57+K58+K59+K60, "NA")</f>
        <v>24067.54</v>
      </c>
      <c r="L62" s="15">
        <f>IFERROR(K62/K444, "NA")</f>
        <v>0.31162757695217019</v>
      </c>
      <c r="M62" s="2"/>
      <c r="N62" s="14">
        <f t="shared" si="13"/>
        <v>-10907.400000000001</v>
      </c>
      <c r="O62" s="15">
        <f>IFERROR(N62/N444, "NA")</f>
        <v>3.0436226347703048</v>
      </c>
      <c r="P62" s="2"/>
      <c r="Q62" s="14">
        <f>IFERROR(Q42+Q43+Q44+Q46+Q47+Q48+Q49+Q50+Q51+Q52+Q53+Q54+Q55+Q56+Q57+Q58+Q59+Q60, "NA")</f>
        <v>21301.47</v>
      </c>
      <c r="R62" s="15">
        <f>IFERROR(Q62/Q444, "NA")</f>
        <v>0.1505035692673137</v>
      </c>
      <c r="S62" s="2"/>
      <c r="T62" s="14">
        <f>IFERROR(T42+T43+T44+T46+T47+T48+T49+T50+T51+T52+T53+T54+T55+T56+T57+T58+T59+T60, "NA")</f>
        <v>29279.89</v>
      </c>
      <c r="U62" s="15">
        <f>IFERROR(T62/T444, "NA")</f>
        <v>0.19999998633874744</v>
      </c>
      <c r="V62" s="2"/>
      <c r="W62" s="14">
        <f t="shared" si="14"/>
        <v>-7978.4199999999983</v>
      </c>
      <c r="X62" s="15">
        <f>IFERROR(W62/W444, "NA")</f>
        <v>1.6400270514161914</v>
      </c>
      <c r="Y62" s="2"/>
      <c r="Z62" s="14">
        <f>IFERROR(Z42+Z43+Z44+Z46+Z47+Z48+Z49+Z50+Z51+Z52+Z53+Z54+Z55+Z56+Z57+Z58+Z59+Z60, "NA")</f>
        <v>41079.74</v>
      </c>
      <c r="AA62" s="15">
        <f>IFERROR(Z62/Z444, "NA")</f>
        <v>0.2912359748749957</v>
      </c>
      <c r="AB62" s="2"/>
      <c r="AC62" s="14">
        <f t="shared" si="15"/>
        <v>-19778.269999999997</v>
      </c>
      <c r="AD62" s="15">
        <f>IFERROR(AC62/AC444, "NA")</f>
        <v>-41.072953441042621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8243.9500000000007</v>
      </c>
      <c r="F64" s="8">
        <f>IFERROR(E64/E444, "NA")</f>
        <v>0.10200004949086276</v>
      </c>
      <c r="G64" s="9"/>
      <c r="H64" s="10">
        <f t="shared" ref="H64:H73" si="16">IFERROR(B64-E64, "NA")</f>
        <v>-8243.9500000000007</v>
      </c>
      <c r="I64" s="8">
        <f>IFERROR(H64/H444, "NA")</f>
        <v>1.1489905853002467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14932.75</v>
      </c>
      <c r="U64" s="8">
        <f>IFERROR(T64/T444, "NA")</f>
        <v>0.10200003469958155</v>
      </c>
      <c r="V64" s="9"/>
      <c r="W64" s="10">
        <f t="shared" ref="W64:W73" si="18">IFERROR(Q64-T64, "NA")</f>
        <v>-14932.75</v>
      </c>
      <c r="X64" s="8">
        <f>IFERROR(W64/W444, "NA")</f>
        <v>3.0695443398611677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5705.3</v>
      </c>
      <c r="C65" s="8">
        <f>IFERROR(B65/B444, "NA")</f>
        <v>7.7467088402204815E-2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5705.3</v>
      </c>
      <c r="I65" s="8">
        <f>IFERROR(H65/H444, "NA")</f>
        <v>-0.79516930431570987</v>
      </c>
      <c r="J65" s="9"/>
      <c r="K65" s="7">
        <v>0</v>
      </c>
      <c r="L65" s="8">
        <f>IFERROR(K65/K444, "NA")</f>
        <v>0</v>
      </c>
      <c r="M65" s="9"/>
      <c r="N65" s="10">
        <f t="shared" si="17"/>
        <v>5705.3</v>
      </c>
      <c r="O65" s="8">
        <f>IFERROR(N65/N444, "NA")</f>
        <v>-1.5920182828313822</v>
      </c>
      <c r="P65" s="9"/>
      <c r="Q65" s="7">
        <v>11265.3</v>
      </c>
      <c r="R65" s="8">
        <f>IFERROR(Q65/Q444, "NA")</f>
        <v>7.9593936891072262E-2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11265.3</v>
      </c>
      <c r="X65" s="8">
        <f>IFERROR(W65/W444, "NA")</f>
        <v>-2.3156711156242493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11265.3</v>
      </c>
      <c r="AD65" s="8">
        <f>IFERROR(AC65/AC444, "NA")</f>
        <v>23.394318229014846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400.22</v>
      </c>
      <c r="AA66" s="8">
        <f>IFERROR(Z66/Z444, "NA")</f>
        <v>2.8373709732454682E-3</v>
      </c>
      <c r="AB66" s="9"/>
      <c r="AC66" s="10">
        <f t="shared" si="19"/>
        <v>-400.22</v>
      </c>
      <c r="AD66" s="8">
        <f>IFERROR(AC66/AC444, "NA")</f>
        <v>-0.83112514017525696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403.2</v>
      </c>
      <c r="C68" s="8">
        <f>IFERROR(B68/B444, "NA")</f>
        <v>5.4746867024992509E-3</v>
      </c>
      <c r="D68" s="9"/>
      <c r="E68" s="7">
        <v>0</v>
      </c>
      <c r="F68" s="8">
        <f>IFERROR(E68/E444, "NA")</f>
        <v>0</v>
      </c>
      <c r="G68" s="9"/>
      <c r="H68" s="10">
        <f t="shared" si="16"/>
        <v>403.2</v>
      </c>
      <c r="I68" s="8">
        <f>IFERROR(H68/H444, "NA")</f>
        <v>-5.6195513557585786E-2</v>
      </c>
      <c r="J68" s="9"/>
      <c r="K68" s="7">
        <v>0</v>
      </c>
      <c r="L68" s="8">
        <f>IFERROR(K68/K444, "NA")</f>
        <v>0</v>
      </c>
      <c r="M68" s="9"/>
      <c r="N68" s="10">
        <f t="shared" si="17"/>
        <v>403.2</v>
      </c>
      <c r="O68" s="8">
        <f>IFERROR(N68/N444, "NA")</f>
        <v>-0.11250973158950683</v>
      </c>
      <c r="P68" s="9"/>
      <c r="Q68" s="7">
        <v>403.2</v>
      </c>
      <c r="R68" s="8">
        <f>IFERROR(Q68/Q444, "NA")</f>
        <v>2.8487723677558816E-3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403.2</v>
      </c>
      <c r="X68" s="8">
        <f>IFERROR(W68/W444, "NA")</f>
        <v>-8.288093471276374E-2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403.2</v>
      </c>
      <c r="AD68" s="8">
        <f>IFERROR(AC68/AC444, "NA")</f>
        <v>0.8373136188063155</v>
      </c>
    </row>
    <row r="69" spans="1:30" ht="16.5" customHeight="1" x14ac:dyDescent="0.45">
      <c r="A69" s="12" t="s">
        <v>66</v>
      </c>
      <c r="B69" s="7">
        <v>4560</v>
      </c>
      <c r="C69" s="8">
        <f>IFERROR(B69/B444, "NA")</f>
        <v>6.1916099611598677E-2</v>
      </c>
      <c r="D69" s="9"/>
      <c r="E69" s="7">
        <v>0</v>
      </c>
      <c r="F69" s="8">
        <f>IFERROR(E69/E444, "NA")</f>
        <v>0</v>
      </c>
      <c r="G69" s="9"/>
      <c r="H69" s="10">
        <f t="shared" si="16"/>
        <v>4560</v>
      </c>
      <c r="I69" s="8">
        <f>IFERROR(H69/H444, "NA")</f>
        <v>-0.63554449856793449</v>
      </c>
      <c r="J69" s="9"/>
      <c r="K69" s="7">
        <v>0</v>
      </c>
      <c r="L69" s="8">
        <f>IFERROR(K69/K444, "NA")</f>
        <v>0</v>
      </c>
      <c r="M69" s="9"/>
      <c r="N69" s="10">
        <f t="shared" si="17"/>
        <v>4560</v>
      </c>
      <c r="O69" s="8">
        <f>IFERROR(N69/N444, "NA")</f>
        <v>-1.2724314882146606</v>
      </c>
      <c r="P69" s="9"/>
      <c r="Q69" s="7">
        <v>6820</v>
      </c>
      <c r="R69" s="8">
        <f>IFERROR(Q69/Q444, "NA")</f>
        <v>4.8186080228410498E-2</v>
      </c>
      <c r="S69" s="9"/>
      <c r="T69" s="7">
        <v>0</v>
      </c>
      <c r="U69" s="8">
        <f>IFERROR(T69/T444, "NA")</f>
        <v>0</v>
      </c>
      <c r="V69" s="9"/>
      <c r="W69" s="10">
        <f t="shared" si="18"/>
        <v>6820</v>
      </c>
      <c r="X69" s="8">
        <f>IFERROR(W69/W444, "NA")</f>
        <v>-1.4019046992585533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6820</v>
      </c>
      <c r="AD69" s="8">
        <f>IFERROR(AC69/AC444, "NA")</f>
        <v>14.162894048261586</v>
      </c>
    </row>
    <row r="70" spans="1:30" ht="16.5" customHeight="1" x14ac:dyDescent="0.45">
      <c r="A70" s="12" t="s">
        <v>67</v>
      </c>
      <c r="B70" s="7">
        <v>3329</v>
      </c>
      <c r="C70" s="8">
        <f>IFERROR(B70/B444, "NA")</f>
        <v>4.5201468334871049E-2</v>
      </c>
      <c r="D70" s="9"/>
      <c r="E70" s="7">
        <v>0</v>
      </c>
      <c r="F70" s="8">
        <f>IFERROR(E70/E444, "NA")</f>
        <v>0</v>
      </c>
      <c r="G70" s="9"/>
      <c r="H70" s="10">
        <f t="shared" si="16"/>
        <v>3329</v>
      </c>
      <c r="I70" s="8">
        <f>IFERROR(H70/H444, "NA")</f>
        <v>-0.46397535871330131</v>
      </c>
      <c r="J70" s="9"/>
      <c r="K70" s="7">
        <v>0</v>
      </c>
      <c r="L70" s="8">
        <f>IFERROR(K70/K444, "NA")</f>
        <v>0</v>
      </c>
      <c r="M70" s="9"/>
      <c r="N70" s="10">
        <f t="shared" si="17"/>
        <v>3329</v>
      </c>
      <c r="O70" s="8">
        <f>IFERROR(N70/N444, "NA")</f>
        <v>-0.92893079479530816</v>
      </c>
      <c r="P70" s="9"/>
      <c r="Q70" s="7">
        <v>8781.5</v>
      </c>
      <c r="R70" s="8">
        <f>IFERROR(Q70/Q444, "NA")</f>
        <v>6.2044877349822114E-2</v>
      </c>
      <c r="S70" s="9"/>
      <c r="T70" s="7">
        <v>0</v>
      </c>
      <c r="U70" s="8">
        <f>IFERROR(T70/T444, "NA")</f>
        <v>0</v>
      </c>
      <c r="V70" s="9"/>
      <c r="W70" s="10">
        <f t="shared" si="18"/>
        <v>8781.5</v>
      </c>
      <c r="X70" s="8">
        <f>IFERROR(W70/W444, "NA")</f>
        <v>-1.8051064687007312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8781.5</v>
      </c>
      <c r="AD70" s="8">
        <f>IFERROR(AC70/AC444, "NA")</f>
        <v>18.236283590147966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13997.5</v>
      </c>
      <c r="C73" s="15">
        <f>IFERROR(B73/B444, "NA")</f>
        <v>0.19005934305117378</v>
      </c>
      <c r="D73" s="2"/>
      <c r="E73" s="14">
        <f>IFERROR(E64+E65+E66+E67+E68+E69+E70+E71+E72, "NA")</f>
        <v>8243.9500000000007</v>
      </c>
      <c r="F73" s="15">
        <f>IFERROR(E73/E444, "NA")</f>
        <v>0.10200004949086276</v>
      </c>
      <c r="G73" s="2"/>
      <c r="H73" s="14">
        <f t="shared" si="16"/>
        <v>5753.5499999999993</v>
      </c>
      <c r="I73" s="15">
        <f>IFERROR(H73/H444, "NA")</f>
        <v>-0.8018940898542849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13997.5</v>
      </c>
      <c r="O73" s="15">
        <f>IFERROR(N73/N444, "NA")</f>
        <v>-3.905890297430858</v>
      </c>
      <c r="P73" s="2"/>
      <c r="Q73" s="14">
        <f>IFERROR(Q64+Q65+Q66+Q67+Q68+Q69+Q70+Q71+Q72, "NA")</f>
        <v>27270</v>
      </c>
      <c r="R73" s="15">
        <f>IFERROR(Q73/Q444, "NA")</f>
        <v>0.19267366683706075</v>
      </c>
      <c r="S73" s="2"/>
      <c r="T73" s="14">
        <f>IFERROR(T64+T65+T66+T67+T68+T69+T70+T71+T72, "NA")</f>
        <v>14932.75</v>
      </c>
      <c r="U73" s="15">
        <f>IFERROR(T73/T444, "NA")</f>
        <v>0.10200003469958155</v>
      </c>
      <c r="V73" s="2"/>
      <c r="W73" s="14">
        <f t="shared" si="18"/>
        <v>12337.25</v>
      </c>
      <c r="X73" s="15">
        <f>IFERROR(W73/W444, "NA")</f>
        <v>-2.5360188784351303</v>
      </c>
      <c r="Y73" s="2"/>
      <c r="Z73" s="14">
        <f>IFERROR(Z64+Z65+Z66+Z67+Z68+Z69+Z70+Z71+Z72, "NA")</f>
        <v>400.22</v>
      </c>
      <c r="AA73" s="15">
        <f>IFERROR(Z73/Z444, "NA")</f>
        <v>2.8373709732454682E-3</v>
      </c>
      <c r="AB73" s="2"/>
      <c r="AC73" s="14">
        <f t="shared" si="19"/>
        <v>26869.78</v>
      </c>
      <c r="AD73" s="15">
        <f>IFERROR(AC73/AC444, "NA")</f>
        <v>55.799684346055457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646.58000000000004</v>
      </c>
      <c r="F75" s="8">
        <f>IFERROR(E75/E444, "NA")</f>
        <v>7.9999505091372502E-3</v>
      </c>
      <c r="G75" s="9"/>
      <c r="H75" s="10">
        <f t="shared" ref="H75:H92" si="20">IFERROR(B75-E75, "NA")</f>
        <v>-646.58000000000004</v>
      </c>
      <c r="I75" s="8">
        <f>IFERROR(H75/H444, "NA")</f>
        <v>9.0116307430713846E-2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1171.19</v>
      </c>
      <c r="U75" s="8">
        <f>IFERROR(T75/T444, "NA")</f>
        <v>7.9999612020426863E-3</v>
      </c>
      <c r="V75" s="9"/>
      <c r="W75" s="10">
        <f t="shared" ref="W75:W92" si="22">IFERROR(Q75-T75, "NA")</f>
        <v>-1171.19</v>
      </c>
      <c r="X75" s="8">
        <f>IFERROR(W75/W444, "NA")</f>
        <v>0.24074732620595679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179.2</v>
      </c>
      <c r="C77" s="8">
        <f>IFERROR(B77/B444, "NA")</f>
        <v>2.4331940899996671E-3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179.2</v>
      </c>
      <c r="I77" s="8">
        <f>IFERROR(H77/H444, "NA")</f>
        <v>-2.4975783803371461E-2</v>
      </c>
      <c r="J77" s="9"/>
      <c r="K77" s="7">
        <v>165.01</v>
      </c>
      <c r="L77" s="8">
        <f>IFERROR(K77/K444, "NA")</f>
        <v>2.1365568094154032E-3</v>
      </c>
      <c r="M77" s="9"/>
      <c r="N77" s="10">
        <f t="shared" si="21"/>
        <v>14.189999999999998</v>
      </c>
      <c r="O77" s="8">
        <f>IFERROR(N77/N444, "NA")</f>
        <v>-3.9596058810890417E-3</v>
      </c>
      <c r="P77" s="9"/>
      <c r="Q77" s="7">
        <v>382.23</v>
      </c>
      <c r="R77" s="8">
        <f>IFERROR(Q77/Q444, "NA")</f>
        <v>2.7006107691650068E-3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382.23</v>
      </c>
      <c r="X77" s="8">
        <f>IFERROR(W77/W444, "NA")</f>
        <v>-7.8570386099354378E-2</v>
      </c>
      <c r="Y77" s="9"/>
      <c r="Z77" s="7">
        <v>452.4</v>
      </c>
      <c r="AA77" s="8">
        <f>IFERROR(Z77/Z444, "NA")</f>
        <v>3.2073025543357392E-3</v>
      </c>
      <c r="AB77" s="9"/>
      <c r="AC77" s="10">
        <f t="shared" si="23"/>
        <v>-70.169999999999959</v>
      </c>
      <c r="AD77" s="8">
        <f>IFERROR(AC77/AC444, "NA")</f>
        <v>-0.14571998172529546</v>
      </c>
    </row>
    <row r="78" spans="1:30" ht="16.5" customHeight="1" x14ac:dyDescent="0.45">
      <c r="A78" s="12" t="s">
        <v>74</v>
      </c>
      <c r="B78" s="7">
        <v>50</v>
      </c>
      <c r="C78" s="8">
        <f>IFERROR(B78/B444, "NA")</f>
        <v>6.7890460100437141E-4</v>
      </c>
      <c r="D78" s="9"/>
      <c r="E78" s="7">
        <v>0</v>
      </c>
      <c r="F78" s="8">
        <f>IFERROR(E78/E444, "NA")</f>
        <v>0</v>
      </c>
      <c r="G78" s="9"/>
      <c r="H78" s="10">
        <f t="shared" si="20"/>
        <v>50</v>
      </c>
      <c r="I78" s="8">
        <f>IFERROR(H78/H444, "NA")</f>
        <v>-6.968689677279984E-3</v>
      </c>
      <c r="J78" s="9"/>
      <c r="K78" s="7">
        <v>100</v>
      </c>
      <c r="L78" s="8">
        <f>IFERROR(K78/K444, "NA")</f>
        <v>1.2948044418007415E-3</v>
      </c>
      <c r="M78" s="9"/>
      <c r="N78" s="10">
        <f t="shared" si="21"/>
        <v>-50</v>
      </c>
      <c r="O78" s="8">
        <f>IFERROR(N78/N444, "NA")</f>
        <v>1.3952099651476542E-2</v>
      </c>
      <c r="P78" s="9"/>
      <c r="Q78" s="7">
        <v>50</v>
      </c>
      <c r="R78" s="8">
        <f>IFERROR(Q78/Q444, "NA")</f>
        <v>3.5327038290623535E-4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50</v>
      </c>
      <c r="X78" s="8">
        <f>IFERROR(W78/W444, "NA")</f>
        <v>-1.0277893689578838E-2</v>
      </c>
      <c r="Y78" s="9"/>
      <c r="Z78" s="7">
        <v>125</v>
      </c>
      <c r="AA78" s="8">
        <f>IFERROR(Z78/Z444, "NA")</f>
        <v>8.8619102407596695E-4</v>
      </c>
      <c r="AB78" s="9"/>
      <c r="AC78" s="10">
        <f t="shared" si="23"/>
        <v>-75</v>
      </c>
      <c r="AD78" s="8">
        <f>IFERROR(AC78/AC444, "NA")</f>
        <v>-0.15575030111724619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95.33</v>
      </c>
      <c r="C80" s="8">
        <f>IFERROR(B80/B444, "NA")</f>
        <v>1.2943995122749346E-3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95.33</v>
      </c>
      <c r="I80" s="8">
        <f>IFERROR(H80/H444, "NA")</f>
        <v>-1.3286503738702018E-2</v>
      </c>
      <c r="J80" s="9"/>
      <c r="K80" s="7">
        <v>724.44</v>
      </c>
      <c r="L80" s="8">
        <f>IFERROR(K80/K444, "NA")</f>
        <v>9.3800812981812923E-3</v>
      </c>
      <c r="M80" s="9"/>
      <c r="N80" s="10">
        <f t="shared" si="21"/>
        <v>-629.11</v>
      </c>
      <c r="O80" s="8">
        <f>IFERROR(N80/N444, "NA")</f>
        <v>0.17554810823480815</v>
      </c>
      <c r="P80" s="9"/>
      <c r="Q80" s="7">
        <v>206.35</v>
      </c>
      <c r="R80" s="8">
        <f>IFERROR(Q80/Q444, "NA")</f>
        <v>1.4579468702540332E-3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206.35</v>
      </c>
      <c r="X80" s="8">
        <f>IFERROR(W80/W444, "NA")</f>
        <v>-4.2416867256891859E-2</v>
      </c>
      <c r="Y80" s="9"/>
      <c r="Z80" s="7">
        <v>1975.63</v>
      </c>
      <c r="AA80" s="8">
        <f>IFERROR(Z80/Z444, "NA")</f>
        <v>1.400628458316162E-2</v>
      </c>
      <c r="AB80" s="9"/>
      <c r="AC80" s="10">
        <f t="shared" si="23"/>
        <v>-1769.2800000000002</v>
      </c>
      <c r="AD80" s="8">
        <f>IFERROR(AC80/AC444, "NA")</f>
        <v>-3.674211903476285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25</v>
      </c>
      <c r="L82" s="8">
        <f>IFERROR(K82/K444, "NA")</f>
        <v>3.2370111045018537E-4</v>
      </c>
      <c r="M82" s="9"/>
      <c r="N82" s="10">
        <f t="shared" si="21"/>
        <v>-25</v>
      </c>
      <c r="O82" s="8">
        <f>IFERROR(N82/N444, "NA")</f>
        <v>6.976049825738271E-3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25</v>
      </c>
      <c r="AA82" s="8">
        <f>IFERROR(Z82/Z444, "NA")</f>
        <v>1.772382048151934E-4</v>
      </c>
      <c r="AB82" s="9"/>
      <c r="AC82" s="10">
        <f t="shared" si="23"/>
        <v>-25</v>
      </c>
      <c r="AD82" s="8">
        <f>IFERROR(AC82/AC444, "NA")</f>
        <v>-5.1916767039082067E-2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3.394523005021857E-4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-3.484344838639992E-3</v>
      </c>
      <c r="J86" s="9"/>
      <c r="K86" s="7">
        <v>0</v>
      </c>
      <c r="L86" s="8">
        <f>IFERROR(K86/K444, "NA")</f>
        <v>0</v>
      </c>
      <c r="M86" s="9"/>
      <c r="N86" s="10">
        <f t="shared" si="21"/>
        <v>25</v>
      </c>
      <c r="O86" s="8">
        <f>IFERROR(N86/N444, "NA")</f>
        <v>-6.976049825738271E-3</v>
      </c>
      <c r="P86" s="9"/>
      <c r="Q86" s="7">
        <v>50</v>
      </c>
      <c r="R86" s="8">
        <f>IFERROR(Q86/Q444, "NA")</f>
        <v>3.5327038290623535E-4</v>
      </c>
      <c r="S86" s="9"/>
      <c r="T86" s="7">
        <v>0</v>
      </c>
      <c r="U86" s="8">
        <f>IFERROR(T86/T444, "NA")</f>
        <v>0</v>
      </c>
      <c r="V86" s="9"/>
      <c r="W86" s="10">
        <f t="shared" si="22"/>
        <v>50</v>
      </c>
      <c r="X86" s="8">
        <f>IFERROR(W86/W444, "NA")</f>
        <v>-1.0277893689578838E-2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50</v>
      </c>
      <c r="AD86" s="8">
        <f>IFERROR(AC86/AC444, "NA")</f>
        <v>0.10383353407816413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349.53</v>
      </c>
      <c r="C88" s="15">
        <f>IFERROR(B88/B444, "NA")</f>
        <v>4.7459505037811588E-3</v>
      </c>
      <c r="D88" s="2"/>
      <c r="E88" s="14">
        <f>IFERROR(E75+E76+E77+E78+E79+E80+E81+E82+E83+E84+E85+E86+E87, "NA")</f>
        <v>646.58000000000004</v>
      </c>
      <c r="F88" s="15">
        <f>IFERROR(E88/E444, "NA")</f>
        <v>7.9999505091372502E-3</v>
      </c>
      <c r="G88" s="2"/>
      <c r="H88" s="14">
        <f t="shared" si="20"/>
        <v>-297.05000000000007</v>
      </c>
      <c r="I88" s="15">
        <f>IFERROR(H88/H444, "NA")</f>
        <v>4.1400985372720391E-2</v>
      </c>
      <c r="J88" s="2"/>
      <c r="K88" s="14">
        <f>IFERROR(K75+K76+K77+K78+K79+K80+K81+K82+K83+K84+K85+K86+K87, "NA")</f>
        <v>1014.45</v>
      </c>
      <c r="L88" s="15">
        <f>IFERROR(K88/K444, "NA")</f>
        <v>1.3135143659847621E-2</v>
      </c>
      <c r="M88" s="2"/>
      <c r="N88" s="14">
        <f t="shared" si="21"/>
        <v>-664.92000000000007</v>
      </c>
      <c r="O88" s="15">
        <f>IFERROR(N88/N444, "NA")</f>
        <v>0.18554060200519565</v>
      </c>
      <c r="P88" s="2"/>
      <c r="Q88" s="14">
        <f>IFERROR(Q75+Q76+Q77+Q78+Q79+Q80+Q81+Q82+Q83+Q84+Q85+Q86+Q87, "NA")</f>
        <v>688.58</v>
      </c>
      <c r="R88" s="15">
        <f>IFERROR(Q88/Q444, "NA")</f>
        <v>4.8650984052315107E-3</v>
      </c>
      <c r="S88" s="2"/>
      <c r="T88" s="14">
        <f>IFERROR(T75+T76+T77+T78+T79+T80+T81+T82+T83+T84+T85+T86+T87, "NA")</f>
        <v>1171.19</v>
      </c>
      <c r="U88" s="15">
        <f>IFERROR(T88/T444, "NA")</f>
        <v>7.9999612020426863E-3</v>
      </c>
      <c r="V88" s="2"/>
      <c r="W88" s="14">
        <f t="shared" si="22"/>
        <v>-482.61</v>
      </c>
      <c r="X88" s="15">
        <f>IFERROR(W88/W444, "NA")</f>
        <v>9.9204285470552864E-2</v>
      </c>
      <c r="Y88" s="2"/>
      <c r="Z88" s="14">
        <f>IFERROR(Z75+Z76+Z77+Z78+Z79+Z80+Z81+Z82+Z83+Z84+Z85+Z86+Z87, "NA")</f>
        <v>2578.0300000000002</v>
      </c>
      <c r="AA88" s="15">
        <f>IFERROR(Z88/Z444, "NA")</f>
        <v>1.827701636638852E-2</v>
      </c>
      <c r="AB88" s="2"/>
      <c r="AC88" s="14">
        <f t="shared" si="23"/>
        <v>-1889.4500000000003</v>
      </c>
      <c r="AD88" s="15">
        <f>IFERROR(AC88/AC444, "NA")</f>
        <v>-3.9237654192797446</v>
      </c>
    </row>
    <row r="89" spans="1:30" ht="16.5" customHeight="1" x14ac:dyDescent="0.45">
      <c r="A89" s="6" t="s">
        <v>85</v>
      </c>
      <c r="B89" s="7">
        <v>20.85</v>
      </c>
      <c r="C89" s="8">
        <f>IFERROR(B89/B444, "NA")</f>
        <v>2.831032186188229E-4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20.85</v>
      </c>
      <c r="I89" s="8">
        <f>IFERROR(H89/H444, "NA")</f>
        <v>-2.9059435954257536E-3</v>
      </c>
      <c r="J89" s="9"/>
      <c r="K89" s="7">
        <v>-99.95</v>
      </c>
      <c r="L89" s="8">
        <f>IFERROR(K89/K444, "NA")</f>
        <v>-1.2941570395798411E-3</v>
      </c>
      <c r="M89" s="9"/>
      <c r="N89" s="10">
        <f t="shared" si="21"/>
        <v>120.80000000000001</v>
      </c>
      <c r="O89" s="8">
        <f>IFERROR(N89/N444, "NA")</f>
        <v>-3.3708272757967325E-2</v>
      </c>
      <c r="P89" s="9"/>
      <c r="Q89" s="7">
        <v>20.85</v>
      </c>
      <c r="R89" s="8">
        <f>IFERROR(Q89/Q444, "NA")</f>
        <v>1.4731374967190015E-4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20.85</v>
      </c>
      <c r="X89" s="8">
        <f>IFERROR(W89/W444, "NA")</f>
        <v>-4.2858816685543751E-3</v>
      </c>
      <c r="Y89" s="9"/>
      <c r="Z89" s="7">
        <v>-102.22</v>
      </c>
      <c r="AA89" s="8">
        <f>IFERROR(Z89/Z444, "NA")</f>
        <v>-7.2469157184836268E-4</v>
      </c>
      <c r="AB89" s="9"/>
      <c r="AC89" s="10">
        <f t="shared" si="23"/>
        <v>123.07</v>
      </c>
      <c r="AD89" s="8">
        <f>IFERROR(AC89/AC444, "NA")</f>
        <v>0.25557586077999317</v>
      </c>
    </row>
    <row r="90" spans="1:30" ht="16.5" customHeight="1" x14ac:dyDescent="0.45">
      <c r="A90" s="6" t="s">
        <v>86</v>
      </c>
      <c r="B90" s="7">
        <v>-216.54</v>
      </c>
      <c r="C90" s="8">
        <f>IFERROR(B90/B444, "NA")</f>
        <v>-2.9402000460297317E-3</v>
      </c>
      <c r="D90" s="9"/>
      <c r="E90" s="7">
        <v>0</v>
      </c>
      <c r="F90" s="8">
        <f>IFERROR(E90/E444, "NA")</f>
        <v>0</v>
      </c>
      <c r="G90" s="9"/>
      <c r="H90" s="10">
        <f t="shared" si="20"/>
        <v>-216.54</v>
      </c>
      <c r="I90" s="8">
        <f>IFERROR(H90/H444, "NA")</f>
        <v>3.0180001254364153E-2</v>
      </c>
      <c r="J90" s="9"/>
      <c r="K90" s="7">
        <v>0</v>
      </c>
      <c r="L90" s="8">
        <f>IFERROR(K90/K444, "NA")</f>
        <v>0</v>
      </c>
      <c r="M90" s="9"/>
      <c r="N90" s="10">
        <f t="shared" si="21"/>
        <v>-216.54</v>
      </c>
      <c r="O90" s="8">
        <f>IFERROR(N90/N444, "NA")</f>
        <v>6.0423753170614602E-2</v>
      </c>
      <c r="P90" s="9"/>
      <c r="Q90" s="7">
        <v>-203.55</v>
      </c>
      <c r="R90" s="8">
        <f>IFERROR(Q90/Q444, "NA")</f>
        <v>-1.4381637288112842E-3</v>
      </c>
      <c r="S90" s="9"/>
      <c r="T90" s="7">
        <v>0</v>
      </c>
      <c r="U90" s="8">
        <f>IFERROR(T90/T444, "NA")</f>
        <v>0</v>
      </c>
      <c r="V90" s="9"/>
      <c r="W90" s="10">
        <f t="shared" si="22"/>
        <v>-203.55</v>
      </c>
      <c r="X90" s="8">
        <f>IFERROR(W90/W444, "NA")</f>
        <v>4.1841305210275452E-2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-203.55</v>
      </c>
      <c r="AD90" s="8">
        <f>IFERROR(AC90/AC444, "NA")</f>
        <v>-0.4227063172322062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-4768.5600000000004</v>
      </c>
      <c r="F94" s="8">
        <f>IFERROR(E94/E444, "NA")</f>
        <v>-5.9000037118147067E-2</v>
      </c>
      <c r="G94" s="9"/>
      <c r="H94" s="10">
        <f t="shared" ref="H94:H124" si="24">IFERROR(B94-E94, "NA")</f>
        <v>4768.5600000000004</v>
      </c>
      <c r="I94" s="8">
        <f>IFERROR(H94/H444, "NA")</f>
        <v>-0.66461229694980484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-8637.57</v>
      </c>
      <c r="U94" s="8">
        <f>IFERROR(T94/T444, "NA")</f>
        <v>-5.9000012704964896E-2</v>
      </c>
      <c r="V94" s="9"/>
      <c r="W94" s="10">
        <f t="shared" ref="W94:W124" si="26">IFERROR(Q94-T94, "NA")</f>
        <v>8637.57</v>
      </c>
      <c r="X94" s="8">
        <f>IFERROR(W94/W444, "NA")</f>
        <v>-1.7755205239259095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-719.62</v>
      </c>
      <c r="C96" s="8">
        <f>IFERROR(B96/B444, "NA")</f>
        <v>-9.7710665794953147E-3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-719.62</v>
      </c>
      <c r="I96" s="8">
        <f>IFERROR(H96/H444, "NA")</f>
        <v>0.10029616931128445</v>
      </c>
      <c r="J96" s="9"/>
      <c r="K96" s="7">
        <v>-1260.9000000000001</v>
      </c>
      <c r="L96" s="8">
        <f>IFERROR(K96/K444, "NA")</f>
        <v>-1.6326189206665551E-2</v>
      </c>
      <c r="M96" s="9"/>
      <c r="N96" s="10">
        <f t="shared" si="25"/>
        <v>541.28000000000009</v>
      </c>
      <c r="O96" s="8">
        <f>IFERROR(N96/N444, "NA")</f>
        <v>-0.15103984998702447</v>
      </c>
      <c r="P96" s="9"/>
      <c r="Q96" s="7">
        <v>-1966.28</v>
      </c>
      <c r="R96" s="8">
        <f>IFERROR(Q96/Q444, "NA")</f>
        <v>-1.3892569770017448E-2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-1966.28</v>
      </c>
      <c r="X96" s="8">
        <f>IFERROR(W96/W444, "NA")</f>
        <v>0.40418433607890153</v>
      </c>
      <c r="Y96" s="9"/>
      <c r="Z96" s="7">
        <v>-2487.8000000000002</v>
      </c>
      <c r="AA96" s="8">
        <f>IFERROR(Z96/Z444, "NA")</f>
        <v>-1.7637328237569527E-2</v>
      </c>
      <c r="AB96" s="9"/>
      <c r="AC96" s="10">
        <f t="shared" si="27"/>
        <v>521.52000000000021</v>
      </c>
      <c r="AD96" s="8">
        <f>IFERROR(AC96/AC444, "NA")</f>
        <v>1.0830252938488836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-997.48</v>
      </c>
      <c r="C98" s="8">
        <f>IFERROR(B98/B444, "NA")</f>
        <v>-1.3543875228196809E-2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-997.48</v>
      </c>
      <c r="I98" s="8">
        <f>IFERROR(H98/H444, "NA")</f>
        <v>0.13902257158586476</v>
      </c>
      <c r="J98" s="9"/>
      <c r="K98" s="7">
        <v>-1408.52</v>
      </c>
      <c r="L98" s="8">
        <f>IFERROR(K98/K444, "NA")</f>
        <v>-1.8237579523651803E-2</v>
      </c>
      <c r="M98" s="9"/>
      <c r="N98" s="10">
        <f t="shared" si="25"/>
        <v>411.03999999999996</v>
      </c>
      <c r="O98" s="8">
        <f>IFERROR(N98/N444, "NA")</f>
        <v>-0.11469742081485834</v>
      </c>
      <c r="P98" s="9"/>
      <c r="Q98" s="7">
        <v>-2584.02</v>
      </c>
      <c r="R98" s="8">
        <f>IFERROR(Q98/Q444, "NA")</f>
        <v>-1.8257154696747404E-2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-2584.02</v>
      </c>
      <c r="X98" s="8">
        <f>IFERROR(W98/W444, "NA")</f>
        <v>0.53116565703491014</v>
      </c>
      <c r="Y98" s="9"/>
      <c r="Z98" s="7">
        <v>-3068.66</v>
      </c>
      <c r="AA98" s="8">
        <f>IFERROR(Z98/Z444, "NA")</f>
        <v>-2.1755351583527652E-2</v>
      </c>
      <c r="AB98" s="9"/>
      <c r="AC98" s="10">
        <f t="shared" si="27"/>
        <v>484.63999999999987</v>
      </c>
      <c r="AD98" s="8">
        <f>IFERROR(AC98/AC444, "NA")</f>
        <v>1.0064376791128289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-174.5</v>
      </c>
      <c r="C100" s="8">
        <f>IFERROR(B100/B444, "NA")</f>
        <v>-2.3693770575052564E-3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-174.5</v>
      </c>
      <c r="I100" s="8">
        <f>IFERROR(H100/H444, "NA")</f>
        <v>2.4320726973707144E-2</v>
      </c>
      <c r="J100" s="9"/>
      <c r="K100" s="7">
        <v>-643.70000000000005</v>
      </c>
      <c r="L100" s="8">
        <f>IFERROR(K100/K444, "NA")</f>
        <v>-8.3346561918713723E-3</v>
      </c>
      <c r="M100" s="9"/>
      <c r="N100" s="10">
        <f t="shared" si="25"/>
        <v>469.20000000000005</v>
      </c>
      <c r="O100" s="8">
        <f>IFERROR(N100/N444, "NA")</f>
        <v>-0.13092650312945589</v>
      </c>
      <c r="P100" s="9"/>
      <c r="Q100" s="7">
        <v>-180.63</v>
      </c>
      <c r="R100" s="8">
        <f>IFERROR(Q100/Q444, "NA")</f>
        <v>-1.2762245852870658E-3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-180.63</v>
      </c>
      <c r="X100" s="8">
        <f>IFERROR(W100/W444, "NA")</f>
        <v>3.7129918742972508E-2</v>
      </c>
      <c r="Y100" s="9"/>
      <c r="Z100" s="7">
        <v>-739.32</v>
      </c>
      <c r="AA100" s="8">
        <f>IFERROR(Z100/Z444, "NA")</f>
        <v>-5.2414299833587518E-3</v>
      </c>
      <c r="AB100" s="9"/>
      <c r="AC100" s="10">
        <f t="shared" si="27"/>
        <v>558.69000000000005</v>
      </c>
      <c r="AD100" s="8">
        <f>IFERROR(AC100/AC444, "NA")</f>
        <v>1.1602151430825904</v>
      </c>
    </row>
    <row r="101" spans="1:30" ht="16.5" customHeight="1" x14ac:dyDescent="0.45">
      <c r="A101" s="12" t="s">
        <v>96</v>
      </c>
      <c r="B101" s="7">
        <v>-46.44</v>
      </c>
      <c r="C101" s="8">
        <f>IFERROR(B101/B444, "NA")</f>
        <v>-6.3056659341286013E-4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-46.44</v>
      </c>
      <c r="I101" s="8">
        <f>IFERROR(H101/H444, "NA")</f>
        <v>6.4725189722576485E-3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-46.44</v>
      </c>
      <c r="O101" s="8">
        <f>IFERROR(N101/N444, "NA")</f>
        <v>1.295871015629141E-2</v>
      </c>
      <c r="P101" s="9"/>
      <c r="Q101" s="7">
        <v>-46.44</v>
      </c>
      <c r="R101" s="8">
        <f>IFERROR(Q101/Q444, "NA")</f>
        <v>-3.2811753164331135E-4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-46.44</v>
      </c>
      <c r="X101" s="8">
        <f>IFERROR(W101/W444, "NA")</f>
        <v>9.546107658880823E-3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-46.44</v>
      </c>
      <c r="AD101" s="8">
        <f>IFERROR(AC101/AC444, "NA")</f>
        <v>-9.6440586451798843E-2</v>
      </c>
    </row>
    <row r="102" spans="1:30" ht="16.5" customHeight="1" x14ac:dyDescent="0.45">
      <c r="A102" s="12" t="s">
        <v>97</v>
      </c>
      <c r="B102" s="7">
        <v>-899.26</v>
      </c>
      <c r="C102" s="8">
        <f>IFERROR(B102/B444, "NA")</f>
        <v>-1.2210235029983821E-2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-899.26</v>
      </c>
      <c r="I102" s="8">
        <f>IFERROR(H102/H444, "NA")</f>
        <v>0.12533327758381596</v>
      </c>
      <c r="J102" s="9"/>
      <c r="K102" s="7">
        <v>-930.32</v>
      </c>
      <c r="L102" s="8">
        <f>IFERROR(K102/K444, "NA")</f>
        <v>-1.2045824682960659E-2</v>
      </c>
      <c r="M102" s="9"/>
      <c r="N102" s="10">
        <f t="shared" si="25"/>
        <v>31.060000000000059</v>
      </c>
      <c r="O102" s="8">
        <f>IFERROR(N102/N444, "NA")</f>
        <v>-8.6670443034972434E-3</v>
      </c>
      <c r="P102" s="9"/>
      <c r="Q102" s="7">
        <v>-1760.4</v>
      </c>
      <c r="R102" s="8">
        <f>IFERROR(Q102/Q444, "NA")</f>
        <v>-1.2437943641362735E-2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-1760.4</v>
      </c>
      <c r="X102" s="8">
        <f>IFERROR(W102/W444, "NA")</f>
        <v>0.36186408102269174</v>
      </c>
      <c r="Y102" s="9"/>
      <c r="Z102" s="7">
        <v>-1741.08</v>
      </c>
      <c r="AA102" s="8">
        <f>IFERROR(Z102/Z444, "NA")</f>
        <v>-1.2343435745585475E-2</v>
      </c>
      <c r="AB102" s="9"/>
      <c r="AC102" s="10">
        <f t="shared" si="27"/>
        <v>-19.320000000000164</v>
      </c>
      <c r="AD102" s="8">
        <f>IFERROR(AC102/AC444, "NA")</f>
        <v>-4.0121277567802961E-2</v>
      </c>
    </row>
    <row r="103" spans="1:30" ht="16.5" customHeight="1" x14ac:dyDescent="0.45">
      <c r="A103" s="12" t="s">
        <v>98</v>
      </c>
      <c r="B103" s="7">
        <v>-13</v>
      </c>
      <c r="C103" s="8">
        <f>IFERROR(B103/B444, "NA")</f>
        <v>-1.7651519626113657E-4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-13</v>
      </c>
      <c r="I103" s="8">
        <f>IFERROR(H103/H444, "NA")</f>
        <v>1.8118593160927959E-3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-13</v>
      </c>
      <c r="O103" s="8">
        <f>IFERROR(N103/N444, "NA")</f>
        <v>3.6275459093839009E-3</v>
      </c>
      <c r="P103" s="9"/>
      <c r="Q103" s="7">
        <v>-48</v>
      </c>
      <c r="R103" s="8">
        <f>IFERROR(Q103/Q444, "NA")</f>
        <v>-3.3913956758998594E-4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-48</v>
      </c>
      <c r="X103" s="8">
        <f>IFERROR(W103/W444, "NA")</f>
        <v>9.866777941995683E-3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-48</v>
      </c>
      <c r="AD103" s="8">
        <f>IFERROR(AC103/AC444, "NA")</f>
        <v>-9.9680192715037558E-2</v>
      </c>
    </row>
    <row r="104" spans="1:30" ht="16.5" customHeight="1" x14ac:dyDescent="0.45">
      <c r="A104" s="12" t="s">
        <v>99</v>
      </c>
      <c r="B104" s="7">
        <v>-122.19</v>
      </c>
      <c r="C104" s="8">
        <f>IFERROR(B104/B444, "NA")</f>
        <v>-1.6591070639344829E-3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-122.19</v>
      </c>
      <c r="I104" s="8">
        <f>IFERROR(H104/H444, "NA")</f>
        <v>1.7030083833336825E-2</v>
      </c>
      <c r="J104" s="9"/>
      <c r="K104" s="7">
        <v>-360.79</v>
      </c>
      <c r="L104" s="8">
        <f>IFERROR(K104/K444, "NA")</f>
        <v>-4.671524945572895E-3</v>
      </c>
      <c r="M104" s="9"/>
      <c r="N104" s="10">
        <f t="shared" si="25"/>
        <v>238.60000000000002</v>
      </c>
      <c r="O104" s="8">
        <f>IFERROR(N104/N444, "NA")</f>
        <v>-6.6579419536846068E-2</v>
      </c>
      <c r="P104" s="9"/>
      <c r="Q104" s="7">
        <v>-663.59</v>
      </c>
      <c r="R104" s="8">
        <f>IFERROR(Q104/Q444, "NA")</f>
        <v>-4.6885338678549745E-3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-663.59</v>
      </c>
      <c r="X104" s="8">
        <f>IFERROR(W104/W444, "NA")</f>
        <v>0.13640614946935242</v>
      </c>
      <c r="Y104" s="9"/>
      <c r="Z104" s="7">
        <v>-828.06</v>
      </c>
      <c r="AA104" s="8">
        <f>IFERROR(Z104/Z444, "NA")</f>
        <v>-5.8705547151707612E-3</v>
      </c>
      <c r="AB104" s="9"/>
      <c r="AC104" s="10">
        <f t="shared" si="27"/>
        <v>164.46999999999991</v>
      </c>
      <c r="AD104" s="8">
        <f>IFERROR(AC104/AC444, "NA")</f>
        <v>0.34155002699671289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-40</v>
      </c>
      <c r="R106" s="8">
        <f>IFERROR(Q106/Q444, "NA")</f>
        <v>-2.8261630632498829E-4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-40</v>
      </c>
      <c r="X106" s="8">
        <f>IFERROR(W106/W444, "NA")</f>
        <v>8.2223149516630692E-3</v>
      </c>
      <c r="Y106" s="9"/>
      <c r="Z106" s="7">
        <v>-235.87</v>
      </c>
      <c r="AA106" s="8">
        <f>IFERROR(Z106/Z444, "NA")</f>
        <v>-1.6722070147903866E-3</v>
      </c>
      <c r="AB106" s="9"/>
      <c r="AC106" s="10">
        <f t="shared" si="27"/>
        <v>195.87</v>
      </c>
      <c r="AD106" s="8">
        <f>IFERROR(AC106/AC444, "NA")</f>
        <v>0.40675748639780018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-2972.4900000000002</v>
      </c>
      <c r="C118" s="15">
        <f>IFERROR(B118/B444, "NA")</f>
        <v>-4.0360742748789681E-2</v>
      </c>
      <c r="D118" s="2"/>
      <c r="E118" s="14">
        <f>IFERROR(E94+E95+E96+E97+E98+E99+E100+E101+E102+E103+E104+E105+E106+E107+E108+E109+E110+E111+E112+E113+E114+E115+E116+E117, "NA")</f>
        <v>-4768.5600000000004</v>
      </c>
      <c r="F118" s="15">
        <f>IFERROR(E118/E444, "NA")</f>
        <v>-5.9000037118147067E-2</v>
      </c>
      <c r="G118" s="2"/>
      <c r="H118" s="14">
        <f t="shared" si="24"/>
        <v>1796.0700000000002</v>
      </c>
      <c r="I118" s="15">
        <f>IFERROR(H118/H444, "NA")</f>
        <v>-0.25032508937344522</v>
      </c>
      <c r="J118" s="2"/>
      <c r="K118" s="14">
        <f>IFERROR(K94+K95+K96+K97+K98+K99+K100+K101+K102+K103+K104+K105+K106+K107+K108+K109+K110+K111+K112+K113+K114+K115+K116+K117, "NA")</f>
        <v>-4604.2299999999996</v>
      </c>
      <c r="L118" s="15">
        <f>IFERROR(K118/K444, "NA")</f>
        <v>-5.961577455072227E-2</v>
      </c>
      <c r="M118" s="2"/>
      <c r="N118" s="14">
        <f t="shared" si="25"/>
        <v>1631.7399999999993</v>
      </c>
      <c r="O118" s="15">
        <f>IFERROR(N118/N444, "NA")</f>
        <v>-0.45532398170600646</v>
      </c>
      <c r="P118" s="2"/>
      <c r="Q118" s="14">
        <f>IFERROR(Q94+Q95+Q96+Q97+Q98+Q99+Q100+Q101+Q102+Q103+Q104+Q105+Q106+Q107+Q108+Q109+Q110+Q111+Q112+Q113+Q114+Q115+Q116+Q117, "NA")</f>
        <v>-7289.3600000000006</v>
      </c>
      <c r="R118" s="15">
        <f>IFERROR(Q118/Q444, "NA")</f>
        <v>-5.1502299966827918E-2</v>
      </c>
      <c r="S118" s="2"/>
      <c r="T118" s="14">
        <f>IFERROR(T94+T95+T96+T97+T98+T99+T100+T101+T102+T103+T104+T105+T106+T107+T108+T109+T110+T111+T112+T113+T114+T115+T116+T117, "NA")</f>
        <v>-8637.57</v>
      </c>
      <c r="U118" s="15">
        <f>IFERROR(T118/T444, "NA")</f>
        <v>-5.9000012704964896E-2</v>
      </c>
      <c r="V118" s="2"/>
      <c r="W118" s="14">
        <f t="shared" si="26"/>
        <v>1348.2099999999991</v>
      </c>
      <c r="X118" s="15">
        <f>IFERROR(W118/W444, "NA")</f>
        <v>-0.27713518102454149</v>
      </c>
      <c r="Y118" s="2"/>
      <c r="Z118" s="14">
        <f>IFERROR(Z94+Z95+Z96+Z97+Z98+Z99+Z100+Z101+Z102+Z103+Z104+Z105+Z106+Z107+Z108+Z109+Z110+Z111+Z112+Z113+Z114+Z115+Z116+Z117, "NA")</f>
        <v>-9100.7900000000009</v>
      </c>
      <c r="AA118" s="15">
        <f>IFERROR(Z118/Z444, "NA")</f>
        <v>-6.4520307280002562E-2</v>
      </c>
      <c r="AB118" s="2"/>
      <c r="AC118" s="14">
        <f t="shared" si="27"/>
        <v>1811.4300000000003</v>
      </c>
      <c r="AD118" s="15">
        <f>IFERROR(AC118/AC444, "NA")</f>
        <v>3.7617435727041775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73648.05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80823.000000000015</v>
      </c>
      <c r="F122" s="15">
        <f>IFERROR(E122/E444, "NA")</f>
        <v>1.0000000000000002</v>
      </c>
      <c r="G122" s="2"/>
      <c r="H122" s="14">
        <f t="shared" si="24"/>
        <v>-7174.9500000000116</v>
      </c>
      <c r="I122" s="15">
        <f>IFERROR(H122/H444, "NA")</f>
        <v>1.000000000000002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77231.739999999991</v>
      </c>
      <c r="L122" s="15">
        <f>IFERROR(K122/K444, "NA")</f>
        <v>0.99999999999999978</v>
      </c>
      <c r="M122" s="2"/>
      <c r="N122" s="14">
        <f t="shared" si="25"/>
        <v>-3583.6899999999878</v>
      </c>
      <c r="O122" s="15">
        <f>IFERROR(N122/N444, "NA")</f>
        <v>0.99999999999999589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141534.65000000005</v>
      </c>
      <c r="R122" s="15">
        <f>IFERROR(Q122/Q444, "NA")</f>
        <v>1.0000000000000004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146399.46000000002</v>
      </c>
      <c r="U122" s="15">
        <f>IFERROR(T122/T444, "NA")</f>
        <v>1.0000000000000002</v>
      </c>
      <c r="V122" s="2"/>
      <c r="W122" s="14">
        <f t="shared" si="26"/>
        <v>-4864.8099999999686</v>
      </c>
      <c r="X122" s="15">
        <f>IFERROR(W122/W444, "NA")</f>
        <v>0.999999999999994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141053.11000000004</v>
      </c>
      <c r="AA122" s="15">
        <f>IFERROR(Z122/Z444, "NA")</f>
        <v>1.0000000000000004</v>
      </c>
      <c r="AB122" s="2"/>
      <c r="AC122" s="14">
        <f t="shared" si="27"/>
        <v>481.54000000000815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73648.05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80823.000000000015</v>
      </c>
      <c r="F124" s="15">
        <f>IFERROR(E124/E444, "NA")</f>
        <v>1.0000000000000002</v>
      </c>
      <c r="G124" s="2"/>
      <c r="H124" s="14">
        <f t="shared" si="24"/>
        <v>-7174.9500000000116</v>
      </c>
      <c r="I124" s="15">
        <f>IFERROR(H124/H444, "NA")</f>
        <v>1.000000000000002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77231.739999999991</v>
      </c>
      <c r="L124" s="15">
        <f>IFERROR(K124/K444, "NA")</f>
        <v>0.99999999999999978</v>
      </c>
      <c r="M124" s="2"/>
      <c r="N124" s="14">
        <f t="shared" si="25"/>
        <v>-3583.6899999999878</v>
      </c>
      <c r="O124" s="15">
        <f>IFERROR(N124/N444, "NA")</f>
        <v>0.99999999999999589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141534.65000000005</v>
      </c>
      <c r="R124" s="15">
        <f>IFERROR(Q124/Q444, "NA")</f>
        <v>1.0000000000000004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146399.46000000002</v>
      </c>
      <c r="U124" s="15">
        <f>IFERROR(T124/T444, "NA")</f>
        <v>1.0000000000000002</v>
      </c>
      <c r="V124" s="2"/>
      <c r="W124" s="14">
        <f t="shared" si="26"/>
        <v>-4864.8099999999686</v>
      </c>
      <c r="X124" s="15">
        <f>IFERROR(W124/W444, "NA")</f>
        <v>0.999999999999994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141053.11000000004</v>
      </c>
      <c r="AA124" s="15">
        <f>IFERROR(Z124/Z444, "NA")</f>
        <v>1.0000000000000004</v>
      </c>
      <c r="AB124" s="2"/>
      <c r="AC124" s="14">
        <f t="shared" si="27"/>
        <v>481.54000000000815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17134.48</v>
      </c>
      <c r="F129" s="8">
        <f>IFERROR(E129/E444, "NA")</f>
        <v>0.21200004949086274</v>
      </c>
      <c r="G129" s="9"/>
      <c r="H129" s="10">
        <f t="shared" ref="H129:H141" si="28">IFERROR(-(B129-E129), "NA")</f>
        <v>17134.48</v>
      </c>
      <c r="I129" s="8">
        <f>IFERROR(H129/H444, "NA")</f>
        <v>-2.3880974780312068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31561.3</v>
      </c>
      <c r="U129" s="8">
        <f>IFERROR(T129/T444, "NA")</f>
        <v>0.21558344545806385</v>
      </c>
      <c r="V129" s="9"/>
      <c r="W129" s="10">
        <f t="shared" ref="W129:W141" si="30">IFERROR(-(Q129-T129), "NA")</f>
        <v>31561.3</v>
      </c>
      <c r="X129" s="8">
        <f>IFERROR(W129/W444, "NA")</f>
        <v>-6.4876737220980907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3254.32</v>
      </c>
      <c r="C130" s="8">
        <f>IFERROR(B130/B444, "NA")</f>
        <v>4.4187456422810925E-2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-3254.32</v>
      </c>
      <c r="I130" s="8">
        <f>IFERROR(H130/H444, "NA")</f>
        <v>0.45356692381131597</v>
      </c>
      <c r="J130" s="9"/>
      <c r="K130" s="7">
        <v>4299.51</v>
      </c>
      <c r="L130" s="8">
        <f>IFERROR(K130/K444, "NA")</f>
        <v>5.5670246455667059E-2</v>
      </c>
      <c r="M130" s="9"/>
      <c r="N130" s="10">
        <f t="shared" si="29"/>
        <v>1045.19</v>
      </c>
      <c r="O130" s="8">
        <f>IFERROR(N130/N444, "NA")</f>
        <v>-0.29165190069453534</v>
      </c>
      <c r="P130" s="9"/>
      <c r="Q130" s="7">
        <v>6547.81</v>
      </c>
      <c r="R130" s="8">
        <f>IFERROR(Q130/Q444, "NA")</f>
        <v>4.6262946917945538E-2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-6547.81</v>
      </c>
      <c r="X130" s="8">
        <f>IFERROR(W130/W444, "NA")</f>
        <v>1.3459539015912243</v>
      </c>
      <c r="Y130" s="9"/>
      <c r="Z130" s="7">
        <v>7857.67</v>
      </c>
      <c r="AA130" s="8">
        <f>IFERROR(Z130/Z444, "NA")</f>
        <v>5.5707172993208022E-2</v>
      </c>
      <c r="AB130" s="9"/>
      <c r="AC130" s="10">
        <f t="shared" si="31"/>
        <v>1309.8599999999997</v>
      </c>
      <c r="AD130" s="8">
        <f>IFERROR(AC130/AC444, "NA")</f>
        <v>2.7201478589524806</v>
      </c>
    </row>
    <row r="131" spans="1:30" ht="16.5" customHeight="1" x14ac:dyDescent="0.45">
      <c r="A131" s="12" t="s">
        <v>123</v>
      </c>
      <c r="B131" s="7">
        <v>2145.12</v>
      </c>
      <c r="C131" s="8">
        <f>IFERROR(B131/B444, "NA")</f>
        <v>2.9126636754129943E-2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-2145.12</v>
      </c>
      <c r="I131" s="8">
        <f>IFERROR(H131/H444, "NA")</f>
        <v>0.29897351201053679</v>
      </c>
      <c r="J131" s="9"/>
      <c r="K131" s="7">
        <v>2420.48</v>
      </c>
      <c r="L131" s="8">
        <f>IFERROR(K131/K444, "NA")</f>
        <v>3.1340482552898584E-2</v>
      </c>
      <c r="M131" s="9"/>
      <c r="N131" s="10">
        <f t="shared" si="29"/>
        <v>275.36000000000013</v>
      </c>
      <c r="O131" s="8">
        <f>IFERROR(N131/N444, "NA")</f>
        <v>-7.6837003200611639E-2</v>
      </c>
      <c r="P131" s="9"/>
      <c r="Q131" s="7">
        <v>4007.97</v>
      </c>
      <c r="R131" s="8">
        <f>IFERROR(Q131/Q444, "NA")</f>
        <v>2.8317941931534078E-2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-4007.97</v>
      </c>
      <c r="X131" s="8">
        <f>IFERROR(W131/W444, "NA")</f>
        <v>0.82386979142042582</v>
      </c>
      <c r="Y131" s="9"/>
      <c r="Z131" s="7">
        <v>4267.6400000000003</v>
      </c>
      <c r="AA131" s="8">
        <f>IFERROR(Z131/Z444, "NA")</f>
        <v>3.0255554095900479E-2</v>
      </c>
      <c r="AB131" s="9"/>
      <c r="AC131" s="10">
        <f t="shared" si="31"/>
        <v>259.67000000000053</v>
      </c>
      <c r="AD131" s="8">
        <f>IFERROR(AC131/AC444, "NA")</f>
        <v>0.5392490758815387</v>
      </c>
    </row>
    <row r="132" spans="1:30" ht="16.5" customHeight="1" x14ac:dyDescent="0.45">
      <c r="A132" s="12" t="s">
        <v>124</v>
      </c>
      <c r="B132" s="7">
        <v>2933.86</v>
      </c>
      <c r="C132" s="8">
        <f>IFERROR(B132/B444, "NA")</f>
        <v>3.9836221054053704E-2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-2933.86</v>
      </c>
      <c r="I132" s="8">
        <f>IFERROR(H132/H444, "NA")</f>
        <v>0.40890319793169311</v>
      </c>
      <c r="J132" s="9"/>
      <c r="K132" s="7">
        <v>3241.21</v>
      </c>
      <c r="L132" s="8">
        <f>IFERROR(K132/K444, "NA")</f>
        <v>4.1967331048089813E-2</v>
      </c>
      <c r="M132" s="9"/>
      <c r="N132" s="10">
        <f t="shared" si="29"/>
        <v>307.34999999999991</v>
      </c>
      <c r="O132" s="8">
        <f>IFERROR(N132/N444, "NA")</f>
        <v>-8.5763556557626269E-2</v>
      </c>
      <c r="P132" s="9"/>
      <c r="Q132" s="7">
        <v>5056.22</v>
      </c>
      <c r="R132" s="8">
        <f>IFERROR(Q132/Q444, "NA")</f>
        <v>3.5724255509163305E-2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-5056.22</v>
      </c>
      <c r="X132" s="8">
        <f>IFERROR(W132/W444, "NA")</f>
        <v>1.0393458326224463</v>
      </c>
      <c r="Y132" s="9"/>
      <c r="Z132" s="7">
        <v>5697.19</v>
      </c>
      <c r="AA132" s="8">
        <f>IFERROR(Z132/Z444, "NA")</f>
        <v>4.0390389123642859E-2</v>
      </c>
      <c r="AB132" s="9"/>
      <c r="AC132" s="10">
        <f t="shared" si="31"/>
        <v>640.96999999999935</v>
      </c>
      <c r="AD132" s="8">
        <f>IFERROR(AC132/AC444, "NA")</f>
        <v>1.3310836067616159</v>
      </c>
    </row>
    <row r="133" spans="1:30" ht="16.5" customHeight="1" x14ac:dyDescent="0.45">
      <c r="A133" s="12" t="s">
        <v>125</v>
      </c>
      <c r="B133" s="7">
        <v>1402.63</v>
      </c>
      <c r="C133" s="8">
        <f>IFERROR(B133/B444, "NA")</f>
        <v>1.9045039210135232E-2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-1402.63</v>
      </c>
      <c r="I133" s="8">
        <f>IFERROR(H133/H444, "NA")</f>
        <v>0.19548986404086449</v>
      </c>
      <c r="J133" s="9"/>
      <c r="K133" s="7">
        <v>1358.65</v>
      </c>
      <c r="L133" s="8">
        <f>IFERROR(K133/K444, "NA")</f>
        <v>1.7591860548525774E-2</v>
      </c>
      <c r="M133" s="9"/>
      <c r="N133" s="10">
        <f t="shared" si="29"/>
        <v>-43.980000000000018</v>
      </c>
      <c r="O133" s="8">
        <f>IFERROR(N133/N444, "NA")</f>
        <v>1.2272266853438771E-2</v>
      </c>
      <c r="P133" s="9"/>
      <c r="Q133" s="7">
        <v>2986.47</v>
      </c>
      <c r="R133" s="8">
        <f>IFERROR(Q133/Q444, "NA")</f>
        <v>2.1100628008759691E-2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-2986.47</v>
      </c>
      <c r="X133" s="8">
        <f>IFERROR(W133/W444, "NA")</f>
        <v>0.61389242334233018</v>
      </c>
      <c r="Y133" s="9"/>
      <c r="Z133" s="7">
        <v>2660.5</v>
      </c>
      <c r="AA133" s="8">
        <f>IFERROR(Z133/Z444, "NA")</f>
        <v>1.8861689756432879E-2</v>
      </c>
      <c r="AB133" s="9"/>
      <c r="AC133" s="10">
        <f t="shared" si="31"/>
        <v>-325.9699999999998</v>
      </c>
      <c r="AD133" s="8">
        <f>IFERROR(AC133/AC444, "NA")</f>
        <v>-0.67693234206918285</v>
      </c>
    </row>
    <row r="134" spans="1:30" ht="16.5" customHeight="1" x14ac:dyDescent="0.45">
      <c r="A134" s="12" t="s">
        <v>126</v>
      </c>
      <c r="B134" s="7">
        <v>745.05</v>
      </c>
      <c r="C134" s="8">
        <f>IFERROR(B134/B444, "NA")</f>
        <v>1.0116357459566138E-2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-745.05</v>
      </c>
      <c r="I134" s="8">
        <f>IFERROR(H134/H444, "NA")</f>
        <v>0.10384044488114903</v>
      </c>
      <c r="J134" s="9"/>
      <c r="K134" s="7">
        <v>532.36</v>
      </c>
      <c r="L134" s="8">
        <f>IFERROR(K134/K444, "NA")</f>
        <v>6.8930209263704271E-3</v>
      </c>
      <c r="M134" s="9"/>
      <c r="N134" s="10">
        <f t="shared" si="29"/>
        <v>-212.68999999999994</v>
      </c>
      <c r="O134" s="8">
        <f>IFERROR(N134/N444, "NA")</f>
        <v>5.9349441497450896E-2</v>
      </c>
      <c r="P134" s="9"/>
      <c r="Q134" s="7">
        <v>1513.1</v>
      </c>
      <c r="R134" s="8">
        <f>IFERROR(Q134/Q444, "NA")</f>
        <v>1.0690668327508493E-2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-1513.1</v>
      </c>
      <c r="X134" s="8">
        <f>IFERROR(W134/W444, "NA")</f>
        <v>0.31102961883403474</v>
      </c>
      <c r="Y134" s="9"/>
      <c r="Z134" s="7">
        <v>1043.72</v>
      </c>
      <c r="AA134" s="8">
        <f>IFERROR(Z134/Z444, "NA")</f>
        <v>7.3994823651885458E-3</v>
      </c>
      <c r="AB134" s="9"/>
      <c r="AC134" s="10">
        <f t="shared" si="31"/>
        <v>-469.37999999999988</v>
      </c>
      <c r="AD134" s="8">
        <f>IFERROR(AC134/AC444, "NA")</f>
        <v>-0.97474768451217331</v>
      </c>
    </row>
    <row r="135" spans="1:30" ht="16.5" customHeight="1" x14ac:dyDescent="0.45">
      <c r="A135" s="12" t="s">
        <v>127</v>
      </c>
      <c r="B135" s="7">
        <v>541.76</v>
      </c>
      <c r="C135" s="8">
        <f>IFERROR(B135/B444, "NA")</f>
        <v>7.3560671328025649E-3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-541.76</v>
      </c>
      <c r="I135" s="8">
        <f>IFERROR(H135/H444, "NA")</f>
        <v>7.5507146391264074E-2</v>
      </c>
      <c r="J135" s="9"/>
      <c r="K135" s="7">
        <v>528.23</v>
      </c>
      <c r="L135" s="8">
        <f>IFERROR(K135/K444, "NA")</f>
        <v>6.8395455029240564E-3</v>
      </c>
      <c r="M135" s="9"/>
      <c r="N135" s="10">
        <f t="shared" si="29"/>
        <v>-13.529999999999973</v>
      </c>
      <c r="O135" s="8">
        <f>IFERROR(N135/N444, "NA")</f>
        <v>3.7754381656895444E-3</v>
      </c>
      <c r="P135" s="9"/>
      <c r="Q135" s="7">
        <v>1207.4000000000001</v>
      </c>
      <c r="R135" s="8">
        <f>IFERROR(Q135/Q444, "NA")</f>
        <v>8.5307732064197721E-3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-1207.4000000000001</v>
      </c>
      <c r="X135" s="8">
        <f>IFERROR(W135/W444, "NA")</f>
        <v>0.24819057681594978</v>
      </c>
      <c r="Y135" s="9"/>
      <c r="Z135" s="7">
        <v>999.38</v>
      </c>
      <c r="AA135" s="8">
        <f>IFERROR(Z135/Z444, "NA")</f>
        <v>7.0851326851283187E-3</v>
      </c>
      <c r="AB135" s="9"/>
      <c r="AC135" s="10">
        <f t="shared" si="31"/>
        <v>-208.0200000000001</v>
      </c>
      <c r="AD135" s="8">
        <f>IFERROR(AC135/AC444, "NA")</f>
        <v>-0.43198903517879422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802.14</v>
      </c>
      <c r="L136" s="8">
        <f>IFERROR(K136/K444, "NA")</f>
        <v>1.0386144349460467E-2</v>
      </c>
      <c r="M136" s="9"/>
      <c r="N136" s="10">
        <f t="shared" si="29"/>
        <v>802.14</v>
      </c>
      <c r="O136" s="8">
        <f>IFERROR(N136/N444, "NA")</f>
        <v>-0.22383074428870786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1439.3</v>
      </c>
      <c r="AA136" s="8">
        <f>IFERROR(Z136/Z444, "NA")</f>
        <v>1.0203957927620314E-2</v>
      </c>
      <c r="AB136" s="9"/>
      <c r="AC136" s="10">
        <f t="shared" si="31"/>
        <v>1439.3</v>
      </c>
      <c r="AD136" s="8">
        <f>IFERROR(AC136/AC444, "NA")</f>
        <v>2.9889521119740325</v>
      </c>
    </row>
    <row r="137" spans="1:30" ht="16.5" customHeight="1" x14ac:dyDescent="0.45">
      <c r="A137" s="12" t="s">
        <v>129</v>
      </c>
      <c r="B137" s="7">
        <v>321.26</v>
      </c>
      <c r="C137" s="8">
        <f>IFERROR(B137/B444, "NA")</f>
        <v>4.3620978423732871E-3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-321.26</v>
      </c>
      <c r="I137" s="8">
        <f>IFERROR(H137/H444, "NA")</f>
        <v>4.4775224914459351E-2</v>
      </c>
      <c r="J137" s="9"/>
      <c r="K137" s="7">
        <v>274.25</v>
      </c>
      <c r="L137" s="8">
        <f>IFERROR(K137/K444, "NA")</f>
        <v>3.5510011816385335E-3</v>
      </c>
      <c r="M137" s="9"/>
      <c r="N137" s="10">
        <f t="shared" si="29"/>
        <v>-47.009999999999991</v>
      </c>
      <c r="O137" s="8">
        <f>IFERROR(N137/N444, "NA")</f>
        <v>1.3117764092318242E-2</v>
      </c>
      <c r="P137" s="9"/>
      <c r="Q137" s="7">
        <v>650.36</v>
      </c>
      <c r="R137" s="8">
        <f>IFERROR(Q137/Q444, "NA")</f>
        <v>4.5950585245379842E-3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-650.36</v>
      </c>
      <c r="X137" s="8">
        <f>IFERROR(W137/W444, "NA")</f>
        <v>0.13368661879908986</v>
      </c>
      <c r="Y137" s="9"/>
      <c r="Z137" s="7">
        <v>822.4</v>
      </c>
      <c r="AA137" s="8">
        <f>IFERROR(Z137/Z444, "NA")</f>
        <v>5.8304279856006011E-3</v>
      </c>
      <c r="AB137" s="9"/>
      <c r="AC137" s="10">
        <f t="shared" si="31"/>
        <v>172.03999999999996</v>
      </c>
      <c r="AD137" s="8">
        <f>IFERROR(AC137/AC444, "NA")</f>
        <v>0.35727042405614706</v>
      </c>
    </row>
    <row r="138" spans="1:30" ht="16.5" customHeight="1" x14ac:dyDescent="0.45">
      <c r="A138" s="12" t="s">
        <v>130</v>
      </c>
      <c r="B138" s="7">
        <v>5536.26</v>
      </c>
      <c r="C138" s="8">
        <f>IFERROR(B138/B444, "NA")</f>
        <v>7.5171847727129232E-2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-5536.26</v>
      </c>
      <c r="I138" s="8">
        <f>IFERROR(H138/H444, "NA")</f>
        <v>0.77160955825476174</v>
      </c>
      <c r="J138" s="9"/>
      <c r="K138" s="7">
        <v>3736.96</v>
      </c>
      <c r="L138" s="8">
        <f>IFERROR(K138/K444, "NA")</f>
        <v>4.8386324068316985E-2</v>
      </c>
      <c r="M138" s="9"/>
      <c r="N138" s="10">
        <f t="shared" si="29"/>
        <v>-1799.3000000000002</v>
      </c>
      <c r="O138" s="8">
        <f>IFERROR(N138/N444, "NA")</f>
        <v>0.50208025805803491</v>
      </c>
      <c r="P138" s="9"/>
      <c r="Q138" s="7">
        <v>10529.11</v>
      </c>
      <c r="R138" s="8">
        <f>IFERROR(Q138/Q444, "NA")</f>
        <v>7.4392454427237437E-2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-10529.11</v>
      </c>
      <c r="X138" s="8">
        <f>IFERROR(W138/W444, "NA")</f>
        <v>2.1643414645176287</v>
      </c>
      <c r="Y138" s="9"/>
      <c r="Z138" s="7">
        <v>6988.79</v>
      </c>
      <c r="AA138" s="8">
        <f>IFERROR(Z138/Z444, "NA")</f>
        <v>4.9547223737215013E-2</v>
      </c>
      <c r="AB138" s="9"/>
      <c r="AC138" s="10">
        <f t="shared" si="31"/>
        <v>-3540.3200000000006</v>
      </c>
      <c r="AD138" s="8">
        <f>IFERROR(AC138/AC444, "NA")</f>
        <v>-7.3520787473521221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16880.260000000002</v>
      </c>
      <c r="C141" s="15">
        <f>IFERROR(B141/B444, "NA")</f>
        <v>0.22920172360300106</v>
      </c>
      <c r="D141" s="2"/>
      <c r="E141" s="14">
        <f>IFERROR(E129+E130+E131+E132+E133+E134+E135+E136+E137+E138+E139+E140, "NA")</f>
        <v>17134.48</v>
      </c>
      <c r="F141" s="15">
        <f>IFERROR(E141/E444, "NA")</f>
        <v>0.21200004949086274</v>
      </c>
      <c r="G141" s="2"/>
      <c r="H141" s="14">
        <f t="shared" si="28"/>
        <v>254.21999999999753</v>
      </c>
      <c r="I141" s="15">
        <f>IFERROR(H141/H444, "NA")</f>
        <v>-3.5431605795162004E-2</v>
      </c>
      <c r="J141" s="2"/>
      <c r="K141" s="14">
        <f>IFERROR(K129+K130+K131+K132+K133+K134+K135+K136+K137+K138+K139+K140, "NA")</f>
        <v>17193.79</v>
      </c>
      <c r="L141" s="15">
        <f>IFERROR(K141/K444, "NA")</f>
        <v>0.2226259566338917</v>
      </c>
      <c r="M141" s="2"/>
      <c r="N141" s="14">
        <f t="shared" si="29"/>
        <v>313.52999999999884</v>
      </c>
      <c r="O141" s="15">
        <f>IFERROR(N141/N444, "NA")</f>
        <v>-8.7488036074548484E-2</v>
      </c>
      <c r="P141" s="2"/>
      <c r="Q141" s="14">
        <f>IFERROR(Q129+Q130+Q131+Q132+Q133+Q134+Q135+Q136+Q137+Q138+Q139+Q140, "NA")</f>
        <v>32498.440000000002</v>
      </c>
      <c r="R141" s="15">
        <f>IFERROR(Q141/Q444, "NA")</f>
        <v>0.22961472685310633</v>
      </c>
      <c r="S141" s="2"/>
      <c r="T141" s="14">
        <f>IFERROR(T129+T130+T131+T132+T133+T134+T135+T136+T137+T138+T139+T140, "NA")</f>
        <v>31561.3</v>
      </c>
      <c r="U141" s="15">
        <f>IFERROR(T141/T444, "NA")</f>
        <v>0.21558344545806385</v>
      </c>
      <c r="V141" s="2"/>
      <c r="W141" s="14">
        <f t="shared" si="30"/>
        <v>-937.14000000000306</v>
      </c>
      <c r="X141" s="15">
        <f>IFERROR(W141/W444, "NA")</f>
        <v>0.19263650584503886</v>
      </c>
      <c r="Y141" s="2"/>
      <c r="Z141" s="14">
        <f>IFERROR(Z129+Z130+Z131+Z132+Z133+Z134+Z135+Z136+Z137+Z138+Z139+Z140, "NA")</f>
        <v>31776.590000000004</v>
      </c>
      <c r="AA141" s="15">
        <f>IFERROR(Z141/Z444, "NA")</f>
        <v>0.22528103066993707</v>
      </c>
      <c r="AB141" s="2"/>
      <c r="AC141" s="14">
        <f t="shared" si="31"/>
        <v>-721.84999999999854</v>
      </c>
      <c r="AD141" s="15">
        <f>IFERROR(AC141/AC444, "NA")</f>
        <v>-1.4990447314864526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969.88</v>
      </c>
      <c r="F143" s="8">
        <f>IFERROR(E143/E444, "NA")</f>
        <v>1.200004949086275E-2</v>
      </c>
      <c r="G143" s="9"/>
      <c r="H143" s="10">
        <f t="shared" ref="H143:H149" si="32">IFERROR(-(B143-E143), "NA")</f>
        <v>969.88</v>
      </c>
      <c r="I143" s="8">
        <f>IFERROR(H143/H444, "NA")</f>
        <v>-0.13517585488400621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1756.8</v>
      </c>
      <c r="U143" s="8">
        <f>IFERROR(T143/T444, "NA")</f>
        <v>1.2000044262458345E-2</v>
      </c>
      <c r="V143" s="9"/>
      <c r="W143" s="10">
        <f t="shared" ref="W143:W149" si="34">IFERROR(-(Q143-T143), "NA")</f>
        <v>1756.8</v>
      </c>
      <c r="X143" s="8">
        <f>IFERROR(W143/W444, "NA")</f>
        <v>-0.361124072677042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832.23</v>
      </c>
      <c r="C144" s="8">
        <f>IFERROR(B144/B444, "NA")</f>
        <v>1.130009552187736E-2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-832.23</v>
      </c>
      <c r="I144" s="8">
        <f>IFERROR(H144/H444, "NA")</f>
        <v>0.11599105220245443</v>
      </c>
      <c r="J144" s="9"/>
      <c r="K144" s="7">
        <v>730.09</v>
      </c>
      <c r="L144" s="8">
        <f>IFERROR(K144/K444, "NA")</f>
        <v>9.4532377491430338E-3</v>
      </c>
      <c r="M144" s="9"/>
      <c r="N144" s="10">
        <f t="shared" si="33"/>
        <v>-102.13999999999999</v>
      </c>
      <c r="O144" s="8">
        <f>IFERROR(N144/N444, "NA")</f>
        <v>2.8501349168036275E-2</v>
      </c>
      <c r="P144" s="9"/>
      <c r="Q144" s="7">
        <v>1673.26</v>
      </c>
      <c r="R144" s="8">
        <f>IFERROR(Q144/Q444, "NA")</f>
        <v>1.1822264018033747E-2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-1673.26</v>
      </c>
      <c r="X144" s="8">
        <f>IFERROR(W144/W444, "NA")</f>
        <v>0.3439517679004937</v>
      </c>
      <c r="Y144" s="9"/>
      <c r="Z144" s="7">
        <v>1259.01</v>
      </c>
      <c r="AA144" s="8">
        <f>IFERROR(Z144/Z444, "NA")</f>
        <v>8.9257868897750642E-3</v>
      </c>
      <c r="AB144" s="9"/>
      <c r="AC144" s="10">
        <f t="shared" si="35"/>
        <v>-414.25</v>
      </c>
      <c r="AD144" s="8">
        <f>IFERROR(AC144/AC444, "NA")</f>
        <v>-0.86026082983758978</v>
      </c>
    </row>
    <row r="145" spans="1:30" ht="16.5" customHeight="1" x14ac:dyDescent="0.45">
      <c r="A145" s="12" t="s">
        <v>136</v>
      </c>
      <c r="B145" s="7">
        <v>5.34</v>
      </c>
      <c r="C145" s="8">
        <f>IFERROR(B145/B444, "NA")</f>
        <v>7.2507011387266864E-5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-5.34</v>
      </c>
      <c r="I145" s="8">
        <f>IFERROR(H145/H444, "NA")</f>
        <v>7.4425605753350227E-4</v>
      </c>
      <c r="J145" s="9"/>
      <c r="K145" s="7">
        <v>61</v>
      </c>
      <c r="L145" s="8">
        <f>IFERROR(K145/K444, "NA")</f>
        <v>7.8983070949845222E-4</v>
      </c>
      <c r="M145" s="9"/>
      <c r="N145" s="10">
        <f t="shared" si="33"/>
        <v>55.66</v>
      </c>
      <c r="O145" s="8">
        <f>IFERROR(N145/N444, "NA")</f>
        <v>-1.5531477332023685E-2</v>
      </c>
      <c r="P145" s="9"/>
      <c r="Q145" s="7">
        <v>89.26</v>
      </c>
      <c r="R145" s="8">
        <f>IFERROR(Q145/Q444, "NA")</f>
        <v>6.3065828756421135E-4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-89.26</v>
      </c>
      <c r="X145" s="8">
        <f>IFERROR(W145/W444, "NA")</f>
        <v>1.8348095814636142E-2</v>
      </c>
      <c r="Y145" s="9"/>
      <c r="Z145" s="7">
        <v>100.55</v>
      </c>
      <c r="AA145" s="8">
        <f>IFERROR(Z145/Z444, "NA")</f>
        <v>7.1285205976670779E-4</v>
      </c>
      <c r="AB145" s="9"/>
      <c r="AC145" s="10">
        <f t="shared" si="35"/>
        <v>11.289999999999992</v>
      </c>
      <c r="AD145" s="8">
        <f>IFERROR(AC145/AC444, "NA")</f>
        <v>2.3445611994849444E-2</v>
      </c>
    </row>
    <row r="146" spans="1:30" ht="16.5" customHeight="1" x14ac:dyDescent="0.45">
      <c r="A146" s="12" t="s">
        <v>137</v>
      </c>
      <c r="B146" s="7">
        <v>8.33</v>
      </c>
      <c r="C146" s="8">
        <f>IFERROR(B146/B444, "NA")</f>
        <v>1.1310550652732828E-4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-8.33</v>
      </c>
      <c r="I146" s="8">
        <f>IFERROR(H146/H444, "NA")</f>
        <v>1.1609837002348453E-3</v>
      </c>
      <c r="J146" s="9"/>
      <c r="K146" s="7">
        <v>-4.0999999999999996</v>
      </c>
      <c r="L146" s="8">
        <f>IFERROR(K146/K444, "NA")</f>
        <v>-5.3086982113830392E-5</v>
      </c>
      <c r="M146" s="9"/>
      <c r="N146" s="10">
        <f t="shared" si="33"/>
        <v>-12.43</v>
      </c>
      <c r="O146" s="8">
        <f>IFERROR(N146/N444, "NA")</f>
        <v>3.4684919733570683E-3</v>
      </c>
      <c r="P146" s="9"/>
      <c r="Q146" s="7">
        <v>8.33</v>
      </c>
      <c r="R146" s="8">
        <f>IFERROR(Q146/Q444, "NA")</f>
        <v>5.885484579217881E-5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-8.33</v>
      </c>
      <c r="X146" s="8">
        <f>IFERROR(W146/W444, "NA")</f>
        <v>1.7122970886838344E-3</v>
      </c>
      <c r="Y146" s="9"/>
      <c r="Z146" s="7">
        <v>74.040000000000006</v>
      </c>
      <c r="AA146" s="8">
        <f>IFERROR(Z146/Z444, "NA")</f>
        <v>5.249086673806768E-4</v>
      </c>
      <c r="AB146" s="9"/>
      <c r="AC146" s="10">
        <f t="shared" si="35"/>
        <v>65.710000000000008</v>
      </c>
      <c r="AD146" s="8">
        <f>IFERROR(AC146/AC444, "NA")</f>
        <v>0.13645803048552332</v>
      </c>
    </row>
    <row r="147" spans="1:30" ht="16.5" customHeight="1" x14ac:dyDescent="0.45">
      <c r="A147" s="12" t="s">
        <v>138</v>
      </c>
      <c r="B147" s="7">
        <v>16.68</v>
      </c>
      <c r="C147" s="8">
        <f>IFERROR(B147/B444, "NA")</f>
        <v>2.2648257489505831E-4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-16.68</v>
      </c>
      <c r="I147" s="8">
        <f>IFERROR(H147/H444, "NA")</f>
        <v>2.3247548763406026E-3</v>
      </c>
      <c r="J147" s="9"/>
      <c r="K147" s="7">
        <v>9.86</v>
      </c>
      <c r="L147" s="8">
        <f>IFERROR(K147/K444, "NA")</f>
        <v>1.2766771796155309E-4</v>
      </c>
      <c r="M147" s="9"/>
      <c r="N147" s="10">
        <f t="shared" si="33"/>
        <v>-6.82</v>
      </c>
      <c r="O147" s="8">
        <f>IFERROR(N147/N444, "NA")</f>
        <v>1.9030663924614003E-3</v>
      </c>
      <c r="P147" s="9"/>
      <c r="Q147" s="7">
        <v>19.690000000000001</v>
      </c>
      <c r="R147" s="8">
        <f>IFERROR(Q147/Q444, "NA")</f>
        <v>1.391178767884755E-4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-19.690000000000001</v>
      </c>
      <c r="X147" s="8">
        <f>IFERROR(W147/W444, "NA")</f>
        <v>4.0474345349561461E-3</v>
      </c>
      <c r="Y147" s="9"/>
      <c r="Z147" s="7">
        <v>37.58</v>
      </c>
      <c r="AA147" s="8">
        <f>IFERROR(Z147/Z444, "NA")</f>
        <v>2.6642446947819869E-4</v>
      </c>
      <c r="AB147" s="9"/>
      <c r="AC147" s="10">
        <f t="shared" si="35"/>
        <v>17.889999999999997</v>
      </c>
      <c r="AD147" s="8">
        <f>IFERROR(AC147/AC444, "NA")</f>
        <v>3.7151638493167119E-2</v>
      </c>
    </row>
    <row r="148" spans="1:30" ht="16.5" customHeight="1" x14ac:dyDescent="0.45">
      <c r="A148" s="13" t="s">
        <v>139</v>
      </c>
      <c r="B148" s="14">
        <f>IFERROR(B143+B144+B145+B146+B147, "NA")</f>
        <v>862.58</v>
      </c>
      <c r="C148" s="15">
        <f>IFERROR(B148/B444, "NA")</f>
        <v>1.1712190614687016E-2</v>
      </c>
      <c r="D148" s="2"/>
      <c r="E148" s="14">
        <f>IFERROR(E143+E144+E145+E146+E147, "NA")</f>
        <v>969.88</v>
      </c>
      <c r="F148" s="15">
        <f>IFERROR(E148/E444, "NA")</f>
        <v>1.200004949086275E-2</v>
      </c>
      <c r="G148" s="2"/>
      <c r="H148" s="14">
        <f t="shared" si="32"/>
        <v>107.29999999999995</v>
      </c>
      <c r="I148" s="15">
        <f>IFERROR(H148/H444, "NA")</f>
        <v>-1.495480804744284E-2</v>
      </c>
      <c r="J148" s="2"/>
      <c r="K148" s="14">
        <f>IFERROR(K143+K144+K145+K146+K147, "NA")</f>
        <v>796.85</v>
      </c>
      <c r="L148" s="15">
        <f>IFERROR(K148/K444, "NA")</f>
        <v>1.0317649194489208E-2</v>
      </c>
      <c r="M148" s="2"/>
      <c r="N148" s="14">
        <f t="shared" si="33"/>
        <v>-65.730000000000018</v>
      </c>
      <c r="O148" s="15">
        <f>IFERROR(N148/N444, "NA")</f>
        <v>1.8341430201831068E-2</v>
      </c>
      <c r="P148" s="2"/>
      <c r="Q148" s="14">
        <f>IFERROR(Q143+Q144+Q145+Q146+Q147, "NA")</f>
        <v>1790.54</v>
      </c>
      <c r="R148" s="15">
        <f>IFERROR(Q148/Q444, "NA")</f>
        <v>1.2650895028178613E-2</v>
      </c>
      <c r="S148" s="2"/>
      <c r="T148" s="14">
        <f>IFERROR(T143+T144+T145+T146+T147, "NA")</f>
        <v>1756.8</v>
      </c>
      <c r="U148" s="15">
        <f>IFERROR(T148/T444, "NA")</f>
        <v>1.2000044262458345E-2</v>
      </c>
      <c r="V148" s="2"/>
      <c r="W148" s="14">
        <f t="shared" si="34"/>
        <v>-33.740000000000009</v>
      </c>
      <c r="X148" s="15">
        <f>IFERROR(W148/W444, "NA")</f>
        <v>6.9355226617278014E-3</v>
      </c>
      <c r="Y148" s="2"/>
      <c r="Z148" s="14">
        <f>IFERROR(Z143+Z144+Z145+Z146+Z147, "NA")</f>
        <v>1471.1799999999998</v>
      </c>
      <c r="AA148" s="15">
        <f>IFERROR(Z148/Z444, "NA")</f>
        <v>1.0429972086400648E-2</v>
      </c>
      <c r="AB148" s="2"/>
      <c r="AC148" s="14">
        <f t="shared" si="35"/>
        <v>-319.36000000000013</v>
      </c>
      <c r="AD148" s="15">
        <f>IFERROR(AC148/AC444, "NA")</f>
        <v>-0.66320554886405014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17742.840000000004</v>
      </c>
      <c r="C149" s="15">
        <f>IFERROR(B149/B444, "NA")</f>
        <v>0.2409139142176881</v>
      </c>
      <c r="D149" s="2"/>
      <c r="E149" s="14">
        <f>IFERROR(E127+E129+E130+E131+E132+E133+E134+E135+E136+E137+E138+E139+E140+E143+E144+E145+E146+E147, "NA")</f>
        <v>18104.36</v>
      </c>
      <c r="F149" s="15">
        <f>IFERROR(E149/E444, "NA")</f>
        <v>0.22400009898172552</v>
      </c>
      <c r="G149" s="2"/>
      <c r="H149" s="14">
        <f t="shared" si="32"/>
        <v>361.5199999999968</v>
      </c>
      <c r="I149" s="15">
        <f>IFERROR(H149/H444, "NA")</f>
        <v>-5.0386413842604748E-2</v>
      </c>
      <c r="J149" s="2"/>
      <c r="K149" s="14">
        <f>IFERROR(K127+K129+K130+K131+K132+K133+K134+K135+K136+K137+K138+K139+K140+K143+K144+K145+K146+K147, "NA")</f>
        <v>17990.640000000003</v>
      </c>
      <c r="L149" s="15">
        <f>IFERROR(K149/K444, "NA")</f>
        <v>0.23294360582838095</v>
      </c>
      <c r="M149" s="2"/>
      <c r="N149" s="14">
        <f t="shared" si="33"/>
        <v>247.79999999999927</v>
      </c>
      <c r="O149" s="15">
        <f>IFERROR(N149/N444, "NA")</f>
        <v>-6.9146605872717537E-2</v>
      </c>
      <c r="P149" s="2"/>
      <c r="Q149" s="14">
        <f>IFERROR(Q127+Q129+Q130+Q131+Q132+Q133+Q134+Q135+Q136+Q137+Q138+Q139+Q140+Q143+Q144+Q145+Q146+Q147, "NA")</f>
        <v>34288.98000000001</v>
      </c>
      <c r="R149" s="15">
        <f>IFERROR(Q149/Q444, "NA")</f>
        <v>0.24226562188128498</v>
      </c>
      <c r="S149" s="2"/>
      <c r="T149" s="14">
        <f>IFERROR(T127+T129+T130+T131+T132+T133+T134+T135+T136+T137+T138+T139+T140+T143+T144+T145+T146+T147, "NA")</f>
        <v>33318.1</v>
      </c>
      <c r="U149" s="15">
        <f>IFERROR(T149/T444, "NA")</f>
        <v>0.2275834897205222</v>
      </c>
      <c r="V149" s="2"/>
      <c r="W149" s="14">
        <f t="shared" si="34"/>
        <v>-970.88000000001193</v>
      </c>
      <c r="X149" s="15">
        <f>IFERROR(W149/W444, "NA")</f>
        <v>0.19957202850676847</v>
      </c>
      <c r="Y149" s="2"/>
      <c r="Z149" s="14">
        <f>IFERROR(Z127+Z129+Z130+Z131+Z132+Z133+Z134+Z135+Z136+Z137+Z138+Z139+Z140+Z143+Z144+Z145+Z146+Z147, "NA")</f>
        <v>33247.770000000011</v>
      </c>
      <c r="AA149" s="15">
        <f>IFERROR(Z149/Z444, "NA")</f>
        <v>0.23571100275633777</v>
      </c>
      <c r="AB149" s="2"/>
      <c r="AC149" s="14">
        <f t="shared" si="35"/>
        <v>-1041.2099999999991</v>
      </c>
      <c r="AD149" s="15">
        <f>IFERROR(AC149/AC444, "NA")</f>
        <v>-2.1622502803505035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3232.92</v>
      </c>
      <c r="F153" s="8">
        <f>IFERROR(E153/E444, "NA")</f>
        <v>0.04</v>
      </c>
      <c r="G153" s="9"/>
      <c r="H153" s="10">
        <f t="shared" ref="H153:H158" si="36">IFERROR(-(B153-E153), "NA")</f>
        <v>3232.92</v>
      </c>
      <c r="I153" s="8">
        <f>IFERROR(H153/H444, "NA")</f>
        <v>-0.45058432462944009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5855.98</v>
      </c>
      <c r="U153" s="8">
        <f>IFERROR(T153/T444, "NA")</f>
        <v>4.0000010929002058E-2</v>
      </c>
      <c r="V153" s="9"/>
      <c r="W153" s="10">
        <f t="shared" ref="W153:W158" si="38">IFERROR(-(Q153-T153), "NA")</f>
        <v>5855.98</v>
      </c>
      <c r="X153" s="8">
        <f>IFERROR(W153/W444, "NA")</f>
        <v>-1.2037427977659976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2108.75</v>
      </c>
      <c r="C154" s="8">
        <f>IFERROR(B154/B444, "NA")</f>
        <v>2.8632801547359366E-2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-2108.75</v>
      </c>
      <c r="I154" s="8">
        <f>IFERROR(H154/H444, "NA")</f>
        <v>0.2939044871392833</v>
      </c>
      <c r="J154" s="9"/>
      <c r="K154" s="7">
        <v>2491.6999999999998</v>
      </c>
      <c r="L154" s="8">
        <f>IFERROR(K154/K444, "NA")</f>
        <v>3.226264227634907E-2</v>
      </c>
      <c r="M154" s="9"/>
      <c r="N154" s="10">
        <f t="shared" si="37"/>
        <v>382.94999999999982</v>
      </c>
      <c r="O154" s="8">
        <f>IFERROR(N154/N444, "NA")</f>
        <v>-0.10685913123065878</v>
      </c>
      <c r="P154" s="9"/>
      <c r="Q154" s="7">
        <v>4293.4399999999996</v>
      </c>
      <c r="R154" s="8">
        <f>IFERROR(Q154/Q444, "NA")</f>
        <v>3.0334903855698939E-2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-4293.4399999999996</v>
      </c>
      <c r="X154" s="8">
        <f>IFERROR(W154/W444, "NA")</f>
        <v>0.88255039765170717</v>
      </c>
      <c r="Y154" s="9"/>
      <c r="Z154" s="7">
        <v>4436.1000000000004</v>
      </c>
      <c r="AA154" s="8">
        <f>IFERROR(Z154/Z444, "NA")</f>
        <v>3.1449856015227179E-2</v>
      </c>
      <c r="AB154" s="9"/>
      <c r="AC154" s="10">
        <f t="shared" si="39"/>
        <v>142.66000000000076</v>
      </c>
      <c r="AD154" s="8">
        <f>IFERROR(AC154/AC444, "NA")</f>
        <v>0.29625783943181949</v>
      </c>
    </row>
    <row r="155" spans="1:30" ht="16.5" customHeight="1" x14ac:dyDescent="0.45">
      <c r="A155" s="12" t="s">
        <v>144</v>
      </c>
      <c r="B155" s="7">
        <v>1194.58</v>
      </c>
      <c r="C155" s="8">
        <f>IFERROR(B155/B444, "NA")</f>
        <v>1.6220117165356041E-2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-1194.58</v>
      </c>
      <c r="I155" s="8">
        <f>IFERROR(H155/H444, "NA")</f>
        <v>0.16649314629370246</v>
      </c>
      <c r="J155" s="9"/>
      <c r="K155" s="7">
        <v>868.24</v>
      </c>
      <c r="L155" s="8">
        <f>IFERROR(K155/K444, "NA")</f>
        <v>1.1242010085490757E-2</v>
      </c>
      <c r="M155" s="9"/>
      <c r="N155" s="10">
        <f t="shared" si="37"/>
        <v>-326.33999999999992</v>
      </c>
      <c r="O155" s="8">
        <f>IFERROR(N155/N444, "NA")</f>
        <v>9.1062564005257071E-2</v>
      </c>
      <c r="P155" s="9"/>
      <c r="Q155" s="7">
        <v>2890.92</v>
      </c>
      <c r="R155" s="8">
        <f>IFERROR(Q155/Q444, "NA")</f>
        <v>2.0425528307025879E-2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-2890.92</v>
      </c>
      <c r="X155" s="8">
        <f>IFERROR(W155/W444, "NA")</f>
        <v>0.59425136850154503</v>
      </c>
      <c r="Y155" s="9"/>
      <c r="Z155" s="7">
        <v>1634.67</v>
      </c>
      <c r="AA155" s="8">
        <f>IFERROR(Z155/Z444, "NA")</f>
        <v>1.1589039050610088E-2</v>
      </c>
      <c r="AB155" s="9"/>
      <c r="AC155" s="10">
        <f t="shared" si="39"/>
        <v>-1256.25</v>
      </c>
      <c r="AD155" s="8">
        <f>IFERROR(AC155/AC444, "NA")</f>
        <v>-2.6088175437138736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74.2</v>
      </c>
      <c r="R156" s="8">
        <f>IFERROR(Q156/Q444, "NA")</f>
        <v>5.2425324823285324E-4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-74.2</v>
      </c>
      <c r="X156" s="8">
        <f>IFERROR(W156/W444, "NA")</f>
        <v>1.5252394235334995E-2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-74.2</v>
      </c>
      <c r="AD156" s="8">
        <f>IFERROR(AC156/AC444, "NA")</f>
        <v>-0.15408896457199556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3303.33</v>
      </c>
      <c r="C158" s="15">
        <f>IFERROR(B158/B444, "NA")</f>
        <v>4.4852918712715406E-2</v>
      </c>
      <c r="D158" s="2"/>
      <c r="E158" s="14">
        <f>IFERROR(E153+E154+E155+E156+E157, "NA")</f>
        <v>3232.92</v>
      </c>
      <c r="F158" s="15">
        <f>IFERROR(E158/E444, "NA")</f>
        <v>0.04</v>
      </c>
      <c r="G158" s="2"/>
      <c r="H158" s="14">
        <f t="shared" si="36"/>
        <v>-70.409999999999854</v>
      </c>
      <c r="I158" s="15">
        <f>IFERROR(H158/H444, "NA")</f>
        <v>9.8133088035456534E-3</v>
      </c>
      <c r="J158" s="2"/>
      <c r="K158" s="14">
        <f>IFERROR(K153+K154+K155+K156+K157, "NA")</f>
        <v>3359.9399999999996</v>
      </c>
      <c r="L158" s="15">
        <f>IFERROR(K158/K444, "NA")</f>
        <v>4.3504652361839827E-2</v>
      </c>
      <c r="M158" s="2"/>
      <c r="N158" s="14">
        <f t="shared" si="37"/>
        <v>56.609999999999673</v>
      </c>
      <c r="O158" s="15">
        <f>IFERROR(N158/N444, "NA")</f>
        <v>-1.579656722540165E-2</v>
      </c>
      <c r="P158" s="2"/>
      <c r="Q158" s="14">
        <f>IFERROR(Q153+Q154+Q155+Q156+Q157, "NA")</f>
        <v>7258.5599999999995</v>
      </c>
      <c r="R158" s="15">
        <f>IFERROR(Q158/Q444, "NA")</f>
        <v>5.1284685410957667E-2</v>
      </c>
      <c r="S158" s="2"/>
      <c r="T158" s="14">
        <f>IFERROR(T153+T154+T155+T156+T157, "NA")</f>
        <v>5855.98</v>
      </c>
      <c r="U158" s="15">
        <f>IFERROR(T158/T444, "NA")</f>
        <v>4.0000010929002058E-2</v>
      </c>
      <c r="V158" s="2"/>
      <c r="W158" s="14">
        <f t="shared" si="38"/>
        <v>-1402.58</v>
      </c>
      <c r="X158" s="15">
        <f>IFERROR(W158/W444, "NA")</f>
        <v>0.28831136262258972</v>
      </c>
      <c r="Y158" s="2"/>
      <c r="Z158" s="14">
        <f>IFERROR(Z153+Z154+Z155+Z156+Z157, "NA")</f>
        <v>6070.77</v>
      </c>
      <c r="AA158" s="15">
        <f>IFERROR(Z158/Z444, "NA")</f>
        <v>4.3038895065837267E-2</v>
      </c>
      <c r="AB158" s="2"/>
      <c r="AC158" s="14">
        <f t="shared" si="39"/>
        <v>-1187.7899999999991</v>
      </c>
      <c r="AD158" s="15">
        <f>IFERROR(AC158/AC444, "NA")</f>
        <v>-2.4666486688540492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403.05</v>
      </c>
      <c r="C161" s="8">
        <f>IFERROR(B161/B444, "NA")</f>
        <v>5.4726499886962382E-3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-403.05</v>
      </c>
      <c r="I161" s="8">
        <f>IFERROR(H161/H444, "NA")</f>
        <v>5.6174607488553949E-2</v>
      </c>
      <c r="J161" s="9"/>
      <c r="K161" s="7">
        <v>295.57</v>
      </c>
      <c r="L161" s="8">
        <f>IFERROR(K161/K444, "NA")</f>
        <v>3.8270534886304512E-3</v>
      </c>
      <c r="M161" s="9"/>
      <c r="N161" s="10">
        <f t="shared" si="41"/>
        <v>-107.48000000000002</v>
      </c>
      <c r="O161" s="8">
        <f>IFERROR(N161/N444, "NA")</f>
        <v>2.9991433410813978E-2</v>
      </c>
      <c r="P161" s="9"/>
      <c r="Q161" s="7">
        <v>719.58</v>
      </c>
      <c r="R161" s="8">
        <f>IFERROR(Q161/Q444, "NA")</f>
        <v>5.0841260426333764E-3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-719.58</v>
      </c>
      <c r="X161" s="8">
        <f>IFERROR(W161/W444, "NA")</f>
        <v>0.14791533482294281</v>
      </c>
      <c r="Y161" s="9"/>
      <c r="Z161" s="7">
        <v>616.26</v>
      </c>
      <c r="AA161" s="8">
        <f>IFERROR(Z161/Z444, "NA")</f>
        <v>4.3689926439764428E-3</v>
      </c>
      <c r="AB161" s="9"/>
      <c r="AC161" s="10">
        <f t="shared" si="43"/>
        <v>-103.32000000000005</v>
      </c>
      <c r="AD161" s="8">
        <f>IFERROR(AC161/AC444, "NA")</f>
        <v>-0.21456161481911845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403.05</v>
      </c>
      <c r="C166" s="15">
        <f>IFERROR(B166/B444, "NA")</f>
        <v>5.4726499886962382E-3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-403.05</v>
      </c>
      <c r="I166" s="15">
        <f>IFERROR(H166/H444, "NA")</f>
        <v>5.6174607488553949E-2</v>
      </c>
      <c r="J166" s="2"/>
      <c r="K166" s="14">
        <f>IFERROR(K160+K161+K162+K163+K164+K165, "NA")</f>
        <v>295.57</v>
      </c>
      <c r="L166" s="15">
        <f>IFERROR(K166/K444, "NA")</f>
        <v>3.8270534886304512E-3</v>
      </c>
      <c r="M166" s="2"/>
      <c r="N166" s="14">
        <f t="shared" si="41"/>
        <v>-107.48000000000002</v>
      </c>
      <c r="O166" s="15">
        <f>IFERROR(N166/N444, "NA")</f>
        <v>2.9991433410813978E-2</v>
      </c>
      <c r="P166" s="2"/>
      <c r="Q166" s="14">
        <f>IFERROR(Q160+Q161+Q162+Q163+Q164+Q165, "NA")</f>
        <v>719.58</v>
      </c>
      <c r="R166" s="15">
        <f>IFERROR(Q166/Q444, "NA")</f>
        <v>5.0841260426333764E-3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-719.58</v>
      </c>
      <c r="X166" s="15">
        <f>IFERROR(W166/W444, "NA")</f>
        <v>0.14791533482294281</v>
      </c>
      <c r="Y166" s="2"/>
      <c r="Z166" s="14">
        <f>IFERROR(Z160+Z161+Z162+Z163+Z164+Z165, "NA")</f>
        <v>616.26</v>
      </c>
      <c r="AA166" s="15">
        <f>IFERROR(Z166/Z444, "NA")</f>
        <v>4.3689926439764428E-3</v>
      </c>
      <c r="AB166" s="2"/>
      <c r="AC166" s="14">
        <f t="shared" si="43"/>
        <v>-103.32000000000005</v>
      </c>
      <c r="AD166" s="15">
        <f>IFERROR(AC166/AC444, "NA")</f>
        <v>-0.21456161481911845</v>
      </c>
    </row>
    <row r="167" spans="1:30" ht="16.5" customHeight="1" x14ac:dyDescent="0.45">
      <c r="A167" s="6" t="s">
        <v>155</v>
      </c>
      <c r="B167" s="7">
        <v>43.25</v>
      </c>
      <c r="C167" s="8">
        <f>IFERROR(B167/B444, "NA")</f>
        <v>5.8725247986878134E-4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-43.25</v>
      </c>
      <c r="I167" s="8">
        <f>IFERROR(H167/H444, "NA")</f>
        <v>6.0279165708471858E-3</v>
      </c>
      <c r="J167" s="9"/>
      <c r="K167" s="7">
        <v>56.5</v>
      </c>
      <c r="L167" s="8">
        <f>IFERROR(K167/K444, "NA")</f>
        <v>7.3156450961741888E-4</v>
      </c>
      <c r="M167" s="9"/>
      <c r="N167" s="10">
        <f t="shared" si="41"/>
        <v>13.25</v>
      </c>
      <c r="O167" s="8">
        <f>IFERROR(N167/N444, "NA")</f>
        <v>-3.6973064076412836E-3</v>
      </c>
      <c r="P167" s="9"/>
      <c r="Q167" s="7">
        <v>102.83</v>
      </c>
      <c r="R167" s="8">
        <f>IFERROR(Q167/Q444, "NA")</f>
        <v>7.2653586948496357E-4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-102.83</v>
      </c>
      <c r="X167" s="8">
        <f>IFERROR(W167/W444, "NA")</f>
        <v>2.1137516161987835E-2</v>
      </c>
      <c r="Y167" s="9"/>
      <c r="Z167" s="7">
        <v>142.59</v>
      </c>
      <c r="AA167" s="8">
        <f>IFERROR(Z167/Z444, "NA")</f>
        <v>1.010895824983937E-3</v>
      </c>
      <c r="AB167" s="9"/>
      <c r="AC167" s="10">
        <f t="shared" si="43"/>
        <v>39.760000000000005</v>
      </c>
      <c r="AD167" s="8">
        <f>IFERROR(AC167/AC444, "NA")</f>
        <v>8.2568426298956124E-2</v>
      </c>
    </row>
    <row r="168" spans="1:30" ht="16.5" customHeight="1" x14ac:dyDescent="0.45">
      <c r="A168" s="6" t="s">
        <v>156</v>
      </c>
      <c r="B168" s="7">
        <v>18</v>
      </c>
      <c r="C168" s="8">
        <f>IFERROR(B168/B444, "NA")</f>
        <v>2.4440565636157371E-4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-18</v>
      </c>
      <c r="I168" s="8">
        <f>IFERROR(H168/H444, "NA")</f>
        <v>2.5087282838207941E-3</v>
      </c>
      <c r="J168" s="9"/>
      <c r="K168" s="7">
        <v>30</v>
      </c>
      <c r="L168" s="8">
        <f>IFERROR(K168/K444, "NA")</f>
        <v>3.8844133254022241E-4</v>
      </c>
      <c r="M168" s="9"/>
      <c r="N168" s="10">
        <f t="shared" si="41"/>
        <v>12</v>
      </c>
      <c r="O168" s="8">
        <f>IFERROR(N168/N444, "NA")</f>
        <v>-3.3485039163543701E-3</v>
      </c>
      <c r="P168" s="9"/>
      <c r="Q168" s="7">
        <v>36</v>
      </c>
      <c r="R168" s="8">
        <f>IFERROR(Q168/Q444, "NA")</f>
        <v>2.5435467569248947E-4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-36</v>
      </c>
      <c r="X168" s="8">
        <f>IFERROR(W168/W444, "NA")</f>
        <v>7.4000834564967631E-3</v>
      </c>
      <c r="Y168" s="9"/>
      <c r="Z168" s="7">
        <v>62.6</v>
      </c>
      <c r="AA168" s="8">
        <f>IFERROR(Z168/Z444, "NA")</f>
        <v>4.4380446485724423E-4</v>
      </c>
      <c r="AB168" s="9"/>
      <c r="AC168" s="10">
        <f t="shared" si="43"/>
        <v>26.6</v>
      </c>
      <c r="AD168" s="8">
        <f>IFERROR(AC168/AC444, "NA")</f>
        <v>5.5239440129583317E-2</v>
      </c>
    </row>
    <row r="169" spans="1:30" ht="16.5" customHeight="1" x14ac:dyDescent="0.45">
      <c r="A169" s="6" t="s">
        <v>157</v>
      </c>
      <c r="B169" s="7">
        <v>-684.64</v>
      </c>
      <c r="C169" s="8">
        <f>IFERROR(B169/B444, "NA")</f>
        <v>-9.2961049206326564E-3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684.64</v>
      </c>
      <c r="I169" s="8">
        <f>IFERROR(H169/H444, "NA")</f>
        <v>-9.5420874013059362E-2</v>
      </c>
      <c r="J169" s="9"/>
      <c r="K169" s="7">
        <v>-2290.67</v>
      </c>
      <c r="L169" s="8">
        <f>IFERROR(K169/K444, "NA")</f>
        <v>-2.9659696906997043E-2</v>
      </c>
      <c r="M169" s="9"/>
      <c r="N169" s="10">
        <f t="shared" si="41"/>
        <v>-1606.0300000000002</v>
      </c>
      <c r="O169" s="8">
        <f>IFERROR(N169/N444, "NA")</f>
        <v>0.44814981206521748</v>
      </c>
      <c r="P169" s="9"/>
      <c r="Q169" s="7">
        <v>-1755.1</v>
      </c>
      <c r="R169" s="8">
        <f>IFERROR(Q169/Q444, "NA")</f>
        <v>-1.2400496980774672E-2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1755.1</v>
      </c>
      <c r="X169" s="8">
        <f>IFERROR(W169/W444, "NA")</f>
        <v>-0.36077462429159635</v>
      </c>
      <c r="Y169" s="9"/>
      <c r="Z169" s="7">
        <v>-4339.95</v>
      </c>
      <c r="AA169" s="8">
        <f>IFERROR(Z169/Z444, "NA")</f>
        <v>-3.0768197879507939E-2</v>
      </c>
      <c r="AB169" s="9"/>
      <c r="AC169" s="10">
        <f t="shared" si="43"/>
        <v>-2584.85</v>
      </c>
      <c r="AD169" s="8">
        <f>IFERROR(AC169/AC444, "NA")</f>
        <v>-5.3678822112388511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3082.9900000000002</v>
      </c>
      <c r="C170" s="15">
        <f>IFERROR(B170/B444, "NA")</f>
        <v>4.1861121917009345E-2</v>
      </c>
      <c r="D170" s="2"/>
      <c r="E170" s="14">
        <f>IFERROR(E151+E153+E154+E155+E156+E157+E160+E161+E162+E163+E164+E165+E167+E168+E169, "NA")</f>
        <v>3232.92</v>
      </c>
      <c r="F170" s="15">
        <f>IFERROR(E170/E444, "NA")</f>
        <v>0.04</v>
      </c>
      <c r="G170" s="2"/>
      <c r="H170" s="14">
        <f t="shared" si="40"/>
        <v>149.92999999999984</v>
      </c>
      <c r="I170" s="15">
        <f>IFERROR(H170/H444, "NA")</f>
        <v>-2.0896312866291736E-2</v>
      </c>
      <c r="J170" s="2"/>
      <c r="K170" s="14">
        <f>IFERROR(K151+K153+K154+K155+K156+K157+K160+K161+K162+K163+K164+K165+K167+K168+K169, "NA")</f>
        <v>1451.3399999999997</v>
      </c>
      <c r="L170" s="15">
        <f>IFERROR(K170/K444, "NA")</f>
        <v>1.8792014785630876E-2</v>
      </c>
      <c r="M170" s="2"/>
      <c r="N170" s="14">
        <f t="shared" si="41"/>
        <v>-1631.6500000000005</v>
      </c>
      <c r="O170" s="15">
        <f>IFERROR(N170/N444, "NA")</f>
        <v>0.45529886792663415</v>
      </c>
      <c r="P170" s="2"/>
      <c r="Q170" s="14">
        <f>IFERROR(Q151+Q153+Q154+Q155+Q156+Q157+Q160+Q161+Q162+Q163+Q164+Q165+Q167+Q168+Q169, "NA")</f>
        <v>6361.869999999999</v>
      </c>
      <c r="R170" s="15">
        <f>IFERROR(Q170/Q444, "NA")</f>
        <v>4.4949205017993821E-2</v>
      </c>
      <c r="S170" s="2"/>
      <c r="T170" s="14">
        <f>IFERROR(T151+T153+T154+T155+T156+T157+T160+T161+T162+T163+T164+T165+T167+T168+T169, "NA")</f>
        <v>5855.98</v>
      </c>
      <c r="U170" s="15">
        <f>IFERROR(T170/T444, "NA")</f>
        <v>4.0000010929002058E-2</v>
      </c>
      <c r="V170" s="2"/>
      <c r="W170" s="14">
        <f t="shared" si="42"/>
        <v>-505.88999999999942</v>
      </c>
      <c r="X170" s="15">
        <f>IFERROR(W170/W444, "NA")</f>
        <v>0.10398967277242065</v>
      </c>
      <c r="Y170" s="2"/>
      <c r="Z170" s="14">
        <f>IFERROR(Z151+Z153+Z154+Z155+Z156+Z157+Z160+Z161+Z162+Z163+Z164+Z165+Z167+Z168+Z169, "NA")</f>
        <v>2552.2700000000013</v>
      </c>
      <c r="AA170" s="15">
        <f>IFERROR(Z170/Z444, "NA")</f>
        <v>1.8094390120146953E-2</v>
      </c>
      <c r="AB170" s="2"/>
      <c r="AC170" s="14">
        <f t="shared" si="43"/>
        <v>-3809.5999999999976</v>
      </c>
      <c r="AD170" s="15">
        <f>IFERROR(AC170/AC444, "NA")</f>
        <v>-7.9112846284834761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20825.830000000005</v>
      </c>
      <c r="C171" s="15">
        <f>IFERROR(B171/B444, "NA")</f>
        <v>0.28277503613469746</v>
      </c>
      <c r="D171" s="2"/>
      <c r="E171" s="14">
        <f>IFERROR(E127+E129+E130+E131+E132+E133+E134+E135+E136+E137+E138+E139+E140+E143+E144+E145+E146+E147+E151+E153+E154+E155+E156+E157+E160+E161+E162+E163+E164+E165+E167+E168+E169, "NA")</f>
        <v>21337.279999999999</v>
      </c>
      <c r="F171" s="15">
        <f>IFERROR(E171/E444, "NA")</f>
        <v>0.2640000989817255</v>
      </c>
      <c r="G171" s="2"/>
      <c r="H171" s="14">
        <f t="shared" si="40"/>
        <v>511.44999999999345</v>
      </c>
      <c r="I171" s="15">
        <f>IFERROR(H171/H444, "NA")</f>
        <v>-7.1282726708896044E-2</v>
      </c>
      <c r="J171" s="2"/>
      <c r="K171" s="14">
        <f>IFERROR(K127+K129+K130+K131+K132+K133+K134+K135+K136+K137+K138+K139+K140+K143+K144+K145+K146+K147+K151+K153+K154+K155+K156+K157+K160+K161+K162+K163+K164+K165+K167+K168+K169, "NA")</f>
        <v>19441.980000000003</v>
      </c>
      <c r="L171" s="15">
        <f>IFERROR(K171/K444, "NA")</f>
        <v>0.25173562061401183</v>
      </c>
      <c r="M171" s="2"/>
      <c r="N171" s="14">
        <f t="shared" si="41"/>
        <v>-1383.8500000000022</v>
      </c>
      <c r="O171" s="15">
        <f>IFERROR(N171/N444, "NA")</f>
        <v>0.38615226205391684</v>
      </c>
      <c r="P171" s="2"/>
      <c r="Q171" s="14">
        <f>IFERROR(Q127+Q129+Q130+Q131+Q132+Q133+Q134+Q135+Q136+Q137+Q138+Q139+Q140+Q143+Q144+Q145+Q146+Q147+Q151+Q153+Q154+Q155+Q156+Q157+Q160+Q161+Q162+Q163+Q164+Q165+Q167+Q168+Q169, "NA")</f>
        <v>40650.850000000013</v>
      </c>
      <c r="R171" s="15">
        <f>IFERROR(Q171/Q444, "NA")</f>
        <v>0.28721482689927885</v>
      </c>
      <c r="S171" s="2"/>
      <c r="T171" s="14">
        <f>IFERROR(T127+T129+T130+T131+T132+T133+T134+T135+T136+T137+T138+T139+T140+T143+T144+T145+T146+T147+T151+T153+T154+T155+T156+T157+T160+T161+T162+T163+T164+T165+T167+T168+T169, "NA")</f>
        <v>39174.080000000002</v>
      </c>
      <c r="U171" s="15">
        <f>IFERROR(T171/T444, "NA")</f>
        <v>0.2675835006495243</v>
      </c>
      <c r="V171" s="2"/>
      <c r="W171" s="14">
        <f t="shared" si="42"/>
        <v>-1476.7700000000114</v>
      </c>
      <c r="X171" s="15">
        <f>IFERROR(W171/W444, "NA")</f>
        <v>0.30356170127918913</v>
      </c>
      <c r="Y171" s="2"/>
      <c r="Z171" s="14">
        <f>IFERROR(Z127+Z129+Z130+Z131+Z132+Z133+Z134+Z135+Z136+Z137+Z138+Z139+Z140+Z143+Z144+Z145+Z146+Z147+Z151+Z153+Z154+Z155+Z156+Z157+Z160+Z161+Z162+Z163+Z164+Z165+Z167+Z168+Z169, "NA")</f>
        <v>35800.040000000008</v>
      </c>
      <c r="AA171" s="15">
        <f>IFERROR(Z171/Z444, "NA")</f>
        <v>0.25380539287648468</v>
      </c>
      <c r="AB171" s="2"/>
      <c r="AC171" s="14">
        <f t="shared" si="43"/>
        <v>-4850.8100000000049</v>
      </c>
      <c r="AD171" s="15">
        <f>IFERROR(AC171/AC444, "NA")</f>
        <v>-10.073534908833997</v>
      </c>
    </row>
    <row r="172" spans="1:30" ht="16.5" customHeight="1" x14ac:dyDescent="0.45">
      <c r="A172" s="22" t="s">
        <v>160</v>
      </c>
      <c r="B172" s="23">
        <f>IFERROR(B124-B171, "NA")</f>
        <v>52822.22</v>
      </c>
      <c r="C172" s="24">
        <f>IFERROR(B172/B444, "NA")</f>
        <v>0.71722496386530254</v>
      </c>
      <c r="D172" s="25"/>
      <c r="E172" s="23">
        <f>IFERROR(E124-E171, "NA")</f>
        <v>59485.720000000016</v>
      </c>
      <c r="F172" s="24">
        <f>IFERROR(E172/E444, "NA")</f>
        <v>0.73599990101827473</v>
      </c>
      <c r="G172" s="25"/>
      <c r="H172" s="23">
        <f>IFERROR(B172-E172, "NA")</f>
        <v>-6663.5000000000146</v>
      </c>
      <c r="I172" s="24">
        <f>IFERROR(H172/H444, "NA")</f>
        <v>0.92871727329110543</v>
      </c>
      <c r="J172" s="25"/>
      <c r="K172" s="23">
        <f>IFERROR(K124-K171, "NA")</f>
        <v>57789.759999999987</v>
      </c>
      <c r="L172" s="24">
        <f>IFERROR(K172/K444, "NA")</f>
        <v>0.748264379385988</v>
      </c>
      <c r="M172" s="25"/>
      <c r="N172" s="23">
        <f>IFERROR(B172-K172, "NA")</f>
        <v>-4967.5399999999863</v>
      </c>
      <c r="O172" s="24">
        <f>IFERROR(N172/N444, "NA")</f>
        <v>1.3861522620539117</v>
      </c>
      <c r="P172" s="25"/>
      <c r="Q172" s="23">
        <f>IFERROR(Q124-Q171, "NA")</f>
        <v>100883.80000000005</v>
      </c>
      <c r="R172" s="24">
        <f>IFERROR(Q172/Q444, "NA")</f>
        <v>0.71278517310072165</v>
      </c>
      <c r="S172" s="25"/>
      <c r="T172" s="23">
        <f>IFERROR(T124-T171, "NA")</f>
        <v>107225.38000000002</v>
      </c>
      <c r="U172" s="24">
        <f>IFERROR(T172/T444, "NA")</f>
        <v>0.73241649935047592</v>
      </c>
      <c r="V172" s="25"/>
      <c r="W172" s="23">
        <f>IFERROR(Q172-T172, "NA")</f>
        <v>-6341.5799999999726</v>
      </c>
      <c r="X172" s="24">
        <f>IFERROR(W172/W444, "NA")</f>
        <v>1.3035617012791816</v>
      </c>
      <c r="Y172" s="25"/>
      <c r="Z172" s="23">
        <f>IFERROR(Z124-Z171, "NA")</f>
        <v>105253.07000000004</v>
      </c>
      <c r="AA172" s="24">
        <f>IFERROR(Z172/Z444, "NA")</f>
        <v>0.74619460712351571</v>
      </c>
      <c r="AB172" s="25"/>
      <c r="AC172" s="23">
        <f>IFERROR(Q172-Z172, "NA")</f>
        <v>-4369.2699999999895</v>
      </c>
      <c r="AD172" s="24">
        <f>IFERROR(AC172/AC444, "NA")</f>
        <v>-9.0735349088339809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5076.92</v>
      </c>
      <c r="C178" s="8">
        <f>IFERROR(B178/B444, "NA")</f>
        <v>6.8934886938622264E-2</v>
      </c>
      <c r="D178" s="9"/>
      <c r="E178" s="7">
        <v>4615.3999999999996</v>
      </c>
      <c r="F178" s="8">
        <f>IFERROR(E178/E444, "NA")</f>
        <v>5.7105031983470049E-2</v>
      </c>
      <c r="G178" s="9"/>
      <c r="H178" s="10">
        <f t="shared" si="44"/>
        <v>-461.52000000000044</v>
      </c>
      <c r="I178" s="8">
        <f>IFERROR(H178/H444, "NA")</f>
        <v>6.4323793197165219E-2</v>
      </c>
      <c r="J178" s="9"/>
      <c r="K178" s="7">
        <v>4615.3999999999996</v>
      </c>
      <c r="L178" s="8">
        <f>IFERROR(K178/K444, "NA")</f>
        <v>5.9760404206871412E-2</v>
      </c>
      <c r="M178" s="9"/>
      <c r="N178" s="10">
        <f t="shared" si="45"/>
        <v>-461.52000000000044</v>
      </c>
      <c r="O178" s="8">
        <f>IFERROR(N178/N444, "NA")</f>
        <v>0.1287834606229892</v>
      </c>
      <c r="P178" s="9"/>
      <c r="Q178" s="7">
        <v>10153.84</v>
      </c>
      <c r="R178" s="8">
        <f>IFERROR(Q178/Q444, "NA")</f>
        <v>7.1741018895372974E-2</v>
      </c>
      <c r="S178" s="9"/>
      <c r="T178" s="7">
        <v>9230.7999999999993</v>
      </c>
      <c r="U178" s="8">
        <f>IFERROR(T178/T444, "NA")</f>
        <v>6.3052145137693819E-2</v>
      </c>
      <c r="V178" s="9"/>
      <c r="W178" s="10">
        <f t="shared" si="46"/>
        <v>-923.04000000000087</v>
      </c>
      <c r="X178" s="8">
        <f>IFERROR(W178/W444, "NA")</f>
        <v>0.18973813982457718</v>
      </c>
      <c r="Y178" s="9"/>
      <c r="Z178" s="7">
        <v>9230.7999999999993</v>
      </c>
      <c r="AA178" s="8">
        <f>IFERROR(Z178/Z444, "NA")</f>
        <v>6.5442016840323483E-2</v>
      </c>
      <c r="AB178" s="9"/>
      <c r="AC178" s="10">
        <f t="shared" si="47"/>
        <v>-923.04000000000087</v>
      </c>
      <c r="AD178" s="8">
        <f>IFERROR(AC178/AC444, "NA")</f>
        <v>-1.9168501059101741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14356.79</v>
      </c>
      <c r="C180" s="8">
        <f>IFERROR(B180/B444, "NA")</f>
        <v>0.19493781573307101</v>
      </c>
      <c r="D180" s="9"/>
      <c r="E180" s="7">
        <v>15841.31</v>
      </c>
      <c r="F180" s="8">
        <f>IFERROR(E180/E444, "NA")</f>
        <v>0.19600002474543138</v>
      </c>
      <c r="G180" s="9"/>
      <c r="H180" s="10">
        <f t="shared" si="44"/>
        <v>1484.5199999999986</v>
      </c>
      <c r="I180" s="8">
        <f>IFERROR(H180/H444, "NA")</f>
        <v>-0.20690318399431343</v>
      </c>
      <c r="J180" s="9"/>
      <c r="K180" s="7">
        <v>15267.11</v>
      </c>
      <c r="L180" s="8">
        <f>IFERROR(K180/K444, "NA")</f>
        <v>0.19767921841460517</v>
      </c>
      <c r="M180" s="9"/>
      <c r="N180" s="10">
        <f t="shared" si="45"/>
        <v>910.31999999999971</v>
      </c>
      <c r="O180" s="8">
        <f>IFERROR(N180/N444, "NA")</f>
        <v>-0.25401750709464244</v>
      </c>
      <c r="P180" s="9"/>
      <c r="Q180" s="7">
        <v>29846.62</v>
      </c>
      <c r="R180" s="8">
        <f>IFERROR(Q180/Q444, "NA")</f>
        <v>0.21087853751713803</v>
      </c>
      <c r="S180" s="9"/>
      <c r="T180" s="7">
        <v>29284.48</v>
      </c>
      <c r="U180" s="8">
        <f>IFERROR(T180/T444, "NA")</f>
        <v>0.20003133891340857</v>
      </c>
      <c r="V180" s="9"/>
      <c r="W180" s="10">
        <f t="shared" si="46"/>
        <v>-562.13999999999942</v>
      </c>
      <c r="X180" s="8">
        <f>IFERROR(W180/W444, "NA")</f>
        <v>0.11555230317319683</v>
      </c>
      <c r="Y180" s="9"/>
      <c r="Z180" s="7">
        <v>28665.72</v>
      </c>
      <c r="AA180" s="8">
        <f>IFERROR(Z180/Z444, "NA")</f>
        <v>0.20322643010139943</v>
      </c>
      <c r="AB180" s="9"/>
      <c r="AC180" s="10">
        <f t="shared" si="47"/>
        <v>-1180.8999999999978</v>
      </c>
      <c r="AD180" s="8">
        <f>IFERROR(AC180/AC444, "NA")</f>
        <v>-2.4523404078580757</v>
      </c>
    </row>
    <row r="181" spans="1:30" ht="16.5" customHeight="1" x14ac:dyDescent="0.45">
      <c r="A181" s="12" t="s">
        <v>166</v>
      </c>
      <c r="B181" s="7">
        <v>41.03</v>
      </c>
      <c r="C181" s="8">
        <f>IFERROR(B181/B444, "NA")</f>
        <v>5.5710911558418726E-4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-41.03</v>
      </c>
      <c r="I181" s="8">
        <f>IFERROR(H181/H444, "NA")</f>
        <v>5.7185067491759547E-3</v>
      </c>
      <c r="J181" s="9"/>
      <c r="K181" s="7">
        <v>78.459999999999994</v>
      </c>
      <c r="L181" s="8">
        <f>IFERROR(K181/K444, "NA")</f>
        <v>1.0159035650368616E-3</v>
      </c>
      <c r="M181" s="9"/>
      <c r="N181" s="10">
        <f t="shared" si="45"/>
        <v>37.429999999999993</v>
      </c>
      <c r="O181" s="8">
        <f>IFERROR(N181/N444, "NA")</f>
        <v>-1.0444541799095337E-2</v>
      </c>
      <c r="P181" s="9"/>
      <c r="Q181" s="7">
        <v>235.43</v>
      </c>
      <c r="R181" s="8">
        <f>IFERROR(Q181/Q444, "NA")</f>
        <v>1.6634089249522998E-3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-235.43</v>
      </c>
      <c r="X181" s="8">
        <f>IFERROR(W181/W444, "NA")</f>
        <v>4.8394490226750915E-2</v>
      </c>
      <c r="Y181" s="9"/>
      <c r="Z181" s="7">
        <v>78.459999999999994</v>
      </c>
      <c r="AA181" s="8">
        <f>IFERROR(Z181/Z444, "NA")</f>
        <v>5.5624438199200293E-4</v>
      </c>
      <c r="AB181" s="9"/>
      <c r="AC181" s="10">
        <f t="shared" si="47"/>
        <v>-156.97000000000003</v>
      </c>
      <c r="AD181" s="8">
        <f>IFERROR(AC181/AC444, "NA")</f>
        <v>-0.32597499688498854</v>
      </c>
    </row>
    <row r="182" spans="1:30" ht="16.5" customHeight="1" x14ac:dyDescent="0.45">
      <c r="A182" s="13" t="s">
        <v>167</v>
      </c>
      <c r="B182" s="14">
        <f>IFERROR(B177+B178+B179+B180+B181, "NA")</f>
        <v>19474.739999999998</v>
      </c>
      <c r="C182" s="15">
        <f>IFERROR(B182/B444, "NA")</f>
        <v>0.26442981178727742</v>
      </c>
      <c r="D182" s="2"/>
      <c r="E182" s="14">
        <f>IFERROR(E177+E178+E179+E180+E181, "NA")</f>
        <v>20456.71</v>
      </c>
      <c r="F182" s="15">
        <f>IFERROR(E182/E444, "NA")</f>
        <v>0.25310505672890143</v>
      </c>
      <c r="G182" s="2"/>
      <c r="H182" s="14">
        <f t="shared" si="44"/>
        <v>981.97000000000116</v>
      </c>
      <c r="I182" s="15">
        <f>IFERROR(H182/H444, "NA")</f>
        <v>-0.13686088404797267</v>
      </c>
      <c r="J182" s="2"/>
      <c r="K182" s="14">
        <f>IFERROR(K177+K178+K179+K180+K181, "NA")</f>
        <v>19960.97</v>
      </c>
      <c r="L182" s="15">
        <f>IFERROR(K182/K444, "NA")</f>
        <v>0.25845552618651346</v>
      </c>
      <c r="M182" s="2"/>
      <c r="N182" s="14">
        <f t="shared" si="45"/>
        <v>486.2300000000032</v>
      </c>
      <c r="O182" s="15">
        <f>IFERROR(N182/N444, "NA")</f>
        <v>-0.13567858827074966</v>
      </c>
      <c r="P182" s="2"/>
      <c r="Q182" s="14">
        <f>IFERROR(Q177+Q178+Q179+Q180+Q181, "NA")</f>
        <v>40235.89</v>
      </c>
      <c r="R182" s="15">
        <f>IFERROR(Q182/Q444, "NA")</f>
        <v>0.28428296533746333</v>
      </c>
      <c r="S182" s="2"/>
      <c r="T182" s="14">
        <f>IFERROR(T177+T178+T179+T180+T181, "NA")</f>
        <v>38515.279999999999</v>
      </c>
      <c r="U182" s="15">
        <f>IFERROR(T182/T444, "NA")</f>
        <v>0.26308348405110238</v>
      </c>
      <c r="V182" s="2"/>
      <c r="W182" s="14">
        <f t="shared" si="46"/>
        <v>-1720.6100000000006</v>
      </c>
      <c r="X182" s="15">
        <f>IFERROR(W182/W444, "NA")</f>
        <v>0.35368493322452499</v>
      </c>
      <c r="Y182" s="2"/>
      <c r="Z182" s="14">
        <f>IFERROR(Z177+Z178+Z179+Z180+Z181, "NA")</f>
        <v>37974.980000000003</v>
      </c>
      <c r="AA182" s="15">
        <f>IFERROR(Z182/Z444, "NA")</f>
        <v>0.2692246913237149</v>
      </c>
      <c r="AB182" s="2"/>
      <c r="AC182" s="14">
        <f t="shared" si="47"/>
        <v>-2260.9099999999962</v>
      </c>
      <c r="AD182" s="15">
        <f>IFERROR(AC182/AC444, "NA")</f>
        <v>-4.6951655106532328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165</v>
      </c>
      <c r="C184" s="8">
        <f>IFERROR(B184/B444, "NA")</f>
        <v>2.2403851833144258E-3</v>
      </c>
      <c r="D184" s="9"/>
      <c r="E184" s="7">
        <v>165</v>
      </c>
      <c r="F184" s="8">
        <f>IFERROR(E184/E444, "NA")</f>
        <v>2.0414980884154261E-3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3.8844133254022245E-3</v>
      </c>
      <c r="M184" s="9"/>
      <c r="N184" s="10">
        <f t="shared" si="45"/>
        <v>135</v>
      </c>
      <c r="O184" s="8">
        <f>IFERROR(N184/N444, "NA")</f>
        <v>-3.767066905898666E-2</v>
      </c>
      <c r="P184" s="9"/>
      <c r="Q184" s="7">
        <v>330</v>
      </c>
      <c r="R184" s="8">
        <f>IFERROR(Q184/Q444, "NA")</f>
        <v>2.3315845271811532E-3</v>
      </c>
      <c r="S184" s="9"/>
      <c r="T184" s="7">
        <v>330</v>
      </c>
      <c r="U184" s="8">
        <f>IFERROR(T184/T444, "NA")</f>
        <v>2.2541066749836372E-3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600</v>
      </c>
      <c r="AA184" s="8">
        <f>IFERROR(Z184/Z444, "NA")</f>
        <v>4.2537169155646409E-3</v>
      </c>
      <c r="AB184" s="9"/>
      <c r="AC184" s="10">
        <f t="shared" si="47"/>
        <v>270</v>
      </c>
      <c r="AD184" s="8">
        <f>IFERROR(AC184/AC444, "NA")</f>
        <v>0.56070108402208629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2368.75</v>
      </c>
      <c r="C186" s="8">
        <f>IFERROR(B186/B444, "NA")</f>
        <v>3.2163105472582096E-2</v>
      </c>
      <c r="D186" s="9"/>
      <c r="E186" s="7">
        <v>3202.41</v>
      </c>
      <c r="F186" s="8">
        <f>IFERROR(E186/E444, "NA")</f>
        <v>3.9622508444378451E-2</v>
      </c>
      <c r="G186" s="9"/>
      <c r="H186" s="10">
        <f t="shared" ref="H186:H197" si="48">IFERROR(-(B186-E186), "NA")</f>
        <v>833.65999999999985</v>
      </c>
      <c r="I186" s="8">
        <f>IFERROR(H186/H444, "NA")</f>
        <v>-0.11619035672722461</v>
      </c>
      <c r="J186" s="9"/>
      <c r="K186" s="7">
        <v>3060.11</v>
      </c>
      <c r="L186" s="8">
        <f>IFERROR(K186/K444, "NA")</f>
        <v>3.9622440203988668E-2</v>
      </c>
      <c r="M186" s="9"/>
      <c r="N186" s="10">
        <f t="shared" ref="N186:N197" si="49">IFERROR(-(B186-K186), "NA")</f>
        <v>691.36000000000013</v>
      </c>
      <c r="O186" s="8">
        <f>IFERROR(N186/N444, "NA")</f>
        <v>-0.19291847230089648</v>
      </c>
      <c r="P186" s="9"/>
      <c r="Q186" s="7">
        <v>4880.1000000000004</v>
      </c>
      <c r="R186" s="8">
        <f>IFERROR(Q186/Q444, "NA")</f>
        <v>3.4479895912414384E-2</v>
      </c>
      <c r="S186" s="9"/>
      <c r="T186" s="7">
        <v>6249.75</v>
      </c>
      <c r="U186" s="8">
        <f>IFERROR(T186/T444, "NA")</f>
        <v>4.2689706642360568E-2</v>
      </c>
      <c r="V186" s="9"/>
      <c r="W186" s="10">
        <f t="shared" ref="W186:W197" si="50">IFERROR(-(Q186-T186), "NA")</f>
        <v>1369.6499999999996</v>
      </c>
      <c r="X186" s="8">
        <f>IFERROR(W186/W444, "NA")</f>
        <v>-0.28154234183863303</v>
      </c>
      <c r="Y186" s="9"/>
      <c r="Z186" s="7">
        <v>6025.89</v>
      </c>
      <c r="AA186" s="8">
        <f>IFERROR(Z186/Z444, "NA")</f>
        <v>4.2720717040553031E-2</v>
      </c>
      <c r="AB186" s="9"/>
      <c r="AC186" s="10">
        <f t="shared" ref="AC186:AC197" si="51">IFERROR(-(Q186-Z186), "NA")</f>
        <v>1145.79</v>
      </c>
      <c r="AD186" s="8">
        <f>IFERROR(AC186/AC444, "NA")</f>
        <v>2.3794285002283933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2368.75</v>
      </c>
      <c r="C193" s="15">
        <f>IFERROR(B193/B444, "NA")</f>
        <v>3.2163105472582096E-2</v>
      </c>
      <c r="D193" s="2"/>
      <c r="E193" s="14">
        <f>IFERROR(E186+E187+E188+E189+E190+E191+E192, "NA")</f>
        <v>3202.41</v>
      </c>
      <c r="F193" s="15">
        <f>IFERROR(E193/E444, "NA")</f>
        <v>3.9622508444378451E-2</v>
      </c>
      <c r="G193" s="2"/>
      <c r="H193" s="14">
        <f t="shared" si="48"/>
        <v>833.65999999999985</v>
      </c>
      <c r="I193" s="15">
        <f>IFERROR(H193/H444, "NA")</f>
        <v>-0.11619035672722461</v>
      </c>
      <c r="J193" s="2"/>
      <c r="K193" s="14">
        <f>IFERROR(K186+K187+K188+K189+K190+K191+K192, "NA")</f>
        <v>3060.11</v>
      </c>
      <c r="L193" s="15">
        <f>IFERROR(K193/K444, "NA")</f>
        <v>3.9622440203988668E-2</v>
      </c>
      <c r="M193" s="2"/>
      <c r="N193" s="14">
        <f t="shared" si="49"/>
        <v>691.36000000000013</v>
      </c>
      <c r="O193" s="15">
        <f>IFERROR(N193/N444, "NA")</f>
        <v>-0.19291847230089648</v>
      </c>
      <c r="P193" s="2"/>
      <c r="Q193" s="14">
        <f>IFERROR(Q186+Q187+Q188+Q189+Q190+Q191+Q192, "NA")</f>
        <v>4880.1000000000004</v>
      </c>
      <c r="R193" s="15">
        <f>IFERROR(Q193/Q444, "NA")</f>
        <v>3.4479895912414384E-2</v>
      </c>
      <c r="S193" s="2"/>
      <c r="T193" s="14">
        <f>IFERROR(T186+T187+T188+T189+T190+T191+T192, "NA")</f>
        <v>6249.75</v>
      </c>
      <c r="U193" s="15">
        <f>IFERROR(T193/T444, "NA")</f>
        <v>4.2689706642360568E-2</v>
      </c>
      <c r="V193" s="2"/>
      <c r="W193" s="14">
        <f t="shared" si="50"/>
        <v>1369.6499999999996</v>
      </c>
      <c r="X193" s="15">
        <f>IFERROR(W193/W444, "NA")</f>
        <v>-0.28154234183863303</v>
      </c>
      <c r="Y193" s="2"/>
      <c r="Z193" s="14">
        <f>IFERROR(Z186+Z187+Z188+Z189+Z190+Z191+Z192, "NA")</f>
        <v>6025.89</v>
      </c>
      <c r="AA193" s="15">
        <f>IFERROR(Z193/Z444, "NA")</f>
        <v>4.2720717040553031E-2</v>
      </c>
      <c r="AB193" s="2"/>
      <c r="AC193" s="14">
        <f t="shared" si="51"/>
        <v>1145.79</v>
      </c>
      <c r="AD193" s="15">
        <f>IFERROR(AC193/AC444, "NA")</f>
        <v>2.3794285002283933</v>
      </c>
    </row>
    <row r="194" spans="1:30" ht="16.5" customHeight="1" x14ac:dyDescent="0.45">
      <c r="A194" s="6" t="s">
        <v>178</v>
      </c>
      <c r="B194" s="7">
        <v>391.14</v>
      </c>
      <c r="C194" s="8">
        <f>IFERROR(B194/B444, "NA")</f>
        <v>5.3109349127369969E-3</v>
      </c>
      <c r="D194" s="9"/>
      <c r="E194" s="7">
        <v>164.97</v>
      </c>
      <c r="F194" s="8">
        <f>IFERROR(E194/E444, "NA")</f>
        <v>2.0411269069448052E-3</v>
      </c>
      <c r="G194" s="9"/>
      <c r="H194" s="10">
        <f t="shared" si="48"/>
        <v>-226.17</v>
      </c>
      <c r="I194" s="8">
        <f>IFERROR(H194/H444, "NA")</f>
        <v>3.1522170886208276E-2</v>
      </c>
      <c r="J194" s="9"/>
      <c r="K194" s="7">
        <v>314.82</v>
      </c>
      <c r="L194" s="8">
        <f>IFERROR(K194/K444, "NA")</f>
        <v>4.0763033436770945E-3</v>
      </c>
      <c r="M194" s="9"/>
      <c r="N194" s="10">
        <f t="shared" si="49"/>
        <v>-76.319999999999993</v>
      </c>
      <c r="O194" s="8">
        <f>IFERROR(N194/N444, "NA")</f>
        <v>2.129648490801379E-2</v>
      </c>
      <c r="P194" s="9"/>
      <c r="Q194" s="7">
        <v>692.18</v>
      </c>
      <c r="R194" s="8">
        <f>IFERROR(Q194/Q444, "NA")</f>
        <v>4.8905338728007595E-3</v>
      </c>
      <c r="S194" s="9"/>
      <c r="T194" s="7">
        <v>310.76</v>
      </c>
      <c r="U194" s="8">
        <f>IFERROR(T194/T444, "NA")</f>
        <v>2.1226854252058033E-3</v>
      </c>
      <c r="V194" s="9"/>
      <c r="W194" s="10">
        <f t="shared" si="50"/>
        <v>-381.41999999999996</v>
      </c>
      <c r="X194" s="8">
        <f>IFERROR(W194/W444, "NA")</f>
        <v>7.8403884221583189E-2</v>
      </c>
      <c r="Y194" s="9"/>
      <c r="Z194" s="7">
        <v>539.54</v>
      </c>
      <c r="AA194" s="8">
        <f>IFERROR(Z194/Z444, "NA")</f>
        <v>3.8250840410395774E-3</v>
      </c>
      <c r="AB194" s="9"/>
      <c r="AC194" s="10">
        <f t="shared" si="51"/>
        <v>-152.63999999999999</v>
      </c>
      <c r="AD194" s="8">
        <f>IFERROR(AC194/AC444, "NA")</f>
        <v>-0.31698301283381941</v>
      </c>
    </row>
    <row r="195" spans="1:30" ht="16.5" customHeight="1" x14ac:dyDescent="0.45">
      <c r="A195" s="6" t="s">
        <v>179</v>
      </c>
      <c r="B195" s="7">
        <v>3.57</v>
      </c>
      <c r="C195" s="8">
        <f>IFERROR(B195/B444, "NA")</f>
        <v>4.8473788511712116E-5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-3.57</v>
      </c>
      <c r="I195" s="8">
        <f>IFERROR(H195/H444, "NA")</f>
        <v>4.9756444295779082E-4</v>
      </c>
      <c r="J195" s="9"/>
      <c r="K195" s="7">
        <v>-172.78</v>
      </c>
      <c r="L195" s="8">
        <f>IFERROR(K195/K444, "NA")</f>
        <v>-2.2371631145433209E-3</v>
      </c>
      <c r="M195" s="9"/>
      <c r="N195" s="10">
        <f t="shared" si="49"/>
        <v>-176.35</v>
      </c>
      <c r="O195" s="8">
        <f>IFERROR(N195/N444, "NA")</f>
        <v>4.9209055470757761E-2</v>
      </c>
      <c r="P195" s="9"/>
      <c r="Q195" s="7">
        <v>7.14</v>
      </c>
      <c r="R195" s="8">
        <f>IFERROR(Q195/Q444, "NA")</f>
        <v>5.0447010679010404E-5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-7.14</v>
      </c>
      <c r="X195" s="8">
        <f>IFERROR(W195/W444, "NA")</f>
        <v>1.4676832188718579E-3</v>
      </c>
      <c r="Y195" s="9"/>
      <c r="Z195" s="7">
        <v>-345.56</v>
      </c>
      <c r="AA195" s="8">
        <f>IFERROR(Z195/Z444, "NA")</f>
        <v>-2.4498573622375292E-3</v>
      </c>
      <c r="AB195" s="9"/>
      <c r="AC195" s="10">
        <f t="shared" si="51"/>
        <v>-352.7</v>
      </c>
      <c r="AD195" s="8">
        <f>IFERROR(AC195/AC444, "NA")</f>
        <v>-0.73244174938736972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22403.199999999997</v>
      </c>
      <c r="C196" s="15">
        <f>IFERROR(B196/B444, "NA")</f>
        <v>0.30419271114442265</v>
      </c>
      <c r="D196" s="2"/>
      <c r="E196" s="14">
        <f>IFERROR(E175+E177+E178+E179+E180+E181+E183+E184+E186+E187+E188+E189+E190+E191+E192+E194+E195, "NA")</f>
        <v>23989.09</v>
      </c>
      <c r="F196" s="15">
        <f>IFERROR(E196/E444, "NA")</f>
        <v>0.29681019016864013</v>
      </c>
      <c r="G196" s="2"/>
      <c r="H196" s="14">
        <f t="shared" si="48"/>
        <v>1585.8900000000031</v>
      </c>
      <c r="I196" s="15">
        <f>IFERROR(H196/H444, "NA")</f>
        <v>-0.22103150544603151</v>
      </c>
      <c r="J196" s="2"/>
      <c r="K196" s="14">
        <f>IFERROR(K175+K177+K178+K179+K180+K181+K183+K184+K186+K187+K188+K189+K190+K191+K192+K194+K195, "NA")</f>
        <v>23463.120000000003</v>
      </c>
      <c r="L196" s="15">
        <f>IFERROR(K196/K444, "NA")</f>
        <v>0.30380151994503818</v>
      </c>
      <c r="M196" s="2"/>
      <c r="N196" s="14">
        <f t="shared" si="49"/>
        <v>1059.9200000000055</v>
      </c>
      <c r="O196" s="15">
        <f>IFERROR(N196/N444, "NA")</f>
        <v>-0.29576218925186187</v>
      </c>
      <c r="P196" s="2"/>
      <c r="Q196" s="14">
        <f>IFERROR(Q175+Q177+Q178+Q179+Q180+Q181+Q183+Q184+Q186+Q187+Q188+Q189+Q190+Q191+Q192+Q194+Q195, "NA")</f>
        <v>46145.31</v>
      </c>
      <c r="R196" s="15">
        <f>IFERROR(Q196/Q444, "NA")</f>
        <v>0.32603542666053859</v>
      </c>
      <c r="S196" s="2"/>
      <c r="T196" s="14">
        <f>IFERROR(T175+T177+T178+T179+T180+T181+T183+T184+T186+T187+T188+T189+T190+T191+T192+T194+T195, "NA")</f>
        <v>45405.79</v>
      </c>
      <c r="U196" s="15">
        <f>IFERROR(T196/T444, "NA")</f>
        <v>0.31014998279365241</v>
      </c>
      <c r="V196" s="2"/>
      <c r="W196" s="14">
        <f t="shared" si="50"/>
        <v>-739.5199999999968</v>
      </c>
      <c r="X196" s="15">
        <f>IFERROR(W196/W444, "NA")</f>
        <v>0.15201415882634617</v>
      </c>
      <c r="Y196" s="2"/>
      <c r="Z196" s="14">
        <f>IFERROR(Z175+Z177+Z178+Z179+Z180+Z181+Z183+Z184+Z186+Z187+Z188+Z189+Z190+Z191+Z192+Z194+Z195, "NA")</f>
        <v>44794.850000000006</v>
      </c>
      <c r="AA196" s="15">
        <f>IFERROR(Z196/Z444, "NA")</f>
        <v>0.31757435195863465</v>
      </c>
      <c r="AB196" s="2"/>
      <c r="AC196" s="14">
        <f t="shared" si="51"/>
        <v>-1350.4599999999919</v>
      </c>
      <c r="AD196" s="15">
        <f>IFERROR(AC196/AC444, "NA")</f>
        <v>-2.8044606886239336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22403.199999999997</v>
      </c>
      <c r="C197" s="15">
        <f>IFERROR(B197/B444, "NA")</f>
        <v>0.30419271114442265</v>
      </c>
      <c r="D197" s="2"/>
      <c r="E197" s="14">
        <f>IFERROR(E175+E177+E178+E179+E180+E181+E183+E184+E186+E187+E188+E189+E190+E191+E192+E194+E195, "NA")</f>
        <v>23989.09</v>
      </c>
      <c r="F197" s="15">
        <f>IFERROR(E197/E444, "NA")</f>
        <v>0.29681019016864013</v>
      </c>
      <c r="G197" s="2"/>
      <c r="H197" s="14">
        <f t="shared" si="48"/>
        <v>1585.8900000000031</v>
      </c>
      <c r="I197" s="15">
        <f>IFERROR(H197/H444, "NA")</f>
        <v>-0.22103150544603151</v>
      </c>
      <c r="J197" s="2"/>
      <c r="K197" s="14">
        <f>IFERROR(K175+K177+K178+K179+K180+K181+K183+K184+K186+K187+K188+K189+K190+K191+K192+K194+K195, "NA")</f>
        <v>23463.120000000003</v>
      </c>
      <c r="L197" s="15">
        <f>IFERROR(K197/K444, "NA")</f>
        <v>0.30380151994503818</v>
      </c>
      <c r="M197" s="2"/>
      <c r="N197" s="14">
        <f t="shared" si="49"/>
        <v>1059.9200000000055</v>
      </c>
      <c r="O197" s="15">
        <f>IFERROR(N197/N444, "NA")</f>
        <v>-0.29576218925186187</v>
      </c>
      <c r="P197" s="2"/>
      <c r="Q197" s="14">
        <f>IFERROR(Q175+Q177+Q178+Q179+Q180+Q181+Q183+Q184+Q186+Q187+Q188+Q189+Q190+Q191+Q192+Q194+Q195, "NA")</f>
        <v>46145.31</v>
      </c>
      <c r="R197" s="15">
        <f>IFERROR(Q197/Q444, "NA")</f>
        <v>0.32603542666053859</v>
      </c>
      <c r="S197" s="2"/>
      <c r="T197" s="14">
        <f>IFERROR(T175+T177+T178+T179+T180+T181+T183+T184+T186+T187+T188+T189+T190+T191+T192+T194+T195, "NA")</f>
        <v>45405.79</v>
      </c>
      <c r="U197" s="15">
        <f>IFERROR(T197/T444, "NA")</f>
        <v>0.31014998279365241</v>
      </c>
      <c r="V197" s="2"/>
      <c r="W197" s="14">
        <f t="shared" si="50"/>
        <v>-739.5199999999968</v>
      </c>
      <c r="X197" s="15">
        <f>IFERROR(W197/W444, "NA")</f>
        <v>0.15201415882634617</v>
      </c>
      <c r="Y197" s="2"/>
      <c r="Z197" s="14">
        <f>IFERROR(Z175+Z177+Z178+Z179+Z180+Z181+Z183+Z184+Z186+Z187+Z188+Z189+Z190+Z191+Z192+Z194+Z195, "NA")</f>
        <v>44794.850000000006</v>
      </c>
      <c r="AA197" s="15">
        <f>IFERROR(Z197/Z444, "NA")</f>
        <v>0.31757435195863465</v>
      </c>
      <c r="AB197" s="2"/>
      <c r="AC197" s="14">
        <f t="shared" si="51"/>
        <v>-1350.4599999999919</v>
      </c>
      <c r="AD197" s="15">
        <f>IFERROR(AC197/AC444, "NA")</f>
        <v>-2.8044606886239336</v>
      </c>
    </row>
    <row r="198" spans="1:30" ht="16.5" customHeight="1" x14ac:dyDescent="0.45">
      <c r="A198" s="22" t="s">
        <v>181</v>
      </c>
      <c r="B198" s="23">
        <f>IFERROR(B172-B197, "NA")</f>
        <v>30419.020000000004</v>
      </c>
      <c r="C198" s="24">
        <f>IFERROR(B198/B444, "NA")</f>
        <v>0.41303225272087996</v>
      </c>
      <c r="D198" s="25"/>
      <c r="E198" s="23">
        <f>IFERROR(E172-E197, "NA")</f>
        <v>35496.630000000019</v>
      </c>
      <c r="F198" s="24">
        <f>IFERROR(E198/E444, "NA")</f>
        <v>0.43918971084963465</v>
      </c>
      <c r="G198" s="25"/>
      <c r="H198" s="23">
        <f>IFERROR(B198-E198, "NA")</f>
        <v>-5077.6100000000151</v>
      </c>
      <c r="I198" s="24">
        <f>IFERROR(H198/H444, "NA")</f>
        <v>0.70768576784507453</v>
      </c>
      <c r="J198" s="25"/>
      <c r="K198" s="23">
        <f>IFERROR(K172-K197, "NA")</f>
        <v>34326.639999999985</v>
      </c>
      <c r="L198" s="24">
        <f>IFERROR(K198/K444, "NA")</f>
        <v>0.44446285944094982</v>
      </c>
      <c r="M198" s="25"/>
      <c r="N198" s="23">
        <f>IFERROR(B198-K198, "NA")</f>
        <v>-3907.6199999999808</v>
      </c>
      <c r="O198" s="24">
        <f>IFERROR(N198/N444, "NA")</f>
        <v>1.0903900728020499</v>
      </c>
      <c r="P198" s="25"/>
      <c r="Q198" s="23">
        <f>IFERROR(Q172-Q197, "NA")</f>
        <v>54738.490000000049</v>
      </c>
      <c r="R198" s="24">
        <f>IFERROR(Q198/Q444, "NA")</f>
        <v>0.38674974644018301</v>
      </c>
      <c r="S198" s="25"/>
      <c r="T198" s="23">
        <f>IFERROR(T172-T197, "NA")</f>
        <v>61819.590000000018</v>
      </c>
      <c r="U198" s="24">
        <f>IFERROR(T198/T444, "NA")</f>
        <v>0.42226651655682351</v>
      </c>
      <c r="V198" s="25"/>
      <c r="W198" s="23">
        <f>IFERROR(Q198-T198, "NA")</f>
        <v>-7081.0999999999694</v>
      </c>
      <c r="X198" s="24">
        <f>IFERROR(W198/W444, "NA")</f>
        <v>1.4555758601055278</v>
      </c>
      <c r="Y198" s="25"/>
      <c r="Z198" s="23">
        <f>IFERROR(Z172-Z197, "NA")</f>
        <v>60458.22000000003</v>
      </c>
      <c r="AA198" s="24">
        <f>IFERROR(Z198/Z444, "NA")</f>
        <v>0.42862025516488106</v>
      </c>
      <c r="AB198" s="25"/>
      <c r="AC198" s="23">
        <f>IFERROR(Q198-Z198, "NA")</f>
        <v>-5719.7299999999814</v>
      </c>
      <c r="AD198" s="24">
        <f>IFERROR(AC198/AC444, "NA")</f>
        <v>-11.877995597457915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308.63</v>
      </c>
      <c r="C202" s="8">
        <f>IFERROR(B202/B444, "NA")</f>
        <v>4.1906065401595832E-3</v>
      </c>
      <c r="D202" s="9"/>
      <c r="E202" s="7">
        <v>646.58000000000004</v>
      </c>
      <c r="F202" s="8">
        <f>IFERROR(E202/E444, "NA")</f>
        <v>7.9999505091372502E-3</v>
      </c>
      <c r="G202" s="9"/>
      <c r="H202" s="10">
        <f t="shared" si="52"/>
        <v>337.95000000000005</v>
      </c>
      <c r="I202" s="8">
        <f>IFERROR(H202/H444, "NA")</f>
        <v>-4.7101373528735418E-2</v>
      </c>
      <c r="J202" s="9"/>
      <c r="K202" s="7">
        <v>524.37</v>
      </c>
      <c r="L202" s="8">
        <f>IFERROR(K202/K444, "NA")</f>
        <v>6.7895660514705478E-3</v>
      </c>
      <c r="M202" s="9"/>
      <c r="N202" s="10">
        <f t="shared" si="53"/>
        <v>215.74</v>
      </c>
      <c r="O202" s="8">
        <f>IFERROR(N202/N444, "NA")</f>
        <v>-6.0200519576190985E-2</v>
      </c>
      <c r="P202" s="9"/>
      <c r="Q202" s="7">
        <v>765.07</v>
      </c>
      <c r="R202" s="8">
        <f>IFERROR(Q202/Q444, "NA")</f>
        <v>5.4055314370014696E-3</v>
      </c>
      <c r="S202" s="9"/>
      <c r="T202" s="7">
        <v>1171.19</v>
      </c>
      <c r="U202" s="8">
        <f>IFERROR(T202/T444, "NA")</f>
        <v>7.9999612020426863E-3</v>
      </c>
      <c r="V202" s="9"/>
      <c r="W202" s="10">
        <f t="shared" si="54"/>
        <v>406.12</v>
      </c>
      <c r="X202" s="8">
        <f>IFERROR(W202/W444, "NA")</f>
        <v>-8.3481163704235153E-2</v>
      </c>
      <c r="Y202" s="9"/>
      <c r="Z202" s="7">
        <v>1079.73</v>
      </c>
      <c r="AA202" s="8">
        <f>IFERROR(Z202/Z444, "NA")</f>
        <v>7.6547762754043507E-3</v>
      </c>
      <c r="AB202" s="9"/>
      <c r="AC202" s="10">
        <f t="shared" si="55"/>
        <v>314.65999999999997</v>
      </c>
      <c r="AD202" s="8">
        <f>IFERROR(AC202/AC444, "NA")</f>
        <v>0.65344519666070244</v>
      </c>
    </row>
    <row r="203" spans="1:30" ht="16.5" customHeight="1" x14ac:dyDescent="0.45">
      <c r="A203" s="6" t="s">
        <v>185</v>
      </c>
      <c r="B203" s="7">
        <v>440.13</v>
      </c>
      <c r="C203" s="8">
        <f>IFERROR(B203/B444, "NA")</f>
        <v>5.9761256408010803E-3</v>
      </c>
      <c r="D203" s="9"/>
      <c r="E203" s="7">
        <v>727.41</v>
      </c>
      <c r="F203" s="8">
        <f>IFERROR(E203/E444, "NA")</f>
        <v>9.0000371181470622E-3</v>
      </c>
      <c r="G203" s="9"/>
      <c r="H203" s="10">
        <f t="shared" si="52"/>
        <v>287.27999999999997</v>
      </c>
      <c r="I203" s="8">
        <f>IFERROR(H203/H444, "NA")</f>
        <v>-4.0039303409779868E-2</v>
      </c>
      <c r="J203" s="9"/>
      <c r="K203" s="7">
        <v>369.02</v>
      </c>
      <c r="L203" s="8">
        <f>IFERROR(K203/K444, "NA")</f>
        <v>4.778087351133096E-3</v>
      </c>
      <c r="M203" s="9"/>
      <c r="N203" s="10">
        <f t="shared" si="53"/>
        <v>-71.110000000000014</v>
      </c>
      <c r="O203" s="8">
        <f>IFERROR(N203/N444, "NA")</f>
        <v>1.9842676124329942E-2</v>
      </c>
      <c r="P203" s="9"/>
      <c r="Q203" s="7">
        <v>841.79</v>
      </c>
      <c r="R203" s="8">
        <f>IFERROR(Q203/Q444, "NA")</f>
        <v>5.9475895125327971E-3</v>
      </c>
      <c r="S203" s="9"/>
      <c r="T203" s="7">
        <v>1317.6</v>
      </c>
      <c r="U203" s="8">
        <f>IFERROR(T203/T444, "NA")</f>
        <v>9.0000331968437593E-3</v>
      </c>
      <c r="V203" s="9"/>
      <c r="W203" s="10">
        <f t="shared" si="54"/>
        <v>475.80999999999995</v>
      </c>
      <c r="X203" s="8">
        <f>IFERROR(W203/W444, "NA")</f>
        <v>-9.7806491928770126E-2</v>
      </c>
      <c r="Y203" s="9"/>
      <c r="Z203" s="7">
        <v>751.86</v>
      </c>
      <c r="AA203" s="8">
        <f>IFERROR(Z203/Z444, "NA")</f>
        <v>5.3303326668940523E-3</v>
      </c>
      <c r="AB203" s="9"/>
      <c r="AC203" s="10">
        <f t="shared" si="55"/>
        <v>-89.92999999999995</v>
      </c>
      <c r="AD203" s="8">
        <f>IFERROR(AC203/AC444, "NA")</f>
        <v>-0.1867549943929859</v>
      </c>
    </row>
    <row r="204" spans="1:30" ht="16.5" customHeight="1" x14ac:dyDescent="0.45">
      <c r="A204" s="6" t="s">
        <v>186</v>
      </c>
      <c r="B204" s="7">
        <v>36.57</v>
      </c>
      <c r="C204" s="8">
        <f>IFERROR(B204/B444, "NA")</f>
        <v>4.9655082517459728E-4</v>
      </c>
      <c r="D204" s="9"/>
      <c r="E204" s="7">
        <v>161.65</v>
      </c>
      <c r="F204" s="8">
        <f>IFERROR(E204/E444, "NA")</f>
        <v>2.0000494908627496E-3</v>
      </c>
      <c r="G204" s="9"/>
      <c r="H204" s="10">
        <f t="shared" si="52"/>
        <v>125.08000000000001</v>
      </c>
      <c r="I204" s="8">
        <f>IFERROR(H204/H444, "NA")</f>
        <v>-1.743287409668361E-2</v>
      </c>
      <c r="J204" s="9"/>
      <c r="K204" s="7">
        <v>243.51</v>
      </c>
      <c r="L204" s="8">
        <f>IFERROR(K204/K444, "NA")</f>
        <v>3.1529782962289852E-3</v>
      </c>
      <c r="M204" s="9"/>
      <c r="N204" s="10">
        <f t="shared" si="53"/>
        <v>206.94</v>
      </c>
      <c r="O204" s="8">
        <f>IFERROR(N204/N444, "NA")</f>
        <v>-5.7744950037531106E-2</v>
      </c>
      <c r="P204" s="9"/>
      <c r="Q204" s="7">
        <v>58.05</v>
      </c>
      <c r="R204" s="8">
        <f>IFERROR(Q204/Q444, "NA")</f>
        <v>4.1014691455413919E-4</v>
      </c>
      <c r="S204" s="9"/>
      <c r="T204" s="7">
        <v>292.8</v>
      </c>
      <c r="U204" s="8">
        <f>IFERROR(T204/T444, "NA")</f>
        <v>2.0000073770763912E-3</v>
      </c>
      <c r="V204" s="9"/>
      <c r="W204" s="10">
        <f t="shared" si="54"/>
        <v>234.75</v>
      </c>
      <c r="X204" s="8">
        <f>IFERROR(W204/W444, "NA")</f>
        <v>-4.8254710872572638E-2</v>
      </c>
      <c r="Y204" s="9"/>
      <c r="Z204" s="7">
        <v>270.13</v>
      </c>
      <c r="AA204" s="8">
        <f>IFERROR(Z204/Z444, "NA")</f>
        <v>1.9150942506691276E-3</v>
      </c>
      <c r="AB204" s="9"/>
      <c r="AC204" s="10">
        <f t="shared" si="55"/>
        <v>212.07999999999998</v>
      </c>
      <c r="AD204" s="8">
        <f>IFERROR(AC204/AC444, "NA")</f>
        <v>0.4404203181459409</v>
      </c>
    </row>
    <row r="205" spans="1:30" ht="16.5" customHeight="1" x14ac:dyDescent="0.45">
      <c r="A205" s="6" t="s">
        <v>187</v>
      </c>
      <c r="B205" s="7">
        <v>329.34</v>
      </c>
      <c r="C205" s="8">
        <f>IFERROR(B205/B444, "NA")</f>
        <v>4.4718088258955931E-3</v>
      </c>
      <c r="D205" s="9"/>
      <c r="E205" s="7">
        <v>242.47</v>
      </c>
      <c r="F205" s="8">
        <f>IFERROR(E205/E444, "NA")</f>
        <v>3.0000123727156876E-3</v>
      </c>
      <c r="G205" s="9"/>
      <c r="H205" s="10">
        <f t="shared" si="52"/>
        <v>-86.869999999999976</v>
      </c>
      <c r="I205" s="8">
        <f>IFERROR(H205/H444, "NA")</f>
        <v>1.210740144530624E-2</v>
      </c>
      <c r="J205" s="9"/>
      <c r="K205" s="7">
        <v>299.39</v>
      </c>
      <c r="L205" s="8">
        <f>IFERROR(K205/K444, "NA")</f>
        <v>3.8765150183072395E-3</v>
      </c>
      <c r="M205" s="9"/>
      <c r="N205" s="10">
        <f t="shared" si="53"/>
        <v>-29.949999999999989</v>
      </c>
      <c r="O205" s="8">
        <f>IFERROR(N205/N444, "NA")</f>
        <v>8.357307691234446E-3</v>
      </c>
      <c r="P205" s="9"/>
      <c r="Q205" s="7">
        <v>659.5</v>
      </c>
      <c r="R205" s="8">
        <f>IFERROR(Q205/Q444, "NA")</f>
        <v>4.6596363505332439E-3</v>
      </c>
      <c r="S205" s="9"/>
      <c r="T205" s="7">
        <v>439.2</v>
      </c>
      <c r="U205" s="8">
        <f>IFERROR(T205/T444, "NA")</f>
        <v>3.0000110656145862E-3</v>
      </c>
      <c r="V205" s="9"/>
      <c r="W205" s="10">
        <f t="shared" si="54"/>
        <v>-220.3</v>
      </c>
      <c r="X205" s="8">
        <f>IFERROR(W205/W444, "NA")</f>
        <v>4.5284399596284358E-2</v>
      </c>
      <c r="Y205" s="9"/>
      <c r="Z205" s="7">
        <v>588.03</v>
      </c>
      <c r="AA205" s="8">
        <f>IFERROR(Z205/Z444, "NA")</f>
        <v>4.1688552630991266E-3</v>
      </c>
      <c r="AB205" s="9"/>
      <c r="AC205" s="10">
        <f t="shared" si="55"/>
        <v>-71.470000000000027</v>
      </c>
      <c r="AD205" s="8">
        <f>IFERROR(AC205/AC444, "NA")</f>
        <v>-0.14841965361132786</v>
      </c>
    </row>
    <row r="206" spans="1:30" ht="16.5" customHeight="1" x14ac:dyDescent="0.45">
      <c r="A206" s="6" t="s">
        <v>188</v>
      </c>
      <c r="B206" s="7">
        <v>8.3800000000000008</v>
      </c>
      <c r="C206" s="8">
        <f>IFERROR(B206/B444, "NA")</f>
        <v>1.1378441112833267E-4</v>
      </c>
      <c r="D206" s="9"/>
      <c r="E206" s="7">
        <v>80.819999999999993</v>
      </c>
      <c r="F206" s="8">
        <f>IFERROR(E206/E444, "NA")</f>
        <v>9.9996288185293775E-4</v>
      </c>
      <c r="G206" s="9"/>
      <c r="H206" s="10">
        <f t="shared" si="52"/>
        <v>72.44</v>
      </c>
      <c r="I206" s="8">
        <f>IFERROR(H206/H444, "NA")</f>
        <v>-1.0096237604443239E-2</v>
      </c>
      <c r="J206" s="9"/>
      <c r="K206" s="7">
        <v>10.8</v>
      </c>
      <c r="L206" s="8">
        <f>IFERROR(K206/K444, "NA")</f>
        <v>1.3983887971448009E-4</v>
      </c>
      <c r="M206" s="9"/>
      <c r="N206" s="10">
        <f t="shared" si="53"/>
        <v>2.42</v>
      </c>
      <c r="O206" s="8">
        <f>IFERROR(N206/N444, "NA")</f>
        <v>-6.7528162313146463E-4</v>
      </c>
      <c r="P206" s="9"/>
      <c r="Q206" s="7">
        <v>8.3800000000000008</v>
      </c>
      <c r="R206" s="8">
        <f>IFERROR(Q206/Q444, "NA")</f>
        <v>5.9208116175085048E-5</v>
      </c>
      <c r="S206" s="9"/>
      <c r="T206" s="7">
        <v>146.4</v>
      </c>
      <c r="U206" s="8">
        <f>IFERROR(T206/T444, "NA")</f>
        <v>1.0000036885381956E-3</v>
      </c>
      <c r="V206" s="9"/>
      <c r="W206" s="10">
        <f t="shared" si="54"/>
        <v>138.02000000000001</v>
      </c>
      <c r="X206" s="8">
        <f>IFERROR(W206/W444, "NA")</f>
        <v>-2.8371097740713426E-2</v>
      </c>
      <c r="Y206" s="9"/>
      <c r="Z206" s="7">
        <v>10.8</v>
      </c>
      <c r="AA206" s="8">
        <f>IFERROR(Z206/Z444, "NA")</f>
        <v>7.6566904480163548E-5</v>
      </c>
      <c r="AB206" s="9"/>
      <c r="AC206" s="10">
        <f t="shared" si="55"/>
        <v>2.42</v>
      </c>
      <c r="AD206" s="8">
        <f>IFERROR(AC206/AC444, "NA")</f>
        <v>5.0255430493831438E-3</v>
      </c>
    </row>
    <row r="207" spans="1:30" ht="16.5" customHeight="1" x14ac:dyDescent="0.45">
      <c r="A207" s="6" t="s">
        <v>189</v>
      </c>
      <c r="B207" s="7">
        <v>156.74</v>
      </c>
      <c r="C207" s="8">
        <f>IFERROR(B207/B444, "NA")</f>
        <v>2.1282301432285038E-3</v>
      </c>
      <c r="D207" s="9"/>
      <c r="E207" s="7">
        <v>100</v>
      </c>
      <c r="F207" s="8">
        <f>IFERROR(E207/E444, "NA")</f>
        <v>1.2372715687366221E-3</v>
      </c>
      <c r="G207" s="9"/>
      <c r="H207" s="10">
        <f t="shared" si="52"/>
        <v>-56.740000000000009</v>
      </c>
      <c r="I207" s="8">
        <f>IFERROR(H207/H444, "NA")</f>
        <v>7.9080690457773266E-3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-156.74</v>
      </c>
      <c r="O207" s="8">
        <f>IFERROR(N207/N444, "NA")</f>
        <v>4.3737041987448662E-2</v>
      </c>
      <c r="P207" s="9"/>
      <c r="Q207" s="7">
        <v>156.74</v>
      </c>
      <c r="R207" s="8">
        <f>IFERROR(Q207/Q444, "NA")</f>
        <v>1.1074319963344666E-3</v>
      </c>
      <c r="S207" s="9"/>
      <c r="T207" s="7">
        <v>200</v>
      </c>
      <c r="U207" s="8">
        <f>IFERROR(T207/T444, "NA")</f>
        <v>1.3661252575658408E-3</v>
      </c>
      <c r="V207" s="9"/>
      <c r="W207" s="10">
        <f t="shared" si="54"/>
        <v>43.259999999999991</v>
      </c>
      <c r="X207" s="8">
        <f>IFERROR(W207/W444, "NA")</f>
        <v>-8.8924336202236085E-3</v>
      </c>
      <c r="Y207" s="9"/>
      <c r="Z207" s="7">
        <v>99.59</v>
      </c>
      <c r="AA207" s="8">
        <f>IFERROR(Z207/Z444, "NA")</f>
        <v>7.0604611270180437E-4</v>
      </c>
      <c r="AB207" s="9"/>
      <c r="AC207" s="10">
        <f t="shared" si="55"/>
        <v>-57.150000000000006</v>
      </c>
      <c r="AD207" s="8">
        <f>IFERROR(AC207/AC444, "NA")</f>
        <v>-0.1186817294513416</v>
      </c>
    </row>
    <row r="208" spans="1:30" ht="16.5" customHeight="1" x14ac:dyDescent="0.45">
      <c r="A208" s="6" t="s">
        <v>190</v>
      </c>
      <c r="B208" s="7">
        <v>72.83</v>
      </c>
      <c r="C208" s="8">
        <f>IFERROR(B208/B444, "NA")</f>
        <v>9.8889244182296743E-4</v>
      </c>
      <c r="D208" s="9"/>
      <c r="E208" s="7">
        <v>100</v>
      </c>
      <c r="F208" s="8">
        <f>IFERROR(E208/E444, "NA")</f>
        <v>1.2372715687366221E-3</v>
      </c>
      <c r="G208" s="9"/>
      <c r="H208" s="10">
        <f t="shared" si="52"/>
        <v>27.17</v>
      </c>
      <c r="I208" s="8">
        <f>IFERROR(H208/H444, "NA")</f>
        <v>-3.7867859706339434E-3</v>
      </c>
      <c r="J208" s="9"/>
      <c r="K208" s="7">
        <v>431.05</v>
      </c>
      <c r="L208" s="8">
        <f>IFERROR(K208/K444, "NA")</f>
        <v>5.5812545463820957E-3</v>
      </c>
      <c r="M208" s="9"/>
      <c r="N208" s="10">
        <f t="shared" si="53"/>
        <v>358.22</v>
      </c>
      <c r="O208" s="8">
        <f>IFERROR(N208/N444, "NA")</f>
        <v>-9.9958422743038539E-2</v>
      </c>
      <c r="P208" s="9"/>
      <c r="Q208" s="7">
        <v>93.69</v>
      </c>
      <c r="R208" s="8">
        <f>IFERROR(Q208/Q444, "NA")</f>
        <v>6.6195804348970373E-4</v>
      </c>
      <c r="S208" s="9"/>
      <c r="T208" s="7">
        <v>200</v>
      </c>
      <c r="U208" s="8">
        <f>IFERROR(T208/T444, "NA")</f>
        <v>1.3661252575658408E-3</v>
      </c>
      <c r="V208" s="9"/>
      <c r="W208" s="10">
        <f t="shared" si="54"/>
        <v>106.31</v>
      </c>
      <c r="X208" s="8">
        <f>IFERROR(W208/W444, "NA")</f>
        <v>-2.1852857562782525E-2</v>
      </c>
      <c r="Y208" s="9"/>
      <c r="Z208" s="7">
        <v>597.91</v>
      </c>
      <c r="AA208" s="8">
        <f>IFERROR(Z208/Z444, "NA")</f>
        <v>4.2388998016420912E-3</v>
      </c>
      <c r="AB208" s="9"/>
      <c r="AC208" s="10">
        <f t="shared" si="55"/>
        <v>504.21999999999997</v>
      </c>
      <c r="AD208" s="8">
        <f>IFERROR(AC208/AC444, "NA")</f>
        <v>1.0470988910578383</v>
      </c>
    </row>
    <row r="209" spans="1:30" ht="16.5" customHeight="1" x14ac:dyDescent="0.45">
      <c r="A209" s="19" t="s">
        <v>191</v>
      </c>
      <c r="B209" s="14">
        <f>IFERROR(B201+B202+B203+B204+B205+B206+B207+B208, "NA")</f>
        <v>1352.6200000000001</v>
      </c>
      <c r="C209" s="15">
        <f>IFERROR(B209/B444, "NA")</f>
        <v>1.8365998828210661E-2</v>
      </c>
      <c r="D209" s="2"/>
      <c r="E209" s="14">
        <f>IFERROR(E201+E202+E203+E204+E205+E206+E207+E208, "NA")</f>
        <v>2058.9300000000003</v>
      </c>
      <c r="F209" s="15">
        <f>IFERROR(E209/E444, "NA")</f>
        <v>2.5474555510188936E-2</v>
      </c>
      <c r="G209" s="2"/>
      <c r="H209" s="14">
        <f t="shared" si="52"/>
        <v>706.31000000000017</v>
      </c>
      <c r="I209" s="15">
        <f>IFERROR(H209/H444, "NA")</f>
        <v>-9.8441104119192532E-2</v>
      </c>
      <c r="J209" s="2"/>
      <c r="K209" s="14">
        <f>IFERROR(K201+K202+K203+K204+K205+K206+K207+K208, "NA")</f>
        <v>1878.1399999999999</v>
      </c>
      <c r="L209" s="15">
        <f>IFERROR(K209/K444, "NA")</f>
        <v>2.4318240143236445E-2</v>
      </c>
      <c r="M209" s="2"/>
      <c r="N209" s="14">
        <f t="shared" si="53"/>
        <v>525.51999999999975</v>
      </c>
      <c r="O209" s="15">
        <f>IFERROR(N209/N444, "NA")</f>
        <v>-0.14664214817687898</v>
      </c>
      <c r="P209" s="2"/>
      <c r="Q209" s="14">
        <f>IFERROR(Q201+Q202+Q203+Q204+Q205+Q206+Q207+Q208, "NA")</f>
        <v>2583.2199999999998</v>
      </c>
      <c r="R209" s="15">
        <f>IFERROR(Q209/Q444, "NA")</f>
        <v>1.8251502370620905E-2</v>
      </c>
      <c r="S209" s="2"/>
      <c r="T209" s="14">
        <f>IFERROR(T201+T202+T203+T204+T205+T206+T207+T208, "NA")</f>
        <v>3767.19</v>
      </c>
      <c r="U209" s="15">
        <f>IFERROR(T209/T444, "NA")</f>
        <v>2.5732267045247299E-2</v>
      </c>
      <c r="V209" s="2"/>
      <c r="W209" s="14">
        <f t="shared" si="54"/>
        <v>1183.9700000000003</v>
      </c>
      <c r="X209" s="15">
        <f>IFERROR(W209/W444, "NA")</f>
        <v>-0.24337435583301317</v>
      </c>
      <c r="Y209" s="2"/>
      <c r="Z209" s="14">
        <f>IFERROR(Z201+Z202+Z203+Z204+Z205+Z206+Z207+Z208, "NA")</f>
        <v>3398.05</v>
      </c>
      <c r="AA209" s="15">
        <f>IFERROR(Z209/Z444, "NA")</f>
        <v>2.4090571274890716E-2</v>
      </c>
      <c r="AB209" s="2"/>
      <c r="AC209" s="14">
        <f t="shared" si="55"/>
        <v>814.83000000000038</v>
      </c>
      <c r="AD209" s="15">
        <f>IFERROR(AC209/AC444, "NA")</f>
        <v>1.6921335714582104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2343.87</v>
      </c>
      <c r="F213" s="8">
        <f>IFERROR(E213/E444, "NA")</f>
        <v>2.9000037118147061E-2</v>
      </c>
      <c r="G213" s="9"/>
      <c r="H213" s="10">
        <f t="shared" ref="H213:H227" si="56">IFERROR(-(B213-E213), "NA")</f>
        <v>2343.87</v>
      </c>
      <c r="I213" s="8">
        <f>IFERROR(H213/H444, "NA")</f>
        <v>-0.32667405347772471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4245.59</v>
      </c>
      <c r="U213" s="8">
        <f>IFERROR(T213/T444, "NA")</f>
        <v>2.900003866134479E-2</v>
      </c>
      <c r="V213" s="9"/>
      <c r="W213" s="10">
        <f t="shared" ref="W213:W227" si="58">IFERROR(-(Q213-T213), "NA")</f>
        <v>4245.59</v>
      </c>
      <c r="X213" s="8">
        <f>IFERROR(W213/W444, "NA")</f>
        <v>-0.87271445339078035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976.58</v>
      </c>
      <c r="C214" s="8">
        <f>IFERROR(B214/B444, "NA")</f>
        <v>1.3260093104976983E-2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-976.58</v>
      </c>
      <c r="I214" s="8">
        <f>IFERROR(H214/H444, "NA")</f>
        <v>0.13610965930076174</v>
      </c>
      <c r="J214" s="9"/>
      <c r="K214" s="7">
        <v>1749.31</v>
      </c>
      <c r="L214" s="8">
        <f>IFERROR(K214/K444, "NA")</f>
        <v>2.2650143580864548E-2</v>
      </c>
      <c r="M214" s="9"/>
      <c r="N214" s="10">
        <f t="shared" si="57"/>
        <v>772.7299999999999</v>
      </c>
      <c r="O214" s="8">
        <f>IFERROR(N214/N444, "NA")</f>
        <v>-0.21562411927370934</v>
      </c>
      <c r="P214" s="9"/>
      <c r="Q214" s="7">
        <v>1685.1</v>
      </c>
      <c r="R214" s="8">
        <f>IFERROR(Q214/Q444, "NA")</f>
        <v>1.1905918444705944E-2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-1685.1</v>
      </c>
      <c r="X214" s="8">
        <f>IFERROR(W214/W444, "NA")</f>
        <v>0.34638557312618595</v>
      </c>
      <c r="Y214" s="9"/>
      <c r="Z214" s="7">
        <v>2846.54</v>
      </c>
      <c r="AA214" s="8">
        <f>IFERROR(Z214/Z444, "NA")</f>
        <v>2.0180625581385624E-2</v>
      </c>
      <c r="AB214" s="9"/>
      <c r="AC214" s="10">
        <f t="shared" si="59"/>
        <v>1161.44</v>
      </c>
      <c r="AD214" s="8">
        <f>IFERROR(AC214/AC444, "NA")</f>
        <v>2.4119283963948588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hidden="1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0</v>
      </c>
      <c r="R216" s="8">
        <f>IFERROR(Q216/Q444, "NA")</f>
        <v>0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0</v>
      </c>
      <c r="X216" s="8">
        <f>IFERROR(W216/W444, "NA")</f>
        <v>0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0</v>
      </c>
      <c r="AD216" s="8">
        <f>IFERROR(AC216/AC444, "NA")</f>
        <v>0</v>
      </c>
    </row>
    <row r="217" spans="1:30" ht="16.5" customHeight="1" x14ac:dyDescent="0.45">
      <c r="A217" s="12" t="s">
        <v>197</v>
      </c>
      <c r="B217" s="7">
        <v>2155.64</v>
      </c>
      <c r="C217" s="8">
        <f>IFERROR(B217/B444, "NA")</f>
        <v>2.9269478282181263E-2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-2155.64</v>
      </c>
      <c r="I217" s="8">
        <f>IFERROR(H217/H444, "NA")</f>
        <v>0.30043972431863647</v>
      </c>
      <c r="J217" s="9"/>
      <c r="K217" s="7">
        <v>2105.12</v>
      </c>
      <c r="L217" s="8">
        <f>IFERROR(K217/K444, "NA")</f>
        <v>2.7257187265235766E-2</v>
      </c>
      <c r="M217" s="9"/>
      <c r="N217" s="10">
        <f t="shared" si="57"/>
        <v>-50.519999999999982</v>
      </c>
      <c r="O217" s="8">
        <f>IFERROR(N217/N444, "NA")</f>
        <v>1.4097201487851893E-2</v>
      </c>
      <c r="P217" s="9"/>
      <c r="Q217" s="7">
        <v>2990.41</v>
      </c>
      <c r="R217" s="8">
        <f>IFERROR(Q217/Q444, "NA")</f>
        <v>2.1128465714932702E-2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-2990.41</v>
      </c>
      <c r="X217" s="8">
        <f>IFERROR(W217/W444, "NA")</f>
        <v>0.61470232136506897</v>
      </c>
      <c r="Y217" s="9"/>
      <c r="Z217" s="7">
        <v>4114.29</v>
      </c>
      <c r="AA217" s="8">
        <f>IFERROR(Z217/Z444, "NA")</f>
        <v>2.916837494756408E-2</v>
      </c>
      <c r="AB217" s="9"/>
      <c r="AC217" s="10">
        <f t="shared" si="59"/>
        <v>1123.8800000000001</v>
      </c>
      <c r="AD217" s="8">
        <f>IFERROR(AC217/AC444, "NA")</f>
        <v>2.3339286455953423</v>
      </c>
    </row>
    <row r="218" spans="1:30" ht="16.5" customHeight="1" x14ac:dyDescent="0.45">
      <c r="A218" s="13" t="s">
        <v>198</v>
      </c>
      <c r="B218" s="14">
        <f>IFERROR(B213+B214+B215+B216+B217, "NA")</f>
        <v>3132.22</v>
      </c>
      <c r="C218" s="15">
        <f>IFERROR(B218/B444, "NA")</f>
        <v>4.2529571387158245E-2</v>
      </c>
      <c r="D218" s="2"/>
      <c r="E218" s="14">
        <f>IFERROR(E213+E214+E215+E216+E217, "NA")</f>
        <v>2343.87</v>
      </c>
      <c r="F218" s="15">
        <f>IFERROR(E218/E444, "NA")</f>
        <v>2.9000037118147061E-2</v>
      </c>
      <c r="G218" s="2"/>
      <c r="H218" s="14">
        <f t="shared" si="56"/>
        <v>-788.34999999999991</v>
      </c>
      <c r="I218" s="15">
        <f>IFERROR(H218/H444, "NA")</f>
        <v>0.1098753301416735</v>
      </c>
      <c r="J218" s="2"/>
      <c r="K218" s="14">
        <f>IFERROR(K213+K214+K215+K216+K217, "NA")</f>
        <v>3854.43</v>
      </c>
      <c r="L218" s="15">
        <f>IFERROR(K218/K444, "NA")</f>
        <v>4.9907330846100315E-2</v>
      </c>
      <c r="M218" s="2"/>
      <c r="N218" s="14">
        <f t="shared" si="57"/>
        <v>722.21</v>
      </c>
      <c r="O218" s="15">
        <f>IFERROR(N218/N444, "NA")</f>
        <v>-0.20152691778585746</v>
      </c>
      <c r="P218" s="2"/>
      <c r="Q218" s="14">
        <f>IFERROR(Q213+Q214+Q215+Q216+Q217, "NA")</f>
        <v>4675.51</v>
      </c>
      <c r="R218" s="15">
        <f>IFERROR(Q218/Q444, "NA")</f>
        <v>3.3034384159638649E-2</v>
      </c>
      <c r="S218" s="2"/>
      <c r="T218" s="14">
        <f>IFERROR(T213+T214+T215+T216+T217, "NA")</f>
        <v>4245.59</v>
      </c>
      <c r="U218" s="15">
        <f>IFERROR(T218/T444, "NA")</f>
        <v>2.900003866134479E-2</v>
      </c>
      <c r="V218" s="2"/>
      <c r="W218" s="14">
        <f t="shared" si="58"/>
        <v>-429.92000000000007</v>
      </c>
      <c r="X218" s="15">
        <f>IFERROR(W218/W444, "NA")</f>
        <v>8.8373441100474695E-2</v>
      </c>
      <c r="Y218" s="2"/>
      <c r="Z218" s="14">
        <f>IFERROR(Z213+Z214+Z215+Z216+Z217, "NA")</f>
        <v>6960.83</v>
      </c>
      <c r="AA218" s="15">
        <f>IFERROR(Z218/Z444, "NA")</f>
        <v>4.9349000528949701E-2</v>
      </c>
      <c r="AB218" s="2"/>
      <c r="AC218" s="14">
        <f t="shared" si="59"/>
        <v>2285.3199999999997</v>
      </c>
      <c r="AD218" s="15">
        <f>IFERROR(AC218/AC444, "NA")</f>
        <v>4.7458570419902006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167.33</v>
      </c>
      <c r="C222" s="8">
        <f>IFERROR(B222/B444, "NA")</f>
        <v>2.2720221377212297E-3</v>
      </c>
      <c r="D222" s="9"/>
      <c r="E222" s="7">
        <v>100</v>
      </c>
      <c r="F222" s="8">
        <f>IFERROR(E222/E444, "NA")</f>
        <v>1.2372715687366221E-3</v>
      </c>
      <c r="G222" s="9"/>
      <c r="H222" s="10">
        <f t="shared" si="56"/>
        <v>-67.330000000000013</v>
      </c>
      <c r="I222" s="8">
        <f>IFERROR(H222/H444, "NA")</f>
        <v>9.3840375194252281E-3</v>
      </c>
      <c r="J222" s="9"/>
      <c r="K222" s="7">
        <v>150.44</v>
      </c>
      <c r="L222" s="8">
        <f>IFERROR(K222/K444, "NA")</f>
        <v>1.9479038022450353E-3</v>
      </c>
      <c r="M222" s="9"/>
      <c r="N222" s="10">
        <f t="shared" si="57"/>
        <v>-16.890000000000015</v>
      </c>
      <c r="O222" s="8">
        <f>IFERROR(N222/N444, "NA")</f>
        <v>4.7130192622687802E-3</v>
      </c>
      <c r="P222" s="9"/>
      <c r="Q222" s="7">
        <v>234</v>
      </c>
      <c r="R222" s="8">
        <f>IFERROR(Q222/Q444, "NA")</f>
        <v>1.6533053920011814E-3</v>
      </c>
      <c r="S222" s="9"/>
      <c r="T222" s="7">
        <v>200</v>
      </c>
      <c r="U222" s="8">
        <f>IFERROR(T222/T444, "NA")</f>
        <v>1.3661252575658408E-3</v>
      </c>
      <c r="V222" s="9"/>
      <c r="W222" s="10">
        <f t="shared" si="58"/>
        <v>-34</v>
      </c>
      <c r="X222" s="8">
        <f>IFERROR(W222/W444, "NA")</f>
        <v>6.9889677089136097E-3</v>
      </c>
      <c r="Y222" s="9"/>
      <c r="Z222" s="7">
        <v>247.91</v>
      </c>
      <c r="AA222" s="8">
        <f>IFERROR(Z222/Z444, "NA")</f>
        <v>1.7575649342293836E-3</v>
      </c>
      <c r="AB222" s="9"/>
      <c r="AC222" s="10">
        <f t="shared" si="59"/>
        <v>13.909999999999997</v>
      </c>
      <c r="AD222" s="8">
        <f>IFERROR(AC222/AC444, "NA")</f>
        <v>2.8886489180545254E-2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3299.5499999999997</v>
      </c>
      <c r="C227" s="15">
        <f>IFERROR(B227/B444, "NA")</f>
        <v>4.4801593524879474E-2</v>
      </c>
      <c r="D227" s="2"/>
      <c r="E227" s="14">
        <f>IFERROR(E211+E213+E214+E215+E216+E217+E219+E220+E221+E222+E223+E224+E225+E226, "NA")</f>
        <v>2443.87</v>
      </c>
      <c r="F227" s="15">
        <f>IFERROR(E227/E444, "NA")</f>
        <v>3.0237308686883683E-2</v>
      </c>
      <c r="G227" s="2"/>
      <c r="H227" s="14">
        <f t="shared" si="56"/>
        <v>-855.67999999999984</v>
      </c>
      <c r="I227" s="15">
        <f>IFERROR(H227/H444, "NA")</f>
        <v>0.11925936766109871</v>
      </c>
      <c r="J227" s="2"/>
      <c r="K227" s="14">
        <f>IFERROR(K211+K213+K214+K215+K216+K217+K219+K220+K221+K222+K223+K224+K225+K226, "NA")</f>
        <v>4004.87</v>
      </c>
      <c r="L227" s="15">
        <f>IFERROR(K227/K444, "NA")</f>
        <v>5.185523464834535E-2</v>
      </c>
      <c r="M227" s="2"/>
      <c r="N227" s="14">
        <f t="shared" si="57"/>
        <v>705.32000000000016</v>
      </c>
      <c r="O227" s="15">
        <f>IFERROR(N227/N444, "NA")</f>
        <v>-0.19681389852358874</v>
      </c>
      <c r="P227" s="2"/>
      <c r="Q227" s="14">
        <f>IFERROR(Q211+Q213+Q214+Q215+Q216+Q217+Q219+Q220+Q221+Q222+Q223+Q224+Q225+Q226, "NA")</f>
        <v>4909.51</v>
      </c>
      <c r="R227" s="15">
        <f>IFERROR(Q227/Q444, "NA")</f>
        <v>3.4687689551639832E-2</v>
      </c>
      <c r="S227" s="2"/>
      <c r="T227" s="14">
        <f>IFERROR(T211+T213+T214+T215+T216+T217+T219+T220+T221+T222+T223+T224+T225+T226, "NA")</f>
        <v>4445.59</v>
      </c>
      <c r="U227" s="15">
        <f>IFERROR(T227/T444, "NA")</f>
        <v>3.0366163918910633E-2</v>
      </c>
      <c r="V227" s="2"/>
      <c r="W227" s="14">
        <f t="shared" si="58"/>
        <v>-463.92000000000007</v>
      </c>
      <c r="X227" s="15">
        <f>IFERROR(W227/W444, "NA")</f>
        <v>9.5362408809388302E-2</v>
      </c>
      <c r="Y227" s="2"/>
      <c r="Z227" s="14">
        <f>IFERROR(Z211+Z213+Z214+Z215+Z216+Z217+Z219+Z220+Z221+Z222+Z223+Z224+Z225+Z226, "NA")</f>
        <v>7208.74</v>
      </c>
      <c r="AA227" s="15">
        <f>IFERROR(Z227/Z444, "NA")</f>
        <v>5.1106565463179085E-2</v>
      </c>
      <c r="AB227" s="2"/>
      <c r="AC227" s="14">
        <f t="shared" si="59"/>
        <v>2299.2299999999996</v>
      </c>
      <c r="AD227" s="15">
        <f>IFERROR(AC227/AC444, "NA")</f>
        <v>4.7747435311707456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646.58000000000004</v>
      </c>
      <c r="F229" s="8">
        <f>IFERROR(E229/E444, "NA")</f>
        <v>7.9999505091372502E-3</v>
      </c>
      <c r="G229" s="9"/>
      <c r="H229" s="10">
        <f t="shared" ref="H229:H236" si="60">IFERROR(-(B229-E229), "NA")</f>
        <v>646.58000000000004</v>
      </c>
      <c r="I229" s="8">
        <f>IFERROR(H229/H444, "NA")</f>
        <v>-9.0116307430713846E-2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1171.19</v>
      </c>
      <c r="U229" s="8">
        <f>IFERROR(T229/T444, "NA")</f>
        <v>7.9999612020426863E-3</v>
      </c>
      <c r="V229" s="9"/>
      <c r="W229" s="10">
        <f t="shared" ref="W229:W236" si="62">IFERROR(-(Q229-T229), "NA")</f>
        <v>1171.19</v>
      </c>
      <c r="X229" s="8">
        <f>IFERROR(W229/W444, "NA")</f>
        <v>-0.24074732620595679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133.6</v>
      </c>
      <c r="L231" s="8">
        <f>IFERROR(K231/K444, "NA")</f>
        <v>1.7298587342457904E-3</v>
      </c>
      <c r="M231" s="9"/>
      <c r="N231" s="10">
        <f t="shared" si="61"/>
        <v>133.6</v>
      </c>
      <c r="O231" s="8">
        <f>IFERROR(N231/N444, "NA")</f>
        <v>-3.728001026874532E-2</v>
      </c>
      <c r="P231" s="9"/>
      <c r="Q231" s="7">
        <v>126</v>
      </c>
      <c r="R231" s="8">
        <f>IFERROR(Q231/Q444, "NA")</f>
        <v>8.9024136492371305E-4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-126</v>
      </c>
      <c r="X231" s="8">
        <f>IFERROR(W231/W444, "NA")</f>
        <v>2.590029209773867E-2</v>
      </c>
      <c r="Y231" s="9"/>
      <c r="Z231" s="7">
        <v>276.49</v>
      </c>
      <c r="AA231" s="8">
        <f>IFERROR(Z231/Z444, "NA")</f>
        <v>1.9601836499741131E-3</v>
      </c>
      <c r="AB231" s="9"/>
      <c r="AC231" s="10">
        <f t="shared" si="63"/>
        <v>150.49</v>
      </c>
      <c r="AD231" s="8">
        <f>IFERROR(AC231/AC444, "NA")</f>
        <v>0.3125181708684584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506.51</v>
      </c>
      <c r="C234" s="8">
        <f>IFERROR(B234/B444, "NA")</f>
        <v>6.8774393890944831E-3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-506.51</v>
      </c>
      <c r="I234" s="8">
        <f>IFERROR(H234/H444, "NA")</f>
        <v>7.0594220168781696E-2</v>
      </c>
      <c r="J234" s="9"/>
      <c r="K234" s="7">
        <v>939.78</v>
      </c>
      <c r="L234" s="8">
        <f>IFERROR(K234/K444, "NA")</f>
        <v>1.2168313183155007E-2</v>
      </c>
      <c r="M234" s="9"/>
      <c r="N234" s="10">
        <f t="shared" si="61"/>
        <v>433.27</v>
      </c>
      <c r="O234" s="8">
        <f>IFERROR(N234/N444, "NA")</f>
        <v>-0.12090052431990482</v>
      </c>
      <c r="P234" s="9"/>
      <c r="Q234" s="7">
        <v>670.94</v>
      </c>
      <c r="R234" s="8">
        <f>IFERROR(Q234/Q444, "NA")</f>
        <v>4.7404646141421909E-3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-670.94</v>
      </c>
      <c r="X234" s="8">
        <f>IFERROR(W234/W444, "NA")</f>
        <v>0.13791699984172051</v>
      </c>
      <c r="Y234" s="9"/>
      <c r="Z234" s="7">
        <v>2187.9</v>
      </c>
      <c r="AA234" s="8">
        <f>IFERROR(Z234/Z444, "NA")</f>
        <v>1.5511178732606466E-2</v>
      </c>
      <c r="AB234" s="9"/>
      <c r="AC234" s="10">
        <f t="shared" si="63"/>
        <v>1516.96</v>
      </c>
      <c r="AD234" s="8">
        <f>IFERROR(AC234/AC444, "NA")</f>
        <v>3.1502263571042373</v>
      </c>
    </row>
    <row r="235" spans="1:30" ht="16.5" customHeight="1" x14ac:dyDescent="0.45">
      <c r="A235" s="6" t="s">
        <v>214</v>
      </c>
      <c r="B235" s="7">
        <v>11.92</v>
      </c>
      <c r="C235" s="8">
        <f>IFERROR(B235/B444, "NA")</f>
        <v>1.6185085687944216E-4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-11.92</v>
      </c>
      <c r="I235" s="8">
        <f>IFERROR(H235/H444, "NA")</f>
        <v>1.6613356190635481E-3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-11.92</v>
      </c>
      <c r="O235" s="8">
        <f>IFERROR(N235/N444, "NA")</f>
        <v>3.3261805569120076E-3</v>
      </c>
      <c r="P235" s="9"/>
      <c r="Q235" s="7">
        <v>16.39</v>
      </c>
      <c r="R235" s="8">
        <f>IFERROR(Q235/Q444, "NA")</f>
        <v>1.1580203151666395E-4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-16.39</v>
      </c>
      <c r="X235" s="8">
        <f>IFERROR(W235/W444, "NA")</f>
        <v>3.3690935514439431E-3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-16.39</v>
      </c>
      <c r="AD235" s="8">
        <f>IFERROR(AC235/AC444, "NA")</f>
        <v>-3.4036632470822205E-2</v>
      </c>
    </row>
    <row r="236" spans="1:30" ht="16.5" customHeight="1" x14ac:dyDescent="0.45">
      <c r="A236" s="19" t="s">
        <v>215</v>
      </c>
      <c r="B236" s="14">
        <f>IFERROR(B229+B230+B231+B232+B233+B234+B235, "NA")</f>
        <v>518.42999999999995</v>
      </c>
      <c r="C236" s="15">
        <f>IFERROR(B236/B444, "NA")</f>
        <v>7.0392902459739254E-3</v>
      </c>
      <c r="D236" s="2"/>
      <c r="E236" s="14">
        <f>IFERROR(E229+E230+E231+E232+E233+E234+E235, "NA")</f>
        <v>646.58000000000004</v>
      </c>
      <c r="F236" s="15">
        <f>IFERROR(E236/E444, "NA")</f>
        <v>7.9999505091372502E-3</v>
      </c>
      <c r="G236" s="2"/>
      <c r="H236" s="14">
        <f t="shared" si="60"/>
        <v>128.15000000000009</v>
      </c>
      <c r="I236" s="15">
        <f>IFERROR(H236/H444, "NA")</f>
        <v>-1.786075164286861E-2</v>
      </c>
      <c r="J236" s="2"/>
      <c r="K236" s="14">
        <f>IFERROR(K229+K230+K231+K232+K233+K234+K235, "NA")</f>
        <v>1073.3799999999999</v>
      </c>
      <c r="L236" s="15">
        <f>IFERROR(K236/K444, "NA")</f>
        <v>1.3898171917400797E-2</v>
      </c>
      <c r="M236" s="2"/>
      <c r="N236" s="14">
        <f t="shared" si="61"/>
        <v>554.94999999999993</v>
      </c>
      <c r="O236" s="15">
        <f>IFERROR(N236/N444, "NA")</f>
        <v>-0.15485435403173811</v>
      </c>
      <c r="P236" s="2"/>
      <c r="Q236" s="14">
        <f>IFERROR(Q229+Q230+Q231+Q232+Q233+Q234+Q235, "NA")</f>
        <v>813.33</v>
      </c>
      <c r="R236" s="15">
        <f>IFERROR(Q236/Q444, "NA")</f>
        <v>5.7465080105825678E-3</v>
      </c>
      <c r="S236" s="2"/>
      <c r="T236" s="14">
        <f>IFERROR(T229+T230+T231+T232+T233+T234+T235, "NA")</f>
        <v>1171.19</v>
      </c>
      <c r="U236" s="15">
        <f>IFERROR(T236/T444, "NA")</f>
        <v>7.9999612020426863E-3</v>
      </c>
      <c r="V236" s="2"/>
      <c r="W236" s="14">
        <f t="shared" si="62"/>
        <v>357.86</v>
      </c>
      <c r="X236" s="15">
        <f>IFERROR(W236/W444, "NA")</f>
        <v>-7.356094071505366E-2</v>
      </c>
      <c r="Y236" s="2"/>
      <c r="Z236" s="14">
        <f>IFERROR(Z229+Z230+Z231+Z232+Z233+Z234+Z235, "NA")</f>
        <v>2464.3900000000003</v>
      </c>
      <c r="AA236" s="15">
        <f>IFERROR(Z236/Z444, "NA")</f>
        <v>1.7471362382580579E-2</v>
      </c>
      <c r="AB236" s="2"/>
      <c r="AC236" s="14">
        <f t="shared" si="63"/>
        <v>1651.0600000000004</v>
      </c>
      <c r="AD236" s="15">
        <f>IFERROR(AC236/AC444, "NA")</f>
        <v>3.4287078955018742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4364.4399999999996</v>
      </c>
      <c r="F240" s="8">
        <f>IFERROR(E240/E444, "NA")</f>
        <v>5.3999975254568622E-2</v>
      </c>
      <c r="G240" s="9"/>
      <c r="H240" s="10">
        <f t="shared" ref="H240:H263" si="64">IFERROR(-(B240-E240), "NA")</f>
        <v>4364.4399999999996</v>
      </c>
      <c r="I240" s="8">
        <f>IFERROR(H240/H444, "NA")</f>
        <v>-0.60828855950215699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7905.57</v>
      </c>
      <c r="U240" s="8">
        <f>IFERROR(T240/T444, "NA")</f>
        <v>5.399999426227392E-2</v>
      </c>
      <c r="V240" s="9"/>
      <c r="W240" s="10">
        <f t="shared" ref="W240:W263" si="66">IFERROR(-(Q240-T240), "NA")</f>
        <v>7905.57</v>
      </c>
      <c r="X240" s="8">
        <f>IFERROR(W240/W444, "NA")</f>
        <v>-1.6250521603104753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115.04</v>
      </c>
      <c r="C241" s="8">
        <f>IFERROR(B241/B444, "NA")</f>
        <v>1.5620237059908578E-3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-115.04</v>
      </c>
      <c r="I241" s="8">
        <f>IFERROR(H241/H444, "NA")</f>
        <v>1.6033561209485788E-2</v>
      </c>
      <c r="J241" s="9"/>
      <c r="K241" s="7">
        <v>380.82</v>
      </c>
      <c r="L241" s="8">
        <f>IFERROR(K241/K444, "NA")</f>
        <v>4.9308742752655838E-3</v>
      </c>
      <c r="M241" s="9"/>
      <c r="N241" s="10">
        <f t="shared" si="65"/>
        <v>265.77999999999997</v>
      </c>
      <c r="O241" s="8">
        <f>IFERROR(N241/N444, "NA")</f>
        <v>-7.4163780907388691E-2</v>
      </c>
      <c r="P241" s="9"/>
      <c r="Q241" s="7">
        <v>115.04</v>
      </c>
      <c r="R241" s="8">
        <f>IFERROR(Q241/Q444, "NA")</f>
        <v>8.1280449699066637E-4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-115.04</v>
      </c>
      <c r="X241" s="8">
        <f>IFERROR(W241/W444, "NA")</f>
        <v>2.3647377800982989E-2</v>
      </c>
      <c r="Y241" s="9"/>
      <c r="Z241" s="7">
        <v>459.53</v>
      </c>
      <c r="AA241" s="8">
        <f>IFERROR(Z241/Z444, "NA")</f>
        <v>3.2578508903490324E-3</v>
      </c>
      <c r="AB241" s="9"/>
      <c r="AC241" s="10">
        <f t="shared" si="67"/>
        <v>344.48999999999995</v>
      </c>
      <c r="AD241" s="8">
        <f>IFERROR(AC241/AC444, "NA")</f>
        <v>0.71539228309173508</v>
      </c>
    </row>
    <row r="242" spans="1:30" ht="16.5" customHeight="1" x14ac:dyDescent="0.45">
      <c r="A242" s="12" t="s">
        <v>219</v>
      </c>
      <c r="B242" s="7">
        <v>649.41999999999996</v>
      </c>
      <c r="C242" s="8">
        <f>IFERROR(B242/B444, "NA")</f>
        <v>8.8178845196851766E-3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-649.41999999999996</v>
      </c>
      <c r="I242" s="8">
        <f>IFERROR(H242/H444, "NA")</f>
        <v>9.0512129004383338E-2</v>
      </c>
      <c r="J242" s="9"/>
      <c r="K242" s="7">
        <v>624.16999999999996</v>
      </c>
      <c r="L242" s="8">
        <f>IFERROR(K242/K444, "NA")</f>
        <v>8.0817808843876866E-3</v>
      </c>
      <c r="M242" s="9"/>
      <c r="N242" s="10">
        <f t="shared" si="65"/>
        <v>-25.25</v>
      </c>
      <c r="O242" s="8">
        <f>IFERROR(N242/N444, "NA")</f>
        <v>7.0458103239956537E-3</v>
      </c>
      <c r="P242" s="9"/>
      <c r="Q242" s="7">
        <v>1247.24</v>
      </c>
      <c r="R242" s="8">
        <f>IFERROR(Q242/Q444, "NA")</f>
        <v>8.81225904751946E-3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-1247.24</v>
      </c>
      <c r="X242" s="8">
        <f>IFERROR(W242/W444, "NA")</f>
        <v>0.25638000250780618</v>
      </c>
      <c r="Y242" s="9"/>
      <c r="Z242" s="7">
        <v>1113.08</v>
      </c>
      <c r="AA242" s="8">
        <f>IFERROR(Z242/Z444, "NA")</f>
        <v>7.891212040627817E-3</v>
      </c>
      <c r="AB242" s="9"/>
      <c r="AC242" s="10">
        <f t="shared" si="67"/>
        <v>-134.16000000000008</v>
      </c>
      <c r="AD242" s="8">
        <f>IFERROR(AC242/AC444, "NA")</f>
        <v>-0.27860613863853018</v>
      </c>
    </row>
    <row r="243" spans="1:30" ht="16.5" customHeight="1" x14ac:dyDescent="0.45">
      <c r="A243" s="12" t="s">
        <v>220</v>
      </c>
      <c r="B243" s="7">
        <v>157.29</v>
      </c>
      <c r="C243" s="8">
        <f>IFERROR(B243/B444, "NA")</f>
        <v>2.1356980938395517E-3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-157.29</v>
      </c>
      <c r="I243" s="8">
        <f>IFERROR(H243/H444, "NA")</f>
        <v>2.1922103986787372E-2</v>
      </c>
      <c r="J243" s="9"/>
      <c r="K243" s="7">
        <v>1165.06</v>
      </c>
      <c r="L243" s="8">
        <f>IFERROR(K243/K444, "NA")</f>
        <v>1.5085248629643718E-2</v>
      </c>
      <c r="M243" s="9"/>
      <c r="N243" s="10">
        <f t="shared" si="65"/>
        <v>1007.77</v>
      </c>
      <c r="O243" s="8">
        <f>IFERROR(N243/N444, "NA")</f>
        <v>-0.28121014931537031</v>
      </c>
      <c r="P243" s="9"/>
      <c r="Q243" s="7">
        <v>340.48</v>
      </c>
      <c r="R243" s="8">
        <f>IFERROR(Q243/Q444, "NA")</f>
        <v>2.4056299994383002E-3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-340.48</v>
      </c>
      <c r="X243" s="8">
        <f>IFERROR(W243/W444, "NA")</f>
        <v>6.9988344868556054E-2</v>
      </c>
      <c r="Y243" s="9"/>
      <c r="Z243" s="7">
        <v>3302.94</v>
      </c>
      <c r="AA243" s="8">
        <f>IFERROR(Z243/Z444, "NA")</f>
        <v>2.3416286248491795E-2</v>
      </c>
      <c r="AB243" s="9"/>
      <c r="AC243" s="10">
        <f t="shared" si="67"/>
        <v>2962.46</v>
      </c>
      <c r="AD243" s="8">
        <f>IFERROR(AC243/AC444, "NA")</f>
        <v>6.1520538273039618</v>
      </c>
    </row>
    <row r="244" spans="1:30" ht="16.5" customHeight="1" x14ac:dyDescent="0.45">
      <c r="A244" s="12" t="s">
        <v>221</v>
      </c>
      <c r="B244" s="7">
        <v>1167.06</v>
      </c>
      <c r="C244" s="8">
        <f>IFERROR(B244/B444, "NA")</f>
        <v>1.5846448072963235E-2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-1167.06</v>
      </c>
      <c r="I244" s="8">
        <f>IFERROR(H244/H444, "NA")</f>
        <v>0.16265757949532755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-1167.06</v>
      </c>
      <c r="O244" s="8">
        <f>IFERROR(N244/N444, "NA")</f>
        <v>0.32565874838504422</v>
      </c>
      <c r="P244" s="9"/>
      <c r="Q244" s="7">
        <v>2254.06</v>
      </c>
      <c r="R244" s="8">
        <f>IFERROR(Q244/Q444, "NA")</f>
        <v>1.5925852785872576E-2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-2254.06</v>
      </c>
      <c r="X244" s="8">
        <f>IFERROR(W244/W444, "NA")</f>
        <v>0.46333978099864148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-2254.06</v>
      </c>
      <c r="AD244" s="8">
        <f>IFERROR(AC244/AC444, "NA")</f>
        <v>-4.6809403164845325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55.31</v>
      </c>
      <c r="C246" s="8">
        <f>IFERROR(B246/B444, "NA")</f>
        <v>7.510042696310357E-4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-55.31</v>
      </c>
      <c r="I246" s="8">
        <f>IFERROR(H246/H444, "NA")</f>
        <v>7.7087645210071184E-3</v>
      </c>
      <c r="J246" s="9"/>
      <c r="K246" s="7">
        <v>135.63</v>
      </c>
      <c r="L246" s="8">
        <f>IFERROR(K246/K444, "NA")</f>
        <v>1.7561432644143456E-3</v>
      </c>
      <c r="M246" s="9"/>
      <c r="N246" s="10">
        <f t="shared" si="65"/>
        <v>80.319999999999993</v>
      </c>
      <c r="O246" s="8">
        <f>IFERROR(N246/N444, "NA")</f>
        <v>-2.2412652880131913E-2</v>
      </c>
      <c r="P246" s="9"/>
      <c r="Q246" s="7">
        <v>102.51</v>
      </c>
      <c r="R246" s="8">
        <f>IFERROR(Q246/Q444, "NA")</f>
        <v>7.2427493903436373E-4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-102.51</v>
      </c>
      <c r="X246" s="8">
        <f>IFERROR(W246/W444, "NA")</f>
        <v>2.1071737642374532E-2</v>
      </c>
      <c r="Y246" s="9"/>
      <c r="Z246" s="7">
        <v>246.83</v>
      </c>
      <c r="AA246" s="8">
        <f>IFERROR(Z246/Z444, "NA")</f>
        <v>1.7499082437813674E-3</v>
      </c>
      <c r="AB246" s="9"/>
      <c r="AC246" s="10">
        <f t="shared" si="67"/>
        <v>144.32</v>
      </c>
      <c r="AD246" s="8">
        <f>IFERROR(AC246/AC444, "NA")</f>
        <v>0.29970511276321293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169.58</v>
      </c>
      <c r="C248" s="8">
        <f>IFERROR(B248/B444, "NA")</f>
        <v>2.3025728447664262E-3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-169.58</v>
      </c>
      <c r="I248" s="8">
        <f>IFERROR(H248/H444, "NA")</f>
        <v>2.3635007909462796E-2</v>
      </c>
      <c r="J248" s="9"/>
      <c r="K248" s="7">
        <v>165.41</v>
      </c>
      <c r="L248" s="8">
        <f>IFERROR(K248/K444, "NA")</f>
        <v>2.1417360271826064E-3</v>
      </c>
      <c r="M248" s="9"/>
      <c r="N248" s="10">
        <f t="shared" si="65"/>
        <v>-4.1700000000000159</v>
      </c>
      <c r="O248" s="8">
        <f>IFERROR(N248/N444, "NA")</f>
        <v>1.1636051109331479E-3</v>
      </c>
      <c r="P248" s="9"/>
      <c r="Q248" s="7">
        <v>355.84</v>
      </c>
      <c r="R248" s="8">
        <f>IFERROR(Q248/Q444, "NA")</f>
        <v>2.5141546610670954E-3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-355.84</v>
      </c>
      <c r="X248" s="8">
        <f>IFERROR(W248/W444, "NA")</f>
        <v>7.314571380999467E-2</v>
      </c>
      <c r="Y248" s="9"/>
      <c r="Z248" s="7">
        <v>351.67</v>
      </c>
      <c r="AA248" s="8">
        <f>IFERROR(Z248/Z444, "NA")</f>
        <v>2.4931743794943625E-3</v>
      </c>
      <c r="AB248" s="9"/>
      <c r="AC248" s="10">
        <f t="shared" si="67"/>
        <v>-4.1699999999999591</v>
      </c>
      <c r="AD248" s="8">
        <f>IFERROR(AC248/AC444, "NA")</f>
        <v>-8.6597167421188035E-3</v>
      </c>
    </row>
    <row r="249" spans="1:30" ht="16.5" customHeight="1" x14ac:dyDescent="0.45">
      <c r="A249" s="12" t="s">
        <v>226</v>
      </c>
      <c r="B249" s="7">
        <v>1634.06</v>
      </c>
      <c r="C249" s="8">
        <f>IFERROR(B249/B444, "NA")</f>
        <v>2.2187417046344061E-2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-1634.06</v>
      </c>
      <c r="I249" s="8">
        <f>IFERROR(H249/H444, "NA")</f>
        <v>0.22774514108112259</v>
      </c>
      <c r="J249" s="9"/>
      <c r="K249" s="7">
        <v>1456.67</v>
      </c>
      <c r="L249" s="8">
        <f>IFERROR(K249/K444, "NA")</f>
        <v>1.8861027862378862E-2</v>
      </c>
      <c r="M249" s="9"/>
      <c r="N249" s="10">
        <f t="shared" si="65"/>
        <v>-177.38999999999987</v>
      </c>
      <c r="O249" s="8">
        <f>IFERROR(N249/N444, "NA")</f>
        <v>4.9499259143508438E-2</v>
      </c>
      <c r="P249" s="9"/>
      <c r="Q249" s="7">
        <v>3005.22</v>
      </c>
      <c r="R249" s="8">
        <f>IFERROR(Q249/Q444, "NA")</f>
        <v>2.1233104402349531E-2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-3005.22</v>
      </c>
      <c r="X249" s="8">
        <f>IFERROR(W249/W444, "NA")</f>
        <v>0.61774663347592218</v>
      </c>
      <c r="Y249" s="9"/>
      <c r="Z249" s="7">
        <v>2753.76</v>
      </c>
      <c r="AA249" s="8">
        <f>IFERROR(Z249/Z444, "NA")</f>
        <v>1.9522859155675479E-2</v>
      </c>
      <c r="AB249" s="9"/>
      <c r="AC249" s="10">
        <f t="shared" si="67"/>
        <v>-251.45999999999958</v>
      </c>
      <c r="AD249" s="8">
        <f>IFERROR(AC249/AC444, "NA")</f>
        <v>-0.52219960958590217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customHeight="1" x14ac:dyDescent="0.45">
      <c r="A251" s="12" t="s">
        <v>228</v>
      </c>
      <c r="B251" s="7">
        <v>123.8</v>
      </c>
      <c r="C251" s="8">
        <f>IFERROR(B251/B444, "NA")</f>
        <v>1.6809677920868237E-3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-123.8</v>
      </c>
      <c r="I251" s="8">
        <f>IFERROR(H251/H444, "NA")</f>
        <v>1.725447564094524E-2</v>
      </c>
      <c r="J251" s="9"/>
      <c r="K251" s="7">
        <v>29.09</v>
      </c>
      <c r="L251" s="8">
        <f>IFERROR(K251/K444, "NA")</f>
        <v>3.7665861211983565E-4</v>
      </c>
      <c r="M251" s="9"/>
      <c r="N251" s="10">
        <f t="shared" si="65"/>
        <v>-94.71</v>
      </c>
      <c r="O251" s="8">
        <f>IFERROR(N251/N444, "NA")</f>
        <v>2.6428067159826863E-2</v>
      </c>
      <c r="P251" s="9"/>
      <c r="Q251" s="7">
        <v>237.82</v>
      </c>
      <c r="R251" s="8">
        <f>IFERROR(Q251/Q444, "NA")</f>
        <v>1.6802952492552176E-3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-237.82</v>
      </c>
      <c r="X251" s="8">
        <f>IFERROR(W251/W444, "NA")</f>
        <v>4.8885773545112782E-2</v>
      </c>
      <c r="Y251" s="9"/>
      <c r="Z251" s="7">
        <v>29.09</v>
      </c>
      <c r="AA251" s="8">
        <f>IFERROR(Z251/Z444, "NA")</f>
        <v>2.0623437512295903E-4</v>
      </c>
      <c r="AB251" s="9"/>
      <c r="AC251" s="10">
        <f t="shared" si="67"/>
        <v>-208.73</v>
      </c>
      <c r="AD251" s="8">
        <f>IFERROR(AC251/AC444, "NA")</f>
        <v>-0.43346347136270397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customHeight="1" x14ac:dyDescent="0.45">
      <c r="A253" s="12" t="s">
        <v>230</v>
      </c>
      <c r="B253" s="7">
        <v>414.52</v>
      </c>
      <c r="C253" s="8">
        <f>IFERROR(B253/B444, "NA")</f>
        <v>5.6283907041666404E-3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-414.52</v>
      </c>
      <c r="I253" s="8">
        <f>IFERROR(H253/H444, "NA")</f>
        <v>5.7773224900521974E-2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-414.52</v>
      </c>
      <c r="O253" s="8">
        <f>IFERROR(N253/N444, "NA")</f>
        <v>0.11566848695060111</v>
      </c>
      <c r="P253" s="9"/>
      <c r="Q253" s="7">
        <v>933.95</v>
      </c>
      <c r="R253" s="8">
        <f>IFERROR(Q253/Q444, "NA")</f>
        <v>6.59873748230557E-3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-933.95</v>
      </c>
      <c r="X253" s="8">
        <f>IFERROR(W253/W444, "NA")</f>
        <v>0.19198077622764312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-933.95</v>
      </c>
      <c r="AD253" s="8">
        <f>IFERROR(AC253/AC444, "NA")</f>
        <v>-1.9395065830460279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80.05</v>
      </c>
      <c r="AA254" s="8">
        <f>IFERROR(Z254/Z444, "NA")</f>
        <v>5.6751673181824923E-4</v>
      </c>
      <c r="AB254" s="9"/>
      <c r="AC254" s="10">
        <f t="shared" si="67"/>
        <v>80.05</v>
      </c>
      <c r="AD254" s="8">
        <f>IFERROR(AC254/AC444, "NA")</f>
        <v>0.16623748805914076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customHeight="1" x14ac:dyDescent="0.45">
      <c r="A260" s="12" t="s">
        <v>237</v>
      </c>
      <c r="B260" s="7">
        <v>665.8</v>
      </c>
      <c r="C260" s="8">
        <f>IFERROR(B260/B444, "NA")</f>
        <v>9.0402936669742098E-3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-665.8</v>
      </c>
      <c r="I260" s="8">
        <f>IFERROR(H260/H444, "NA")</f>
        <v>9.2795071742660259E-2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-665.8</v>
      </c>
      <c r="O260" s="8">
        <f>IFERROR(N260/N444, "NA")</f>
        <v>0.18578615895906161</v>
      </c>
      <c r="P260" s="9"/>
      <c r="Q260" s="7">
        <v>1756.3</v>
      </c>
      <c r="R260" s="8">
        <f>IFERROR(Q260/Q444, "NA")</f>
        <v>1.2408975469964422E-2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-1756.3</v>
      </c>
      <c r="X260" s="8">
        <f>IFERROR(W260/W444, "NA")</f>
        <v>0.36102129374014624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-1756.3</v>
      </c>
      <c r="AD260" s="8">
        <f>IFERROR(AC260/AC444, "NA")</f>
        <v>-3.6472567180295932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5151.88</v>
      </c>
      <c r="C262" s="15">
        <f>IFERROR(B262/B444, "NA")</f>
        <v>6.9952700716448019E-2</v>
      </c>
      <c r="D262" s="2"/>
      <c r="E262" s="14">
        <f>IFERROR(E240+E241+E242+E243+E244+E245+E246+E247+E248+E249+E250+E251+E252+E253+E254+E255+E256+E257+E258+E259+E260+E261, "NA")</f>
        <v>4364.4399999999996</v>
      </c>
      <c r="F262" s="15">
        <f>IFERROR(E262/E444, "NA")</f>
        <v>5.3999975254568622E-2</v>
      </c>
      <c r="G262" s="2"/>
      <c r="H262" s="14">
        <f t="shared" si="64"/>
        <v>-787.44000000000051</v>
      </c>
      <c r="I262" s="15">
        <f>IFERROR(H262/H444, "NA")</f>
        <v>0.10974849998954708</v>
      </c>
      <c r="J262" s="2"/>
      <c r="K262" s="14">
        <f>IFERROR(K240+K241+K242+K243+K244+K245+K246+K247+K248+K249+K250+K251+K252+K253+K254+K255+K256+K257+K258+K259+K260+K261, "NA")</f>
        <v>3956.8500000000004</v>
      </c>
      <c r="L262" s="15">
        <f>IFERROR(K262/K444, "NA")</f>
        <v>5.1233469555392638E-2</v>
      </c>
      <c r="M262" s="2"/>
      <c r="N262" s="14">
        <f t="shared" si="65"/>
        <v>-1195.0299999999997</v>
      </c>
      <c r="O262" s="15">
        <f>IFERROR(N262/N444, "NA")</f>
        <v>0.33346355293008018</v>
      </c>
      <c r="P262" s="2"/>
      <c r="Q262" s="14">
        <f>IFERROR(Q240+Q241+Q242+Q243+Q244+Q245+Q246+Q247+Q248+Q249+Q250+Q251+Q252+Q253+Q254+Q255+Q256+Q257+Q258+Q259+Q260+Q261, "NA")</f>
        <v>10348.459999999999</v>
      </c>
      <c r="R262" s="15">
        <f>IFERROR(Q262/Q444, "NA")</f>
        <v>7.3116088533797197E-2</v>
      </c>
      <c r="S262" s="2"/>
      <c r="T262" s="14">
        <f>IFERROR(T240+T241+T242+T243+T244+T245+T246+T247+T248+T249+T250+T251+T252+T253+T254+T255+T256+T257+T258+T259+T260+T261, "NA")</f>
        <v>7905.57</v>
      </c>
      <c r="U262" s="15">
        <f>IFERROR(T262/T444, "NA")</f>
        <v>5.399999426227392E-2</v>
      </c>
      <c r="V262" s="2"/>
      <c r="W262" s="14">
        <f t="shared" si="66"/>
        <v>-2442.8899999999994</v>
      </c>
      <c r="X262" s="15">
        <f>IFERROR(W262/W444, "NA")</f>
        <v>0.50215527430670481</v>
      </c>
      <c r="Y262" s="2"/>
      <c r="Z262" s="14">
        <f>IFERROR(Z240+Z241+Z242+Z243+Z244+Z245+Z246+Z247+Z248+Z249+Z250+Z251+Z252+Z253+Z254+Z255+Z256+Z257+Z258+Z259+Z260+Z261, "NA")</f>
        <v>8336.9500000000007</v>
      </c>
      <c r="AA262" s="15">
        <f>IFERROR(Z262/Z444, "NA")</f>
        <v>5.9105042065361067E-2</v>
      </c>
      <c r="AB262" s="2"/>
      <c r="AC262" s="14">
        <f t="shared" si="67"/>
        <v>-2011.5099999999984</v>
      </c>
      <c r="AD262" s="15">
        <f>IFERROR(AC262/AC444, "NA")</f>
        <v>-4.1772438426713547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5151.88</v>
      </c>
      <c r="C263" s="15">
        <f>IFERROR(B263/B444, "NA")</f>
        <v>6.9952700716448019E-2</v>
      </c>
      <c r="D263" s="2"/>
      <c r="E263" s="14">
        <f>IFERROR(E238+E240+E241+E242+E243+E244+E245+E246+E247+E248+E249+E250+E251+E252+E253+E254+E255+E256+E257+E258+E259+E260+E261, "NA")</f>
        <v>4364.4399999999996</v>
      </c>
      <c r="F263" s="15">
        <f>IFERROR(E263/E444, "NA")</f>
        <v>5.3999975254568622E-2</v>
      </c>
      <c r="G263" s="2"/>
      <c r="H263" s="14">
        <f t="shared" si="64"/>
        <v>-787.44000000000051</v>
      </c>
      <c r="I263" s="15">
        <f>IFERROR(H263/H444, "NA")</f>
        <v>0.10974849998954708</v>
      </c>
      <c r="J263" s="2"/>
      <c r="K263" s="14">
        <f>IFERROR(K238+K240+K241+K242+K243+K244+K245+K246+K247+K248+K249+K250+K251+K252+K253+K254+K255+K256+K257+K258+K259+K260+K261, "NA")</f>
        <v>3956.8500000000004</v>
      </c>
      <c r="L263" s="15">
        <f>IFERROR(K263/K444, "NA")</f>
        <v>5.1233469555392638E-2</v>
      </c>
      <c r="M263" s="2"/>
      <c r="N263" s="14">
        <f t="shared" si="65"/>
        <v>-1195.0299999999997</v>
      </c>
      <c r="O263" s="15">
        <f>IFERROR(N263/N444, "NA")</f>
        <v>0.33346355293008018</v>
      </c>
      <c r="P263" s="2"/>
      <c r="Q263" s="14">
        <f>IFERROR(Q238+Q240+Q241+Q242+Q243+Q244+Q245+Q246+Q247+Q248+Q249+Q250+Q251+Q252+Q253+Q254+Q255+Q256+Q257+Q258+Q259+Q260+Q261, "NA")</f>
        <v>10348.459999999999</v>
      </c>
      <c r="R263" s="15">
        <f>IFERROR(Q263/Q444, "NA")</f>
        <v>7.3116088533797197E-2</v>
      </c>
      <c r="S263" s="2"/>
      <c r="T263" s="14">
        <f>IFERROR(T238+T240+T241+T242+T243+T244+T245+T246+T247+T248+T249+T250+T251+T252+T253+T254+T255+T256+T257+T258+T259+T260+T261, "NA")</f>
        <v>7905.57</v>
      </c>
      <c r="U263" s="15">
        <f>IFERROR(T263/T444, "NA")</f>
        <v>5.399999426227392E-2</v>
      </c>
      <c r="V263" s="2"/>
      <c r="W263" s="14">
        <f t="shared" si="66"/>
        <v>-2442.8899999999994</v>
      </c>
      <c r="X263" s="15">
        <f>IFERROR(W263/W444, "NA")</f>
        <v>0.50215527430670481</v>
      </c>
      <c r="Y263" s="2"/>
      <c r="Z263" s="14">
        <f>IFERROR(Z238+Z240+Z241+Z242+Z243+Z244+Z245+Z246+Z247+Z248+Z249+Z250+Z251+Z252+Z253+Z254+Z255+Z256+Z257+Z258+Z259+Z260+Z261, "NA")</f>
        <v>8336.9500000000007</v>
      </c>
      <c r="AA263" s="15">
        <f>IFERROR(Z263/Z444, "NA")</f>
        <v>5.9105042065361067E-2</v>
      </c>
      <c r="AB263" s="2"/>
      <c r="AC263" s="14">
        <f t="shared" si="67"/>
        <v>-2011.5099999999984</v>
      </c>
      <c r="AD263" s="15">
        <f>IFERROR(AC263/AC444, "NA")</f>
        <v>-4.1772438426713547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1723.59</v>
      </c>
      <c r="C265" s="8">
        <f>IFERROR(B265/B444, "NA")</f>
        <v>2.3403063624902489E-2</v>
      </c>
      <c r="D265" s="9"/>
      <c r="E265" s="7">
        <v>2182.2199999999998</v>
      </c>
      <c r="F265" s="8">
        <f>IFERROR(E265/E444, "NA")</f>
        <v>2.6999987627284311E-2</v>
      </c>
      <c r="G265" s="9"/>
      <c r="H265" s="10">
        <f>IFERROR(-(B265-E265), "NA")</f>
        <v>458.62999999999988</v>
      </c>
      <c r="I265" s="8">
        <f>IFERROR(H265/H444, "NA")</f>
        <v>-6.3921002933818361E-2</v>
      </c>
      <c r="J265" s="9"/>
      <c r="K265" s="7">
        <v>1743.84</v>
      </c>
      <c r="L265" s="8">
        <f>IFERROR(K265/K444, "NA")</f>
        <v>2.257931777789805E-2</v>
      </c>
      <c r="M265" s="9"/>
      <c r="N265" s="10">
        <f>IFERROR(-(B265-K265), "NA")</f>
        <v>20.25</v>
      </c>
      <c r="O265" s="8">
        <f>IFERROR(N265/N444, "NA")</f>
        <v>-5.6506003588479995E-3</v>
      </c>
      <c r="P265" s="9"/>
      <c r="Q265" s="7">
        <v>3353.49</v>
      </c>
      <c r="R265" s="8">
        <f>IFERROR(Q265/Q444, "NA")</f>
        <v>2.3693773927444622E-2</v>
      </c>
      <c r="S265" s="9"/>
      <c r="T265" s="7">
        <v>3952.78</v>
      </c>
      <c r="U265" s="8">
        <f>IFERROR(T265/T444, "NA")</f>
        <v>2.6999962978005523E-2</v>
      </c>
      <c r="V265" s="9"/>
      <c r="W265" s="10">
        <f>IFERROR(-(Q265-T265), "NA")</f>
        <v>599.29000000000042</v>
      </c>
      <c r="X265" s="8">
        <f>IFERROR(W265/W444, "NA")</f>
        <v>-0.12318877818455412</v>
      </c>
      <c r="Y265" s="9"/>
      <c r="Z265" s="7">
        <v>3417.98</v>
      </c>
      <c r="AA265" s="8">
        <f>IFERROR(Z265/Z444, "NA")</f>
        <v>2.4231865571769387E-2</v>
      </c>
      <c r="AB265" s="9"/>
      <c r="AC265" s="10">
        <f>IFERROR(-(Q265-Z265), "NA")</f>
        <v>64.490000000000236</v>
      </c>
      <c r="AD265" s="8">
        <f>IFERROR(AC265/AC444, "NA")</f>
        <v>0.13392449225401659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44.62</v>
      </c>
      <c r="L266" s="8">
        <f>IFERROR(K266/K444, "NA")</f>
        <v>5.7774174193149074E-4</v>
      </c>
      <c r="M266" s="9"/>
      <c r="N266" s="10">
        <f>IFERROR(-(B266-K266), "NA")</f>
        <v>44.62</v>
      </c>
      <c r="O266" s="8">
        <f>IFERROR(N266/N444, "NA")</f>
        <v>-1.2450853728977664E-2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44.62</v>
      </c>
      <c r="AA266" s="8">
        <f>IFERROR(Z266/Z444, "NA")</f>
        <v>3.1633474795415714E-4</v>
      </c>
      <c r="AB266" s="9"/>
      <c r="AC266" s="10">
        <f>IFERROR(-(Q266-Z266), "NA")</f>
        <v>44.62</v>
      </c>
      <c r="AD266" s="8">
        <f>IFERROR(AC266/AC444, "NA")</f>
        <v>9.2661045811353662E-2</v>
      </c>
    </row>
    <row r="267" spans="1:30" ht="16.5" customHeight="1" x14ac:dyDescent="0.45">
      <c r="A267" s="19" t="s">
        <v>243</v>
      </c>
      <c r="B267" s="14">
        <f>IFERROR(B265+B266, "NA")</f>
        <v>1723.59</v>
      </c>
      <c r="C267" s="15">
        <f>IFERROR(B267/B444, "NA")</f>
        <v>2.3403063624902489E-2</v>
      </c>
      <c r="D267" s="2"/>
      <c r="E267" s="14">
        <f>IFERROR(E265+E266, "NA")</f>
        <v>2182.2199999999998</v>
      </c>
      <c r="F267" s="15">
        <f>IFERROR(E267/E444, "NA")</f>
        <v>2.6999987627284311E-2</v>
      </c>
      <c r="G267" s="2"/>
      <c r="H267" s="14">
        <f>IFERROR(-(B267-E267), "NA")</f>
        <v>458.62999999999988</v>
      </c>
      <c r="I267" s="15">
        <f>IFERROR(H267/H444, "NA")</f>
        <v>-6.3921002933818361E-2</v>
      </c>
      <c r="J267" s="2"/>
      <c r="K267" s="14">
        <f>IFERROR(K265+K266, "NA")</f>
        <v>1788.4599999999998</v>
      </c>
      <c r="L267" s="15">
        <f>IFERROR(K267/K444, "NA")</f>
        <v>2.3157059519829538E-2</v>
      </c>
      <c r="M267" s="2"/>
      <c r="N267" s="14">
        <f>IFERROR(-(B267-K267), "NA")</f>
        <v>64.869999999999891</v>
      </c>
      <c r="O267" s="15">
        <f>IFERROR(N267/N444, "NA")</f>
        <v>-1.8101454087825635E-2</v>
      </c>
      <c r="P267" s="2"/>
      <c r="Q267" s="14">
        <f>IFERROR(Q265+Q266, "NA")</f>
        <v>3353.49</v>
      </c>
      <c r="R267" s="15">
        <f>IFERROR(Q267/Q444, "NA")</f>
        <v>2.3693773927444622E-2</v>
      </c>
      <c r="S267" s="2"/>
      <c r="T267" s="14">
        <f>IFERROR(T265+T266, "NA")</f>
        <v>3952.78</v>
      </c>
      <c r="U267" s="15">
        <f>IFERROR(T267/T444, "NA")</f>
        <v>2.6999962978005523E-2</v>
      </c>
      <c r="V267" s="2"/>
      <c r="W267" s="14">
        <f>IFERROR(-(Q267-T267), "NA")</f>
        <v>599.29000000000042</v>
      </c>
      <c r="X267" s="15">
        <f>IFERROR(W267/W444, "NA")</f>
        <v>-0.12318877818455412</v>
      </c>
      <c r="Y267" s="2"/>
      <c r="Z267" s="14">
        <f>IFERROR(Z265+Z266, "NA")</f>
        <v>3462.6</v>
      </c>
      <c r="AA267" s="15">
        <f>IFERROR(Z267/Z444, "NA")</f>
        <v>2.4548200319723545E-2</v>
      </c>
      <c r="AB267" s="2"/>
      <c r="AC267" s="14">
        <f>IFERROR(-(Q267-Z267), "NA")</f>
        <v>109.11000000000013</v>
      </c>
      <c r="AD267" s="15">
        <f>IFERROR(AC267/AC444, "NA")</f>
        <v>0.22658553806537002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267</v>
      </c>
      <c r="C270" s="8">
        <f>IFERROR(B270/B444, "NA")</f>
        <v>3.6253505693633436E-3</v>
      </c>
      <c r="D270" s="9"/>
      <c r="E270" s="7">
        <v>236.72</v>
      </c>
      <c r="F270" s="8">
        <f>IFERROR(E270/E444, "NA")</f>
        <v>2.9288692575133316E-3</v>
      </c>
      <c r="G270" s="9"/>
      <c r="H270" s="10">
        <f>IFERROR(-(B270-E270), "NA")</f>
        <v>-30.28</v>
      </c>
      <c r="I270" s="8">
        <f>IFERROR(H270/H444, "NA")</f>
        <v>4.2202384685607582E-3</v>
      </c>
      <c r="J270" s="9"/>
      <c r="K270" s="7">
        <v>218.47</v>
      </c>
      <c r="L270" s="8">
        <f>IFERROR(K270/K444, "NA")</f>
        <v>2.8287592640020799E-3</v>
      </c>
      <c r="M270" s="9"/>
      <c r="N270" s="10">
        <f>IFERROR(-(B270-K270), "NA")</f>
        <v>-48.53</v>
      </c>
      <c r="O270" s="8">
        <f>IFERROR(N270/N444, "NA")</f>
        <v>1.3541907921723132E-2</v>
      </c>
      <c r="P270" s="9"/>
      <c r="Q270" s="7">
        <v>534</v>
      </c>
      <c r="R270" s="8">
        <f>IFERROR(Q270/Q444, "NA")</f>
        <v>3.7729276894385936E-3</v>
      </c>
      <c r="S270" s="9"/>
      <c r="T270" s="7">
        <v>473.44</v>
      </c>
      <c r="U270" s="8">
        <f>IFERROR(T270/T444, "NA")</f>
        <v>3.2338917097098582E-3</v>
      </c>
      <c r="V270" s="9"/>
      <c r="W270" s="10">
        <f>IFERROR(-(Q270-T270), "NA")</f>
        <v>-60.56</v>
      </c>
      <c r="X270" s="8">
        <f>IFERROR(W270/W444, "NA")</f>
        <v>1.2448584836817888E-2</v>
      </c>
      <c r="Y270" s="9"/>
      <c r="Z270" s="7">
        <v>436.94</v>
      </c>
      <c r="AA270" s="8">
        <f>IFERROR(Z270/Z444, "NA")</f>
        <v>3.0976984484780241E-3</v>
      </c>
      <c r="AB270" s="9"/>
      <c r="AC270" s="10">
        <f>IFERROR(-(Q270-Z270), "NA")</f>
        <v>-97.06</v>
      </c>
      <c r="AD270" s="8">
        <f>IFERROR(AC270/AC444, "NA")</f>
        <v>-0.2015616563525322</v>
      </c>
    </row>
    <row r="271" spans="1:30" ht="16.5" customHeight="1" x14ac:dyDescent="0.45">
      <c r="A271" s="6" t="s">
        <v>246</v>
      </c>
      <c r="B271" s="7">
        <v>1142.46</v>
      </c>
      <c r="C271" s="8">
        <f>IFERROR(B271/B444, "NA")</f>
        <v>1.5512427009269084E-2</v>
      </c>
      <c r="D271" s="9"/>
      <c r="E271" s="7">
        <v>1078.33</v>
      </c>
      <c r="F271" s="8">
        <f>IFERROR(E271/E444, "NA")</f>
        <v>1.3341870507157615E-2</v>
      </c>
      <c r="G271" s="9"/>
      <c r="H271" s="10">
        <f>IFERROR(-(B271-E271), "NA")</f>
        <v>-64.130000000000109</v>
      </c>
      <c r="I271" s="8">
        <f>IFERROR(H271/H444, "NA")</f>
        <v>8.9380413800793229E-3</v>
      </c>
      <c r="J271" s="9"/>
      <c r="K271" s="7">
        <v>1218.2</v>
      </c>
      <c r="L271" s="8">
        <f>IFERROR(K271/K444, "NA")</f>
        <v>1.5773307710016633E-2</v>
      </c>
      <c r="M271" s="9"/>
      <c r="N271" s="10">
        <f>IFERROR(-(B271-K271), "NA")</f>
        <v>75.740000000000009</v>
      </c>
      <c r="O271" s="8">
        <f>IFERROR(N271/N444, "NA")</f>
        <v>-2.1134640552056667E-2</v>
      </c>
      <c r="P271" s="9"/>
      <c r="Q271" s="7">
        <v>2284.92</v>
      </c>
      <c r="R271" s="8">
        <f>IFERROR(Q271/Q444, "NA")</f>
        <v>1.6143891266202307E-2</v>
      </c>
      <c r="S271" s="9"/>
      <c r="T271" s="7">
        <v>2156.66</v>
      </c>
      <c r="U271" s="8">
        <f>IFERROR(T271/T444, "NA")</f>
        <v>1.4731338489909731E-2</v>
      </c>
      <c r="V271" s="9"/>
      <c r="W271" s="10">
        <f>IFERROR(-(Q271-T271), "NA")</f>
        <v>-128.26000000000022</v>
      </c>
      <c r="X271" s="8">
        <f>IFERROR(W271/W444, "NA")</f>
        <v>2.636485289250768E-2</v>
      </c>
      <c r="Y271" s="9"/>
      <c r="Z271" s="7">
        <v>2436.4</v>
      </c>
      <c r="AA271" s="8">
        <f>IFERROR(Z271/Z444, "NA")</f>
        <v>1.7272926488469488E-2</v>
      </c>
      <c r="AB271" s="9"/>
      <c r="AC271" s="10">
        <f>IFERROR(-(Q271-Z271), "NA")</f>
        <v>151.48000000000002</v>
      </c>
      <c r="AD271" s="8">
        <f>IFERROR(AC271/AC444, "NA")</f>
        <v>0.3145740748432061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1409.46</v>
      </c>
      <c r="C273" s="15">
        <f>IFERROR(B273/B444, "NA")</f>
        <v>1.9137777578632428E-2</v>
      </c>
      <c r="D273" s="2"/>
      <c r="E273" s="14">
        <f>IFERROR(E269+E270+E271+E272, "NA")</f>
        <v>1315.05</v>
      </c>
      <c r="F273" s="15">
        <f>IFERROR(E273/E444, "NA")</f>
        <v>1.6270739764670947E-2</v>
      </c>
      <c r="G273" s="2"/>
      <c r="H273" s="14">
        <f>IFERROR(-(B273-E273), "NA")</f>
        <v>-94.410000000000082</v>
      </c>
      <c r="I273" s="15">
        <f>IFERROR(H273/H444, "NA")</f>
        <v>1.3158279848640077E-2</v>
      </c>
      <c r="J273" s="2"/>
      <c r="K273" s="14">
        <f>IFERROR(K269+K270+K271+K272, "NA")</f>
        <v>1436.67</v>
      </c>
      <c r="L273" s="15">
        <f>IFERROR(K273/K444, "NA")</f>
        <v>1.8602066974018713E-2</v>
      </c>
      <c r="M273" s="2"/>
      <c r="N273" s="14">
        <f>IFERROR(-(B273-K273), "NA")</f>
        <v>27.210000000000036</v>
      </c>
      <c r="O273" s="15">
        <f>IFERROR(N273/N444, "NA")</f>
        <v>-7.5927326303335445E-3</v>
      </c>
      <c r="P273" s="2"/>
      <c r="Q273" s="14">
        <f>IFERROR(Q269+Q270+Q271+Q272, "NA")</f>
        <v>2818.92</v>
      </c>
      <c r="R273" s="15">
        <f>IFERROR(Q273/Q444, "NA")</f>
        <v>1.9916818955640899E-2</v>
      </c>
      <c r="S273" s="2"/>
      <c r="T273" s="14">
        <f>IFERROR(T269+T270+T271+T272, "NA")</f>
        <v>2630.1</v>
      </c>
      <c r="U273" s="15">
        <f>IFERROR(T273/T444, "NA")</f>
        <v>1.796523019961959E-2</v>
      </c>
      <c r="V273" s="2"/>
      <c r="W273" s="14">
        <f>IFERROR(-(Q273-T273), "NA")</f>
        <v>-188.82000000000016</v>
      </c>
      <c r="X273" s="15">
        <f>IFERROR(W273/W444, "NA")</f>
        <v>3.8813437729325558E-2</v>
      </c>
      <c r="Y273" s="2"/>
      <c r="Z273" s="14">
        <f>IFERROR(Z269+Z270+Z271+Z272, "NA")</f>
        <v>2873.34</v>
      </c>
      <c r="AA273" s="15">
        <f>IFERROR(Z273/Z444, "NA")</f>
        <v>2.0370624936947513E-2</v>
      </c>
      <c r="AB273" s="2"/>
      <c r="AC273" s="14">
        <f>IFERROR(-(Q273-Z273), "NA")</f>
        <v>54.420000000000073</v>
      </c>
      <c r="AD273" s="15">
        <f>IFERROR(AC273/AC444, "NA")</f>
        <v>0.11301241849067399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1067.5899999999999</v>
      </c>
      <c r="C287" s="8">
        <f>IFERROR(B287/B444, "NA")</f>
        <v>1.4495835259725138E-2</v>
      </c>
      <c r="D287" s="9"/>
      <c r="E287" s="7">
        <v>971</v>
      </c>
      <c r="F287" s="8">
        <f>IFERROR(E287/E444, "NA")</f>
        <v>1.2013906932432599E-2</v>
      </c>
      <c r="G287" s="9"/>
      <c r="H287" s="10">
        <f t="shared" si="72"/>
        <v>-96.589999999999918</v>
      </c>
      <c r="I287" s="8">
        <f>IFERROR(H287/H444, "NA")</f>
        <v>1.3462114718569462E-2</v>
      </c>
      <c r="J287" s="9"/>
      <c r="K287" s="7">
        <v>970.53</v>
      </c>
      <c r="L287" s="8">
        <f>IFERROR(K287/K444, "NA")</f>
        <v>1.2566465549008735E-2</v>
      </c>
      <c r="M287" s="9"/>
      <c r="N287" s="10">
        <f t="shared" si="73"/>
        <v>-97.059999999999945</v>
      </c>
      <c r="O287" s="8">
        <f>IFERROR(N287/N444, "NA")</f>
        <v>2.7083815843446248E-2</v>
      </c>
      <c r="P287" s="9"/>
      <c r="Q287" s="7">
        <v>2135.1799999999998</v>
      </c>
      <c r="R287" s="8">
        <f>IFERROR(Q287/Q444, "NA")</f>
        <v>1.508591712347471E-2</v>
      </c>
      <c r="S287" s="9"/>
      <c r="T287" s="7">
        <v>1942</v>
      </c>
      <c r="U287" s="8">
        <f>IFERROR(T287/T444, "NA")</f>
        <v>1.3265076250964314E-2</v>
      </c>
      <c r="V287" s="9"/>
      <c r="W287" s="10">
        <f t="shared" si="74"/>
        <v>-193.17999999999984</v>
      </c>
      <c r="X287" s="8">
        <f>IFERROR(W287/W444, "NA")</f>
        <v>3.9709670059056762E-2</v>
      </c>
      <c r="Y287" s="9"/>
      <c r="Z287" s="7">
        <v>1941.06</v>
      </c>
      <c r="AA287" s="8">
        <f>IFERROR(Z287/Z444, "NA")</f>
        <v>1.3761199593543171E-2</v>
      </c>
      <c r="AB287" s="9"/>
      <c r="AC287" s="10">
        <f t="shared" si="75"/>
        <v>-194.11999999999989</v>
      </c>
      <c r="AD287" s="8">
        <f>IFERROR(AC287/AC444, "NA")</f>
        <v>-0.40312331270506419</v>
      </c>
    </row>
    <row r="288" spans="1:30" ht="16.5" customHeight="1" x14ac:dyDescent="0.45">
      <c r="A288" s="6" t="s">
        <v>261</v>
      </c>
      <c r="B288" s="7">
        <v>260.13</v>
      </c>
      <c r="C288" s="8">
        <f>IFERROR(B288/B444, "NA")</f>
        <v>3.5320690771853428E-3</v>
      </c>
      <c r="D288" s="9"/>
      <c r="E288" s="7">
        <v>263</v>
      </c>
      <c r="F288" s="8">
        <f>IFERROR(E288/E444, "NA")</f>
        <v>3.254024225777316E-3</v>
      </c>
      <c r="G288" s="9"/>
      <c r="H288" s="10">
        <f t="shared" si="72"/>
        <v>2.8700000000000045</v>
      </c>
      <c r="I288" s="8">
        <f>IFERROR(H288/H444, "NA")</f>
        <v>-4.0000278747587173E-4</v>
      </c>
      <c r="J288" s="9"/>
      <c r="K288" s="7">
        <v>371.95</v>
      </c>
      <c r="L288" s="8">
        <f>IFERROR(K288/K444, "NA")</f>
        <v>4.8160251212778574E-3</v>
      </c>
      <c r="M288" s="9"/>
      <c r="N288" s="10">
        <f t="shared" si="73"/>
        <v>111.82</v>
      </c>
      <c r="O288" s="8">
        <f>IFERROR(N288/N444, "NA")</f>
        <v>-3.1202475660562137E-2</v>
      </c>
      <c r="P288" s="9"/>
      <c r="Q288" s="7">
        <v>520.26</v>
      </c>
      <c r="R288" s="8">
        <f>IFERROR(Q288/Q444, "NA")</f>
        <v>3.6758489882159598E-3</v>
      </c>
      <c r="S288" s="9"/>
      <c r="T288" s="7">
        <v>526</v>
      </c>
      <c r="U288" s="8">
        <f>IFERROR(T288/T444, "NA")</f>
        <v>3.5929094273981612E-3</v>
      </c>
      <c r="V288" s="9"/>
      <c r="W288" s="10">
        <f t="shared" si="74"/>
        <v>5.7400000000000091</v>
      </c>
      <c r="X288" s="8">
        <f>IFERROR(W288/W444, "NA")</f>
        <v>-1.1799021955636523E-3</v>
      </c>
      <c r="Y288" s="9"/>
      <c r="Z288" s="7">
        <v>743.9</v>
      </c>
      <c r="AA288" s="8">
        <f>IFERROR(Z288/Z444, "NA")</f>
        <v>5.2739000224808945E-3</v>
      </c>
      <c r="AB288" s="9"/>
      <c r="AC288" s="10">
        <f t="shared" si="75"/>
        <v>223.64</v>
      </c>
      <c r="AD288" s="8">
        <f>IFERROR(AC288/AC444, "NA")</f>
        <v>0.46442663122481248</v>
      </c>
    </row>
    <row r="289" spans="1:30" ht="16.5" customHeight="1" x14ac:dyDescent="0.45">
      <c r="A289" s="6" t="s">
        <v>262</v>
      </c>
      <c r="B289" s="7">
        <v>237.03</v>
      </c>
      <c r="C289" s="8">
        <f>IFERROR(B289/B444, "NA")</f>
        <v>3.2184151515213233E-3</v>
      </c>
      <c r="D289" s="9"/>
      <c r="E289" s="7">
        <v>224</v>
      </c>
      <c r="F289" s="8">
        <f>IFERROR(E289/E444, "NA")</f>
        <v>2.7714883139700335E-3</v>
      </c>
      <c r="G289" s="9"/>
      <c r="H289" s="10">
        <f t="shared" si="72"/>
        <v>-13.030000000000001</v>
      </c>
      <c r="I289" s="8">
        <f>IFERROR(H289/H444, "NA")</f>
        <v>1.8160405298991639E-3</v>
      </c>
      <c r="J289" s="9"/>
      <c r="K289" s="7">
        <v>211.16</v>
      </c>
      <c r="L289" s="8">
        <f>IFERROR(K289/K444, "NA")</f>
        <v>2.7341090593064454E-3</v>
      </c>
      <c r="M289" s="9"/>
      <c r="N289" s="10">
        <f t="shared" si="73"/>
        <v>-25.870000000000005</v>
      </c>
      <c r="O289" s="8">
        <f>IFERROR(N289/N444, "NA")</f>
        <v>7.2188163596739637E-3</v>
      </c>
      <c r="P289" s="9"/>
      <c r="Q289" s="7">
        <v>474.06</v>
      </c>
      <c r="R289" s="8">
        <f>IFERROR(Q289/Q444, "NA")</f>
        <v>3.3494271544105988E-3</v>
      </c>
      <c r="S289" s="9"/>
      <c r="T289" s="7">
        <v>448</v>
      </c>
      <c r="U289" s="8">
        <f>IFERROR(T289/T444, "NA")</f>
        <v>3.0601205769474837E-3</v>
      </c>
      <c r="V289" s="9"/>
      <c r="W289" s="10">
        <f t="shared" si="74"/>
        <v>-26.060000000000002</v>
      </c>
      <c r="X289" s="8">
        <f>IFERROR(W289/W444, "NA")</f>
        <v>5.3568381910084903E-3</v>
      </c>
      <c r="Y289" s="9"/>
      <c r="Z289" s="7">
        <v>419.41</v>
      </c>
      <c r="AA289" s="8">
        <f>IFERROR(Z289/Z444, "NA")</f>
        <v>2.9734190192616107E-3</v>
      </c>
      <c r="AB289" s="9"/>
      <c r="AC289" s="10">
        <f t="shared" si="75"/>
        <v>-54.649999999999977</v>
      </c>
      <c r="AD289" s="8">
        <f>IFERROR(AC289/AC444, "NA")</f>
        <v>-0.11349005274743335</v>
      </c>
    </row>
    <row r="290" spans="1:30" ht="16.5" customHeight="1" x14ac:dyDescent="0.45">
      <c r="A290" s="6" t="s">
        <v>263</v>
      </c>
      <c r="B290" s="7">
        <v>23.28</v>
      </c>
      <c r="C290" s="8">
        <f>IFERROR(B290/B444, "NA")</f>
        <v>3.1609798222763537E-4</v>
      </c>
      <c r="D290" s="9"/>
      <c r="E290" s="7">
        <v>323.29000000000002</v>
      </c>
      <c r="F290" s="8">
        <f>IFERROR(E290/E444, "NA")</f>
        <v>3.9999752545686251E-3</v>
      </c>
      <c r="G290" s="9"/>
      <c r="H290" s="10">
        <f t="shared" si="72"/>
        <v>300.01</v>
      </c>
      <c r="I290" s="8">
        <f>IFERROR(H290/H444, "NA")</f>
        <v>-4.1813531801615358E-2</v>
      </c>
      <c r="J290" s="9"/>
      <c r="K290" s="7">
        <v>278.97000000000003</v>
      </c>
      <c r="L290" s="8">
        <f>IFERROR(K290/K444, "NA")</f>
        <v>3.6121159512915286E-3</v>
      </c>
      <c r="M290" s="9"/>
      <c r="N290" s="10">
        <f t="shared" si="73"/>
        <v>255.69000000000003</v>
      </c>
      <c r="O290" s="8">
        <f>IFERROR(N290/N444, "NA")</f>
        <v>-7.1348247197720746E-2</v>
      </c>
      <c r="P290" s="9"/>
      <c r="Q290" s="7">
        <v>328.31</v>
      </c>
      <c r="R290" s="8">
        <f>IFERROR(Q290/Q444, "NA")</f>
        <v>2.3196439882389227E-3</v>
      </c>
      <c r="S290" s="9"/>
      <c r="T290" s="7">
        <v>585.6</v>
      </c>
      <c r="U290" s="8">
        <f>IFERROR(T290/T444, "NA")</f>
        <v>4.0000147541527824E-3</v>
      </c>
      <c r="V290" s="9"/>
      <c r="W290" s="10">
        <f t="shared" si="74"/>
        <v>257.29000000000002</v>
      </c>
      <c r="X290" s="8">
        <f>IFERROR(W290/W444, "NA")</f>
        <v>-5.2887985347834787E-2</v>
      </c>
      <c r="Y290" s="9"/>
      <c r="Z290" s="7">
        <v>512.13</v>
      </c>
      <c r="AA290" s="8">
        <f>IFERROR(Z290/Z444, "NA")</f>
        <v>3.6307600732801994E-3</v>
      </c>
      <c r="AB290" s="9"/>
      <c r="AC290" s="10">
        <f t="shared" si="75"/>
        <v>183.82</v>
      </c>
      <c r="AD290" s="8">
        <f>IFERROR(AC290/AC444, "NA")</f>
        <v>0.38173360468496259</v>
      </c>
    </row>
    <row r="291" spans="1:30" ht="16.5" customHeight="1" x14ac:dyDescent="0.45">
      <c r="A291" s="6" t="s">
        <v>264</v>
      </c>
      <c r="B291" s="7">
        <v>1048.3399999999999</v>
      </c>
      <c r="C291" s="8">
        <f>IFERROR(B291/B444, "NA")</f>
        <v>1.4234456988338454E-2</v>
      </c>
      <c r="D291" s="9"/>
      <c r="E291" s="7">
        <v>323.29000000000002</v>
      </c>
      <c r="F291" s="8">
        <f>IFERROR(E291/E444, "NA")</f>
        <v>3.9999752545686251E-3</v>
      </c>
      <c r="G291" s="9"/>
      <c r="H291" s="10">
        <f t="shared" si="72"/>
        <v>-725.05</v>
      </c>
      <c r="I291" s="8">
        <f>IFERROR(H291/H444, "NA")</f>
        <v>0.10105296901023704</v>
      </c>
      <c r="J291" s="9"/>
      <c r="K291" s="7">
        <v>115.89</v>
      </c>
      <c r="L291" s="8">
        <f>IFERROR(K291/K444, "NA")</f>
        <v>1.5005488676028793E-3</v>
      </c>
      <c r="M291" s="9"/>
      <c r="N291" s="10">
        <f t="shared" si="73"/>
        <v>-932.44999999999993</v>
      </c>
      <c r="O291" s="8">
        <f>IFERROR(N291/N444, "NA")</f>
        <v>0.260192706400386</v>
      </c>
      <c r="P291" s="9"/>
      <c r="Q291" s="7">
        <v>3364.73</v>
      </c>
      <c r="R291" s="8">
        <f>IFERROR(Q291/Q444, "NA")</f>
        <v>2.3773189109521944E-2</v>
      </c>
      <c r="S291" s="9"/>
      <c r="T291" s="7">
        <v>585.6</v>
      </c>
      <c r="U291" s="8">
        <f>IFERROR(T291/T444, "NA")</f>
        <v>4.0000147541527824E-3</v>
      </c>
      <c r="V291" s="9"/>
      <c r="W291" s="10">
        <f t="shared" si="74"/>
        <v>-2779.13</v>
      </c>
      <c r="X291" s="8">
        <f>IFERROR(W291/W444, "NA")</f>
        <v>0.5712720537903847</v>
      </c>
      <c r="Y291" s="9"/>
      <c r="Z291" s="7">
        <v>1121.22</v>
      </c>
      <c r="AA291" s="8">
        <f>IFERROR(Z291/Z444, "NA")</f>
        <v>7.9489208001156456E-3</v>
      </c>
      <c r="AB291" s="9"/>
      <c r="AC291" s="10">
        <f t="shared" si="75"/>
        <v>-2243.5100000000002</v>
      </c>
      <c r="AD291" s="8">
        <f>IFERROR(AC291/AC444, "NA")</f>
        <v>-4.6590314407940401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242.47</v>
      </c>
      <c r="F292" s="8">
        <f>IFERROR(E292/E444, "NA")</f>
        <v>3.0000123727156876E-3</v>
      </c>
      <c r="G292" s="9"/>
      <c r="H292" s="10">
        <f t="shared" si="72"/>
        <v>242.47</v>
      </c>
      <c r="I292" s="8">
        <f>IFERROR(H292/H444, "NA")</f>
        <v>-3.3793963721001553E-2</v>
      </c>
      <c r="J292" s="9"/>
      <c r="K292" s="7">
        <v>1703.69</v>
      </c>
      <c r="L292" s="8">
        <f>IFERROR(K292/K444, "NA")</f>
        <v>2.2059453794515051E-2</v>
      </c>
      <c r="M292" s="9"/>
      <c r="N292" s="10">
        <f t="shared" si="73"/>
        <v>1703.69</v>
      </c>
      <c r="O292" s="8">
        <f>IFERROR(N292/N444, "NA")</f>
        <v>-0.47540105310448139</v>
      </c>
      <c r="P292" s="9"/>
      <c r="Q292" s="7">
        <v>0</v>
      </c>
      <c r="R292" s="8">
        <f>IFERROR(Q292/Q444, "NA")</f>
        <v>0</v>
      </c>
      <c r="S292" s="9"/>
      <c r="T292" s="7">
        <v>439.2</v>
      </c>
      <c r="U292" s="8">
        <f>IFERROR(T292/T444, "NA")</f>
        <v>3.0000110656145862E-3</v>
      </c>
      <c r="V292" s="9"/>
      <c r="W292" s="10">
        <f t="shared" si="74"/>
        <v>439.2</v>
      </c>
      <c r="X292" s="8">
        <f>IFERROR(W292/W444, "NA")</f>
        <v>-9.0281018169260499E-2</v>
      </c>
      <c r="Y292" s="9"/>
      <c r="Z292" s="7">
        <v>1703.69</v>
      </c>
      <c r="AA292" s="8">
        <f>IFERROR(Z292/Z444, "NA")</f>
        <v>1.2078358286463873E-2</v>
      </c>
      <c r="AB292" s="9"/>
      <c r="AC292" s="10">
        <f t="shared" si="75"/>
        <v>1703.69</v>
      </c>
      <c r="AD292" s="8">
        <f>IFERROR(AC292/AC444, "NA")</f>
        <v>3.5380030734725492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121.23</v>
      </c>
      <c r="F293" s="8">
        <f>IFERROR(E293/E444, "NA")</f>
        <v>1.499944322779407E-3</v>
      </c>
      <c r="G293" s="9"/>
      <c r="H293" s="10">
        <f t="shared" si="72"/>
        <v>121.23</v>
      </c>
      <c r="I293" s="8">
        <f>IFERROR(H293/H444, "NA")</f>
        <v>-1.6896284991533051E-2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219.59</v>
      </c>
      <c r="U293" s="8">
        <f>IFERROR(T293/T444, "NA")</f>
        <v>1.499937226544415E-3</v>
      </c>
      <c r="V293" s="9"/>
      <c r="W293" s="10">
        <f t="shared" si="74"/>
        <v>219.59</v>
      </c>
      <c r="X293" s="8">
        <f>IFERROR(W293/W444, "NA")</f>
        <v>-4.5138453505892337E-2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300</v>
      </c>
      <c r="C294" s="8">
        <f>IFERROR(B294/B444, "NA")</f>
        <v>4.0734276060262285E-3</v>
      </c>
      <c r="D294" s="9"/>
      <c r="E294" s="7">
        <v>350</v>
      </c>
      <c r="F294" s="8">
        <f>IFERROR(E294/E444, "NA")</f>
        <v>4.3304504905781766E-3</v>
      </c>
      <c r="G294" s="9"/>
      <c r="H294" s="10">
        <f t="shared" si="72"/>
        <v>50</v>
      </c>
      <c r="I294" s="8">
        <f>IFERROR(H294/H444, "NA")</f>
        <v>-6.968689677279984E-3</v>
      </c>
      <c r="J294" s="9"/>
      <c r="K294" s="7">
        <v>33.33</v>
      </c>
      <c r="L294" s="8">
        <f>IFERROR(K294/K444, "NA")</f>
        <v>4.315583204521871E-4</v>
      </c>
      <c r="M294" s="9"/>
      <c r="N294" s="10">
        <f t="shared" si="73"/>
        <v>-266.67</v>
      </c>
      <c r="O294" s="8">
        <f>IFERROR(N294/N444, "NA")</f>
        <v>7.4412128281184986E-2</v>
      </c>
      <c r="P294" s="9"/>
      <c r="Q294" s="7">
        <v>599.99</v>
      </c>
      <c r="R294" s="8">
        <f>IFERROR(Q294/Q444, "NA")</f>
        <v>4.2391739407982429E-3</v>
      </c>
      <c r="S294" s="9"/>
      <c r="T294" s="7">
        <v>700</v>
      </c>
      <c r="U294" s="8">
        <f>IFERROR(T294/T444, "NA")</f>
        <v>4.7814384014804425E-3</v>
      </c>
      <c r="V294" s="9"/>
      <c r="W294" s="10">
        <f t="shared" si="74"/>
        <v>100.00999999999999</v>
      </c>
      <c r="X294" s="8">
        <f>IFERROR(W294/W444, "NA")</f>
        <v>-2.0557842957895589E-2</v>
      </c>
      <c r="Y294" s="9"/>
      <c r="Z294" s="7">
        <v>441.65</v>
      </c>
      <c r="AA294" s="8">
        <f>IFERROR(Z294/Z444, "NA")</f>
        <v>3.1310901262652062E-3</v>
      </c>
      <c r="AB294" s="9"/>
      <c r="AC294" s="10">
        <f t="shared" si="75"/>
        <v>-158.34000000000003</v>
      </c>
      <c r="AD294" s="8">
        <f>IFERROR(AC294/AC444, "NA")</f>
        <v>-0.3288200357187302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2936.37</v>
      </c>
      <c r="C295" s="15">
        <f>IFERROR(B295/B444, "NA")</f>
        <v>3.9870302065024121E-2</v>
      </c>
      <c r="D295" s="2"/>
      <c r="E295" s="14">
        <f>IFERROR(E286+E287+E288+E289+E290+E291+E292+E293+E294, "NA")</f>
        <v>2818.2799999999997</v>
      </c>
      <c r="F295" s="15">
        <f>IFERROR(E295/E444, "NA")</f>
        <v>3.4869777167390467E-2</v>
      </c>
      <c r="G295" s="2"/>
      <c r="H295" s="14">
        <f t="shared" si="72"/>
        <v>-118.09000000000015</v>
      </c>
      <c r="I295" s="15">
        <f>IFERROR(H295/H444, "NA")</f>
        <v>1.6458651279799886E-2</v>
      </c>
      <c r="J295" s="2"/>
      <c r="K295" s="14">
        <f>IFERROR(K286+K287+K288+K289+K290+K291+K292+K293+K294, "NA")</f>
        <v>3685.5200000000004</v>
      </c>
      <c r="L295" s="15">
        <f>IFERROR(K295/K444, "NA")</f>
        <v>4.7720276663454693E-2</v>
      </c>
      <c r="M295" s="2"/>
      <c r="N295" s="14">
        <f t="shared" si="73"/>
        <v>749.15000000000055</v>
      </c>
      <c r="O295" s="15">
        <f>IFERROR(N295/N444, "NA")</f>
        <v>-0.20904430907807317</v>
      </c>
      <c r="P295" s="2"/>
      <c r="Q295" s="14">
        <f>IFERROR(Q286+Q287+Q288+Q289+Q290+Q291+Q292+Q293+Q294, "NA")</f>
        <v>7422.5299999999988</v>
      </c>
      <c r="R295" s="15">
        <f>IFERROR(Q295/Q444, "NA")</f>
        <v>5.2443200304660369E-2</v>
      </c>
      <c r="S295" s="2"/>
      <c r="T295" s="14">
        <f>IFERROR(T286+T287+T288+T289+T290+T291+T292+T293+T294, "NA")</f>
        <v>5445.99</v>
      </c>
      <c r="U295" s="15">
        <f>IFERROR(T295/T444, "NA")</f>
        <v>3.7199522457254969E-2</v>
      </c>
      <c r="V295" s="2"/>
      <c r="W295" s="14">
        <f t="shared" si="74"/>
        <v>-1976.5399999999991</v>
      </c>
      <c r="X295" s="15">
        <f>IFERROR(W295/W444, "NA")</f>
        <v>0.40629335986400289</v>
      </c>
      <c r="Y295" s="2"/>
      <c r="Z295" s="14">
        <f>IFERROR(Z286+Z287+Z288+Z289+Z290+Z291+Z292+Z293+Z294, "NA")</f>
        <v>6883.0599999999995</v>
      </c>
      <c r="AA295" s="15">
        <f>IFERROR(Z295/Z444, "NA")</f>
        <v>4.8797647921410593E-2</v>
      </c>
      <c r="AB295" s="2"/>
      <c r="AC295" s="14">
        <f t="shared" si="75"/>
        <v>-539.46999999999935</v>
      </c>
      <c r="AD295" s="15">
        <f>IFERROR(AC295/AC444, "NA")</f>
        <v>-1.1203015325829426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496.09</v>
      </c>
      <c r="C299" s="8">
        <f>IFERROR(B299/B444, "NA")</f>
        <v>6.7359556702451719E-3</v>
      </c>
      <c r="D299" s="9"/>
      <c r="E299" s="7">
        <v>489</v>
      </c>
      <c r="F299" s="8">
        <f>IFERROR(E299/E444, "NA")</f>
        <v>6.0502579711220819E-3</v>
      </c>
      <c r="G299" s="9"/>
      <c r="H299" s="10">
        <f t="shared" si="76"/>
        <v>-7.089999999999975</v>
      </c>
      <c r="I299" s="8">
        <f>IFERROR(H299/H444, "NA")</f>
        <v>9.8816019623829826E-4</v>
      </c>
      <c r="J299" s="9"/>
      <c r="K299" s="7">
        <v>516.35</v>
      </c>
      <c r="L299" s="8">
        <f>IFERROR(K299/K444, "NA")</f>
        <v>6.6857227352381289E-3</v>
      </c>
      <c r="M299" s="9"/>
      <c r="N299" s="10">
        <f t="shared" si="77"/>
        <v>20.260000000000048</v>
      </c>
      <c r="O299" s="8">
        <f>IFERROR(N299/N444, "NA")</f>
        <v>-5.6533907787783078E-3</v>
      </c>
      <c r="P299" s="9"/>
      <c r="Q299" s="7">
        <v>992.18</v>
      </c>
      <c r="R299" s="8">
        <f>IFERROR(Q299/Q444, "NA")</f>
        <v>7.0101561702381717E-3</v>
      </c>
      <c r="S299" s="9"/>
      <c r="T299" s="7">
        <v>978</v>
      </c>
      <c r="U299" s="8">
        <f>IFERROR(T299/T444, "NA")</f>
        <v>6.6803525094969616E-3</v>
      </c>
      <c r="V299" s="9"/>
      <c r="W299" s="10">
        <f t="shared" si="78"/>
        <v>-14.17999999999995</v>
      </c>
      <c r="X299" s="8">
        <f>IFERROR(W299/W444, "NA")</f>
        <v>2.9148106503645481E-3</v>
      </c>
      <c r="Y299" s="9"/>
      <c r="Z299" s="7">
        <v>1032.7</v>
      </c>
      <c r="AA299" s="8">
        <f>IFERROR(Z299/Z444, "NA")</f>
        <v>7.3213557645060087E-3</v>
      </c>
      <c r="AB299" s="9"/>
      <c r="AC299" s="10">
        <f t="shared" si="79"/>
        <v>40.520000000000095</v>
      </c>
      <c r="AD299" s="8">
        <f>IFERROR(AC299/AC444, "NA")</f>
        <v>8.4146696016944411E-2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14</v>
      </c>
      <c r="C305" s="8">
        <f>IFERROR(B305/B444, "NA")</f>
        <v>1.9009328828122399E-4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-14</v>
      </c>
      <c r="I305" s="8">
        <f>IFERROR(H305/H444, "NA")</f>
        <v>1.9512331096383955E-3</v>
      </c>
      <c r="J305" s="9"/>
      <c r="K305" s="7">
        <v>15</v>
      </c>
      <c r="L305" s="8">
        <f>IFERROR(K305/K444, "NA")</f>
        <v>1.9422066627011121E-4</v>
      </c>
      <c r="M305" s="9"/>
      <c r="N305" s="10">
        <f t="shared" si="77"/>
        <v>1</v>
      </c>
      <c r="O305" s="8">
        <f>IFERROR(N305/N444, "NA")</f>
        <v>-2.7904199302953084E-4</v>
      </c>
      <c r="P305" s="9"/>
      <c r="Q305" s="7">
        <v>14</v>
      </c>
      <c r="R305" s="8">
        <f>IFERROR(Q305/Q444, "NA")</f>
        <v>9.8915707213745896E-5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-14</v>
      </c>
      <c r="X305" s="8">
        <f>IFERROR(W305/W444, "NA")</f>
        <v>2.8778102330820747E-3</v>
      </c>
      <c r="Y305" s="9"/>
      <c r="Z305" s="7">
        <v>30</v>
      </c>
      <c r="AA305" s="8">
        <f>IFERROR(Z305/Z444, "NA")</f>
        <v>2.1268584577823206E-4</v>
      </c>
      <c r="AB305" s="9"/>
      <c r="AC305" s="10">
        <f t="shared" si="79"/>
        <v>16</v>
      </c>
      <c r="AD305" s="8">
        <f>IFERROR(AC305/AC444, "NA")</f>
        <v>3.3226730905012519E-2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87.97</v>
      </c>
      <c r="C310" s="8">
        <f>IFERROR(B310/B444, "NA")</f>
        <v>1.194464755007091E-3</v>
      </c>
      <c r="D310" s="9"/>
      <c r="E310" s="7">
        <v>55</v>
      </c>
      <c r="F310" s="8">
        <f>IFERROR(E310/E444, "NA")</f>
        <v>6.8049936280514215E-4</v>
      </c>
      <c r="G310" s="9"/>
      <c r="H310" s="10">
        <f t="shared" si="76"/>
        <v>-32.97</v>
      </c>
      <c r="I310" s="8">
        <f>IFERROR(H310/H444, "NA")</f>
        <v>4.5951539731984214E-3</v>
      </c>
      <c r="J310" s="9"/>
      <c r="K310" s="7">
        <v>65.86</v>
      </c>
      <c r="L310" s="8">
        <f>IFERROR(K310/K444, "NA")</f>
        <v>8.5275820536996833E-4</v>
      </c>
      <c r="M310" s="9"/>
      <c r="N310" s="10">
        <f t="shared" si="77"/>
        <v>-22.11</v>
      </c>
      <c r="O310" s="8">
        <f>IFERROR(N310/N444, "NA")</f>
        <v>6.1696184658829268E-3</v>
      </c>
      <c r="P310" s="9"/>
      <c r="Q310" s="7">
        <v>87.97</v>
      </c>
      <c r="R310" s="8">
        <f>IFERROR(Q310/Q444, "NA")</f>
        <v>6.2154391168523046E-4</v>
      </c>
      <c r="S310" s="9"/>
      <c r="T310" s="7">
        <v>110</v>
      </c>
      <c r="U310" s="8">
        <f>IFERROR(T310/T444, "NA")</f>
        <v>7.513688916612124E-4</v>
      </c>
      <c r="V310" s="9"/>
      <c r="W310" s="10">
        <f t="shared" si="78"/>
        <v>22.03</v>
      </c>
      <c r="X310" s="8">
        <f>IFERROR(W310/W444, "NA")</f>
        <v>-4.5284399596284362E-3</v>
      </c>
      <c r="Y310" s="9"/>
      <c r="Z310" s="7">
        <v>65.86</v>
      </c>
      <c r="AA310" s="8">
        <f>IFERROR(Z310/Z444, "NA")</f>
        <v>4.6691632676514543E-4</v>
      </c>
      <c r="AB310" s="9"/>
      <c r="AC310" s="10">
        <f t="shared" si="79"/>
        <v>-22.11</v>
      </c>
      <c r="AD310" s="8">
        <f>IFERROR(AC310/AC444, "NA")</f>
        <v>-4.5915188769364179E-2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26.73</v>
      </c>
      <c r="L311" s="8">
        <f>IFERROR(K311/K444, "NA")</f>
        <v>3.461012272933382E-4</v>
      </c>
      <c r="M311" s="9"/>
      <c r="N311" s="10">
        <f t="shared" si="77"/>
        <v>26.73</v>
      </c>
      <c r="O311" s="8">
        <f>IFERROR(N311/N444, "NA")</f>
        <v>-7.4587924736793593E-3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26.73</v>
      </c>
      <c r="AA311" s="8">
        <f>IFERROR(Z311/Z444, "NA")</f>
        <v>1.8950308858840478E-4</v>
      </c>
      <c r="AB311" s="9"/>
      <c r="AC311" s="10">
        <f t="shared" si="79"/>
        <v>26.73</v>
      </c>
      <c r="AD311" s="8">
        <f>IFERROR(AC311/AC444, "NA")</f>
        <v>5.5509407318186543E-2</v>
      </c>
    </row>
    <row r="312" spans="1:30" ht="16.5" customHeight="1" x14ac:dyDescent="0.45">
      <c r="A312" s="6" t="s">
        <v>284</v>
      </c>
      <c r="B312" s="7">
        <v>304.89</v>
      </c>
      <c r="C312" s="8">
        <f>IFERROR(B312/B444, "NA")</f>
        <v>4.1398244760044558E-3</v>
      </c>
      <c r="D312" s="9"/>
      <c r="E312" s="7">
        <v>35</v>
      </c>
      <c r="F312" s="8">
        <f>IFERROR(E312/E444, "NA")</f>
        <v>4.3304504905781772E-4</v>
      </c>
      <c r="G312" s="9"/>
      <c r="H312" s="10">
        <f t="shared" si="76"/>
        <v>-269.89</v>
      </c>
      <c r="I312" s="8">
        <f>IFERROR(H312/H444, "NA")</f>
        <v>3.7615593140021893E-2</v>
      </c>
      <c r="J312" s="9"/>
      <c r="K312" s="7">
        <v>51</v>
      </c>
      <c r="L312" s="8">
        <f>IFERROR(K312/K444, "NA")</f>
        <v>6.6035026531837814E-4</v>
      </c>
      <c r="M312" s="9"/>
      <c r="N312" s="10">
        <f t="shared" si="77"/>
        <v>-253.89</v>
      </c>
      <c r="O312" s="8">
        <f>IFERROR(N312/N444, "NA")</f>
        <v>7.084597161026758E-2</v>
      </c>
      <c r="P312" s="9"/>
      <c r="Q312" s="7">
        <v>1039.33</v>
      </c>
      <c r="R312" s="8">
        <f>IFERROR(Q312/Q444, "NA")</f>
        <v>7.3432901413187507E-3</v>
      </c>
      <c r="S312" s="9"/>
      <c r="T312" s="7">
        <v>70</v>
      </c>
      <c r="U312" s="8">
        <f>IFERROR(T312/T444, "NA")</f>
        <v>4.7814384014804428E-4</v>
      </c>
      <c r="V312" s="9"/>
      <c r="W312" s="10">
        <f t="shared" si="78"/>
        <v>-969.32999999999993</v>
      </c>
      <c r="X312" s="8">
        <f>IFERROR(W312/W444, "NA")</f>
        <v>0.19925341380238906</v>
      </c>
      <c r="Y312" s="9"/>
      <c r="Z312" s="7">
        <v>51</v>
      </c>
      <c r="AA312" s="8">
        <f>IFERROR(Z312/Z444, "NA")</f>
        <v>3.615659378229945E-4</v>
      </c>
      <c r="AB312" s="9"/>
      <c r="AC312" s="10">
        <f t="shared" si="79"/>
        <v>-988.32999999999993</v>
      </c>
      <c r="AD312" s="8">
        <f>IFERROR(AC312/AC444, "NA")</f>
        <v>-2.0524359347094387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25</v>
      </c>
      <c r="F313" s="8">
        <f>IFERROR(E313/E444, "NA")</f>
        <v>3.0931789218415553E-4</v>
      </c>
      <c r="G313" s="9"/>
      <c r="H313" s="10">
        <f t="shared" si="76"/>
        <v>25</v>
      </c>
      <c r="I313" s="8">
        <f>IFERROR(H313/H444, "NA")</f>
        <v>-3.484344838639992E-3</v>
      </c>
      <c r="J313" s="9"/>
      <c r="K313" s="7">
        <v>5.05</v>
      </c>
      <c r="L313" s="8">
        <f>IFERROR(K313/K444, "NA")</f>
        <v>6.5387624310937436E-5</v>
      </c>
      <c r="M313" s="9"/>
      <c r="N313" s="10">
        <f t="shared" si="77"/>
        <v>5.05</v>
      </c>
      <c r="O313" s="8">
        <f>IFERROR(N313/N444, "NA")</f>
        <v>-1.4091620647991307E-3</v>
      </c>
      <c r="P313" s="9"/>
      <c r="Q313" s="7">
        <v>8.6</v>
      </c>
      <c r="R313" s="8">
        <f>IFERROR(Q313/Q444, "NA")</f>
        <v>6.0762505859872476E-5</v>
      </c>
      <c r="S313" s="9"/>
      <c r="T313" s="7">
        <v>50</v>
      </c>
      <c r="U313" s="8">
        <f>IFERROR(T313/T444, "NA")</f>
        <v>3.4153131439146019E-4</v>
      </c>
      <c r="V313" s="9"/>
      <c r="W313" s="10">
        <f t="shared" si="78"/>
        <v>41.4</v>
      </c>
      <c r="X313" s="8">
        <f>IFERROR(W313/W444, "NA")</f>
        <v>-8.5100959749712778E-3</v>
      </c>
      <c r="Y313" s="9"/>
      <c r="Z313" s="7">
        <v>20.05</v>
      </c>
      <c r="AA313" s="8">
        <f>IFERROR(Z313/Z444, "NA")</f>
        <v>1.4214504026178511E-4</v>
      </c>
      <c r="AB313" s="9"/>
      <c r="AC313" s="10">
        <f t="shared" si="79"/>
        <v>11.450000000000001</v>
      </c>
      <c r="AD313" s="8">
        <f>IFERROR(AC313/AC444, "NA")</f>
        <v>2.3777879303899588E-2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5.6290696087676452E-3</v>
      </c>
      <c r="D318" s="9"/>
      <c r="E318" s="7">
        <v>415</v>
      </c>
      <c r="F318" s="8">
        <f>IFERROR(E318/E444, "NA")</f>
        <v>5.1346770102569817E-3</v>
      </c>
      <c r="G318" s="9"/>
      <c r="H318" s="10">
        <f t="shared" si="76"/>
        <v>0.43000000000000682</v>
      </c>
      <c r="I318" s="8">
        <f>IFERROR(H318/H444, "NA")</f>
        <v>-5.9930731224608814E-5</v>
      </c>
      <c r="J318" s="9"/>
      <c r="K318" s="7">
        <v>414.57</v>
      </c>
      <c r="L318" s="8">
        <f>IFERROR(K318/K444, "NA")</f>
        <v>5.367870774373334E-3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829.14</v>
      </c>
      <c r="R318" s="8">
        <f>IFERROR(Q318/Q444, "NA")</f>
        <v>5.858212105657519E-3</v>
      </c>
      <c r="S318" s="9"/>
      <c r="T318" s="7">
        <v>830</v>
      </c>
      <c r="U318" s="8">
        <f>IFERROR(T318/T444, "NA")</f>
        <v>5.6694198188982393E-3</v>
      </c>
      <c r="V318" s="9"/>
      <c r="W318" s="10">
        <f t="shared" si="78"/>
        <v>0.86000000000001364</v>
      </c>
      <c r="X318" s="8">
        <f>IFERROR(W318/W444, "NA")</f>
        <v>-1.7677977146075881E-4</v>
      </c>
      <c r="Y318" s="9"/>
      <c r="Z318" s="7">
        <v>829.14</v>
      </c>
      <c r="AA318" s="8">
        <f>IFERROR(Z318/Z444, "NA")</f>
        <v>5.8782114056187777E-3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149.62</v>
      </c>
      <c r="C319" s="8">
        <f>IFERROR(B319/B444, "NA")</f>
        <v>2.031554128045481E-3</v>
      </c>
      <c r="D319" s="9"/>
      <c r="E319" s="7">
        <v>150</v>
      </c>
      <c r="F319" s="8">
        <f>IFERROR(E319/E444, "NA")</f>
        <v>1.8559073531049331E-3</v>
      </c>
      <c r="G319" s="9"/>
      <c r="H319" s="10">
        <f t="shared" si="76"/>
        <v>0.37999999999999545</v>
      </c>
      <c r="I319" s="8">
        <f>IFERROR(H319/H444, "NA")</f>
        <v>-5.2962041547327243E-5</v>
      </c>
      <c r="J319" s="9"/>
      <c r="K319" s="7">
        <v>149.58000000000001</v>
      </c>
      <c r="L319" s="8">
        <f>IFERROR(K319/K444, "NA")</f>
        <v>1.9367684840455493E-3</v>
      </c>
      <c r="M319" s="9"/>
      <c r="N319" s="10">
        <f t="shared" si="77"/>
        <v>-3.9999999999992042E-2</v>
      </c>
      <c r="O319" s="8">
        <f>IFERROR(N319/N444, "NA")</f>
        <v>1.1161679721179013E-5</v>
      </c>
      <c r="P319" s="9"/>
      <c r="Q319" s="7">
        <v>299.27</v>
      </c>
      <c r="R319" s="8">
        <f>IFERROR(Q319/Q444, "NA")</f>
        <v>2.1144645498469808E-3</v>
      </c>
      <c r="S319" s="9"/>
      <c r="T319" s="7">
        <v>300</v>
      </c>
      <c r="U319" s="8">
        <f>IFERROR(T319/T444, "NA")</f>
        <v>2.0491878863487614E-3</v>
      </c>
      <c r="V319" s="9"/>
      <c r="W319" s="10">
        <f t="shared" si="78"/>
        <v>0.73000000000001819</v>
      </c>
      <c r="X319" s="8">
        <f>IFERROR(W319/W444, "NA")</f>
        <v>-1.5005724786785476E-4</v>
      </c>
      <c r="Y319" s="9"/>
      <c r="Z319" s="7">
        <v>299.12</v>
      </c>
      <c r="AA319" s="8">
        <f>IFERROR(Z319/Z444, "NA")</f>
        <v>2.1206196729728257E-3</v>
      </c>
      <c r="AB319" s="9"/>
      <c r="AC319" s="10">
        <f t="shared" si="79"/>
        <v>-0.14999999999997726</v>
      </c>
      <c r="AD319" s="8">
        <f>IFERROR(AC319/AC444, "NA")</f>
        <v>-3.1150060223444518E-4</v>
      </c>
    </row>
    <row r="320" spans="1:30" ht="16.5" customHeight="1" x14ac:dyDescent="0.45">
      <c r="A320" s="6" t="s">
        <v>292</v>
      </c>
      <c r="B320" s="7">
        <v>1232.27</v>
      </c>
      <c r="C320" s="8">
        <f>IFERROR(B320/B444, "NA")</f>
        <v>1.6731875453593135E-2</v>
      </c>
      <c r="D320" s="9"/>
      <c r="E320" s="7">
        <v>1242</v>
      </c>
      <c r="F320" s="8">
        <f>IFERROR(E320/E444, "NA")</f>
        <v>1.5366912883708846E-2</v>
      </c>
      <c r="G320" s="9"/>
      <c r="H320" s="10">
        <f t="shared" si="76"/>
        <v>9.7300000000000182</v>
      </c>
      <c r="I320" s="8">
        <f>IFERROR(H320/H444, "NA")</f>
        <v>-1.3561070111986874E-3</v>
      </c>
      <c r="J320" s="9"/>
      <c r="K320" s="7">
        <v>993.15</v>
      </c>
      <c r="L320" s="8">
        <f>IFERROR(K320/K444, "NA")</f>
        <v>1.2859350313744062E-2</v>
      </c>
      <c r="M320" s="9"/>
      <c r="N320" s="10">
        <f t="shared" si="77"/>
        <v>-239.12</v>
      </c>
      <c r="O320" s="8">
        <f>IFERROR(N320/N444, "NA")</f>
        <v>6.6724521373221407E-2</v>
      </c>
      <c r="P320" s="9"/>
      <c r="Q320" s="7">
        <v>3660.06</v>
      </c>
      <c r="R320" s="8">
        <f>IFERROR(Q320/Q444, "NA")</f>
        <v>2.5859815953195916E-2</v>
      </c>
      <c r="S320" s="9"/>
      <c r="T320" s="7">
        <v>2484</v>
      </c>
      <c r="U320" s="8">
        <f>IFERROR(T320/T444, "NA")</f>
        <v>1.6967275698967742E-2</v>
      </c>
      <c r="V320" s="9"/>
      <c r="W320" s="10">
        <f t="shared" si="78"/>
        <v>-1176.06</v>
      </c>
      <c r="X320" s="8">
        <f>IFERROR(W320/W444, "NA")</f>
        <v>0.24174839305132173</v>
      </c>
      <c r="Y320" s="9"/>
      <c r="Z320" s="7">
        <v>1999.01</v>
      </c>
      <c r="AA320" s="8">
        <f>IFERROR(Z320/Z444, "NA")</f>
        <v>1.417203775230479E-2</v>
      </c>
      <c r="AB320" s="9"/>
      <c r="AC320" s="10">
        <f t="shared" si="79"/>
        <v>-1661.05</v>
      </c>
      <c r="AD320" s="8">
        <f>IFERROR(AC320/AC444, "NA")</f>
        <v>-3.4494538356106905</v>
      </c>
    </row>
    <row r="321" spans="1:30" ht="16.5" customHeight="1" x14ac:dyDescent="0.45">
      <c r="A321" s="6" t="s">
        <v>293</v>
      </c>
      <c r="B321" s="7">
        <v>684.64</v>
      </c>
      <c r="C321" s="8">
        <f>IFERROR(B321/B444, "NA")</f>
        <v>9.2961049206326564E-3</v>
      </c>
      <c r="D321" s="9"/>
      <c r="E321" s="7">
        <v>1212.3499999999999</v>
      </c>
      <c r="F321" s="8">
        <f>IFERROR(E321/E444, "NA")</f>
        <v>1.5000061863578436E-2</v>
      </c>
      <c r="G321" s="9"/>
      <c r="H321" s="10">
        <f t="shared" si="76"/>
        <v>527.70999999999992</v>
      </c>
      <c r="I321" s="8">
        <f>IFERROR(H321/H444, "NA")</f>
        <v>-7.3548944591948398E-2</v>
      </c>
      <c r="J321" s="9"/>
      <c r="K321" s="7">
        <v>2290.67</v>
      </c>
      <c r="L321" s="8">
        <f>IFERROR(K321/K444, "NA")</f>
        <v>2.9659696906997043E-2</v>
      </c>
      <c r="M321" s="9"/>
      <c r="N321" s="10">
        <f t="shared" si="77"/>
        <v>1606.0300000000002</v>
      </c>
      <c r="O321" s="8">
        <f>IFERROR(N321/N444, "NA")</f>
        <v>-0.44814981206521748</v>
      </c>
      <c r="P321" s="9"/>
      <c r="Q321" s="7">
        <v>1755.1</v>
      </c>
      <c r="R321" s="8">
        <f>IFERROR(Q321/Q444, "NA")</f>
        <v>1.2400496980774672E-2</v>
      </c>
      <c r="S321" s="9"/>
      <c r="T321" s="7">
        <v>2130.42</v>
      </c>
      <c r="U321" s="8">
        <f>IFERROR(T321/T444, "NA")</f>
        <v>1.4552102856117093E-2</v>
      </c>
      <c r="V321" s="9"/>
      <c r="W321" s="10">
        <f t="shared" si="78"/>
        <v>375.32000000000016</v>
      </c>
      <c r="X321" s="8">
        <f>IFERROR(W321/W444, "NA")</f>
        <v>-7.7149981191454622E-2</v>
      </c>
      <c r="Y321" s="9"/>
      <c r="Z321" s="7">
        <v>4339.95</v>
      </c>
      <c r="AA321" s="8">
        <f>IFERROR(Z321/Z444, "NA")</f>
        <v>3.0768197879507939E-2</v>
      </c>
      <c r="AB321" s="9"/>
      <c r="AC321" s="10">
        <f t="shared" si="79"/>
        <v>2584.85</v>
      </c>
      <c r="AD321" s="8">
        <f>IFERROR(AC321/AC444, "NA")</f>
        <v>5.3678822112388511</v>
      </c>
    </row>
    <row r="322" spans="1:30" ht="16.5" customHeight="1" x14ac:dyDescent="0.45">
      <c r="A322" s="6" t="s">
        <v>294</v>
      </c>
      <c r="B322" s="7">
        <v>162.29</v>
      </c>
      <c r="C322" s="8">
        <f>IFERROR(B322/B444, "NA")</f>
        <v>2.2035885539399887E-3</v>
      </c>
      <c r="D322" s="9"/>
      <c r="E322" s="7">
        <v>250</v>
      </c>
      <c r="F322" s="8">
        <f>IFERROR(E322/E444, "NA")</f>
        <v>3.0931789218415552E-3</v>
      </c>
      <c r="G322" s="9"/>
      <c r="H322" s="10">
        <f t="shared" si="76"/>
        <v>87.710000000000008</v>
      </c>
      <c r="I322" s="8">
        <f>IFERROR(H322/H444, "NA")</f>
        <v>-1.2224475431884549E-2</v>
      </c>
      <c r="J322" s="9"/>
      <c r="K322" s="7">
        <v>552.27</v>
      </c>
      <c r="L322" s="8">
        <f>IFERROR(K322/K444, "NA")</f>
        <v>7.1508164907329542E-3</v>
      </c>
      <c r="M322" s="9"/>
      <c r="N322" s="10">
        <f t="shared" si="77"/>
        <v>389.98</v>
      </c>
      <c r="O322" s="8">
        <f>IFERROR(N322/N444, "NA")</f>
        <v>-0.10882079644165644</v>
      </c>
      <c r="P322" s="9"/>
      <c r="Q322" s="7">
        <v>324.58</v>
      </c>
      <c r="R322" s="8">
        <f>IFERROR(Q322/Q444, "NA")</f>
        <v>2.2932900176741173E-3</v>
      </c>
      <c r="S322" s="9"/>
      <c r="T322" s="7">
        <v>500</v>
      </c>
      <c r="U322" s="8">
        <f>IFERROR(T322/T444, "NA")</f>
        <v>3.4153131439146021E-3</v>
      </c>
      <c r="V322" s="9"/>
      <c r="W322" s="10">
        <f t="shared" si="78"/>
        <v>175.42000000000002</v>
      </c>
      <c r="X322" s="8">
        <f>IFERROR(W322/W444, "NA")</f>
        <v>-3.6058962220518395E-2</v>
      </c>
      <c r="Y322" s="9"/>
      <c r="Z322" s="7">
        <v>714.54</v>
      </c>
      <c r="AA322" s="8">
        <f>IFERROR(Z322/Z444, "NA")</f>
        <v>5.0657514747459312E-3</v>
      </c>
      <c r="AB322" s="9"/>
      <c r="AC322" s="10">
        <f t="shared" si="79"/>
        <v>389.96</v>
      </c>
      <c r="AD322" s="8">
        <f>IFERROR(AC322/AC444, "NA")</f>
        <v>0.80981849898241764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3546.3399999999997</v>
      </c>
      <c r="C324" s="15">
        <f>IFERROR(B324/B444, "NA")</f>
        <v>4.8152530854516845E-2</v>
      </c>
      <c r="D324" s="2"/>
      <c r="E324" s="14">
        <f>IFERROR(E297+E298+E299+E300+E301+E302+E303+E304+E305+E306+E307+E308+E309+E310+E311+E312+E313+E314+E315+E316+E317+E318+E319+E320+E321+E322+E323, "NA")</f>
        <v>3873.35</v>
      </c>
      <c r="F324" s="15">
        <f>IFERROR(E324/E444, "NA")</f>
        <v>4.7923858307659946E-2</v>
      </c>
      <c r="G324" s="2"/>
      <c r="H324" s="14">
        <f t="shared" si="76"/>
        <v>327.01000000000022</v>
      </c>
      <c r="I324" s="15">
        <f>IFERROR(H324/H444, "NA")</f>
        <v>-4.5576624227346582E-2</v>
      </c>
      <c r="J324" s="2"/>
      <c r="K324" s="14">
        <f>IFERROR(K297+K298+K299+K300+K301+K302+K303+K304+K305+K306+K307+K308+K309+K310+K311+K312+K313+K314+K315+K316+K317+K318+K319+K320+K321+K322+K323, "NA")</f>
        <v>5080.2299999999996</v>
      </c>
      <c r="L324" s="15">
        <f>IFERROR(K324/K444, "NA")</f>
        <v>6.5779043693693806E-2</v>
      </c>
      <c r="M324" s="2"/>
      <c r="N324" s="14">
        <f t="shared" si="77"/>
        <v>1533.8899999999999</v>
      </c>
      <c r="O324" s="15">
        <f>IFERROR(N324/N444, "NA")</f>
        <v>-0.42801972268806704</v>
      </c>
      <c r="P324" s="2"/>
      <c r="Q324" s="14">
        <f>IFERROR(Q297+Q298+Q299+Q300+Q301+Q302+Q303+Q304+Q305+Q306+Q307+Q308+Q309+Q310+Q311+Q312+Q313+Q314+Q315+Q316+Q317+Q318+Q319+Q320+Q321+Q322+Q323, "NA")</f>
        <v>9010.23</v>
      </c>
      <c r="R324" s="15">
        <f>IFERROR(Q324/Q444, "NA")</f>
        <v>6.3660948043464977E-2</v>
      </c>
      <c r="S324" s="2"/>
      <c r="T324" s="14">
        <f>IFERROR(T297+T298+T299+T300+T301+T302+T303+T304+T305+T306+T307+T308+T309+T310+T311+T312+T313+T314+T315+T316+T317+T318+T319+T320+T321+T322+T323, "NA")</f>
        <v>7452.42</v>
      </c>
      <c r="U324" s="15">
        <f>IFERROR(T324/T444, "NA")</f>
        <v>5.0904695959944117E-2</v>
      </c>
      <c r="V324" s="2"/>
      <c r="W324" s="14">
        <f t="shared" si="78"/>
        <v>-1557.8099999999995</v>
      </c>
      <c r="X324" s="15">
        <f>IFERROR(W324/W444, "NA")</f>
        <v>0.32022011137125606</v>
      </c>
      <c r="Y324" s="2"/>
      <c r="Z324" s="14">
        <f>IFERROR(Z297+Z298+Z299+Z300+Z301+Z302+Z303+Z304+Z305+Z306+Z307+Z308+Z309+Z310+Z311+Z312+Z313+Z314+Z315+Z316+Z317+Z318+Z319+Z320+Z321+Z322+Z323, "NA")</f>
        <v>9408.0999999999985</v>
      </c>
      <c r="AA324" s="15">
        <f>IFERROR(Z324/Z444, "NA")</f>
        <v>6.669899018887282E-2</v>
      </c>
      <c r="AB324" s="2"/>
      <c r="AC324" s="14">
        <f t="shared" si="79"/>
        <v>397.86999999999898</v>
      </c>
      <c r="AD324" s="15">
        <f>IFERROR(AC324/AC444, "NA")</f>
        <v>0.82624496407358106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19938.240000000002</v>
      </c>
      <c r="C325" s="15">
        <f>IFERROR(B325/B444, "NA")</f>
        <v>0.27072325743858799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19702.719999999998</v>
      </c>
      <c r="F325" s="15">
        <f>IFERROR(E325/E444, "NA")</f>
        <v>0.24377615282778414</v>
      </c>
      <c r="G325" s="2"/>
      <c r="H325" s="14">
        <f t="shared" si="76"/>
        <v>-235.52000000000407</v>
      </c>
      <c r="I325" s="15">
        <f>IFERROR(H325/H444, "NA")</f>
        <v>3.2825315855860203E-2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22904.12</v>
      </c>
      <c r="L325" s="15">
        <f>IFERROR(K325/K444, "NA")</f>
        <v>0.29656356311537196</v>
      </c>
      <c r="M325" s="2"/>
      <c r="N325" s="14">
        <f t="shared" si="77"/>
        <v>2965.8799999999974</v>
      </c>
      <c r="O325" s="15">
        <f>IFERROR(N325/N444, "NA")</f>
        <v>-0.82760506628642416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41259.689999999988</v>
      </c>
      <c r="R325" s="15">
        <f>IFERROR(Q325/Q444, "NA")</f>
        <v>0.2915165296978513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36770.829999999994</v>
      </c>
      <c r="U325" s="15">
        <f>IFERROR(T325/T444, "NA")</f>
        <v>0.25116779802329869</v>
      </c>
      <c r="V325" s="2"/>
      <c r="W325" s="14">
        <f t="shared" si="78"/>
        <v>-4488.8599999999933</v>
      </c>
      <c r="X325" s="15">
        <f>IFERROR(W325/W444, "NA")</f>
        <v>0.92272051734805582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44035.23000000001</v>
      </c>
      <c r="AA325" s="15">
        <f>IFERROR(Z325/Z444, "NA")</f>
        <v>0.312189004552966</v>
      </c>
      <c r="AB325" s="2"/>
      <c r="AC325" s="14">
        <f t="shared" si="79"/>
        <v>2775.5400000000227</v>
      </c>
      <c r="AD325" s="15">
        <f>IFERROR(AC325/AC444, "NA")</f>
        <v>5.7638825435062007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4735.7</v>
      </c>
      <c r="C329" s="8">
        <f>IFERROR(B329/B444, "NA")</f>
        <v>6.4301770379528028E-2</v>
      </c>
      <c r="D329" s="9"/>
      <c r="E329" s="7">
        <v>4735.7</v>
      </c>
      <c r="F329" s="8">
        <f>IFERROR(E329/E444, "NA")</f>
        <v>5.8593469680660204E-2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4597.76</v>
      </c>
      <c r="L329" s="8">
        <f>IFERROR(K329/K444, "NA")</f>
        <v>5.9532000703337772E-2</v>
      </c>
      <c r="M329" s="9"/>
      <c r="N329" s="10">
        <f t="shared" si="81"/>
        <v>-137.9399999999996</v>
      </c>
      <c r="O329" s="8">
        <f>IFERROR(N329/N444, "NA")</f>
        <v>3.8491052518493371E-2</v>
      </c>
      <c r="P329" s="9"/>
      <c r="Q329" s="7">
        <v>9471.4</v>
      </c>
      <c r="R329" s="8">
        <f>IFERROR(Q329/Q444, "NA")</f>
        <v>6.6919302093162353E-2</v>
      </c>
      <c r="S329" s="9"/>
      <c r="T329" s="7">
        <v>9471.4</v>
      </c>
      <c r="U329" s="8">
        <f>IFERROR(T329/T444, "NA")</f>
        <v>6.4695593822545527E-2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9195.52</v>
      </c>
      <c r="AA329" s="8">
        <f>IFERROR(Z329/Z444, "NA")</f>
        <v>6.5191898285688291E-2</v>
      </c>
      <c r="AB329" s="9"/>
      <c r="AC329" s="10">
        <f t="shared" si="83"/>
        <v>-275.8799999999992</v>
      </c>
      <c r="AD329" s="8">
        <f>IFERROR(AC329/AC444, "NA")</f>
        <v>-0.5729119076296767</v>
      </c>
    </row>
    <row r="330" spans="1:30" ht="16.5" customHeight="1" x14ac:dyDescent="0.45">
      <c r="A330" s="6" t="s">
        <v>301</v>
      </c>
      <c r="B330" s="7">
        <v>1736.6</v>
      </c>
      <c r="C330" s="8">
        <f>IFERROR(B330/B444, "NA")</f>
        <v>2.3579714602083829E-2</v>
      </c>
      <c r="D330" s="9"/>
      <c r="E330" s="7">
        <v>1736.6</v>
      </c>
      <c r="F330" s="8">
        <f>IFERROR(E330/E444, "NA")</f>
        <v>2.1486458062680177E-2</v>
      </c>
      <c r="G330" s="9"/>
      <c r="H330" s="10">
        <f t="shared" si="80"/>
        <v>0</v>
      </c>
      <c r="I330" s="8">
        <f>IFERROR(H330/H444, "NA")</f>
        <v>0</v>
      </c>
      <c r="J330" s="9"/>
      <c r="K330" s="7">
        <v>1686.02</v>
      </c>
      <c r="L330" s="8">
        <f>IFERROR(K330/K444, "NA")</f>
        <v>2.1830661849648859E-2</v>
      </c>
      <c r="M330" s="9"/>
      <c r="N330" s="10">
        <f t="shared" si="81"/>
        <v>-50.579999999999927</v>
      </c>
      <c r="O330" s="8">
        <f>IFERROR(N330/N444, "NA")</f>
        <v>1.4113944007433649E-2</v>
      </c>
      <c r="P330" s="9"/>
      <c r="Q330" s="7">
        <v>3473.2</v>
      </c>
      <c r="R330" s="8">
        <f>IFERROR(Q330/Q444, "NA")</f>
        <v>2.4539573878198731E-2</v>
      </c>
      <c r="S330" s="9"/>
      <c r="T330" s="7">
        <v>3473.2</v>
      </c>
      <c r="U330" s="8">
        <f>IFERROR(T330/T444, "NA")</f>
        <v>2.3724131222888391E-2</v>
      </c>
      <c r="V330" s="9"/>
      <c r="W330" s="10">
        <f t="shared" si="82"/>
        <v>0</v>
      </c>
      <c r="X330" s="8">
        <f>IFERROR(W330/W444, "NA")</f>
        <v>0</v>
      </c>
      <c r="Y330" s="9"/>
      <c r="Z330" s="7">
        <v>3372.04</v>
      </c>
      <c r="AA330" s="8">
        <f>IFERROR(Z330/Z444, "NA")</f>
        <v>2.3906172646600988E-2</v>
      </c>
      <c r="AB330" s="9"/>
      <c r="AC330" s="10">
        <f t="shared" si="83"/>
        <v>-101.15999999999985</v>
      </c>
      <c r="AD330" s="8">
        <f>IFERROR(AC330/AC444, "NA")</f>
        <v>-0.21007600614694136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1881.98</v>
      </c>
      <c r="C333" s="8">
        <f>IFERROR(B333/B444, "NA")</f>
        <v>2.5553697619964139E-2</v>
      </c>
      <c r="D333" s="9"/>
      <c r="E333" s="7">
        <v>1914</v>
      </c>
      <c r="F333" s="8">
        <f>IFERROR(E333/E444, "NA")</f>
        <v>2.3681377825618945E-2</v>
      </c>
      <c r="G333" s="9"/>
      <c r="H333" s="10">
        <f t="shared" si="80"/>
        <v>32.019999999999982</v>
      </c>
      <c r="I333" s="8">
        <f>IFERROR(H333/H444, "NA")</f>
        <v>-4.4627488693300991E-3</v>
      </c>
      <c r="J333" s="9"/>
      <c r="K333" s="7">
        <v>1913.97</v>
      </c>
      <c r="L333" s="8">
        <f>IFERROR(K333/K444, "NA")</f>
        <v>2.478216857473365E-2</v>
      </c>
      <c r="M333" s="9"/>
      <c r="N333" s="10">
        <f t="shared" si="81"/>
        <v>31.990000000000009</v>
      </c>
      <c r="O333" s="8">
        <f>IFERROR(N333/N444, "NA")</f>
        <v>-8.9265533570146941E-3</v>
      </c>
      <c r="P333" s="9"/>
      <c r="Q333" s="7">
        <v>3763.96</v>
      </c>
      <c r="R333" s="8">
        <f>IFERROR(Q333/Q444, "NA")</f>
        <v>2.6593911808875072E-2</v>
      </c>
      <c r="S333" s="9"/>
      <c r="T333" s="7">
        <v>3828</v>
      </c>
      <c r="U333" s="8">
        <f>IFERROR(T333/T444, "NA")</f>
        <v>2.6147637429810192E-2</v>
      </c>
      <c r="V333" s="9"/>
      <c r="W333" s="10">
        <f t="shared" si="82"/>
        <v>64.039999999999964</v>
      </c>
      <c r="X333" s="8">
        <f>IFERROR(W333/W444, "NA")</f>
        <v>-1.3163926237612568E-2</v>
      </c>
      <c r="Y333" s="9"/>
      <c r="Z333" s="7">
        <v>3827.94</v>
      </c>
      <c r="AA333" s="8">
        <f>IFERROR(Z333/Z444, "NA")</f>
        <v>2.7138288549610857E-2</v>
      </c>
      <c r="AB333" s="9"/>
      <c r="AC333" s="10">
        <f t="shared" si="83"/>
        <v>63.980000000000018</v>
      </c>
      <c r="AD333" s="8">
        <f>IFERROR(AC333/AC444, "NA")</f>
        <v>0.13286539020641885</v>
      </c>
    </row>
    <row r="334" spans="1:30" ht="16.5" customHeight="1" x14ac:dyDescent="0.45">
      <c r="A334" s="6" t="s">
        <v>305</v>
      </c>
      <c r="B334" s="7">
        <v>-364.65</v>
      </c>
      <c r="C334" s="8">
        <f>IFERROR(B334/B444, "NA")</f>
        <v>-4.9512512551248807E-3</v>
      </c>
      <c r="D334" s="9"/>
      <c r="E334" s="7">
        <v>-364.65</v>
      </c>
      <c r="F334" s="8">
        <f>IFERROR(E334/E444, "NA")</f>
        <v>-4.5117107753980916E-3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-354.03</v>
      </c>
      <c r="L334" s="8">
        <f>IFERROR(K334/K444, "NA")</f>
        <v>-4.5839961653071646E-3</v>
      </c>
      <c r="M334" s="9"/>
      <c r="N334" s="10">
        <f t="shared" si="81"/>
        <v>10.620000000000005</v>
      </c>
      <c r="O334" s="8">
        <f>IFERROR(N334/N444, "NA")</f>
        <v>-2.9634259659736188E-3</v>
      </c>
      <c r="P334" s="9"/>
      <c r="Q334" s="7">
        <v>-729.3</v>
      </c>
      <c r="R334" s="8">
        <f>IFERROR(Q334/Q444, "NA")</f>
        <v>-5.1528018050703483E-3</v>
      </c>
      <c r="S334" s="9"/>
      <c r="T334" s="7">
        <v>-729.3</v>
      </c>
      <c r="U334" s="8">
        <f>IFERROR(T334/T444, "NA")</f>
        <v>-4.9815757517138381E-3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-708.06</v>
      </c>
      <c r="AA334" s="8">
        <f>IFERROR(Z334/Z444, "NA")</f>
        <v>-5.0198113320578325E-3</v>
      </c>
      <c r="AB334" s="9"/>
      <c r="AC334" s="10">
        <f t="shared" si="83"/>
        <v>21.240000000000009</v>
      </c>
      <c r="AD334" s="8">
        <f>IFERROR(AC334/AC444, "NA")</f>
        <v>4.4108485276404139E-2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2494.39</v>
      </c>
      <c r="C338" s="8">
        <f>IFERROR(B338/B444, "NA")</f>
        <v>3.3869056953985878E-2</v>
      </c>
      <c r="D338" s="9"/>
      <c r="E338" s="7">
        <v>2343.87</v>
      </c>
      <c r="F338" s="8">
        <f>IFERROR(E338/E444, "NA")</f>
        <v>2.9000037118147061E-2</v>
      </c>
      <c r="G338" s="9"/>
      <c r="H338" s="10">
        <f t="shared" si="84"/>
        <v>-150.51999999999998</v>
      </c>
      <c r="I338" s="8">
        <f>IFERROR(H338/H444, "NA")</f>
        <v>2.0978543404483661E-2</v>
      </c>
      <c r="J338" s="9"/>
      <c r="K338" s="7">
        <v>2367.77</v>
      </c>
      <c r="L338" s="8">
        <f>IFERROR(K338/K444, "NA")</f>
        <v>3.0657991131625414E-2</v>
      </c>
      <c r="M338" s="9"/>
      <c r="N338" s="10">
        <f t="shared" si="85"/>
        <v>-126.61999999999989</v>
      </c>
      <c r="O338" s="8">
        <f>IFERROR(N338/N444, "NA")</f>
        <v>3.5332297157399162E-2</v>
      </c>
      <c r="P338" s="9"/>
      <c r="Q338" s="7">
        <v>5029.91</v>
      </c>
      <c r="R338" s="8">
        <f>IFERROR(Q338/Q444, "NA")</f>
        <v>3.5538364633678043E-2</v>
      </c>
      <c r="S338" s="9"/>
      <c r="T338" s="7">
        <v>4245.59</v>
      </c>
      <c r="U338" s="8">
        <f>IFERROR(T338/T444, "NA")</f>
        <v>2.900003866134479E-2</v>
      </c>
      <c r="V338" s="9"/>
      <c r="W338" s="10">
        <f t="shared" si="86"/>
        <v>-784.31999999999971</v>
      </c>
      <c r="X338" s="8">
        <f>IFERROR(W338/W444, "NA")</f>
        <v>0.16122315157220943</v>
      </c>
      <c r="Y338" s="9"/>
      <c r="Z338" s="7">
        <v>4995</v>
      </c>
      <c r="AA338" s="8">
        <f>IFERROR(Z338/Z444, "NA")</f>
        <v>3.5412193322075639E-2</v>
      </c>
      <c r="AB338" s="9"/>
      <c r="AC338" s="10">
        <f t="shared" si="87"/>
        <v>-34.909999999999854</v>
      </c>
      <c r="AD338" s="8">
        <f>IFERROR(AC338/AC444, "NA")</f>
        <v>-7.2496573493373892E-2</v>
      </c>
    </row>
    <row r="339" spans="1:30" ht="16.5" customHeight="1" x14ac:dyDescent="0.45">
      <c r="A339" s="12" t="s">
        <v>309</v>
      </c>
      <c r="B339" s="7">
        <v>393.4</v>
      </c>
      <c r="C339" s="8">
        <f>IFERROR(B339/B444, "NA")</f>
        <v>5.3416214007023944E-3</v>
      </c>
      <c r="D339" s="9"/>
      <c r="E339" s="7">
        <v>323.29000000000002</v>
      </c>
      <c r="F339" s="8">
        <f>IFERROR(E339/E444, "NA")</f>
        <v>3.9999752545686251E-3</v>
      </c>
      <c r="G339" s="9"/>
      <c r="H339" s="10">
        <f t="shared" si="84"/>
        <v>-70.109999999999957</v>
      </c>
      <c r="I339" s="8">
        <f>IFERROR(H339/H444, "NA")</f>
        <v>9.7714966654819865E-3</v>
      </c>
      <c r="J339" s="9"/>
      <c r="K339" s="7">
        <v>348.42</v>
      </c>
      <c r="L339" s="8">
        <f>IFERROR(K339/K444, "NA")</f>
        <v>4.5113576361221434E-3</v>
      </c>
      <c r="M339" s="9"/>
      <c r="N339" s="10">
        <f t="shared" si="85"/>
        <v>-44.979999999999961</v>
      </c>
      <c r="O339" s="8">
        <f>IFERROR(N339/N444, "NA")</f>
        <v>1.2551308846468287E-2</v>
      </c>
      <c r="P339" s="9"/>
      <c r="Q339" s="7">
        <v>787.21</v>
      </c>
      <c r="R339" s="8">
        <f>IFERROR(Q339/Q444, "NA")</f>
        <v>5.5619595625523511E-3</v>
      </c>
      <c r="S339" s="9"/>
      <c r="T339" s="7">
        <v>585.6</v>
      </c>
      <c r="U339" s="8">
        <f>IFERROR(T339/T444, "NA")</f>
        <v>4.0000147541527824E-3</v>
      </c>
      <c r="V339" s="9"/>
      <c r="W339" s="10">
        <f t="shared" si="86"/>
        <v>-201.61</v>
      </c>
      <c r="X339" s="8">
        <f>IFERROR(W339/W444, "NA")</f>
        <v>4.144252293511979E-2</v>
      </c>
      <c r="Y339" s="9"/>
      <c r="Z339" s="7">
        <v>624.11</v>
      </c>
      <c r="AA339" s="8">
        <f>IFERROR(Z339/Z444, "NA")</f>
        <v>4.4246454402884139E-3</v>
      </c>
      <c r="AB339" s="9"/>
      <c r="AC339" s="10">
        <f t="shared" si="87"/>
        <v>-163.10000000000002</v>
      </c>
      <c r="AD339" s="8">
        <f>IFERROR(AC339/AC444, "NA")</f>
        <v>-0.33870498816297145</v>
      </c>
    </row>
    <row r="340" spans="1:30" ht="16.5" customHeight="1" x14ac:dyDescent="0.45">
      <c r="A340" s="12" t="s">
        <v>310</v>
      </c>
      <c r="B340" s="7">
        <v>524.66</v>
      </c>
      <c r="C340" s="8">
        <f>IFERROR(B340/B444, "NA")</f>
        <v>7.12388175925907E-3</v>
      </c>
      <c r="D340" s="9"/>
      <c r="E340" s="7">
        <v>323.29000000000002</v>
      </c>
      <c r="F340" s="8">
        <f>IFERROR(E340/E444, "NA")</f>
        <v>3.9999752545686251E-3</v>
      </c>
      <c r="G340" s="9"/>
      <c r="H340" s="10">
        <f t="shared" si="84"/>
        <v>-201.36999999999995</v>
      </c>
      <c r="I340" s="8">
        <f>IFERROR(H340/H444, "NA")</f>
        <v>2.8065700806277401E-2</v>
      </c>
      <c r="J340" s="9"/>
      <c r="K340" s="7">
        <v>434.7</v>
      </c>
      <c r="L340" s="8">
        <f>IFERROR(K340/K444, "NA")</f>
        <v>5.6285149085078231E-3</v>
      </c>
      <c r="M340" s="9"/>
      <c r="N340" s="10">
        <f t="shared" si="85"/>
        <v>-89.95999999999998</v>
      </c>
      <c r="O340" s="8">
        <f>IFERROR(N340/N444, "NA")</f>
        <v>2.5102617692936587E-2</v>
      </c>
      <c r="P340" s="9"/>
      <c r="Q340" s="7">
        <v>1000.21</v>
      </c>
      <c r="R340" s="8">
        <f>IFERROR(Q340/Q444, "NA")</f>
        <v>7.0668913937329131E-3</v>
      </c>
      <c r="S340" s="9"/>
      <c r="T340" s="7">
        <v>585.6</v>
      </c>
      <c r="U340" s="8">
        <f>IFERROR(T340/T444, "NA")</f>
        <v>4.0000147541527824E-3</v>
      </c>
      <c r="V340" s="9"/>
      <c r="W340" s="10">
        <f t="shared" si="86"/>
        <v>-414.61</v>
      </c>
      <c r="X340" s="8">
        <f>IFERROR(W340/W444, "NA")</f>
        <v>8.5226350052725636E-2</v>
      </c>
      <c r="Y340" s="9"/>
      <c r="Z340" s="7">
        <v>843.12</v>
      </c>
      <c r="AA340" s="8">
        <f>IFERROR(Z340/Z444, "NA")</f>
        <v>5.9773230097514337E-3</v>
      </c>
      <c r="AB340" s="9"/>
      <c r="AC340" s="10">
        <f t="shared" si="87"/>
        <v>-157.09000000000003</v>
      </c>
      <c r="AD340" s="8">
        <f>IFERROR(AC340/AC444, "NA")</f>
        <v>-0.3262241973667761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3412.45</v>
      </c>
      <c r="C342" s="15">
        <f>IFERROR(B342/B444, "NA")</f>
        <v>4.6334560113947341E-2</v>
      </c>
      <c r="D342" s="2"/>
      <c r="E342" s="14">
        <f>IFERROR(E337+E338+E339+E340+E341, "NA")</f>
        <v>2990.45</v>
      </c>
      <c r="F342" s="15">
        <f>IFERROR(E342/E444, "NA")</f>
        <v>3.6999987627284313E-2</v>
      </c>
      <c r="G342" s="2"/>
      <c r="H342" s="14">
        <f t="shared" si="84"/>
        <v>-422</v>
      </c>
      <c r="I342" s="15">
        <f>IFERROR(H342/H444, "NA")</f>
        <v>5.8815740876243063E-2</v>
      </c>
      <c r="J342" s="2"/>
      <c r="K342" s="14">
        <f>IFERROR(K337+K338+K339+K340+K341, "NA")</f>
        <v>3150.89</v>
      </c>
      <c r="L342" s="15">
        <f>IFERROR(K342/K444, "NA")</f>
        <v>4.0797863676255382E-2</v>
      </c>
      <c r="M342" s="2"/>
      <c r="N342" s="14">
        <f t="shared" si="85"/>
        <v>-261.55999999999995</v>
      </c>
      <c r="O342" s="15">
        <f>IFERROR(N342/N444, "NA")</f>
        <v>7.2986223696804076E-2</v>
      </c>
      <c r="P342" s="2"/>
      <c r="Q342" s="14">
        <f>IFERROR(Q337+Q338+Q339+Q340+Q341, "NA")</f>
        <v>6817.33</v>
      </c>
      <c r="R342" s="15">
        <f>IFERROR(Q342/Q444, "NA")</f>
        <v>4.8167215589963307E-2</v>
      </c>
      <c r="S342" s="2"/>
      <c r="T342" s="14">
        <f>IFERROR(T337+T338+T339+T340+T341, "NA")</f>
        <v>5416.7900000000009</v>
      </c>
      <c r="U342" s="15">
        <f>IFERROR(T342/T444, "NA")</f>
        <v>3.700006816965036E-2</v>
      </c>
      <c r="V342" s="2"/>
      <c r="W342" s="14">
        <f t="shared" si="86"/>
        <v>-1400.5399999999991</v>
      </c>
      <c r="X342" s="15">
        <f>IFERROR(W342/W444, "NA")</f>
        <v>0.28789202456005469</v>
      </c>
      <c r="Y342" s="2"/>
      <c r="Z342" s="14">
        <f>IFERROR(Z337+Z338+Z339+Z340+Z341, "NA")</f>
        <v>6462.23</v>
      </c>
      <c r="AA342" s="15">
        <f>IFERROR(Z342/Z444, "NA")</f>
        <v>4.5814161772115482E-2</v>
      </c>
      <c r="AB342" s="2"/>
      <c r="AC342" s="14">
        <f t="shared" si="87"/>
        <v>-355.10000000000036</v>
      </c>
      <c r="AD342" s="15">
        <f>IFERROR(AC342/AC444, "NA")</f>
        <v>-0.73742575902312235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11402.079999999998</v>
      </c>
      <c r="C343" s="15">
        <f>IFERROR(B343/B444, "NA")</f>
        <v>0.15481849146039844</v>
      </c>
      <c r="D343" s="2"/>
      <c r="E343" s="14">
        <f>IFERROR(E328+E329+E330+E331+E332+E333+E334+E335+E337+E338+E339+E340+E341, "NA")</f>
        <v>11012.100000000002</v>
      </c>
      <c r="F343" s="15">
        <f>IFERROR(E343/E444, "NA")</f>
        <v>0.13624958242084559</v>
      </c>
      <c r="G343" s="2"/>
      <c r="H343" s="14">
        <f t="shared" si="84"/>
        <v>-389.97999999999593</v>
      </c>
      <c r="I343" s="15">
        <f>IFERROR(H343/H444, "NA")</f>
        <v>5.4352992006912397E-2</v>
      </c>
      <c r="J343" s="2"/>
      <c r="K343" s="14">
        <f>IFERROR(K328+K329+K330+K331+K332+K333+K334+K335+K337+K338+K339+K340+K341, "NA")</f>
        <v>10994.61</v>
      </c>
      <c r="L343" s="15">
        <f>IFERROR(K343/K444, "NA")</f>
        <v>0.14235869863866851</v>
      </c>
      <c r="M343" s="2"/>
      <c r="N343" s="14">
        <f t="shared" si="85"/>
        <v>-407.46999999999753</v>
      </c>
      <c r="O343" s="15">
        <f>IFERROR(N343/N444, "NA")</f>
        <v>0.11370124089974223</v>
      </c>
      <c r="P343" s="2"/>
      <c r="Q343" s="14">
        <f>IFERROR(Q328+Q329+Q330+Q331+Q332+Q333+Q334+Q335+Q337+Q338+Q339+Q340+Q341, "NA")</f>
        <v>22796.589999999997</v>
      </c>
      <c r="R343" s="15">
        <f>IFERROR(Q343/Q444, "NA")</f>
        <v>0.16106720156512908</v>
      </c>
      <c r="S343" s="2"/>
      <c r="T343" s="14">
        <f>IFERROR(T328+T329+T330+T331+T332+T333+T334+T335+T337+T338+T339+T340+T341, "NA")</f>
        <v>21460.089999999997</v>
      </c>
      <c r="U343" s="15">
        <f>IFERROR(T343/T444, "NA")</f>
        <v>0.1465858548931806</v>
      </c>
      <c r="V343" s="2"/>
      <c r="W343" s="14">
        <f t="shared" si="86"/>
        <v>-1336.5</v>
      </c>
      <c r="X343" s="15">
        <f>IFERROR(W343/W444, "NA")</f>
        <v>0.27472809832244233</v>
      </c>
      <c r="Y343" s="2"/>
      <c r="Z343" s="14">
        <f>IFERROR(Z328+Z329+Z330+Z331+Z332+Z333+Z334+Z335+Z337+Z338+Z339+Z340+Z341, "NA")</f>
        <v>22149.670000000002</v>
      </c>
      <c r="AA343" s="15">
        <f>IFERROR(Z343/Z444, "NA")</f>
        <v>0.15703070992195781</v>
      </c>
      <c r="AB343" s="2"/>
      <c r="AC343" s="14">
        <f t="shared" si="87"/>
        <v>-646.91999999999462</v>
      </c>
      <c r="AD343" s="15">
        <f>IFERROR(AC343/AC444, "NA")</f>
        <v>-1.3434397973169077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11402.079999999998</v>
      </c>
      <c r="C344" s="15">
        <f>IFERROR(B344/B444, "NA")</f>
        <v>0.15481849146039844</v>
      </c>
      <c r="D344" s="2"/>
      <c r="E344" s="14">
        <f>IFERROR(E328+E329+E330+E331+E332+E333+E334+E335+E337+E338+E339+E340+E341, "NA")</f>
        <v>11012.100000000002</v>
      </c>
      <c r="F344" s="15">
        <f>IFERROR(E344/E444, "NA")</f>
        <v>0.13624958242084559</v>
      </c>
      <c r="G344" s="2"/>
      <c r="H344" s="14">
        <f t="shared" si="84"/>
        <v>-389.97999999999593</v>
      </c>
      <c r="I344" s="15">
        <f>IFERROR(H344/H444, "NA")</f>
        <v>5.4352992006912397E-2</v>
      </c>
      <c r="J344" s="2"/>
      <c r="K344" s="14">
        <f>IFERROR(K328+K329+K330+K331+K332+K333+K334+K335+K337+K338+K339+K340+K341, "NA")</f>
        <v>10994.61</v>
      </c>
      <c r="L344" s="15">
        <f>IFERROR(K344/K444, "NA")</f>
        <v>0.14235869863866851</v>
      </c>
      <c r="M344" s="2"/>
      <c r="N344" s="14">
        <f t="shared" si="85"/>
        <v>-407.46999999999753</v>
      </c>
      <c r="O344" s="15">
        <f>IFERROR(N344/N444, "NA")</f>
        <v>0.11370124089974223</v>
      </c>
      <c r="P344" s="2"/>
      <c r="Q344" s="14">
        <f>IFERROR(Q328+Q329+Q330+Q331+Q332+Q333+Q334+Q335+Q337+Q338+Q339+Q340+Q341, "NA")</f>
        <v>22796.589999999997</v>
      </c>
      <c r="R344" s="15">
        <f>IFERROR(Q344/Q444, "NA")</f>
        <v>0.16106720156512908</v>
      </c>
      <c r="S344" s="2"/>
      <c r="T344" s="14">
        <f>IFERROR(T328+T329+T330+T331+T332+T333+T334+T335+T337+T338+T339+T340+T341, "NA")</f>
        <v>21460.089999999997</v>
      </c>
      <c r="U344" s="15">
        <f>IFERROR(T344/T444, "NA")</f>
        <v>0.1465858548931806</v>
      </c>
      <c r="V344" s="2"/>
      <c r="W344" s="14">
        <f t="shared" si="86"/>
        <v>-1336.5</v>
      </c>
      <c r="X344" s="15">
        <f>IFERROR(W344/W444, "NA")</f>
        <v>0.27472809832244233</v>
      </c>
      <c r="Y344" s="2"/>
      <c r="Z344" s="14">
        <f>IFERROR(Z328+Z329+Z330+Z331+Z332+Z333+Z334+Z335+Z337+Z338+Z339+Z340+Z341, "NA")</f>
        <v>22149.670000000002</v>
      </c>
      <c r="AA344" s="15">
        <f>IFERROR(Z344/Z444, "NA")</f>
        <v>0.15703070992195781</v>
      </c>
      <c r="AB344" s="2"/>
      <c r="AC344" s="14">
        <f t="shared" si="87"/>
        <v>-646.91999999999462</v>
      </c>
      <c r="AD344" s="15">
        <f>IFERROR(AC344/AC444, "NA")</f>
        <v>-1.3434397973169077</v>
      </c>
    </row>
    <row r="345" spans="1:30" ht="16.5" customHeight="1" x14ac:dyDescent="0.45">
      <c r="A345" s="22" t="s">
        <v>315</v>
      </c>
      <c r="B345" s="23">
        <f>IFERROR(B198-B325-B344, "NA")</f>
        <v>-921.29999999999563</v>
      </c>
      <c r="C345" s="24">
        <f>IFERROR(B345/B444, "NA")</f>
        <v>-1.2509496178106488E-2</v>
      </c>
      <c r="D345" s="25"/>
      <c r="E345" s="23">
        <f>IFERROR(E198-E325-E344, "NA")</f>
        <v>4781.8100000000195</v>
      </c>
      <c r="F345" s="24">
        <f>IFERROR(E345/E444, "NA")</f>
        <v>5.9163975601004906E-2</v>
      </c>
      <c r="G345" s="25"/>
      <c r="H345" s="23">
        <f>IFERROR(B345-E345, "NA")</f>
        <v>-5703.1100000000151</v>
      </c>
      <c r="I345" s="24">
        <f>IFERROR(H345/H444, "NA")</f>
        <v>0.79486407570784712</v>
      </c>
      <c r="J345" s="25"/>
      <c r="K345" s="23">
        <f>IFERROR(K198-K325-K344, "NA")</f>
        <v>427.9099999999853</v>
      </c>
      <c r="L345" s="24">
        <f>IFERROR(K345/K444, "NA")</f>
        <v>5.5405976869093623E-3</v>
      </c>
      <c r="M345" s="25"/>
      <c r="N345" s="23">
        <f>IFERROR(B345-K345, "NA")</f>
        <v>-1349.2099999999809</v>
      </c>
      <c r="O345" s="24">
        <f>IFERROR(N345/N444, "NA")</f>
        <v>0.37648624741536796</v>
      </c>
      <c r="P345" s="25"/>
      <c r="Q345" s="23">
        <f>IFERROR(Q198-Q325-Q344, "NA")</f>
        <v>-9317.7899999999354</v>
      </c>
      <c r="R345" s="24">
        <f>IFERROR(Q345/Q444, "NA")</f>
        <v>-6.5833984822797356E-2</v>
      </c>
      <c r="S345" s="25"/>
      <c r="T345" s="23">
        <f>IFERROR(T198-T325-T344, "NA")</f>
        <v>3588.6700000000274</v>
      </c>
      <c r="U345" s="24">
        <f>IFERROR(T345/T444, "NA")</f>
        <v>2.4512863640344218E-2</v>
      </c>
      <c r="V345" s="25"/>
      <c r="W345" s="23">
        <f>IFERROR(Q345-T345, "NA")</f>
        <v>-12906.459999999963</v>
      </c>
      <c r="X345" s="24">
        <f>IFERROR(W345/W444, "NA")</f>
        <v>2.653024475776026</v>
      </c>
      <c r="Y345" s="25"/>
      <c r="Z345" s="23">
        <f>IFERROR(Z198-Z325-Z344, "NA")</f>
        <v>-5726.6799999999821</v>
      </c>
      <c r="AA345" s="24">
        <f>IFERROR(Z345/Z444, "NA")</f>
        <v>-4.0599459310042739E-2</v>
      </c>
      <c r="AB345" s="25"/>
      <c r="AC345" s="23">
        <f>IFERROR(Q345-Z345, "NA")</f>
        <v>-3591.1099999999533</v>
      </c>
      <c r="AD345" s="24">
        <f>IFERROR(AC345/AC444, "NA")</f>
        <v>-7.4575528512686224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-921.29999999999563</v>
      </c>
      <c r="C404" s="24">
        <f>IFERROR(B404/B444, "NA")</f>
        <v>-1.2509496178106488E-2</v>
      </c>
      <c r="D404" s="25"/>
      <c r="E404" s="23">
        <f>IFERROR(E345-E403, "NA")</f>
        <v>4781.8100000000195</v>
      </c>
      <c r="F404" s="24">
        <f>IFERROR(E404/E444, "NA")</f>
        <v>5.9163975601004906E-2</v>
      </c>
      <c r="G404" s="25"/>
      <c r="H404" s="23">
        <f>IFERROR(B404-E404, "NA")</f>
        <v>-5703.1100000000151</v>
      </c>
      <c r="I404" s="24">
        <f>IFERROR(H404/H444, "NA")</f>
        <v>0.79486407570784712</v>
      </c>
      <c r="J404" s="25"/>
      <c r="K404" s="23">
        <f>IFERROR(K345-K403, "NA")</f>
        <v>427.9099999999853</v>
      </c>
      <c r="L404" s="24">
        <f>IFERROR(K404/K444, "NA")</f>
        <v>5.5405976869093623E-3</v>
      </c>
      <c r="M404" s="25"/>
      <c r="N404" s="23">
        <f>IFERROR(B404-K404, "NA")</f>
        <v>-1349.2099999999809</v>
      </c>
      <c r="O404" s="24">
        <f>IFERROR(N404/N444, "NA")</f>
        <v>0.37648624741536796</v>
      </c>
      <c r="P404" s="25"/>
      <c r="Q404" s="23">
        <f>IFERROR(Q345-Q403, "NA")</f>
        <v>-9317.7899999999354</v>
      </c>
      <c r="R404" s="24">
        <f>IFERROR(Q404/Q444, "NA")</f>
        <v>-6.5833984822797356E-2</v>
      </c>
      <c r="S404" s="25"/>
      <c r="T404" s="23">
        <f>IFERROR(T345-T403, "NA")</f>
        <v>3588.6700000000274</v>
      </c>
      <c r="U404" s="24">
        <f>IFERROR(T404/T444, "NA")</f>
        <v>2.4512863640344218E-2</v>
      </c>
      <c r="V404" s="25"/>
      <c r="W404" s="23">
        <f>IFERROR(Q404-T404, "NA")</f>
        <v>-12906.459999999963</v>
      </c>
      <c r="X404" s="24">
        <f>IFERROR(W404/W444, "NA")</f>
        <v>2.653024475776026</v>
      </c>
      <c r="Y404" s="25"/>
      <c r="Z404" s="23">
        <f>IFERROR(Z345-Z403, "NA")</f>
        <v>-5726.6799999999821</v>
      </c>
      <c r="AA404" s="24">
        <f>IFERROR(Z404/Z444, "NA")</f>
        <v>-4.0599459310042739E-2</v>
      </c>
      <c r="AB404" s="25"/>
      <c r="AC404" s="23">
        <f>IFERROR(Q404-Z404, "NA")</f>
        <v>-3591.1099999999533</v>
      </c>
      <c r="AD404" s="24">
        <f>IFERROR(AC404/AC444, "NA")</f>
        <v>-7.4575528512686224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3942.35</v>
      </c>
      <c r="F407" s="8">
        <f>IFERROR(E407/E444, "NA")</f>
        <v>4.8777575690088219E-2</v>
      </c>
      <c r="G407" s="9"/>
      <c r="H407" s="10">
        <f t="shared" ref="H407:H429" si="100">IFERROR(-(B407-E407), "NA")</f>
        <v>3942.35</v>
      </c>
      <c r="I407" s="8">
        <f>IFERROR(H407/H444, "NA")</f>
        <v>-0.5494602749844949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7810.01</v>
      </c>
      <c r="U407" s="8">
        <f>IFERROR(T407/T444, "NA")</f>
        <v>5.3347259614208963E-2</v>
      </c>
      <c r="V407" s="9"/>
      <c r="W407" s="10">
        <f t="shared" ref="W407:W429" si="102">IFERROR(-(Q407-T407), "NA")</f>
        <v>7810.01</v>
      </c>
      <c r="X407" s="8">
        <f>IFERROR(W407/W444, "NA")</f>
        <v>-1.6054090498909523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4735.6400000000003</v>
      </c>
      <c r="C410" s="8">
        <f>IFERROR(B410/B444, "NA")</f>
        <v>6.4300955694006831E-2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-4735.6400000000003</v>
      </c>
      <c r="I410" s="8">
        <f>IFERROR(H410/H444, "NA")</f>
        <v>0.66002411166628372</v>
      </c>
      <c r="J410" s="9"/>
      <c r="K410" s="7">
        <v>3879.24</v>
      </c>
      <c r="L410" s="8">
        <f>IFERROR(K410/K444, "NA")</f>
        <v>5.0228571828111079E-2</v>
      </c>
      <c r="M410" s="9"/>
      <c r="N410" s="10">
        <f t="shared" si="101"/>
        <v>-856.40000000000055</v>
      </c>
      <c r="O410" s="8">
        <f>IFERROR(N410/N444, "NA")</f>
        <v>0.23897156283049037</v>
      </c>
      <c r="P410" s="9"/>
      <c r="Q410" s="7">
        <v>9471.27</v>
      </c>
      <c r="R410" s="8">
        <f>IFERROR(Q410/Q444, "NA")</f>
        <v>6.6918383590166802E-2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-9471.27</v>
      </c>
      <c r="X410" s="8">
        <f>IFERROR(W410/W444, "NA")</f>
        <v>1.9468941233059471</v>
      </c>
      <c r="Y410" s="9"/>
      <c r="Z410" s="7">
        <v>7665.88</v>
      </c>
      <c r="AA410" s="8">
        <f>IFERROR(Z410/Z444, "NA")</f>
        <v>5.4347472381147788E-2</v>
      </c>
      <c r="AB410" s="9"/>
      <c r="AC410" s="10">
        <f t="shared" si="103"/>
        <v>-1805.3900000000003</v>
      </c>
      <c r="AD410" s="8">
        <f>IFERROR(AC410/AC444, "NA")</f>
        <v>-3.7492004817875353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8.1300000000000008</v>
      </c>
      <c r="C417" s="8">
        <f>IFERROR(B417/B444, "NA")</f>
        <v>1.103898881233108E-4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-8.1300000000000008</v>
      </c>
      <c r="I417" s="8">
        <f>IFERROR(H417/H444, "NA")</f>
        <v>1.1331089415257255E-3</v>
      </c>
      <c r="J417" s="9"/>
      <c r="K417" s="7">
        <v>-25.04</v>
      </c>
      <c r="L417" s="8">
        <f>IFERROR(K417/K444, "NA")</f>
        <v>-3.2421903222690565E-4</v>
      </c>
      <c r="M417" s="9"/>
      <c r="N417" s="10">
        <f t="shared" si="101"/>
        <v>-33.17</v>
      </c>
      <c r="O417" s="8">
        <f>IFERROR(N417/N444, "NA")</f>
        <v>9.2558229087895388E-3</v>
      </c>
      <c r="P417" s="9"/>
      <c r="Q417" s="7">
        <v>6.24</v>
      </c>
      <c r="R417" s="8">
        <f>IFERROR(Q417/Q444, "NA")</f>
        <v>4.4088143786698174E-5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-6.24</v>
      </c>
      <c r="X417" s="8">
        <f>IFERROR(W417/W444, "NA")</f>
        <v>1.282681132459439E-3</v>
      </c>
      <c r="Y417" s="9"/>
      <c r="Z417" s="7">
        <v>47.6</v>
      </c>
      <c r="AA417" s="8">
        <f>IFERROR(Z417/Z444, "NA")</f>
        <v>3.374615419681282E-4</v>
      </c>
      <c r="AB417" s="9"/>
      <c r="AC417" s="10">
        <f t="shared" si="103"/>
        <v>41.36</v>
      </c>
      <c r="AD417" s="8">
        <f>IFERROR(AC417/AC444, "NA")</f>
        <v>8.5891099389457368E-2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67.08</v>
      </c>
      <c r="C424" s="8">
        <f>IFERROR(B424/B444, "NA")</f>
        <v>9.1081841270746475E-4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-67.08</v>
      </c>
      <c r="I424" s="8">
        <f>IFERROR(H424/H444, "NA")</f>
        <v>9.3491940710388258E-3</v>
      </c>
      <c r="J424" s="9"/>
      <c r="K424" s="7">
        <v>47.92</v>
      </c>
      <c r="L424" s="8">
        <f>IFERROR(K424/K444, "NA")</f>
        <v>6.2047028851091527E-4</v>
      </c>
      <c r="M424" s="9"/>
      <c r="N424" s="10">
        <f t="shared" si="101"/>
        <v>-19.159999999999997</v>
      </c>
      <c r="O424" s="8">
        <f>IFERROR(N424/N444, "NA")</f>
        <v>5.34644458644581E-3</v>
      </c>
      <c r="P424" s="9"/>
      <c r="Q424" s="7">
        <v>134.16</v>
      </c>
      <c r="R424" s="8">
        <f>IFERROR(Q424/Q444, "NA")</f>
        <v>9.4789509141401062E-4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-134.16</v>
      </c>
      <c r="X424" s="8">
        <f>IFERROR(W424/W444, "NA")</f>
        <v>2.7577644347877937E-2</v>
      </c>
      <c r="Y424" s="9"/>
      <c r="Z424" s="7">
        <v>95.84</v>
      </c>
      <c r="AA424" s="8">
        <f>IFERROR(Z424/Z444, "NA")</f>
        <v>6.7946038197952538E-4</v>
      </c>
      <c r="AB424" s="9"/>
      <c r="AC424" s="10">
        <f t="shared" si="103"/>
        <v>-38.319999999999993</v>
      </c>
      <c r="AD424" s="8">
        <f>IFERROR(AC424/AC444, "NA")</f>
        <v>-7.9578020517504969E-2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-113.01</v>
      </c>
      <c r="C426" s="8">
        <f>IFERROR(B426/B444, "NA")</f>
        <v>-1.5344601791900804E-3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113.01</v>
      </c>
      <c r="I426" s="8">
        <f>IFERROR(H426/H444, "NA")</f>
        <v>-1.5750632408588219E-2</v>
      </c>
      <c r="J426" s="9"/>
      <c r="K426" s="7">
        <v>-134.94</v>
      </c>
      <c r="L426" s="8">
        <f>IFERROR(K426/K444, "NA")</f>
        <v>-1.7472091137659205E-3</v>
      </c>
      <c r="M426" s="9"/>
      <c r="N426" s="10">
        <f t="shared" si="101"/>
        <v>-21.929999999999993</v>
      </c>
      <c r="O426" s="8">
        <f>IFERROR(N426/N444, "NA")</f>
        <v>6.1193909071376087E-3</v>
      </c>
      <c r="P426" s="9"/>
      <c r="Q426" s="7">
        <v>-228.99</v>
      </c>
      <c r="R426" s="8">
        <f>IFERROR(Q426/Q444, "NA")</f>
        <v>-1.6179076996339766E-3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228.99</v>
      </c>
      <c r="X426" s="8">
        <f>IFERROR(W426/W444, "NA")</f>
        <v>-4.7070697519533161E-2</v>
      </c>
      <c r="Y426" s="9"/>
      <c r="Z426" s="7">
        <v>-277.99</v>
      </c>
      <c r="AA426" s="8">
        <f>IFERROR(Z426/Z444, "NA")</f>
        <v>-1.9708179422630243E-3</v>
      </c>
      <c r="AB426" s="9"/>
      <c r="AC426" s="10">
        <f t="shared" si="103"/>
        <v>-49</v>
      </c>
      <c r="AD426" s="8">
        <f>IFERROR(AC426/AC444, "NA")</f>
        <v>-0.10175686339660084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4697.84</v>
      </c>
      <c r="C428" s="15">
        <f>IFERROR(B428/B444, "NA")</f>
        <v>6.3787703815647523E-2</v>
      </c>
      <c r="D428" s="2"/>
      <c r="E428" s="14">
        <f>IFERROR(E407+E408+E409+E410+E411+E412+E413+E414+E415+E416+E417+E418+E419+E420+E421+E422+E423+E424+E425+E426+E427, "NA")</f>
        <v>3942.35</v>
      </c>
      <c r="F428" s="15">
        <f>IFERROR(E428/E444, "NA")</f>
        <v>4.8777575690088219E-2</v>
      </c>
      <c r="G428" s="2"/>
      <c r="H428" s="14">
        <f t="shared" si="100"/>
        <v>-755.49000000000024</v>
      </c>
      <c r="I428" s="15">
        <f>IFERROR(H428/H444, "NA")</f>
        <v>0.10529550728576513</v>
      </c>
      <c r="J428" s="2"/>
      <c r="K428" s="14">
        <f>IFERROR(K407+K408+K409+K410+K411+K412+K413+K414+K415+K416+K417+K418+K419+K420+K421+K422+K423+K424+K425+K426+K427, "NA")</f>
        <v>3767.18</v>
      </c>
      <c r="L428" s="15">
        <f>IFERROR(K428/K444, "NA")</f>
        <v>4.8777613970629172E-2</v>
      </c>
      <c r="M428" s="2"/>
      <c r="N428" s="14">
        <f t="shared" si="101"/>
        <v>-930.66000000000031</v>
      </c>
      <c r="O428" s="15">
        <f>IFERROR(N428/N444, "NA")</f>
        <v>0.25969322123286326</v>
      </c>
      <c r="P428" s="2"/>
      <c r="Q428" s="14">
        <f>IFERROR(Q407+Q408+Q409+Q410+Q411+Q412+Q413+Q414+Q415+Q416+Q417+Q418+Q419+Q420+Q421+Q422+Q423+Q424+Q425+Q426+Q427, "NA")</f>
        <v>9382.68</v>
      </c>
      <c r="R428" s="15">
        <f>IFERROR(Q428/Q444, "NA")</f>
        <v>6.6292459125733533E-2</v>
      </c>
      <c r="S428" s="2"/>
      <c r="T428" s="14">
        <f>IFERROR(T407+T408+T409+T410+T411+T412+T413+T414+T415+T416+T417+T418+T419+T420+T421+T422+T423+T424+T425+T426+T427, "NA")</f>
        <v>7810.01</v>
      </c>
      <c r="U428" s="15">
        <f>IFERROR(T428/T444, "NA")</f>
        <v>5.3347259614208963E-2</v>
      </c>
      <c r="V428" s="2"/>
      <c r="W428" s="14">
        <f t="shared" si="102"/>
        <v>-1572.67</v>
      </c>
      <c r="X428" s="15">
        <f>IFERROR(W428/W444, "NA")</f>
        <v>0.323274701375799</v>
      </c>
      <c r="Y428" s="2"/>
      <c r="Z428" s="14">
        <f>IFERROR(Z407+Z408+Z409+Z410+Z411+Z412+Z413+Z414+Z415+Z416+Z417+Z418+Z419+Z420+Z421+Z422+Z423+Z424+Z425+Z426+Z427, "NA")</f>
        <v>7531.3300000000008</v>
      </c>
      <c r="AA428" s="15">
        <f>IFERROR(Z428/Z444, "NA")</f>
        <v>5.3393576362832422E-2</v>
      </c>
      <c r="AB428" s="2"/>
      <c r="AC428" s="14">
        <f t="shared" si="103"/>
        <v>-1851.3499999999995</v>
      </c>
      <c r="AD428" s="15">
        <f>IFERROR(AC428/AC444, "NA")</f>
        <v>-3.8446442663121818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4697.84</v>
      </c>
      <c r="C429" s="15">
        <f>IFERROR(B429/B444, "NA")</f>
        <v>6.3787703815647523E-2</v>
      </c>
      <c r="D429" s="2"/>
      <c r="E429" s="14">
        <f>IFERROR(E407+E408+E409+E410+E411+E412+E413+E414+E415+E416+E417+E418+E419+E420+E421+E422+E423+E424+E425+E426+E427, "NA")</f>
        <v>3942.35</v>
      </c>
      <c r="F429" s="15">
        <f>IFERROR(E429/E444, "NA")</f>
        <v>4.8777575690088219E-2</v>
      </c>
      <c r="G429" s="2"/>
      <c r="H429" s="14">
        <f t="shared" si="100"/>
        <v>-755.49000000000024</v>
      </c>
      <c r="I429" s="15">
        <f>IFERROR(H429/H444, "NA")</f>
        <v>0.10529550728576513</v>
      </c>
      <c r="J429" s="2"/>
      <c r="K429" s="14">
        <f>IFERROR(K407+K408+K409+K410+K411+K412+K413+K414+K415+K416+K417+K418+K419+K420+K421+K422+K423+K424+K425+K426+K427, "NA")</f>
        <v>3767.18</v>
      </c>
      <c r="L429" s="15">
        <f>IFERROR(K429/K444, "NA")</f>
        <v>4.8777613970629172E-2</v>
      </c>
      <c r="M429" s="2"/>
      <c r="N429" s="14">
        <f t="shared" si="101"/>
        <v>-930.66000000000031</v>
      </c>
      <c r="O429" s="15">
        <f>IFERROR(N429/N444, "NA")</f>
        <v>0.25969322123286326</v>
      </c>
      <c r="P429" s="2"/>
      <c r="Q429" s="14">
        <f>IFERROR(Q407+Q408+Q409+Q410+Q411+Q412+Q413+Q414+Q415+Q416+Q417+Q418+Q419+Q420+Q421+Q422+Q423+Q424+Q425+Q426+Q427, "NA")</f>
        <v>9382.68</v>
      </c>
      <c r="R429" s="15">
        <f>IFERROR(Q429/Q444, "NA")</f>
        <v>6.6292459125733533E-2</v>
      </c>
      <c r="S429" s="2"/>
      <c r="T429" s="14">
        <f>IFERROR(T407+T408+T409+T410+T411+T412+T413+T414+T415+T416+T417+T418+T419+T420+T421+T422+T423+T424+T425+T426+T427, "NA")</f>
        <v>7810.01</v>
      </c>
      <c r="U429" s="15">
        <f>IFERROR(T429/T444, "NA")</f>
        <v>5.3347259614208963E-2</v>
      </c>
      <c r="V429" s="2"/>
      <c r="W429" s="14">
        <f t="shared" si="102"/>
        <v>-1572.67</v>
      </c>
      <c r="X429" s="15">
        <f>IFERROR(W429/W444, "NA")</f>
        <v>0.323274701375799</v>
      </c>
      <c r="Y429" s="2"/>
      <c r="Z429" s="14">
        <f>IFERROR(Z407+Z408+Z409+Z410+Z411+Z412+Z413+Z414+Z415+Z416+Z417+Z418+Z419+Z420+Z421+Z422+Z423+Z424+Z425+Z426+Z427, "NA")</f>
        <v>7531.3300000000008</v>
      </c>
      <c r="AA429" s="15">
        <f>IFERROR(Z429/Z444, "NA")</f>
        <v>5.3393576362832422E-2</v>
      </c>
      <c r="AB429" s="2"/>
      <c r="AC429" s="14">
        <f t="shared" si="103"/>
        <v>-1851.3499999999995</v>
      </c>
      <c r="AD429" s="15">
        <f>IFERROR(AC429/AC444, "NA")</f>
        <v>-3.8446442663121818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-5619.1399999999958</v>
      </c>
      <c r="C443" s="24">
        <f>IFERROR(B443/B444, "NA")</f>
        <v>-7.629719999375402E-2</v>
      </c>
      <c r="D443" s="25"/>
      <c r="E443" s="23">
        <f>IFERROR(E404-E429-E442, "NA")</f>
        <v>839.46000000001959</v>
      </c>
      <c r="F443" s="24">
        <f>IFERROR(E443/E444, "NA")</f>
        <v>1.0386399910916689E-2</v>
      </c>
      <c r="G443" s="25"/>
      <c r="H443" s="23">
        <f>IFERROR(B443-E443, "NA")</f>
        <v>-6458.6000000000149</v>
      </c>
      <c r="I443" s="24">
        <f>IFERROR(H443/H444, "NA")</f>
        <v>0.90015958299361221</v>
      </c>
      <c r="J443" s="25"/>
      <c r="K443" s="23">
        <f>IFERROR(K404-K429-K442, "NA")</f>
        <v>-3339.2700000000145</v>
      </c>
      <c r="L443" s="24">
        <f>IFERROR(K443/K444, "NA")</f>
        <v>-4.3237016283719808E-2</v>
      </c>
      <c r="M443" s="25"/>
      <c r="N443" s="23">
        <f>IFERROR(B443-K443, "NA")</f>
        <v>-2279.8699999999812</v>
      </c>
      <c r="O443" s="24">
        <f>IFERROR(N443/N444, "NA")</f>
        <v>0.63617946864823127</v>
      </c>
      <c r="P443" s="25"/>
      <c r="Q443" s="23">
        <f>IFERROR(Q404-Q429-Q442, "NA")</f>
        <v>-18700.469999999936</v>
      </c>
      <c r="R443" s="24">
        <f>IFERROR(Q443/Q444, "NA")</f>
        <v>-0.13212644394853088</v>
      </c>
      <c r="S443" s="25"/>
      <c r="T443" s="23">
        <f>IFERROR(T404-T429-T442, "NA")</f>
        <v>-4221.3399999999729</v>
      </c>
      <c r="U443" s="24">
        <f>IFERROR(T443/T444, "NA")</f>
        <v>-2.8834395973864748E-2</v>
      </c>
      <c r="V443" s="25"/>
      <c r="W443" s="23">
        <f>IFERROR(Q443-T443, "NA")</f>
        <v>-14479.129999999963</v>
      </c>
      <c r="X443" s="24">
        <f>IFERROR(W443/W444, "NA")</f>
        <v>2.9762991771518248</v>
      </c>
      <c r="Y443" s="25"/>
      <c r="Z443" s="23">
        <f>IFERROR(Z404-Z429-Z442, "NA")</f>
        <v>-13258.009999999984</v>
      </c>
      <c r="AA443" s="24">
        <f>IFERROR(Z443/Z444, "NA")</f>
        <v>-9.3993035672875175E-2</v>
      </c>
      <c r="AB443" s="25"/>
      <c r="AC443" s="23">
        <f>IFERROR(Q443-Z443, "NA")</f>
        <v>-5442.4599999999518</v>
      </c>
      <c r="AD443" s="24">
        <f>IFERROR(AC443/AC444, "NA")</f>
        <v>-11.302197117580803</v>
      </c>
    </row>
    <row r="444" spans="1:30" ht="15.75" hidden="1" x14ac:dyDescent="0.45">
      <c r="A444" s="26" t="s">
        <v>117</v>
      </c>
      <c r="B444" s="7">
        <v>73648.05</v>
      </c>
      <c r="C444" s="27"/>
      <c r="D444" s="9"/>
      <c r="E444" s="7">
        <v>80823</v>
      </c>
      <c r="F444" s="27"/>
      <c r="G444" s="9"/>
      <c r="H444" s="10">
        <f>IFERROR(B444-E444, "NA")</f>
        <v>-7174.9499999999971</v>
      </c>
      <c r="I444" s="27"/>
      <c r="J444" s="9"/>
      <c r="K444" s="7">
        <v>77231.740000000005</v>
      </c>
      <c r="L444" s="27"/>
      <c r="M444" s="9"/>
      <c r="N444" s="10">
        <f>IFERROR(B444-K444, "NA")</f>
        <v>-3583.6900000000023</v>
      </c>
      <c r="O444" s="27"/>
      <c r="P444" s="9"/>
      <c r="Q444" s="7">
        <v>141534.65</v>
      </c>
      <c r="R444" s="27"/>
      <c r="S444" s="9"/>
      <c r="T444" s="7">
        <v>146399.46</v>
      </c>
      <c r="U444" s="27"/>
      <c r="V444" s="9"/>
      <c r="W444" s="10">
        <f>IFERROR(Q444-T444, "NA")</f>
        <v>-4864.8099999999977</v>
      </c>
      <c r="X444" s="27"/>
      <c r="Y444" s="9"/>
      <c r="Z444" s="7">
        <v>141053.10999999999</v>
      </c>
      <c r="AA444" s="27"/>
      <c r="AB444" s="9"/>
      <c r="AC444" s="10">
        <f>IFERROR(Q444-Z444, "NA")</f>
        <v>481.54000000000815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43874.37</v>
      </c>
      <c r="F10" s="8">
        <f>IFERROR(E10/E444, "NA")</f>
        <v>0.27999999744725684</v>
      </c>
      <c r="G10" s="9"/>
      <c r="H10" s="10">
        <f t="shared" ref="H10:H19" si="0">IFERROR(B10-E10, "NA")</f>
        <v>-43874.37</v>
      </c>
      <c r="I10" s="8">
        <f>IFERROR(H10/H444, "NA")</f>
        <v>-2.4905751310160666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83681.42</v>
      </c>
      <c r="U10" s="8">
        <f>IFERROR(T10/T444, "NA")</f>
        <v>0.28000000401522829</v>
      </c>
      <c r="V10" s="9"/>
      <c r="W10" s="10">
        <f t="shared" ref="W10:W19" si="2">IFERROR(Q10-T10, "NA")</f>
        <v>-83681.42</v>
      </c>
      <c r="X10" s="8">
        <f>IFERROR(W10/W444, "NA")</f>
        <v>-12.88736834486066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30819.51</v>
      </c>
      <c r="C11" s="8">
        <f>IFERROR(B11/B444, "NA")</f>
        <v>0.17680827195908172</v>
      </c>
      <c r="D11" s="9"/>
      <c r="E11" s="7">
        <v>0</v>
      </c>
      <c r="F11" s="8">
        <f>IFERROR(E11/E444, "NA")</f>
        <v>0</v>
      </c>
      <c r="G11" s="9"/>
      <c r="H11" s="10">
        <f t="shared" si="0"/>
        <v>30819.51</v>
      </c>
      <c r="I11" s="8">
        <f>IFERROR(H11/H444, "NA")</f>
        <v>1.749502161651574</v>
      </c>
      <c r="J11" s="9"/>
      <c r="K11" s="7">
        <v>33284.15</v>
      </c>
      <c r="L11" s="8">
        <f>IFERROR(K11/K444, "NA")</f>
        <v>0.22303547202238869</v>
      </c>
      <c r="M11" s="9"/>
      <c r="N11" s="10">
        <f t="shared" si="1"/>
        <v>-2464.6400000000031</v>
      </c>
      <c r="O11" s="8">
        <f>IFERROR(N11/N444, "NA")</f>
        <v>-9.827975340739635E-2</v>
      </c>
      <c r="P11" s="9"/>
      <c r="Q11" s="7">
        <v>69540.13</v>
      </c>
      <c r="R11" s="8">
        <f>IFERROR(Q11/Q444, "NA")</f>
        <v>0.22773498430517874</v>
      </c>
      <c r="S11" s="9"/>
      <c r="T11" s="7">
        <v>0</v>
      </c>
      <c r="U11" s="8">
        <f>IFERROR(T11/T444, "NA")</f>
        <v>0</v>
      </c>
      <c r="V11" s="9"/>
      <c r="W11" s="10">
        <f t="shared" si="2"/>
        <v>69540.13</v>
      </c>
      <c r="X11" s="8">
        <f>IFERROR(W11/W444, "NA")</f>
        <v>10.709537075966148</v>
      </c>
      <c r="Y11" s="9"/>
      <c r="Z11" s="7">
        <v>62649.599999999999</v>
      </c>
      <c r="AA11" s="8">
        <f>IFERROR(Z11/Z444, "NA")</f>
        <v>0.21842401793982127</v>
      </c>
      <c r="AB11" s="9"/>
      <c r="AC11" s="10">
        <f t="shared" si="3"/>
        <v>6890.5300000000061</v>
      </c>
      <c r="AD11" s="8">
        <f>IFERROR(AC11/AC444, "NA")</f>
        <v>0.37186007479802902</v>
      </c>
    </row>
    <row r="12" spans="1:30" ht="16.5" customHeight="1" x14ac:dyDescent="0.45">
      <c r="A12" s="12" t="s">
        <v>14</v>
      </c>
      <c r="B12" s="7">
        <v>2909.85</v>
      </c>
      <c r="C12" s="8">
        <f>IFERROR(B12/B444, "NA")</f>
        <v>1.6693501946011925E-2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2909.85</v>
      </c>
      <c r="I12" s="8">
        <f>IFERROR(H12/H444, "NA")</f>
        <v>0.16518072042942386</v>
      </c>
      <c r="J12" s="9"/>
      <c r="K12" s="7">
        <v>2564.85</v>
      </c>
      <c r="L12" s="8">
        <f>IFERROR(K12/K444, "NA")</f>
        <v>1.7186935235438596E-2</v>
      </c>
      <c r="M12" s="9"/>
      <c r="N12" s="10">
        <f t="shared" si="1"/>
        <v>345</v>
      </c>
      <c r="O12" s="8">
        <f>IFERROR(N12/N444, "NA")</f>
        <v>1.3757187632088946E-2</v>
      </c>
      <c r="P12" s="9"/>
      <c r="Q12" s="7">
        <v>6771.1</v>
      </c>
      <c r="R12" s="8">
        <f>IFERROR(Q12/Q444, "NA")</f>
        <v>2.2174481874405409E-2</v>
      </c>
      <c r="S12" s="9"/>
      <c r="T12" s="7">
        <v>0</v>
      </c>
      <c r="U12" s="8">
        <f>IFERROR(T12/T444, "NA")</f>
        <v>0</v>
      </c>
      <c r="V12" s="9"/>
      <c r="W12" s="10">
        <f t="shared" si="2"/>
        <v>6771.1</v>
      </c>
      <c r="X12" s="8">
        <f>IFERROR(W12/W444, "NA")</f>
        <v>1.042784166424112</v>
      </c>
      <c r="Y12" s="9"/>
      <c r="Z12" s="7">
        <v>4946.3999999999996</v>
      </c>
      <c r="AA12" s="8">
        <f>IFERROR(Z12/Z444, "NA")</f>
        <v>1.7245322593241328E-2</v>
      </c>
      <c r="AB12" s="9"/>
      <c r="AC12" s="10">
        <f t="shared" si="3"/>
        <v>1824.7000000000007</v>
      </c>
      <c r="AD12" s="8">
        <f>IFERROR(AC12/AC444, "NA")</f>
        <v>9.847327832314251E-2</v>
      </c>
    </row>
    <row r="13" spans="1:30" ht="16.5" customHeight="1" x14ac:dyDescent="0.45">
      <c r="A13" s="12" t="s">
        <v>15</v>
      </c>
      <c r="B13" s="7">
        <v>86</v>
      </c>
      <c r="C13" s="8">
        <f>IFERROR(B13/B444, "NA")</f>
        <v>4.9337291178480863E-4</v>
      </c>
      <c r="D13" s="9"/>
      <c r="E13" s="7">
        <v>0</v>
      </c>
      <c r="F13" s="8">
        <f>IFERROR(E13/E444, "NA")</f>
        <v>0</v>
      </c>
      <c r="G13" s="9"/>
      <c r="H13" s="10">
        <f t="shared" si="0"/>
        <v>86</v>
      </c>
      <c r="I13" s="8">
        <f>IFERROR(H13/H444, "NA")</f>
        <v>4.8818811818239606E-3</v>
      </c>
      <c r="J13" s="9"/>
      <c r="K13" s="7">
        <v>154</v>
      </c>
      <c r="L13" s="8">
        <f>IFERROR(K13/K444, "NA")</f>
        <v>1.0319465178304946E-3</v>
      </c>
      <c r="M13" s="9"/>
      <c r="N13" s="10">
        <f t="shared" si="1"/>
        <v>-68</v>
      </c>
      <c r="O13" s="8">
        <f>IFERROR(N13/N444, "NA")</f>
        <v>-2.7115616202378211E-3</v>
      </c>
      <c r="P13" s="9"/>
      <c r="Q13" s="7">
        <v>198.5</v>
      </c>
      <c r="R13" s="8">
        <f>IFERROR(Q13/Q444, "NA")</f>
        <v>6.500619769416303E-4</v>
      </c>
      <c r="S13" s="9"/>
      <c r="T13" s="7">
        <v>0</v>
      </c>
      <c r="U13" s="8">
        <f>IFERROR(T13/T444, "NA")</f>
        <v>0</v>
      </c>
      <c r="V13" s="9"/>
      <c r="W13" s="10">
        <f t="shared" si="2"/>
        <v>198.5</v>
      </c>
      <c r="X13" s="8">
        <f>IFERROR(W13/W444, "NA")</f>
        <v>3.0570019204440375E-2</v>
      </c>
      <c r="Y13" s="9"/>
      <c r="Z13" s="7">
        <v>286</v>
      </c>
      <c r="AA13" s="8">
        <f>IFERROR(Z13/Z444, "NA")</f>
        <v>9.9712159584081756E-4</v>
      </c>
      <c r="AB13" s="9"/>
      <c r="AC13" s="10">
        <f t="shared" si="3"/>
        <v>-87.5</v>
      </c>
      <c r="AD13" s="8">
        <f>IFERROR(AC13/AC444, "NA")</f>
        <v>-4.7220977986929171E-3</v>
      </c>
    </row>
    <row r="14" spans="1:30" ht="16.5" customHeight="1" x14ac:dyDescent="0.45">
      <c r="A14" s="12" t="s">
        <v>16</v>
      </c>
      <c r="B14" s="7">
        <v>25</v>
      </c>
      <c r="C14" s="8">
        <f>IFERROR(B14/B444, "NA")</f>
        <v>1.4342235807697926E-4</v>
      </c>
      <c r="D14" s="9"/>
      <c r="E14" s="7">
        <v>0</v>
      </c>
      <c r="F14" s="8">
        <f>IFERROR(E14/E444, "NA")</f>
        <v>0</v>
      </c>
      <c r="G14" s="9"/>
      <c r="H14" s="10">
        <f t="shared" si="0"/>
        <v>25</v>
      </c>
      <c r="I14" s="8">
        <f>IFERROR(H14/H444, "NA")</f>
        <v>1.4191515063441747E-3</v>
      </c>
      <c r="J14" s="9"/>
      <c r="K14" s="7">
        <v>230</v>
      </c>
      <c r="L14" s="8">
        <f>IFERROR(K14/K444, "NA")</f>
        <v>1.541218825331258E-3</v>
      </c>
      <c r="M14" s="9"/>
      <c r="N14" s="10">
        <f t="shared" si="1"/>
        <v>-205</v>
      </c>
      <c r="O14" s="8">
        <f>IFERROR(N14/N444, "NA")</f>
        <v>-8.1745607668934316E-3</v>
      </c>
      <c r="P14" s="9"/>
      <c r="Q14" s="7">
        <v>45</v>
      </c>
      <c r="R14" s="8">
        <f>IFERROR(Q14/Q444, "NA")</f>
        <v>1.4736921391623862E-4</v>
      </c>
      <c r="S14" s="9"/>
      <c r="T14" s="7">
        <v>0</v>
      </c>
      <c r="U14" s="8">
        <f>IFERROR(T14/T444, "NA")</f>
        <v>0</v>
      </c>
      <c r="V14" s="9"/>
      <c r="W14" s="10">
        <f t="shared" si="2"/>
        <v>45</v>
      </c>
      <c r="X14" s="8">
        <f>IFERROR(W14/W444, "NA")</f>
        <v>6.9302310539033594E-3</v>
      </c>
      <c r="Y14" s="9"/>
      <c r="Z14" s="7">
        <v>425</v>
      </c>
      <c r="AA14" s="8">
        <f>IFERROR(Z14/Z444, "NA")</f>
        <v>1.4817366371760402E-3</v>
      </c>
      <c r="AB14" s="9"/>
      <c r="AC14" s="10">
        <f t="shared" si="3"/>
        <v>-380</v>
      </c>
      <c r="AD14" s="8">
        <f>IFERROR(AC14/AC444, "NA")</f>
        <v>-2.0507396154323527E-2</v>
      </c>
    </row>
    <row r="15" spans="1:30" ht="16.5" customHeight="1" x14ac:dyDescent="0.45">
      <c r="A15" s="12" t="s">
        <v>17</v>
      </c>
      <c r="B15" s="7">
        <v>44</v>
      </c>
      <c r="C15" s="8">
        <f>IFERROR(B15/B444, "NA")</f>
        <v>2.524233502154835E-4</v>
      </c>
      <c r="D15" s="9"/>
      <c r="E15" s="7">
        <v>0</v>
      </c>
      <c r="F15" s="8">
        <f>IFERROR(E15/E444, "NA")</f>
        <v>0</v>
      </c>
      <c r="G15" s="9"/>
      <c r="H15" s="10">
        <f t="shared" si="0"/>
        <v>44</v>
      </c>
      <c r="I15" s="8">
        <f>IFERROR(H15/H444, "NA")</f>
        <v>2.4977066511657473E-3</v>
      </c>
      <c r="J15" s="9"/>
      <c r="K15" s="7">
        <v>136</v>
      </c>
      <c r="L15" s="8">
        <f>IFERROR(K15/K444, "NA")</f>
        <v>9.1132939236978738E-4</v>
      </c>
      <c r="M15" s="9"/>
      <c r="N15" s="10">
        <f t="shared" si="1"/>
        <v>-92</v>
      </c>
      <c r="O15" s="8">
        <f>IFERROR(N15/N444, "NA")</f>
        <v>-3.6685833685570521E-3</v>
      </c>
      <c r="P15" s="9"/>
      <c r="Q15" s="7">
        <v>89</v>
      </c>
      <c r="R15" s="8">
        <f>IFERROR(Q15/Q444, "NA")</f>
        <v>2.9146355641211636E-4</v>
      </c>
      <c r="S15" s="9"/>
      <c r="T15" s="7">
        <v>0</v>
      </c>
      <c r="U15" s="8">
        <f>IFERROR(T15/T444, "NA")</f>
        <v>0</v>
      </c>
      <c r="V15" s="9"/>
      <c r="W15" s="10">
        <f t="shared" si="2"/>
        <v>89</v>
      </c>
      <c r="X15" s="8">
        <f>IFERROR(W15/W444, "NA")</f>
        <v>1.3706456973275534E-2</v>
      </c>
      <c r="Y15" s="9"/>
      <c r="Z15" s="7">
        <v>157</v>
      </c>
      <c r="AA15" s="8">
        <f>IFERROR(Z15/Z444, "NA")</f>
        <v>5.4737094596856069E-4</v>
      </c>
      <c r="AB15" s="9"/>
      <c r="AC15" s="10">
        <f t="shared" si="3"/>
        <v>-68</v>
      </c>
      <c r="AD15" s="8">
        <f>IFERROR(AC15/AC444, "NA")</f>
        <v>-3.6697445749842099E-3</v>
      </c>
    </row>
    <row r="16" spans="1:30" ht="16.5" customHeight="1" x14ac:dyDescent="0.45">
      <c r="A16" s="12" t="s">
        <v>18</v>
      </c>
      <c r="B16" s="7">
        <v>0.15</v>
      </c>
      <c r="C16" s="8">
        <f>IFERROR(B16/B444, "NA")</f>
        <v>8.6053414846187547E-7</v>
      </c>
      <c r="D16" s="9"/>
      <c r="E16" s="7">
        <v>0</v>
      </c>
      <c r="F16" s="8">
        <f>IFERROR(E16/E444, "NA")</f>
        <v>0</v>
      </c>
      <c r="G16" s="9"/>
      <c r="H16" s="10">
        <f t="shared" si="0"/>
        <v>0.15</v>
      </c>
      <c r="I16" s="8">
        <f>IFERROR(H16/H444, "NA")</f>
        <v>8.5149090380650474E-6</v>
      </c>
      <c r="J16" s="9"/>
      <c r="K16" s="7">
        <v>0.6</v>
      </c>
      <c r="L16" s="8">
        <f>IFERROR(K16/K444, "NA")</f>
        <v>4.0205708486902381E-6</v>
      </c>
      <c r="M16" s="9"/>
      <c r="N16" s="10">
        <f t="shared" si="1"/>
        <v>-0.44999999999999996</v>
      </c>
      <c r="O16" s="8">
        <f>IFERROR(N16/N444, "NA")</f>
        <v>-1.7944157780985579E-5</v>
      </c>
      <c r="P16" s="9"/>
      <c r="Q16" s="7">
        <v>0.36</v>
      </c>
      <c r="R16" s="8">
        <f>IFERROR(Q16/Q444, "NA")</f>
        <v>1.1789537113299089E-6</v>
      </c>
      <c r="S16" s="9"/>
      <c r="T16" s="7">
        <v>0</v>
      </c>
      <c r="U16" s="8">
        <f>IFERROR(T16/T444, "NA")</f>
        <v>0</v>
      </c>
      <c r="V16" s="9"/>
      <c r="W16" s="10">
        <f t="shared" si="2"/>
        <v>0.36</v>
      </c>
      <c r="X16" s="8">
        <f>IFERROR(W16/W444, "NA")</f>
        <v>5.5441848431226872E-5</v>
      </c>
      <c r="Y16" s="9"/>
      <c r="Z16" s="7">
        <v>0.6</v>
      </c>
      <c r="AA16" s="8">
        <f>IFERROR(Z16/Z444, "NA")</f>
        <v>2.0918634877779388E-6</v>
      </c>
      <c r="AB16" s="9"/>
      <c r="AC16" s="10">
        <f t="shared" si="3"/>
        <v>-0.24</v>
      </c>
      <c r="AD16" s="8">
        <f>IFERROR(AC16/AC444, "NA")</f>
        <v>-1.2952039676414859E-5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33884.51</v>
      </c>
      <c r="C18" s="15">
        <f>IFERROR(B18/B444, "NA")</f>
        <v>0.19439185305931939</v>
      </c>
      <c r="D18" s="2"/>
      <c r="E18" s="14">
        <f>IFERROR(E10+E11+E12+E13+E14+E15+E16+E17, "NA")</f>
        <v>43874.37</v>
      </c>
      <c r="F18" s="15">
        <f>IFERROR(E18/E444, "NA")</f>
        <v>0.27999999744725684</v>
      </c>
      <c r="G18" s="2"/>
      <c r="H18" s="14">
        <f t="shared" si="0"/>
        <v>-9989.86</v>
      </c>
      <c r="I18" s="15">
        <f>IFERROR(H18/H444, "NA")</f>
        <v>-0.56708499468669671</v>
      </c>
      <c r="J18" s="2"/>
      <c r="K18" s="14">
        <f>IFERROR(K10+K11+K12+K13+K14+K15+K16+K17, "NA")</f>
        <v>36369.599999999999</v>
      </c>
      <c r="L18" s="15">
        <f>IFERROR(K18/K444, "NA")</f>
        <v>0.24371092256420748</v>
      </c>
      <c r="M18" s="2"/>
      <c r="N18" s="14">
        <f t="shared" si="1"/>
        <v>-2485.0899999999965</v>
      </c>
      <c r="O18" s="15">
        <f>IFERROR(N18/N444, "NA")</f>
        <v>-9.9095215688776439E-2</v>
      </c>
      <c r="P18" s="2"/>
      <c r="Q18" s="14">
        <f>IFERROR(Q10+Q11+Q12+Q13+Q14+Q15+Q16+Q17, "NA")</f>
        <v>76644.090000000011</v>
      </c>
      <c r="R18" s="15">
        <f>IFERROR(Q18/Q444, "NA")</f>
        <v>0.2509995398805655</v>
      </c>
      <c r="S18" s="2"/>
      <c r="T18" s="14">
        <f>IFERROR(T10+T11+T12+T13+T14+T15+T16+T17, "NA")</f>
        <v>83681.42</v>
      </c>
      <c r="U18" s="15">
        <f>IFERROR(T18/T444, "NA")</f>
        <v>0.28000000401522829</v>
      </c>
      <c r="V18" s="2"/>
      <c r="W18" s="14">
        <f t="shared" si="2"/>
        <v>-7037.3299999999872</v>
      </c>
      <c r="X18" s="15">
        <f>IFERROR(W18/W444, "NA")</f>
        <v>-1.0837849533903476</v>
      </c>
      <c r="Y18" s="2"/>
      <c r="Z18" s="14">
        <f>IFERROR(Z10+Z11+Z12+Z13+Z14+Z15+Z16+Z17, "NA")</f>
        <v>68464.600000000006</v>
      </c>
      <c r="AA18" s="15">
        <f>IFERROR(Z18/Z444, "NA")</f>
        <v>0.23869766157553585</v>
      </c>
      <c r="AB18" s="2"/>
      <c r="AC18" s="14">
        <f t="shared" si="3"/>
        <v>8179.4900000000052</v>
      </c>
      <c r="AD18" s="15">
        <f>IFERROR(AC18/AC444, "NA")</f>
        <v>0.44142116255349434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13005.62</v>
      </c>
      <c r="F21" s="8">
        <f>IFERROR(E21/E444, "NA")</f>
        <v>8.3000019528485375E-2</v>
      </c>
      <c r="G21" s="9"/>
      <c r="H21" s="10">
        <f t="shared" ref="H21:H29" si="4">IFERROR(B21-E21, "NA")</f>
        <v>-13005.62</v>
      </c>
      <c r="I21" s="8">
        <f>IFERROR(H21/H444, "NA")</f>
        <v>-0.73827780855759706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24805.57</v>
      </c>
      <c r="U21" s="8">
        <f>IFERROR(T21/T444, "NA")</f>
        <v>8.3000021983374875E-2</v>
      </c>
      <c r="V21" s="9"/>
      <c r="W21" s="10">
        <f t="shared" ref="W21:W29" si="6">IFERROR(Q21-T21, "NA")</f>
        <v>-24805.57</v>
      </c>
      <c r="X21" s="8">
        <f>IFERROR(W21/W444, "NA")</f>
        <v>-3.8201851449727457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90.1</v>
      </c>
      <c r="C22" s="8">
        <f>IFERROR(B22/B444, "NA")</f>
        <v>5.168941785094332E-4</v>
      </c>
      <c r="D22" s="9"/>
      <c r="E22" s="7">
        <v>0</v>
      </c>
      <c r="F22" s="8">
        <f>IFERROR(E22/E444, "NA")</f>
        <v>0</v>
      </c>
      <c r="G22" s="9"/>
      <c r="H22" s="10">
        <f t="shared" si="4"/>
        <v>90.1</v>
      </c>
      <c r="I22" s="8">
        <f>IFERROR(H22/H444, "NA")</f>
        <v>5.1146220288644049E-3</v>
      </c>
      <c r="J22" s="9"/>
      <c r="K22" s="7">
        <v>6098.45</v>
      </c>
      <c r="L22" s="8">
        <f>IFERROR(K22/K444, "NA")</f>
        <v>4.0865417153658309E-2</v>
      </c>
      <c r="M22" s="9"/>
      <c r="N22" s="10">
        <f t="shared" si="5"/>
        <v>-6008.3499999999995</v>
      </c>
      <c r="O22" s="8">
        <f>IFERROR(N22/N444, "NA")</f>
        <v>-0.23958840089641045</v>
      </c>
      <c r="P22" s="9"/>
      <c r="Q22" s="7">
        <v>4179.45</v>
      </c>
      <c r="R22" s="8">
        <f>IFERROR(Q22/Q444, "NA")</f>
        <v>1.3687161357827188E-2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4179.45</v>
      </c>
      <c r="X22" s="8">
        <f>IFERROR(W22/W444, "NA")</f>
        <v>0.64365675951636436</v>
      </c>
      <c r="Y22" s="9"/>
      <c r="Z22" s="7">
        <v>11599.45</v>
      </c>
      <c r="AA22" s="8">
        <f>IFERROR(Z22/Z444, "NA")</f>
        <v>4.0440776555509698E-2</v>
      </c>
      <c r="AB22" s="9"/>
      <c r="AC22" s="10">
        <f t="shared" si="7"/>
        <v>-7420.0000000000009</v>
      </c>
      <c r="AD22" s="8">
        <f>IFERROR(AC22/AC444, "NA")</f>
        <v>-0.40043389332915946</v>
      </c>
    </row>
    <row r="23" spans="1:30" ht="16.5" customHeight="1" x14ac:dyDescent="0.45">
      <c r="A23" s="12" t="s">
        <v>24</v>
      </c>
      <c r="B23" s="7">
        <v>5899.52</v>
      </c>
      <c r="C23" s="8">
        <f>IFERROR(B23/B444, "NA")</f>
        <v>3.3844922796892031E-2</v>
      </c>
      <c r="D23" s="9"/>
      <c r="E23" s="7">
        <v>0</v>
      </c>
      <c r="F23" s="8">
        <f>IFERROR(E23/E444, "NA")</f>
        <v>0</v>
      </c>
      <c r="G23" s="9"/>
      <c r="H23" s="10">
        <f t="shared" si="4"/>
        <v>5899.52</v>
      </c>
      <c r="I23" s="8">
        <f>IFERROR(H23/H444, "NA")</f>
        <v>0.33489250778830343</v>
      </c>
      <c r="J23" s="9"/>
      <c r="K23" s="7">
        <v>0</v>
      </c>
      <c r="L23" s="8">
        <f>IFERROR(K23/K444, "NA")</f>
        <v>0</v>
      </c>
      <c r="M23" s="9"/>
      <c r="N23" s="10">
        <f t="shared" si="5"/>
        <v>5899.52</v>
      </c>
      <c r="O23" s="8">
        <f>IFERROR(N23/N444, "NA")</f>
        <v>0.23524870602684458</v>
      </c>
      <c r="P23" s="9"/>
      <c r="Q23" s="7">
        <v>8688.08</v>
      </c>
      <c r="R23" s="8">
        <f>IFERROR(Q23/Q444, "NA")</f>
        <v>2.8452344889808762E-2</v>
      </c>
      <c r="S23" s="9"/>
      <c r="T23" s="7">
        <v>0</v>
      </c>
      <c r="U23" s="8">
        <f>IFERROR(T23/T444, "NA")</f>
        <v>0</v>
      </c>
      <c r="V23" s="9"/>
      <c r="W23" s="10">
        <f t="shared" si="6"/>
        <v>8688.08</v>
      </c>
      <c r="X23" s="8">
        <f>IFERROR(W23/W444, "NA")</f>
        <v>1.3380089292177044</v>
      </c>
      <c r="Y23" s="9"/>
      <c r="Z23" s="7">
        <v>0</v>
      </c>
      <c r="AA23" s="8">
        <f>IFERROR(Z23/Z444, "NA")</f>
        <v>0</v>
      </c>
      <c r="AB23" s="9"/>
      <c r="AC23" s="10">
        <f t="shared" si="7"/>
        <v>8688.08</v>
      </c>
      <c r="AD23" s="8">
        <f>IFERROR(AC23/AC444, "NA")</f>
        <v>0.46886815363277673</v>
      </c>
    </row>
    <row r="24" spans="1:30" ht="16.5" customHeight="1" x14ac:dyDescent="0.45">
      <c r="A24" s="12" t="s">
        <v>25</v>
      </c>
      <c r="B24" s="7">
        <v>1265.45</v>
      </c>
      <c r="C24" s="8">
        <f>IFERROR(B24/B444, "NA")</f>
        <v>7.2597529211405366E-3</v>
      </c>
      <c r="D24" s="9"/>
      <c r="E24" s="7">
        <v>0</v>
      </c>
      <c r="F24" s="8">
        <f>IFERROR(E24/E444, "NA")</f>
        <v>0</v>
      </c>
      <c r="G24" s="9"/>
      <c r="H24" s="10">
        <f t="shared" si="4"/>
        <v>1265.45</v>
      </c>
      <c r="I24" s="8">
        <f>IFERROR(H24/H444, "NA")</f>
        <v>7.1834610948129429E-2</v>
      </c>
      <c r="J24" s="9"/>
      <c r="K24" s="7">
        <v>1795.55</v>
      </c>
      <c r="L24" s="8">
        <f>IFERROR(K24/K444, "NA")</f>
        <v>1.2031893312276262E-2</v>
      </c>
      <c r="M24" s="9"/>
      <c r="N24" s="10">
        <f t="shared" si="5"/>
        <v>-530.09999999999991</v>
      </c>
      <c r="O24" s="8">
        <f>IFERROR(N24/N444, "NA")</f>
        <v>-2.1138217866001011E-2</v>
      </c>
      <c r="P24" s="9"/>
      <c r="Q24" s="7">
        <v>2279.2199999999998</v>
      </c>
      <c r="R24" s="8">
        <f>IFERROR(Q24/Q444, "NA")</f>
        <v>7.4641524387148743E-3</v>
      </c>
      <c r="S24" s="9"/>
      <c r="T24" s="7">
        <v>0</v>
      </c>
      <c r="U24" s="8">
        <f>IFERROR(T24/T444, "NA")</f>
        <v>0</v>
      </c>
      <c r="V24" s="9"/>
      <c r="W24" s="10">
        <f t="shared" si="6"/>
        <v>2279.2199999999998</v>
      </c>
      <c r="X24" s="8">
        <f>IFERROR(W24/W444, "NA")</f>
        <v>0.35101158272616917</v>
      </c>
      <c r="Y24" s="9"/>
      <c r="Z24" s="7">
        <v>2749.7</v>
      </c>
      <c r="AA24" s="8">
        <f>IFERROR(Z24/Z444, "NA")</f>
        <v>9.5866617205716646E-3</v>
      </c>
      <c r="AB24" s="9"/>
      <c r="AC24" s="10">
        <f t="shared" si="7"/>
        <v>-470.48</v>
      </c>
      <c r="AD24" s="8">
        <f>IFERROR(AC24/AC444, "NA")</f>
        <v>-2.5390315112331929E-2</v>
      </c>
    </row>
    <row r="25" spans="1:30" ht="16.5" customHeight="1" x14ac:dyDescent="0.45">
      <c r="A25" s="12" t="s">
        <v>26</v>
      </c>
      <c r="B25" s="7">
        <v>118.07</v>
      </c>
      <c r="C25" s="8">
        <f>IFERROR(B25/B444, "NA")</f>
        <v>6.7735511272595762E-4</v>
      </c>
      <c r="D25" s="9"/>
      <c r="E25" s="7">
        <v>0</v>
      </c>
      <c r="F25" s="8">
        <f>IFERROR(E25/E444, "NA")</f>
        <v>0</v>
      </c>
      <c r="G25" s="9"/>
      <c r="H25" s="10">
        <f t="shared" si="4"/>
        <v>118.07</v>
      </c>
      <c r="I25" s="8">
        <f>IFERROR(H25/H444, "NA")</f>
        <v>6.7023687341622677E-3</v>
      </c>
      <c r="J25" s="9"/>
      <c r="K25" s="7">
        <v>0</v>
      </c>
      <c r="L25" s="8">
        <f>IFERROR(K25/K444, "NA")</f>
        <v>0</v>
      </c>
      <c r="M25" s="9"/>
      <c r="N25" s="10">
        <f t="shared" si="5"/>
        <v>118.07</v>
      </c>
      <c r="O25" s="8">
        <f>IFERROR(N25/N444, "NA")</f>
        <v>4.7081482426688161E-3</v>
      </c>
      <c r="P25" s="9"/>
      <c r="Q25" s="7">
        <v>321.23</v>
      </c>
      <c r="R25" s="8">
        <f>IFERROR(Q25/Q444, "NA")</f>
        <v>1.0519869463625185E-3</v>
      </c>
      <c r="S25" s="9"/>
      <c r="T25" s="7">
        <v>0</v>
      </c>
      <c r="U25" s="8">
        <f>IFERROR(T25/T444, "NA")</f>
        <v>0</v>
      </c>
      <c r="V25" s="9"/>
      <c r="W25" s="10">
        <f t="shared" si="6"/>
        <v>321.23</v>
      </c>
      <c r="X25" s="8">
        <f>IFERROR(W25/W444, "NA")</f>
        <v>4.9471069365452806E-2</v>
      </c>
      <c r="Y25" s="9"/>
      <c r="Z25" s="7">
        <v>0</v>
      </c>
      <c r="AA25" s="8">
        <f>IFERROR(Z25/Z444, "NA")</f>
        <v>0</v>
      </c>
      <c r="AB25" s="9"/>
      <c r="AC25" s="10">
        <f t="shared" si="7"/>
        <v>321.23</v>
      </c>
      <c r="AD25" s="8">
        <f>IFERROR(AC25/AC444, "NA")</f>
        <v>1.733576543856144E-2</v>
      </c>
    </row>
    <row r="26" spans="1:30" ht="16.5" customHeight="1" x14ac:dyDescent="0.45">
      <c r="A26" s="12" t="s">
        <v>27</v>
      </c>
      <c r="B26" s="7">
        <v>2369.39</v>
      </c>
      <c r="C26" s="8">
        <f>IFERROR(B26/B444, "NA")</f>
        <v>1.3592940040160555E-2</v>
      </c>
      <c r="D26" s="9"/>
      <c r="E26" s="7">
        <v>0</v>
      </c>
      <c r="F26" s="8">
        <f>IFERROR(E26/E444, "NA")</f>
        <v>0</v>
      </c>
      <c r="G26" s="9"/>
      <c r="H26" s="10">
        <f t="shared" si="4"/>
        <v>2369.39</v>
      </c>
      <c r="I26" s="8">
        <f>IFERROR(H26/H444, "NA")</f>
        <v>0.13450093550467296</v>
      </c>
      <c r="J26" s="9"/>
      <c r="K26" s="7">
        <v>3001.12</v>
      </c>
      <c r="L26" s="8">
        <f>IFERROR(K26/K444, "NA")</f>
        <v>2.0110359309035413E-2</v>
      </c>
      <c r="M26" s="9"/>
      <c r="N26" s="10">
        <f t="shared" si="5"/>
        <v>-631.73</v>
      </c>
      <c r="O26" s="8">
        <f>IFERROR(N26/N444, "NA")</f>
        <v>-2.519080621107116E-2</v>
      </c>
      <c r="P26" s="9"/>
      <c r="Q26" s="7">
        <v>3994.03</v>
      </c>
      <c r="R26" s="8">
        <f>IFERROR(Q26/Q444, "NA")</f>
        <v>1.3079934699063879E-2</v>
      </c>
      <c r="S26" s="9"/>
      <c r="T26" s="7">
        <v>0</v>
      </c>
      <c r="U26" s="8">
        <f>IFERROR(T26/T444, "NA")</f>
        <v>0</v>
      </c>
      <c r="V26" s="9"/>
      <c r="W26" s="10">
        <f t="shared" si="6"/>
        <v>3994.03</v>
      </c>
      <c r="X26" s="8">
        <f>IFERROR(W26/W444, "NA")</f>
        <v>0.61510112747159196</v>
      </c>
      <c r="Y26" s="9"/>
      <c r="Z26" s="7">
        <v>5056.58</v>
      </c>
      <c r="AA26" s="8">
        <f>IFERROR(Z26/Z444, "NA")</f>
        <v>1.7629458458380286E-2</v>
      </c>
      <c r="AB26" s="9"/>
      <c r="AC26" s="10">
        <f t="shared" si="7"/>
        <v>-1062.5499999999997</v>
      </c>
      <c r="AD26" s="8">
        <f>IFERROR(AC26/AC444, "NA")</f>
        <v>-5.7342457325727521E-2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784.69</v>
      </c>
      <c r="C28" s="8">
        <f>IFERROR(B28/B444, "NA")</f>
        <v>4.5016836063769949E-3</v>
      </c>
      <c r="D28" s="9"/>
      <c r="E28" s="7">
        <v>0</v>
      </c>
      <c r="F28" s="8">
        <f>IFERROR(E28/E444, "NA")</f>
        <v>0</v>
      </c>
      <c r="G28" s="9"/>
      <c r="H28" s="10">
        <f t="shared" si="4"/>
        <v>784.69</v>
      </c>
      <c r="I28" s="8">
        <f>IFERROR(H28/H444, "NA")</f>
        <v>4.4543759820528418E-2</v>
      </c>
      <c r="J28" s="9"/>
      <c r="K28" s="7">
        <v>712.81</v>
      </c>
      <c r="L28" s="8">
        <f>IFERROR(K28/K444, "NA")</f>
        <v>4.7765051777581479E-3</v>
      </c>
      <c r="M28" s="9"/>
      <c r="N28" s="10">
        <f t="shared" si="5"/>
        <v>71.880000000000109</v>
      </c>
      <c r="O28" s="8">
        <f>IFERROR(N28/N444, "NA")</f>
        <v>2.866280136216101E-3</v>
      </c>
      <c r="P28" s="9"/>
      <c r="Q28" s="7">
        <v>1659.23</v>
      </c>
      <c r="R28" s="8">
        <f>IFERROR(Q28/Q444, "NA")</f>
        <v>5.4337649068053467E-3</v>
      </c>
      <c r="S28" s="9"/>
      <c r="T28" s="7">
        <v>0</v>
      </c>
      <c r="U28" s="8">
        <f>IFERROR(T28/T444, "NA")</f>
        <v>0</v>
      </c>
      <c r="V28" s="9"/>
      <c r="W28" s="10">
        <f t="shared" si="6"/>
        <v>1659.23</v>
      </c>
      <c r="X28" s="8">
        <f>IFERROR(W28/W444, "NA")</f>
        <v>0.25552993936817936</v>
      </c>
      <c r="Y28" s="9"/>
      <c r="Z28" s="7">
        <v>1539.43</v>
      </c>
      <c r="AA28" s="8">
        <f>IFERROR(Z28/Z444, "NA")</f>
        <v>5.3671290149833219E-3</v>
      </c>
      <c r="AB28" s="9"/>
      <c r="AC28" s="10">
        <f t="shared" si="7"/>
        <v>119.79999999999995</v>
      </c>
      <c r="AD28" s="8">
        <f>IFERROR(AC28/AC444, "NA")</f>
        <v>6.4652264718104147E-3</v>
      </c>
    </row>
    <row r="29" spans="1:30" ht="16.5" customHeight="1" x14ac:dyDescent="0.45">
      <c r="A29" s="13" t="s">
        <v>30</v>
      </c>
      <c r="B29" s="14">
        <f>IFERROR(B21+B22+B23+B24+B25+B26+B27+B28, "NA")</f>
        <v>10527.220000000001</v>
      </c>
      <c r="C29" s="15">
        <f>IFERROR(B29/B444, "NA")</f>
        <v>6.0393548655805512E-2</v>
      </c>
      <c r="D29" s="2"/>
      <c r="E29" s="14">
        <f>IFERROR(E21+E22+E23+E24+E25+E26+E27+E28, "NA")</f>
        <v>13005.62</v>
      </c>
      <c r="F29" s="15">
        <f>IFERROR(E29/E444, "NA")</f>
        <v>8.3000019528485375E-2</v>
      </c>
      <c r="G29" s="2"/>
      <c r="H29" s="14">
        <f t="shared" si="4"/>
        <v>-2478.3999999999996</v>
      </c>
      <c r="I29" s="15">
        <f>IFERROR(H29/H444, "NA")</f>
        <v>-0.14068900373293608</v>
      </c>
      <c r="J29" s="2"/>
      <c r="K29" s="14">
        <f>IFERROR(K21+K22+K23+K24+K25+K26+K27+K28, "NA")</f>
        <v>11607.929999999998</v>
      </c>
      <c r="L29" s="15">
        <f>IFERROR(K29/K444, "NA")</f>
        <v>7.778417495272813E-2</v>
      </c>
      <c r="M29" s="2"/>
      <c r="N29" s="14">
        <f t="shared" si="5"/>
        <v>-1080.7099999999973</v>
      </c>
      <c r="O29" s="15">
        <f>IFERROR(N29/N444, "NA")</f>
        <v>-4.3094290567753067E-2</v>
      </c>
      <c r="P29" s="2"/>
      <c r="Q29" s="14">
        <f>IFERROR(Q21+Q22+Q23+Q24+Q25+Q26+Q27+Q28, "NA")</f>
        <v>21121.239999999998</v>
      </c>
      <c r="R29" s="15">
        <f>IFERROR(Q29/Q444, "NA")</f>
        <v>6.9169345238582564E-2</v>
      </c>
      <c r="S29" s="2"/>
      <c r="T29" s="14">
        <f>IFERROR(T21+T22+T23+T24+T25+T26+T27+T28, "NA")</f>
        <v>24805.57</v>
      </c>
      <c r="U29" s="15">
        <f>IFERROR(T29/T444, "NA")</f>
        <v>8.3000021983374875E-2</v>
      </c>
      <c r="V29" s="2"/>
      <c r="W29" s="14">
        <f t="shared" si="6"/>
        <v>-3684.3300000000017</v>
      </c>
      <c r="X29" s="15">
        <f>IFERROR(W29/W444, "NA")</f>
        <v>-0.56740573730728394</v>
      </c>
      <c r="Y29" s="2"/>
      <c r="Z29" s="14">
        <f>IFERROR(Z21+Z22+Z23+Z24+Z25+Z26+Z27+Z28, "NA")</f>
        <v>20945.160000000003</v>
      </c>
      <c r="AA29" s="15">
        <f>IFERROR(Z29/Z444, "NA")</f>
        <v>7.3024025749444971E-2</v>
      </c>
      <c r="AB29" s="2"/>
      <c r="AC29" s="14">
        <f t="shared" si="7"/>
        <v>176.07999999999447</v>
      </c>
      <c r="AD29" s="15">
        <f>IFERROR(AC29/AC444, "NA")</f>
        <v>9.5024797759294035E-3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34786.11</v>
      </c>
      <c r="F31" s="8">
        <f>IFERROR(E31/E444, "NA")</f>
        <v>0.22200001301899025</v>
      </c>
      <c r="G31" s="9"/>
      <c r="H31" s="10">
        <f t="shared" ref="H31:H40" si="8">IFERROR(B31-E31, "NA")</f>
        <v>-34786.11</v>
      </c>
      <c r="I31" s="8">
        <f>IFERROR(H31/H444, "NA")</f>
        <v>-1.9746704162541662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66347.41</v>
      </c>
      <c r="U31" s="8">
        <f>IFERROR(T31/T444, "NA")</f>
        <v>0.22199999792546538</v>
      </c>
      <c r="V31" s="9"/>
      <c r="W31" s="10">
        <f t="shared" ref="W31:W40" si="10">IFERROR(Q31-T31, "NA")</f>
        <v>-66347.41</v>
      </c>
      <c r="X31" s="8">
        <f>IFERROR(W31/W444, "NA")</f>
        <v>-10.21784180284574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19097.919999999998</v>
      </c>
      <c r="C33" s="8">
        <f>IFERROR(B33/B444, "NA")</f>
        <v>0.10956274883062014</v>
      </c>
      <c r="D33" s="9"/>
      <c r="E33" s="7">
        <v>0</v>
      </c>
      <c r="F33" s="8">
        <f>IFERROR(E33/E444, "NA")</f>
        <v>0</v>
      </c>
      <c r="G33" s="9"/>
      <c r="H33" s="10">
        <f t="shared" si="8"/>
        <v>19097.919999999998</v>
      </c>
      <c r="I33" s="8">
        <f>IFERROR(H33/H444, "NA")</f>
        <v>1.0841136774416216</v>
      </c>
      <c r="J33" s="9"/>
      <c r="K33" s="7">
        <v>18261.25</v>
      </c>
      <c r="L33" s="8">
        <f>IFERROR(K33/K444, "NA")</f>
        <v>0.12236774901774103</v>
      </c>
      <c r="M33" s="9"/>
      <c r="N33" s="10">
        <f t="shared" si="9"/>
        <v>836.66999999999825</v>
      </c>
      <c r="O33" s="8">
        <f>IFERROR(N33/N444, "NA")</f>
        <v>3.3362974423593719E-2</v>
      </c>
      <c r="P33" s="9"/>
      <c r="Q33" s="7">
        <v>37621.06</v>
      </c>
      <c r="R33" s="8">
        <f>IFERROR(Q33/Q444, "NA")</f>
        <v>0.12320413419768106</v>
      </c>
      <c r="S33" s="9"/>
      <c r="T33" s="7">
        <v>0</v>
      </c>
      <c r="U33" s="8">
        <f>IFERROR(T33/T444, "NA")</f>
        <v>0</v>
      </c>
      <c r="V33" s="9"/>
      <c r="W33" s="10">
        <f t="shared" si="10"/>
        <v>37621.06</v>
      </c>
      <c r="X33" s="8">
        <f>IFERROR(W33/W444, "NA")</f>
        <v>5.793836406505811</v>
      </c>
      <c r="Y33" s="9"/>
      <c r="Z33" s="7">
        <v>36489.68</v>
      </c>
      <c r="AA33" s="8">
        <f>IFERROR(Z33/Z444, "NA")</f>
        <v>0.12721904878783485</v>
      </c>
      <c r="AB33" s="9"/>
      <c r="AC33" s="10">
        <f t="shared" si="11"/>
        <v>1131.3799999999974</v>
      </c>
      <c r="AD33" s="8">
        <f>IFERROR(AC33/AC444, "NA")</f>
        <v>6.1056994371259207E-2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1170.69</v>
      </c>
      <c r="C35" s="8">
        <f>IFERROR(B35/B444, "NA")</f>
        <v>6.7161248150855541E-3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1170.69</v>
      </c>
      <c r="I35" s="8">
        <f>IFERROR(H35/H444, "NA")</f>
        <v>6.6455459078482479E-2</v>
      </c>
      <c r="J35" s="9"/>
      <c r="K35" s="7">
        <v>2402.4499999999998</v>
      </c>
      <c r="L35" s="8">
        <f>IFERROR(K35/K444, "NA")</f>
        <v>1.6098700725726438E-2</v>
      </c>
      <c r="M35" s="9"/>
      <c r="N35" s="10">
        <f t="shared" si="9"/>
        <v>-1231.7599999999998</v>
      </c>
      <c r="O35" s="8">
        <f>IFERROR(N35/N444, "NA")</f>
        <v>-4.9117546196237323E-2</v>
      </c>
      <c r="P35" s="9"/>
      <c r="Q35" s="7">
        <v>2436.04</v>
      </c>
      <c r="R35" s="8">
        <f>IFERROR(Q35/Q444, "NA")</f>
        <v>7.977717774855864E-3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2436.04</v>
      </c>
      <c r="X35" s="8">
        <f>IFERROR(W35/W444, "NA")</f>
        <v>0.37516266792334979</v>
      </c>
      <c r="Y35" s="9"/>
      <c r="Z35" s="7">
        <v>3322.82</v>
      </c>
      <c r="AA35" s="8">
        <f>IFERROR(Z35/Z444, "NA")</f>
        <v>1.1584809724097153E-2</v>
      </c>
      <c r="AB35" s="9"/>
      <c r="AC35" s="10">
        <f t="shared" si="11"/>
        <v>-886.7800000000002</v>
      </c>
      <c r="AD35" s="8">
        <f>IFERROR(AC35/AC444, "NA")</f>
        <v>-4.7856707267713211E-2</v>
      </c>
    </row>
    <row r="36" spans="1:30" ht="16.5" customHeight="1" x14ac:dyDescent="0.45">
      <c r="A36" s="12" t="s">
        <v>36</v>
      </c>
      <c r="B36" s="7">
        <v>24971.18</v>
      </c>
      <c r="C36" s="8">
        <f>IFERROR(B36/B444, "NA")</f>
        <v>0.14325702078258812</v>
      </c>
      <c r="D36" s="9"/>
      <c r="E36" s="7">
        <v>0</v>
      </c>
      <c r="F36" s="8">
        <f>IFERROR(E36/E444, "NA")</f>
        <v>0</v>
      </c>
      <c r="G36" s="9"/>
      <c r="H36" s="10">
        <f t="shared" si="8"/>
        <v>24971.18</v>
      </c>
      <c r="I36" s="8">
        <f>IFERROR(H36/H444, "NA")</f>
        <v>1.4175155084876612</v>
      </c>
      <c r="J36" s="9"/>
      <c r="K36" s="7">
        <v>23966.59</v>
      </c>
      <c r="L36" s="8">
        <f>IFERROR(K36/K444, "NA")</f>
        <v>0.16059895516085165</v>
      </c>
      <c r="M36" s="9"/>
      <c r="N36" s="10">
        <f t="shared" si="9"/>
        <v>1004.5900000000001</v>
      </c>
      <c r="O36" s="8">
        <f>IFERROR(N36/N444, "NA")</f>
        <v>4.0058936589334015E-2</v>
      </c>
      <c r="P36" s="9"/>
      <c r="Q36" s="7">
        <v>42432.62</v>
      </c>
      <c r="R36" s="8">
        <f>IFERROR(Q36/Q444, "NA")</f>
        <v>0.13896137452903257</v>
      </c>
      <c r="S36" s="9"/>
      <c r="T36" s="7">
        <v>0</v>
      </c>
      <c r="U36" s="8">
        <f>IFERROR(T36/T444, "NA")</f>
        <v>0</v>
      </c>
      <c r="V36" s="9"/>
      <c r="W36" s="10">
        <f t="shared" si="10"/>
        <v>42432.62</v>
      </c>
      <c r="X36" s="8">
        <f>IFERROR(W36/W444, "NA")</f>
        <v>6.5348413516106838</v>
      </c>
      <c r="Y36" s="9"/>
      <c r="Z36" s="7">
        <v>39872.21</v>
      </c>
      <c r="AA36" s="8">
        <f>IFERROR(Z36/Z444, "NA")</f>
        <v>0.13901203379335736</v>
      </c>
      <c r="AB36" s="9"/>
      <c r="AC36" s="10">
        <f t="shared" si="11"/>
        <v>2560.4100000000035</v>
      </c>
      <c r="AD36" s="8">
        <f>IFERROR(AC36/AC444, "NA")</f>
        <v>0.13817721628287255</v>
      </c>
    </row>
    <row r="37" spans="1:30" ht="16.5" customHeight="1" x14ac:dyDescent="0.45">
      <c r="A37" s="12" t="s">
        <v>37</v>
      </c>
      <c r="B37" s="7">
        <v>882.84</v>
      </c>
      <c r="C37" s="8">
        <f>IFERROR(B37/B444, "NA")</f>
        <v>5.0647597841872146E-3</v>
      </c>
      <c r="D37" s="9"/>
      <c r="E37" s="7">
        <v>0</v>
      </c>
      <c r="F37" s="8">
        <f>IFERROR(E37/E444, "NA")</f>
        <v>0</v>
      </c>
      <c r="G37" s="9"/>
      <c r="H37" s="10">
        <f t="shared" si="8"/>
        <v>882.84</v>
      </c>
      <c r="I37" s="8">
        <f>IFERROR(H37/H444, "NA")</f>
        <v>5.0115348634435647E-2</v>
      </c>
      <c r="J37" s="9"/>
      <c r="K37" s="7">
        <v>0</v>
      </c>
      <c r="L37" s="8">
        <f>IFERROR(K37/K444, "NA")</f>
        <v>0</v>
      </c>
      <c r="M37" s="9"/>
      <c r="N37" s="10">
        <f t="shared" si="9"/>
        <v>882.84</v>
      </c>
      <c r="O37" s="8">
        <f>IFERROR(N37/N444, "NA")</f>
        <v>3.520404501192291E-2</v>
      </c>
      <c r="P37" s="9"/>
      <c r="Q37" s="7">
        <v>1865.18</v>
      </c>
      <c r="R37" s="8">
        <f>IFERROR(Q37/Q444, "NA")</f>
        <v>6.1082246758286654E-3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1865.18</v>
      </c>
      <c r="X37" s="8">
        <f>IFERROR(W37/W444, "NA")</f>
        <v>0.2872472968248771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1865.18</v>
      </c>
      <c r="AD37" s="8">
        <f>IFERROR(AC37/AC444, "NA")</f>
        <v>0.10065785568189778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1875.3</v>
      </c>
      <c r="L39" s="8">
        <f>IFERROR(K39/K444, "NA")</f>
        <v>1.256629418758134E-2</v>
      </c>
      <c r="M39" s="9"/>
      <c r="N39" s="10">
        <f t="shared" si="9"/>
        <v>-1875.3</v>
      </c>
      <c r="O39" s="8">
        <f>IFERROR(N39/N444, "NA")</f>
        <v>-7.4779286859293914E-2</v>
      </c>
      <c r="P39" s="9"/>
      <c r="Q39" s="7">
        <v>904.59</v>
      </c>
      <c r="R39" s="8">
        <f>IFERROR(Q39/Q444, "NA")</f>
        <v>2.9624159381442289E-3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904.59</v>
      </c>
      <c r="X39" s="8">
        <f>IFERROR(W39/W444, "NA")</f>
        <v>0.13931150464556533</v>
      </c>
      <c r="Y39" s="9"/>
      <c r="Z39" s="7">
        <v>3207.9</v>
      </c>
      <c r="AA39" s="8">
        <f>IFERROR(Z39/Z444, "NA")</f>
        <v>1.1184148137404752E-2</v>
      </c>
      <c r="AB39" s="9"/>
      <c r="AC39" s="10">
        <f t="shared" si="11"/>
        <v>-2303.31</v>
      </c>
      <c r="AD39" s="8">
        <f>IFERROR(AC39/AC444, "NA")</f>
        <v>-0.12430234377951295</v>
      </c>
    </row>
    <row r="40" spans="1:30" ht="16.5" customHeight="1" x14ac:dyDescent="0.45">
      <c r="A40" s="13" t="s">
        <v>40</v>
      </c>
      <c r="B40" s="14">
        <f>IFERROR(B31+B32+B33+B34+B35+B36+B37+B38+B39, "NA")</f>
        <v>46122.62999999999</v>
      </c>
      <c r="C40" s="15">
        <f>IFERROR(B40/B444, "NA")</f>
        <v>0.26460065421248097</v>
      </c>
      <c r="D40" s="2"/>
      <c r="E40" s="14">
        <f>IFERROR(E31+E32+E33+E34+E35+E36+E37+E38+E39, "NA")</f>
        <v>34786.11</v>
      </c>
      <c r="F40" s="15">
        <f>IFERROR(E40/E444, "NA")</f>
        <v>0.22200001301899025</v>
      </c>
      <c r="G40" s="2"/>
      <c r="H40" s="14">
        <f t="shared" si="8"/>
        <v>11336.51999999999</v>
      </c>
      <c r="I40" s="15">
        <f>IFERROR(H40/H444, "NA")</f>
        <v>0.64352957738803385</v>
      </c>
      <c r="J40" s="2"/>
      <c r="K40" s="14">
        <f>IFERROR(K31+K32+K33+K34+K35+K36+K37+K38+K39, "NA")</f>
        <v>46505.590000000004</v>
      </c>
      <c r="L40" s="15">
        <f>IFERROR(K40/K444, "NA")</f>
        <v>0.31163169909190047</v>
      </c>
      <c r="M40" s="2"/>
      <c r="N40" s="14">
        <f t="shared" si="9"/>
        <v>-382.96000000001368</v>
      </c>
      <c r="O40" s="15">
        <f>IFERROR(N40/N444, "NA")</f>
        <v>-1.5270877030681074E-2</v>
      </c>
      <c r="P40" s="2"/>
      <c r="Q40" s="14">
        <f>IFERROR(Q31+Q32+Q33+Q34+Q35+Q36+Q37+Q38+Q39, "NA")</f>
        <v>85259.489999999991</v>
      </c>
      <c r="R40" s="15">
        <f>IFERROR(Q40/Q444, "NA")</f>
        <v>0.27921386711554236</v>
      </c>
      <c r="S40" s="2"/>
      <c r="T40" s="14">
        <f>IFERROR(T31+T32+T33+T34+T35+T36+T37+T38+T39, "NA")</f>
        <v>66347.41</v>
      </c>
      <c r="U40" s="15">
        <f>IFERROR(T40/T444, "NA")</f>
        <v>0.22199999792546538</v>
      </c>
      <c r="V40" s="2"/>
      <c r="W40" s="14">
        <f t="shared" si="10"/>
        <v>18912.079999999987</v>
      </c>
      <c r="X40" s="15">
        <f>IFERROR(W40/W444, "NA")</f>
        <v>2.9125574246645458</v>
      </c>
      <c r="Y40" s="2"/>
      <c r="Z40" s="14">
        <f>IFERROR(Z31+Z32+Z33+Z34+Z35+Z36+Z37+Z38+Z39, "NA")</f>
        <v>82892.609999999986</v>
      </c>
      <c r="AA40" s="15">
        <f>IFERROR(Z40/Z444, "NA")</f>
        <v>0.28900004044269406</v>
      </c>
      <c r="AB40" s="2"/>
      <c r="AC40" s="14">
        <f t="shared" si="11"/>
        <v>2366.8800000000047</v>
      </c>
      <c r="AD40" s="15">
        <f>IFERROR(AC40/AC444, "NA")</f>
        <v>0.1277330152888036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53432.71</v>
      </c>
      <c r="F42" s="8">
        <f>IFERROR(E42/E444, "NA")</f>
        <v>0.3409999656656042</v>
      </c>
      <c r="G42" s="9"/>
      <c r="H42" s="10">
        <f>IFERROR(B42-E42, "NA")</f>
        <v>-53432.71</v>
      </c>
      <c r="I42" s="8">
        <f>IFERROR(H42/H444, "NA")</f>
        <v>-3.0331644353820577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101912.01</v>
      </c>
      <c r="U42" s="8">
        <f>IFERROR(T42/T444, "NA")</f>
        <v>0.34099998792085484</v>
      </c>
      <c r="V42" s="9"/>
      <c r="W42" s="10">
        <f>IFERROR(Q42-T42, "NA")</f>
        <v>-101912.01</v>
      </c>
      <c r="X42" s="8">
        <f>IFERROR(W42/W444, "NA")</f>
        <v>-15.694972810393548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11660.18</v>
      </c>
      <c r="C43" s="8">
        <f>IFERROR(B43/B444, "NA")</f>
        <v>6.6893220448081284E-2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11660.18</v>
      </c>
      <c r="I43" s="8">
        <f>IFERROR(H43/H444, "NA")</f>
        <v>0.66190248044976874</v>
      </c>
      <c r="J43" s="9"/>
      <c r="K43" s="7">
        <v>8570.86</v>
      </c>
      <c r="L43" s="8">
        <f>IFERROR(K43/K444, "NA")</f>
        <v>5.7432916440342034E-2</v>
      </c>
      <c r="M43" s="9"/>
      <c r="N43" s="10">
        <f>IFERROR(B43-K43, "NA")</f>
        <v>3089.3199999999997</v>
      </c>
      <c r="O43" s="8">
        <f>IFERROR(N43/N444, "NA")</f>
        <v>0.12318943447989861</v>
      </c>
      <c r="P43" s="9"/>
      <c r="Q43" s="7">
        <v>13528.06</v>
      </c>
      <c r="R43" s="8">
        <f>IFERROR(Q43/Q444, "NA")</f>
        <v>4.4302657066926911E-2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13528.06</v>
      </c>
      <c r="X43" s="8">
        <f>IFERROR(W43/W444, "NA")</f>
        <v>2.0833907002459529</v>
      </c>
      <c r="Y43" s="9"/>
      <c r="Z43" s="7">
        <v>14489.76</v>
      </c>
      <c r="AA43" s="8">
        <f>IFERROR(Z43/Z444, "NA")</f>
        <v>5.0517666484442121E-2</v>
      </c>
      <c r="AB43" s="9"/>
      <c r="AC43" s="10">
        <f>IFERROR(Q43-Z43, "NA")</f>
        <v>-961.70000000000073</v>
      </c>
      <c r="AD43" s="8">
        <f>IFERROR(AC43/AC444, "NA")</f>
        <v>-5.189990232003408E-2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44970.7</v>
      </c>
      <c r="C48" s="8">
        <f>IFERROR(B48/B444, "NA")</f>
        <v>0.25799215353489641</v>
      </c>
      <c r="D48" s="9"/>
      <c r="E48" s="7">
        <v>0</v>
      </c>
      <c r="F48" s="8">
        <f>IFERROR(E48/E444, "NA")</f>
        <v>0</v>
      </c>
      <c r="G48" s="9"/>
      <c r="H48" s="10">
        <f t="shared" si="12"/>
        <v>44970.7</v>
      </c>
      <c r="I48" s="8">
        <f>IFERROR(H48/H444, "NA")</f>
        <v>2.5528094658540788</v>
      </c>
      <c r="J48" s="9"/>
      <c r="K48" s="7">
        <v>34503.910000000003</v>
      </c>
      <c r="L48" s="8">
        <f>IFERROR(K48/K444, "NA")</f>
        <v>0.23120902451971936</v>
      </c>
      <c r="M48" s="9"/>
      <c r="N48" s="10">
        <f t="shared" si="13"/>
        <v>10466.789999999994</v>
      </c>
      <c r="O48" s="8">
        <f>IFERROR(N48/N444, "NA")</f>
        <v>0.41737273604542657</v>
      </c>
      <c r="P48" s="9"/>
      <c r="Q48" s="7">
        <v>70606.850000000006</v>
      </c>
      <c r="R48" s="8">
        <f>IFERROR(Q48/Q444, "NA")</f>
        <v>0.23122835514670606</v>
      </c>
      <c r="S48" s="9"/>
      <c r="T48" s="7">
        <v>0</v>
      </c>
      <c r="U48" s="8">
        <f>IFERROR(T48/T444, "NA")</f>
        <v>0</v>
      </c>
      <c r="V48" s="9"/>
      <c r="W48" s="10">
        <f t="shared" si="14"/>
        <v>70606.850000000006</v>
      </c>
      <c r="X48" s="8">
        <f>IFERROR(W48/W444, "NA")</f>
        <v>10.873817433073254</v>
      </c>
      <c r="Y48" s="9"/>
      <c r="Z48" s="7">
        <v>68314.58</v>
      </c>
      <c r="AA48" s="8">
        <f>IFERROR(Z48/Z444, "NA")</f>
        <v>0.2381746259748084</v>
      </c>
      <c r="AB48" s="9"/>
      <c r="AC48" s="10">
        <f t="shared" si="15"/>
        <v>2292.2700000000041</v>
      </c>
      <c r="AD48" s="8">
        <f>IFERROR(AC48/AC444, "NA")</f>
        <v>0.12370654995439809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2340.08</v>
      </c>
      <c r="C51" s="8">
        <f>IFERROR(B51/B444, "NA")</f>
        <v>1.3424791667551105E-2</v>
      </c>
      <c r="D51" s="9"/>
      <c r="E51" s="7">
        <v>0</v>
      </c>
      <c r="F51" s="8">
        <f>IFERROR(E51/E444, "NA")</f>
        <v>0</v>
      </c>
      <c r="G51" s="9"/>
      <c r="H51" s="10">
        <f t="shared" si="12"/>
        <v>2340.08</v>
      </c>
      <c r="I51" s="8">
        <f>IFERROR(H51/H444, "NA")</f>
        <v>0.13283712227863503</v>
      </c>
      <c r="J51" s="9"/>
      <c r="K51" s="7">
        <v>3236.45</v>
      </c>
      <c r="L51" s="8">
        <f>IFERROR(K51/K444, "NA")</f>
        <v>2.1687294205405869E-2</v>
      </c>
      <c r="M51" s="9"/>
      <c r="N51" s="10">
        <f t="shared" si="13"/>
        <v>-896.36999999999989</v>
      </c>
      <c r="O51" s="8">
        <f>IFERROR(N51/N444, "NA")</f>
        <v>-3.5743566022537872E-2</v>
      </c>
      <c r="P51" s="9"/>
      <c r="Q51" s="7">
        <v>4498.59</v>
      </c>
      <c r="R51" s="8">
        <f>IFERROR(Q51/Q444, "NA")</f>
        <v>1.4732303822921154E-2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4498.59</v>
      </c>
      <c r="X51" s="8">
        <f>IFERROR(W51/W444, "NA")</f>
        <v>0.69280595815064705</v>
      </c>
      <c r="Y51" s="9"/>
      <c r="Z51" s="7">
        <v>6779.44</v>
      </c>
      <c r="AA51" s="8">
        <f>IFERROR(Z51/Z444, "NA")</f>
        <v>2.3636105005968785E-2</v>
      </c>
      <c r="AB51" s="9"/>
      <c r="AC51" s="10">
        <f t="shared" si="15"/>
        <v>-2280.8499999999995</v>
      </c>
      <c r="AD51" s="8">
        <f>IFERROR(AC51/AC444, "NA")</f>
        <v>-0.12309024873312843</v>
      </c>
    </row>
    <row r="52" spans="1:30" ht="16.5" customHeight="1" x14ac:dyDescent="0.45">
      <c r="A52" s="17" t="s">
        <v>50</v>
      </c>
      <c r="B52" s="7">
        <v>7000</v>
      </c>
      <c r="C52" s="8">
        <f>IFERROR(B52/B444, "NA")</f>
        <v>4.0158260261554189E-2</v>
      </c>
      <c r="D52" s="9"/>
      <c r="E52" s="7">
        <v>0</v>
      </c>
      <c r="F52" s="8">
        <f>IFERROR(E52/E444, "NA")</f>
        <v>0</v>
      </c>
      <c r="G52" s="9"/>
      <c r="H52" s="10">
        <f t="shared" si="12"/>
        <v>7000</v>
      </c>
      <c r="I52" s="8">
        <f>IFERROR(H52/H444, "NA")</f>
        <v>0.39736242177636888</v>
      </c>
      <c r="J52" s="9"/>
      <c r="K52" s="7">
        <v>0</v>
      </c>
      <c r="L52" s="8">
        <f>IFERROR(K52/K444, "NA")</f>
        <v>0</v>
      </c>
      <c r="M52" s="9"/>
      <c r="N52" s="10">
        <f t="shared" si="13"/>
        <v>7000</v>
      </c>
      <c r="O52" s="8">
        <f>IFERROR(N52/N444, "NA")</f>
        <v>0.27913134325977573</v>
      </c>
      <c r="P52" s="9"/>
      <c r="Q52" s="7">
        <v>7000</v>
      </c>
      <c r="R52" s="8">
        <f>IFERROR(Q52/Q444, "NA")</f>
        <v>2.2924099942526005E-2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7000</v>
      </c>
      <c r="X52" s="8">
        <f>IFERROR(W52/W444, "NA")</f>
        <v>1.0780359417183003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7000</v>
      </c>
      <c r="AD52" s="8">
        <f>IFERROR(AC52/AC444, "NA")</f>
        <v>0.3777678238954334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54310.78</v>
      </c>
      <c r="C61" s="15">
        <f>IFERROR(B61/B444, "NA")</f>
        <v>0.31157520546400175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54310.78</v>
      </c>
      <c r="I61" s="15">
        <f>IFERROR(H61/H444, "NA")</f>
        <v>3.083009009909083</v>
      </c>
      <c r="J61" s="2"/>
      <c r="K61" s="14">
        <f>IFERROR(K46+K47+K48+K49+K50+K51+K52+K53+K54+K55+K56+K57+K58+K59+K60, "NA")</f>
        <v>37740.36</v>
      </c>
      <c r="L61" s="15">
        <f>IFERROR(K61/K444, "NA")</f>
        <v>0.25289631872512525</v>
      </c>
      <c r="M61" s="2"/>
      <c r="N61" s="14">
        <f t="shared" si="13"/>
        <v>16570.419999999998</v>
      </c>
      <c r="O61" s="15">
        <f>IFERROR(N61/N444, "NA")</f>
        <v>0.66076051328266461</v>
      </c>
      <c r="P61" s="2"/>
      <c r="Q61" s="14">
        <f>IFERROR(Q46+Q47+Q48+Q49+Q50+Q51+Q52+Q53+Q54+Q55+Q56+Q57+Q58+Q59+Q60, "NA")</f>
        <v>82105.440000000002</v>
      </c>
      <c r="R61" s="15">
        <f>IFERROR(Q61/Q444, "NA")</f>
        <v>0.26888475891215324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82105.440000000002</v>
      </c>
      <c r="X61" s="15">
        <f>IFERROR(W61/W444, "NA")</f>
        <v>12.644659332942201</v>
      </c>
      <c r="Y61" s="2"/>
      <c r="Z61" s="14">
        <f>IFERROR(Z46+Z47+Z48+Z49+Z50+Z51+Z52+Z53+Z54+Z55+Z56+Z57+Z58+Z59+Z60, "NA")</f>
        <v>75094.02</v>
      </c>
      <c r="AA61" s="15">
        <f>IFERROR(Z61/Z444, "NA")</f>
        <v>0.26181073098077723</v>
      </c>
      <c r="AB61" s="2"/>
      <c r="AC61" s="14">
        <f t="shared" si="15"/>
        <v>7011.4199999999983</v>
      </c>
      <c r="AD61" s="15">
        <f>IFERROR(AC61/AC444, "NA")</f>
        <v>0.37838412511670272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65970.959999999992</v>
      </c>
      <c r="C62" s="15">
        <f>IFERROR(B62/B444, "NA")</f>
        <v>0.37846842591208296</v>
      </c>
      <c r="D62" s="2"/>
      <c r="E62" s="14">
        <f>IFERROR(E42+E43+E44+E46+E47+E48+E49+E50+E51+E52+E53+E54+E55+E56+E57+E58+E59+E60, "NA")</f>
        <v>53432.71</v>
      </c>
      <c r="F62" s="15">
        <f>IFERROR(E62/E444, "NA")</f>
        <v>0.3409999656656042</v>
      </c>
      <c r="G62" s="2"/>
      <c r="H62" s="14">
        <f t="shared" si="12"/>
        <v>12538.249999999993</v>
      </c>
      <c r="I62" s="15">
        <f>IFERROR(H62/H444, "NA")</f>
        <v>0.71174705497679347</v>
      </c>
      <c r="J62" s="2"/>
      <c r="K62" s="14">
        <f>IFERROR(K42+K43+K44+K46+K47+K48+K49+K50+K51+K52+K53+K54+K55+K56+K57+K58+K59+K60, "NA")</f>
        <v>46311.22</v>
      </c>
      <c r="L62" s="15">
        <f>IFERROR(K62/K444, "NA")</f>
        <v>0.31032923516546723</v>
      </c>
      <c r="M62" s="2"/>
      <c r="N62" s="14">
        <f t="shared" si="13"/>
        <v>19659.739999999991</v>
      </c>
      <c r="O62" s="15">
        <f>IFERROR(N62/N444, "NA")</f>
        <v>0.78394994776256288</v>
      </c>
      <c r="P62" s="2"/>
      <c r="Q62" s="14">
        <f>IFERROR(Q42+Q43+Q44+Q46+Q47+Q48+Q49+Q50+Q51+Q52+Q53+Q54+Q55+Q56+Q57+Q58+Q59+Q60, "NA")</f>
        <v>95633.5</v>
      </c>
      <c r="R62" s="15">
        <f>IFERROR(Q62/Q444, "NA")</f>
        <v>0.31318741597908012</v>
      </c>
      <c r="S62" s="2"/>
      <c r="T62" s="14">
        <f>IFERROR(T42+T43+T44+T46+T47+T48+T49+T50+T51+T52+T53+T54+T55+T56+T57+T58+T59+T60, "NA")</f>
        <v>101912.01</v>
      </c>
      <c r="U62" s="15">
        <f>IFERROR(T62/T444, "NA")</f>
        <v>0.34099998792085484</v>
      </c>
      <c r="V62" s="2"/>
      <c r="W62" s="14">
        <f t="shared" si="14"/>
        <v>-6278.5099999999948</v>
      </c>
      <c r="X62" s="15">
        <f>IFERROR(W62/W444, "NA")</f>
        <v>-0.96692277720539432</v>
      </c>
      <c r="Y62" s="2"/>
      <c r="Z62" s="14">
        <f>IFERROR(Z42+Z43+Z44+Z46+Z47+Z48+Z49+Z50+Z51+Z52+Z53+Z54+Z55+Z56+Z57+Z58+Z59+Z60, "NA")</f>
        <v>89583.78</v>
      </c>
      <c r="AA62" s="15">
        <f>IFERROR(Z62/Z444, "NA")</f>
        <v>0.31232839746521929</v>
      </c>
      <c r="AB62" s="2"/>
      <c r="AC62" s="14">
        <f t="shared" si="15"/>
        <v>6049.7200000000012</v>
      </c>
      <c r="AD62" s="15">
        <f>IFERROR(AC62/AC444, "NA")</f>
        <v>0.32648422279666883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13632.39</v>
      </c>
      <c r="F64" s="8">
        <f>IFERROR(E64/E444, "NA")</f>
        <v>8.6999976642399862E-2</v>
      </c>
      <c r="G64" s="9"/>
      <c r="H64" s="10">
        <f t="shared" ref="H64:H73" si="16">IFERROR(B64-E64, "NA")</f>
        <v>-13632.39</v>
      </c>
      <c r="I64" s="8">
        <f>IFERROR(H64/H444, "NA")</f>
        <v>-0.77385707214285049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26001.01</v>
      </c>
      <c r="U64" s="8">
        <f>IFERROR(T64/T444, "NA")</f>
        <v>8.699999240452648E-2</v>
      </c>
      <c r="V64" s="9"/>
      <c r="W64" s="10">
        <f t="shared" ref="W64:W73" si="18">IFERROR(Q64-T64, "NA")</f>
        <v>-26001.01</v>
      </c>
      <c r="X64" s="8">
        <f>IFERROR(W64/W444, "NA")</f>
        <v>-4.0042890429967066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4211.29</v>
      </c>
      <c r="C65" s="8">
        <f>IFERROR(B65/B444, "NA")</f>
        <v>2.4159725693840079E-2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4211.29</v>
      </c>
      <c r="I65" s="8">
        <f>IFERROR(H65/H444, "NA")</f>
        <v>0.23905834188608635</v>
      </c>
      <c r="J65" s="9"/>
      <c r="K65" s="7">
        <v>0</v>
      </c>
      <c r="L65" s="8">
        <f>IFERROR(K65/K444, "NA")</f>
        <v>0</v>
      </c>
      <c r="M65" s="9"/>
      <c r="N65" s="10">
        <f t="shared" si="17"/>
        <v>4211.29</v>
      </c>
      <c r="O65" s="8">
        <f>IFERROR(N65/N444, "NA")</f>
        <v>0.16792900493663726</v>
      </c>
      <c r="P65" s="9"/>
      <c r="Q65" s="7">
        <v>5724.42</v>
      </c>
      <c r="R65" s="8">
        <f>IFERROR(Q65/Q444, "NA")</f>
        <v>1.8746739456142105E-2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5724.42</v>
      </c>
      <c r="X65" s="8">
        <f>IFERROR(W65/W444, "NA")</f>
        <v>0.88159007221301044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5724.42</v>
      </c>
      <c r="AD65" s="8">
        <f>IFERROR(AC65/AC444, "NA")</f>
        <v>0.30892881235192809</v>
      </c>
    </row>
    <row r="66" spans="1:30" ht="16.5" customHeight="1" x14ac:dyDescent="0.45">
      <c r="A66" s="12" t="s">
        <v>63</v>
      </c>
      <c r="B66" s="7">
        <v>12942.69</v>
      </c>
      <c r="C66" s="8">
        <f>IFERROR(B66/B444, "NA")</f>
        <v>7.4250844786373546E-2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12942.69</v>
      </c>
      <c r="I66" s="8">
        <f>IFERROR(H66/H444, "NA")</f>
        <v>0.73470552038582748</v>
      </c>
      <c r="J66" s="9"/>
      <c r="K66" s="7">
        <v>9663.7800000000007</v>
      </c>
      <c r="L66" s="8">
        <f>IFERROR(K66/K444, "NA")</f>
        <v>6.475652026025959E-2</v>
      </c>
      <c r="M66" s="9"/>
      <c r="N66" s="10">
        <f t="shared" si="17"/>
        <v>3278.91</v>
      </c>
      <c r="O66" s="8">
        <f>IFERROR(N66/N444, "NA")</f>
        <v>0.13074950753255873</v>
      </c>
      <c r="P66" s="9"/>
      <c r="Q66" s="7">
        <v>22360.92</v>
      </c>
      <c r="R66" s="8">
        <f>IFERROR(Q66/Q444, "NA")</f>
        <v>7.3229137840975511E-2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22360.92</v>
      </c>
      <c r="X66" s="8">
        <f>IFERROR(W66/W444, "NA")</f>
        <v>3.4436964928410823</v>
      </c>
      <c r="Y66" s="9"/>
      <c r="Z66" s="7">
        <v>16868</v>
      </c>
      <c r="AA66" s="8">
        <f>IFERROR(Z66/Z444, "NA")</f>
        <v>5.8809255519730458E-2</v>
      </c>
      <c r="AB66" s="9"/>
      <c r="AC66" s="10">
        <f t="shared" si="19"/>
        <v>5492.9199999999983</v>
      </c>
      <c r="AD66" s="8">
        <f>IFERROR(AC66/AC444, "NA")</f>
        <v>0.29643549074738618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9882.75</v>
      </c>
      <c r="AA67" s="8">
        <f>IFERROR(Z67/Z444, "NA")</f>
        <v>3.4455606473062381E-2</v>
      </c>
      <c r="AB67" s="9"/>
      <c r="AC67" s="10">
        <f t="shared" si="19"/>
        <v>-9882.75</v>
      </c>
      <c r="AD67" s="8">
        <f>IFERROR(AC67/AC444, "NA")</f>
        <v>-0.53334070880037066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customHeight="1" x14ac:dyDescent="0.45">
      <c r="A72" s="12" t="s">
        <v>69</v>
      </c>
      <c r="B72" s="7">
        <v>1353.8</v>
      </c>
      <c r="C72" s="8">
        <f>IFERROR(B72/B444, "NA")</f>
        <v>7.7666075345845806E-3</v>
      </c>
      <c r="D72" s="9"/>
      <c r="E72" s="7">
        <v>0</v>
      </c>
      <c r="F72" s="8">
        <f>IFERROR(E72/E444, "NA")</f>
        <v>0</v>
      </c>
      <c r="G72" s="9"/>
      <c r="H72" s="10">
        <f t="shared" si="16"/>
        <v>1353.8</v>
      </c>
      <c r="I72" s="8">
        <f>IFERROR(H72/H444, "NA")</f>
        <v>7.6849892371549738E-2</v>
      </c>
      <c r="J72" s="9"/>
      <c r="K72" s="7">
        <v>0</v>
      </c>
      <c r="L72" s="8">
        <f>IFERROR(K72/K444, "NA")</f>
        <v>0</v>
      </c>
      <c r="M72" s="9"/>
      <c r="N72" s="10">
        <f t="shared" si="17"/>
        <v>1353.8</v>
      </c>
      <c r="O72" s="8">
        <f>IFERROR(N72/N444, "NA")</f>
        <v>5.3984001786440618E-2</v>
      </c>
      <c r="P72" s="9"/>
      <c r="Q72" s="7">
        <v>1353.8</v>
      </c>
      <c r="R72" s="8">
        <f>IFERROR(Q72/Q444, "NA")</f>
        <v>4.4335209288845299E-3</v>
      </c>
      <c r="S72" s="9"/>
      <c r="T72" s="7">
        <v>0</v>
      </c>
      <c r="U72" s="8">
        <f>IFERROR(T72/T444, "NA")</f>
        <v>0</v>
      </c>
      <c r="V72" s="9"/>
      <c r="W72" s="10">
        <f t="shared" si="18"/>
        <v>1353.8</v>
      </c>
      <c r="X72" s="8">
        <f>IFERROR(W72/W444, "NA")</f>
        <v>0.20849215112831929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1353.8</v>
      </c>
      <c r="AD72" s="8">
        <f>IFERROR(AC72/AC444, "NA")</f>
        <v>7.3060297141376809E-2</v>
      </c>
    </row>
    <row r="73" spans="1:30" ht="16.5" customHeight="1" x14ac:dyDescent="0.45">
      <c r="A73" s="13" t="s">
        <v>70</v>
      </c>
      <c r="B73" s="14">
        <f>IFERROR(B64+B65+B66+B67+B68+B69+B70+B71+B72, "NA")</f>
        <v>18507.78</v>
      </c>
      <c r="C73" s="15">
        <f>IFERROR(B73/B444, "NA")</f>
        <v>0.1061771780147982</v>
      </c>
      <c r="D73" s="2"/>
      <c r="E73" s="14">
        <f>IFERROR(E64+E65+E66+E67+E68+E69+E70+E71+E72, "NA")</f>
        <v>13632.39</v>
      </c>
      <c r="F73" s="15">
        <f>IFERROR(E73/E444, "NA")</f>
        <v>8.6999976642399862E-2</v>
      </c>
      <c r="G73" s="2"/>
      <c r="H73" s="14">
        <f t="shared" si="16"/>
        <v>4875.3899999999994</v>
      </c>
      <c r="I73" s="15">
        <f>IFERROR(H73/H444, "NA")</f>
        <v>0.27675668250061297</v>
      </c>
      <c r="J73" s="2"/>
      <c r="K73" s="14">
        <f>IFERROR(K64+K65+K66+K67+K68+K69+K70+K71+K72, "NA")</f>
        <v>9663.7800000000007</v>
      </c>
      <c r="L73" s="15">
        <f>IFERROR(K73/K444, "NA")</f>
        <v>6.475652026025959E-2</v>
      </c>
      <c r="M73" s="2"/>
      <c r="N73" s="14">
        <f t="shared" si="17"/>
        <v>8843.9999999999982</v>
      </c>
      <c r="O73" s="15">
        <f>IFERROR(N73/N444, "NA")</f>
        <v>0.35266251425563655</v>
      </c>
      <c r="P73" s="2"/>
      <c r="Q73" s="14">
        <f>IFERROR(Q64+Q65+Q66+Q67+Q68+Q69+Q70+Q71+Q72, "NA")</f>
        <v>29439.139999999996</v>
      </c>
      <c r="R73" s="15">
        <f>IFERROR(Q73/Q444, "NA")</f>
        <v>9.6409398226002141E-2</v>
      </c>
      <c r="S73" s="2"/>
      <c r="T73" s="14">
        <f>IFERROR(T64+T65+T66+T67+T68+T69+T70+T71+T72, "NA")</f>
        <v>26001.01</v>
      </c>
      <c r="U73" s="15">
        <f>IFERROR(T73/T444, "NA")</f>
        <v>8.699999240452648E-2</v>
      </c>
      <c r="V73" s="2"/>
      <c r="W73" s="14">
        <f t="shared" si="18"/>
        <v>3438.1299999999974</v>
      </c>
      <c r="X73" s="15">
        <f>IFERROR(W73/W444, "NA")</f>
        <v>0.52948967318570528</v>
      </c>
      <c r="Y73" s="2"/>
      <c r="Z73" s="14">
        <f>IFERROR(Z64+Z65+Z66+Z67+Z68+Z69+Z70+Z71+Z72, "NA")</f>
        <v>26750.75</v>
      </c>
      <c r="AA73" s="15">
        <f>IFERROR(Z73/Z444, "NA")</f>
        <v>9.3264861992792839E-2</v>
      </c>
      <c r="AB73" s="2"/>
      <c r="AC73" s="14">
        <f t="shared" si="19"/>
        <v>2688.3899999999958</v>
      </c>
      <c r="AD73" s="15">
        <f>IFERROR(AC73/AC444, "NA")</f>
        <v>0.14508389144032036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4387.4399999999996</v>
      </c>
      <c r="F75" s="8">
        <f>IFERROR(E75/E444, "NA")</f>
        <v>2.8000018890299561E-2</v>
      </c>
      <c r="G75" s="9"/>
      <c r="H75" s="10">
        <f t="shared" ref="H75:H92" si="20">IFERROR(B75-E75, "NA")</f>
        <v>-4387.4399999999996</v>
      </c>
      <c r="I75" s="8">
        <f>IFERROR(H75/H444, "NA")</f>
        <v>-0.2490576833997874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8368.14</v>
      </c>
      <c r="U75" s="8">
        <f>IFERROR(T75/T444, "NA")</f>
        <v>2.7999993709475677E-2</v>
      </c>
      <c r="V75" s="9"/>
      <c r="W75" s="10">
        <f t="shared" ref="W75:W92" si="22">IFERROR(Q75-T75, "NA")</f>
        <v>-8368.14</v>
      </c>
      <c r="X75" s="8">
        <f>IFERROR(W75/W444, "NA")</f>
        <v>-1.2887365264757968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979.57</v>
      </c>
      <c r="C77" s="8">
        <f>IFERROR(B77/B444, "NA")</f>
        <v>5.6196895720586632E-3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979.57</v>
      </c>
      <c r="I77" s="8">
        <f>IFERROR(H77/H444, "NA")</f>
        <v>5.5606329642782525E-2</v>
      </c>
      <c r="J77" s="9"/>
      <c r="K77" s="7">
        <v>725.52</v>
      </c>
      <c r="L77" s="8">
        <f>IFERROR(K77/K444, "NA")</f>
        <v>4.861674270236236E-3</v>
      </c>
      <c r="M77" s="9"/>
      <c r="N77" s="10">
        <f t="shared" si="21"/>
        <v>254.05000000000007</v>
      </c>
      <c r="O77" s="8">
        <f>IFERROR(N77/N444, "NA")</f>
        <v>1.0130473965020863E-2</v>
      </c>
      <c r="P77" s="9"/>
      <c r="Q77" s="7">
        <v>1242.4100000000001</v>
      </c>
      <c r="R77" s="8">
        <f>IFERROR(Q77/Q444, "NA")</f>
        <v>4.0687330013705336E-3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1242.4100000000001</v>
      </c>
      <c r="X77" s="8">
        <f>IFERROR(W77/W444, "NA")</f>
        <v>0.19133751919289052</v>
      </c>
      <c r="Y77" s="9"/>
      <c r="Z77" s="7">
        <v>1415.27</v>
      </c>
      <c r="AA77" s="8">
        <f>IFERROR(Z77/Z444, "NA")</f>
        <v>4.9342527305791398E-3</v>
      </c>
      <c r="AB77" s="9"/>
      <c r="AC77" s="10">
        <f t="shared" si="23"/>
        <v>-172.8599999999999</v>
      </c>
      <c r="AD77" s="8">
        <f>IFERROR(AC77/AC444, "NA")</f>
        <v>-9.328706576937797E-3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2.99</v>
      </c>
      <c r="C79" s="8">
        <f>IFERROR(B79/B444, "NA")</f>
        <v>1.7153314026006719E-5</v>
      </c>
      <c r="D79" s="9"/>
      <c r="E79" s="7">
        <v>0</v>
      </c>
      <c r="F79" s="8">
        <f>IFERROR(E79/E444, "NA")</f>
        <v>0</v>
      </c>
      <c r="G79" s="9"/>
      <c r="H79" s="10">
        <f t="shared" si="20"/>
        <v>2.99</v>
      </c>
      <c r="I79" s="8">
        <f>IFERROR(H79/H444, "NA")</f>
        <v>1.697305201587633E-4</v>
      </c>
      <c r="J79" s="9"/>
      <c r="K79" s="7">
        <v>0</v>
      </c>
      <c r="L79" s="8">
        <f>IFERROR(K79/K444, "NA")</f>
        <v>0</v>
      </c>
      <c r="M79" s="9"/>
      <c r="N79" s="10">
        <f t="shared" si="21"/>
        <v>2.99</v>
      </c>
      <c r="O79" s="8">
        <f>IFERROR(N79/N444, "NA")</f>
        <v>1.192289594781042E-4</v>
      </c>
      <c r="P79" s="9"/>
      <c r="Q79" s="7">
        <v>8.9700000000000006</v>
      </c>
      <c r="R79" s="8">
        <f>IFERROR(Q79/Q444, "NA")</f>
        <v>2.9375596640636899E-5</v>
      </c>
      <c r="S79" s="9"/>
      <c r="T79" s="7">
        <v>0</v>
      </c>
      <c r="U79" s="8">
        <f>IFERROR(T79/T444, "NA")</f>
        <v>0</v>
      </c>
      <c r="V79" s="9"/>
      <c r="W79" s="10">
        <f t="shared" si="22"/>
        <v>8.9700000000000006</v>
      </c>
      <c r="X79" s="8">
        <f>IFERROR(W79/W444, "NA")</f>
        <v>1.3814260567447363E-3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8.9700000000000006</v>
      </c>
      <c r="AD79" s="8">
        <f>IFERROR(AC79/AC444, "NA")</f>
        <v>4.8408248290600538E-4</v>
      </c>
    </row>
    <row r="80" spans="1:30" ht="16.5" customHeight="1" x14ac:dyDescent="0.45">
      <c r="A80" s="12" t="s">
        <v>76</v>
      </c>
      <c r="B80" s="7">
        <v>4554.4399999999996</v>
      </c>
      <c r="C80" s="8">
        <f>IFERROR(B80/B444, "NA")</f>
        <v>2.6128340980804694E-2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4554.4399999999996</v>
      </c>
      <c r="I80" s="8">
        <f>IFERROR(H80/H444, "NA")</f>
        <v>0.25853761546216647</v>
      </c>
      <c r="J80" s="9"/>
      <c r="K80" s="7">
        <v>3566.49</v>
      </c>
      <c r="L80" s="8">
        <f>IFERROR(K80/K444, "NA")</f>
        <v>2.389887621024208E-2</v>
      </c>
      <c r="M80" s="9"/>
      <c r="N80" s="10">
        <f t="shared" si="21"/>
        <v>987.94999999999982</v>
      </c>
      <c r="O80" s="8">
        <f>IFERROR(N80/N444, "NA")</f>
        <v>3.9395401510499334E-2</v>
      </c>
      <c r="P80" s="9"/>
      <c r="Q80" s="7">
        <v>6918.93</v>
      </c>
      <c r="R80" s="8">
        <f>IFERROR(Q80/Q444, "NA")</f>
        <v>2.2658606116477353E-2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6918.93</v>
      </c>
      <c r="X80" s="8">
        <f>IFERROR(W80/W444, "NA")</f>
        <v>1.0655507454618571</v>
      </c>
      <c r="Y80" s="9"/>
      <c r="Z80" s="7">
        <v>6732.66</v>
      </c>
      <c r="AA80" s="8">
        <f>IFERROR(Z80/Z444, "NA")</f>
        <v>2.347300938270503E-2</v>
      </c>
      <c r="AB80" s="9"/>
      <c r="AC80" s="10">
        <f t="shared" si="23"/>
        <v>186.27000000000044</v>
      </c>
      <c r="AD80" s="8">
        <f>IFERROR(AC80/AC444, "NA")</f>
        <v>1.0052401793857507E-2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988.28</v>
      </c>
      <c r="AA87" s="8">
        <f>IFERROR(Z87/Z444, "NA")</f>
        <v>3.4455780795019692E-3</v>
      </c>
      <c r="AB87" s="9"/>
      <c r="AC87" s="10">
        <f t="shared" si="23"/>
        <v>-988.28</v>
      </c>
      <c r="AD87" s="8">
        <f>IFERROR(AC87/AC444, "NA")</f>
        <v>-5.3334340714196987E-2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5537</v>
      </c>
      <c r="C88" s="15">
        <f>IFERROR(B88/B444, "NA")</f>
        <v>3.1765183866889368E-2</v>
      </c>
      <c r="D88" s="2"/>
      <c r="E88" s="14">
        <f>IFERROR(E75+E76+E77+E78+E79+E80+E81+E82+E83+E84+E85+E86+E87, "NA")</f>
        <v>4387.4399999999996</v>
      </c>
      <c r="F88" s="15">
        <f>IFERROR(E88/E444, "NA")</f>
        <v>2.8000018890299561E-2</v>
      </c>
      <c r="G88" s="2"/>
      <c r="H88" s="14">
        <f t="shared" si="20"/>
        <v>1149.5600000000004</v>
      </c>
      <c r="I88" s="15">
        <f>IFERROR(H88/H444, "NA")</f>
        <v>6.52559922253204E-2</v>
      </c>
      <c r="J88" s="2"/>
      <c r="K88" s="14">
        <f>IFERROR(K75+K76+K77+K78+K79+K80+K81+K82+K83+K84+K85+K86+K87, "NA")</f>
        <v>4292.01</v>
      </c>
      <c r="L88" s="15">
        <f>IFERROR(K88/K444, "NA")</f>
        <v>2.876055048047832E-2</v>
      </c>
      <c r="M88" s="2"/>
      <c r="N88" s="14">
        <f t="shared" si="21"/>
        <v>1244.9899999999998</v>
      </c>
      <c r="O88" s="15">
        <f>IFERROR(N88/N444, "NA")</f>
        <v>4.9645104434998297E-2</v>
      </c>
      <c r="P88" s="2"/>
      <c r="Q88" s="14">
        <f>IFERROR(Q75+Q76+Q77+Q78+Q79+Q80+Q81+Q82+Q83+Q84+Q85+Q86+Q87, "NA")</f>
        <v>8170.31</v>
      </c>
      <c r="R88" s="15">
        <f>IFERROR(Q88/Q444, "NA")</f>
        <v>2.6756714714488525E-2</v>
      </c>
      <c r="S88" s="2"/>
      <c r="T88" s="14">
        <f>IFERROR(T75+T76+T77+T78+T79+T80+T81+T82+T83+T84+T85+T86+T87, "NA")</f>
        <v>8368.14</v>
      </c>
      <c r="U88" s="15">
        <f>IFERROR(T88/T444, "NA")</f>
        <v>2.7999993709475677E-2</v>
      </c>
      <c r="V88" s="2"/>
      <c r="W88" s="14">
        <f t="shared" si="22"/>
        <v>-197.82999999999902</v>
      </c>
      <c r="X88" s="15">
        <f>IFERROR(W88/W444, "NA")</f>
        <v>-3.0466835764304329E-2</v>
      </c>
      <c r="Y88" s="2"/>
      <c r="Z88" s="14">
        <f>IFERROR(Z75+Z76+Z77+Z78+Z79+Z80+Z81+Z82+Z83+Z84+Z85+Z86+Z87, "NA")</f>
        <v>9136.2100000000009</v>
      </c>
      <c r="AA88" s="15">
        <f>IFERROR(Z88/Z444, "NA")</f>
        <v>3.1852840192786142E-2</v>
      </c>
      <c r="AB88" s="2"/>
      <c r="AC88" s="14">
        <f t="shared" si="23"/>
        <v>-965.90000000000055</v>
      </c>
      <c r="AD88" s="15">
        <f>IFERROR(AC88/AC444, "NA")</f>
        <v>-5.2126563014371331E-2</v>
      </c>
    </row>
    <row r="89" spans="1:30" ht="16.5" hidden="1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0</v>
      </c>
      <c r="L89" s="8">
        <f>IFERROR(K89/K444, "NA")</f>
        <v>0</v>
      </c>
      <c r="M89" s="9"/>
      <c r="N89" s="10">
        <f t="shared" si="21"/>
        <v>0</v>
      </c>
      <c r="O89" s="8">
        <f>IFERROR(N89/N444, "NA")</f>
        <v>0</v>
      </c>
      <c r="P89" s="9"/>
      <c r="Q89" s="7">
        <v>0</v>
      </c>
      <c r="R89" s="8">
        <f>IFERROR(Q89/Q444, "NA")</f>
        <v>0</v>
      </c>
      <c r="S89" s="9"/>
      <c r="T89" s="7">
        <v>0</v>
      </c>
      <c r="U89" s="8">
        <f>IFERROR(T89/T444, "NA")</f>
        <v>0</v>
      </c>
      <c r="V89" s="9"/>
      <c r="W89" s="10">
        <f t="shared" si="22"/>
        <v>0</v>
      </c>
      <c r="X89" s="8">
        <f>IFERROR(W89/W444, "NA")</f>
        <v>0</v>
      </c>
      <c r="Y89" s="9"/>
      <c r="Z89" s="7">
        <v>0</v>
      </c>
      <c r="AA89" s="8">
        <f>IFERROR(Z89/Z444, "NA")</f>
        <v>0</v>
      </c>
      <c r="AB89" s="9"/>
      <c r="AC89" s="10">
        <f t="shared" si="23"/>
        <v>0</v>
      </c>
      <c r="AD89" s="8">
        <f>IFERROR(AC89/AC444, "NA")</f>
        <v>0</v>
      </c>
    </row>
    <row r="90" spans="1:30" ht="16.5" customHeight="1" x14ac:dyDescent="0.45">
      <c r="A90" s="6" t="s">
        <v>86</v>
      </c>
      <c r="B90" s="7">
        <v>-426.63</v>
      </c>
      <c r="C90" s="8">
        <f>IFERROR(B90/B444, "NA")</f>
        <v>-2.4475312250552663E-3</v>
      </c>
      <c r="D90" s="9"/>
      <c r="E90" s="7">
        <v>0</v>
      </c>
      <c r="F90" s="8">
        <f>IFERROR(E90/E444, "NA")</f>
        <v>0</v>
      </c>
      <c r="G90" s="9"/>
      <c r="H90" s="10">
        <f t="shared" si="20"/>
        <v>-426.63</v>
      </c>
      <c r="I90" s="8">
        <f>IFERROR(H90/H444, "NA")</f>
        <v>-2.4218104286064607E-2</v>
      </c>
      <c r="J90" s="9"/>
      <c r="K90" s="7">
        <v>0</v>
      </c>
      <c r="L90" s="8">
        <f>IFERROR(K90/K444, "NA")</f>
        <v>0</v>
      </c>
      <c r="M90" s="9"/>
      <c r="N90" s="10">
        <f t="shared" si="21"/>
        <v>-426.63</v>
      </c>
      <c r="O90" s="8">
        <f>IFERROR(N90/N444, "NA")</f>
        <v>-1.7012257853559729E-2</v>
      </c>
      <c r="P90" s="9"/>
      <c r="Q90" s="7">
        <v>-632.08000000000004</v>
      </c>
      <c r="R90" s="8">
        <f>IFERROR(Q90/Q444, "NA")</f>
        <v>-2.0699807273816912E-3</v>
      </c>
      <c r="S90" s="9"/>
      <c r="T90" s="7">
        <v>0</v>
      </c>
      <c r="U90" s="8">
        <f>IFERROR(T90/T444, "NA")</f>
        <v>0</v>
      </c>
      <c r="V90" s="9"/>
      <c r="W90" s="10">
        <f t="shared" si="22"/>
        <v>-632.08000000000004</v>
      </c>
      <c r="X90" s="8">
        <f>IFERROR(W90/W444, "NA")</f>
        <v>-9.734356543447191E-2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-632.08000000000004</v>
      </c>
      <c r="AD90" s="8">
        <f>IFERROR(AC90/AC444, "NA")</f>
        <v>-3.4111355161117934E-2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-6424.46</v>
      </c>
      <c r="F94" s="8">
        <f>IFERROR(E94/E444, "NA")</f>
        <v>-4.0999991193036017E-2</v>
      </c>
      <c r="G94" s="9"/>
      <c r="H94" s="10">
        <f t="shared" ref="H94:H124" si="24">IFERROR(B94-E94, "NA")</f>
        <v>6424.46</v>
      </c>
      <c r="I94" s="8">
        <f>IFERROR(H94/H444, "NA")</f>
        <v>0.36469128345791585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-12253.35</v>
      </c>
      <c r="U94" s="8">
        <f>IFERROR(T94/T444, "NA")</f>
        <v>-4.0999997958925616E-2</v>
      </c>
      <c r="V94" s="9"/>
      <c r="W94" s="10">
        <f t="shared" ref="W94:W124" si="26">IFERROR(Q94-T94, "NA")</f>
        <v>12253.35</v>
      </c>
      <c r="X94" s="8">
        <f>IFERROR(W94/W444, "NA")</f>
        <v>1.8870788152077052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-1444.58</v>
      </c>
      <c r="C96" s="8">
        <f>IFERROR(B96/B444, "NA")</f>
        <v>-8.2874028012337071E-3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-1444.58</v>
      </c>
      <c r="I96" s="8">
        <f>IFERROR(H96/H444, "NA")</f>
        <v>-8.200311532138671E-2</v>
      </c>
      <c r="J96" s="9"/>
      <c r="K96" s="7">
        <v>-1945</v>
      </c>
      <c r="L96" s="8">
        <f>IFERROR(K96/K444, "NA")</f>
        <v>-1.3033350501170857E-2</v>
      </c>
      <c r="M96" s="9"/>
      <c r="N96" s="10">
        <f t="shared" si="25"/>
        <v>500.42000000000007</v>
      </c>
      <c r="O96" s="8">
        <f>IFERROR(N96/N444, "NA")</f>
        <v>1.9954700970579567E-2</v>
      </c>
      <c r="P96" s="9"/>
      <c r="Q96" s="7">
        <v>-2248.13</v>
      </c>
      <c r="R96" s="8">
        <f>IFERROR(Q96/Q444, "NA")</f>
        <v>-7.3623366862558565E-3</v>
      </c>
      <c r="S96" s="9"/>
      <c r="T96" s="7">
        <v>0</v>
      </c>
      <c r="U96" s="8">
        <f>IFERROR(T96/T444, "NA")</f>
        <v>0</v>
      </c>
      <c r="V96" s="9"/>
      <c r="W96" s="10">
        <f t="shared" si="26"/>
        <v>-2248.13</v>
      </c>
      <c r="X96" s="8">
        <f>IFERROR(W96/W444, "NA")</f>
        <v>-0.3462235630935947</v>
      </c>
      <c r="Y96" s="9"/>
      <c r="Z96" s="7">
        <v>-3458.95</v>
      </c>
      <c r="AA96" s="8">
        <f>IFERROR(Z96/Z444, "NA")</f>
        <v>-1.2059418685082503E-2</v>
      </c>
      <c r="AB96" s="9"/>
      <c r="AC96" s="10">
        <f t="shared" si="27"/>
        <v>1210.8199999999997</v>
      </c>
      <c r="AD96" s="8">
        <f>IFERROR(AC96/AC444, "NA")</f>
        <v>6.5344119504152656E-2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-1083.73</v>
      </c>
      <c r="C98" s="8">
        <f>IFERROR(B98/B444, "NA")</f>
        <v>-6.2172444847505897E-3</v>
      </c>
      <c r="D98" s="9"/>
      <c r="E98" s="7">
        <v>0</v>
      </c>
      <c r="F98" s="8">
        <f>IFERROR(E98/E444, "NA")</f>
        <v>0</v>
      </c>
      <c r="G98" s="9"/>
      <c r="H98" s="10">
        <f t="shared" si="24"/>
        <v>-1083.73</v>
      </c>
      <c r="I98" s="8">
        <f>IFERROR(H98/H444, "NA")</f>
        <v>-6.1519082478814893E-2</v>
      </c>
      <c r="J98" s="9"/>
      <c r="K98" s="7">
        <v>-1214.82</v>
      </c>
      <c r="L98" s="8">
        <f>IFERROR(K98/K444, "NA")</f>
        <v>-8.1404497973431248E-3</v>
      </c>
      <c r="M98" s="9"/>
      <c r="N98" s="10">
        <f t="shared" si="25"/>
        <v>131.08999999999992</v>
      </c>
      <c r="O98" s="8">
        <f>IFERROR(N98/N444, "NA")</f>
        <v>5.2273325411319963E-3</v>
      </c>
      <c r="P98" s="9"/>
      <c r="Q98" s="7">
        <v>-3207.3</v>
      </c>
      <c r="R98" s="8">
        <f>IFERROR(Q98/Q444, "NA")</f>
        <v>-1.050349510652338E-2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-3207.3</v>
      </c>
      <c r="X98" s="8">
        <f>IFERROR(W98/W444, "NA")</f>
        <v>-0.49394066798187214</v>
      </c>
      <c r="Y98" s="9"/>
      <c r="Z98" s="7">
        <v>-2826.56</v>
      </c>
      <c r="AA98" s="8">
        <f>IFERROR(Z98/Z444, "NA")</f>
        <v>-9.8546294333560196E-3</v>
      </c>
      <c r="AB98" s="9"/>
      <c r="AC98" s="10">
        <f t="shared" si="27"/>
        <v>-380.74000000000024</v>
      </c>
      <c r="AD98" s="8">
        <f>IFERROR(AC98/AC444, "NA")</f>
        <v>-2.0547331609992486E-2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-1111.55</v>
      </c>
      <c r="C100" s="8">
        <f>IFERROR(B100/B444, "NA")</f>
        <v>-6.3768448848186511E-3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-1111.55</v>
      </c>
      <c r="I100" s="8">
        <f>IFERROR(H100/H444, "NA")</f>
        <v>-6.3098314275074688E-2</v>
      </c>
      <c r="J100" s="9"/>
      <c r="K100" s="7">
        <v>-27</v>
      </c>
      <c r="L100" s="8">
        <f>IFERROR(K100/K444, "NA")</f>
        <v>-1.8092568819106074E-4</v>
      </c>
      <c r="M100" s="9"/>
      <c r="N100" s="10">
        <f t="shared" si="25"/>
        <v>-1084.55</v>
      </c>
      <c r="O100" s="8">
        <f>IFERROR(N100/N444, "NA")</f>
        <v>-4.3247414047484251E-2</v>
      </c>
      <c r="P100" s="9"/>
      <c r="Q100" s="7">
        <v>-1129.1400000000001</v>
      </c>
      <c r="R100" s="8">
        <f>IFERROR(Q100/Q444, "NA")</f>
        <v>-3.6977883155862594E-3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-1129.1400000000001</v>
      </c>
      <c r="X100" s="8">
        <f>IFERROR(W100/W444, "NA")</f>
        <v>-0.17389335760454311</v>
      </c>
      <c r="Y100" s="9"/>
      <c r="Z100" s="7">
        <v>-405.66</v>
      </c>
      <c r="AA100" s="8">
        <f>IFERROR(Z100/Z444, "NA")</f>
        <v>-1.4143089040866647E-3</v>
      </c>
      <c r="AB100" s="9"/>
      <c r="AC100" s="10">
        <f t="shared" si="27"/>
        <v>-723.48</v>
      </c>
      <c r="AD100" s="8">
        <f>IFERROR(AC100/AC444, "NA")</f>
        <v>-3.9043923604552597E-2</v>
      </c>
    </row>
    <row r="101" spans="1:30" ht="16.5" customHeight="1" x14ac:dyDescent="0.45">
      <c r="A101" s="12" t="s">
        <v>96</v>
      </c>
      <c r="B101" s="7">
        <v>-43.07</v>
      </c>
      <c r="C101" s="8">
        <f>IFERROR(B101/B444, "NA")</f>
        <v>-2.4708803849501985E-4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-43.07</v>
      </c>
      <c r="I101" s="8">
        <f>IFERROR(H101/H444, "NA")</f>
        <v>-2.4449142151297442E-3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-43.07</v>
      </c>
      <c r="O101" s="8">
        <f>IFERROR(N101/N444, "NA")</f>
        <v>-1.7174552791712199E-3</v>
      </c>
      <c r="P101" s="9"/>
      <c r="Q101" s="7">
        <v>-43.07</v>
      </c>
      <c r="R101" s="8">
        <f>IFERROR(Q101/Q444, "NA")</f>
        <v>-1.4104871207494215E-4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-43.07</v>
      </c>
      <c r="X101" s="8">
        <f>IFERROR(W101/W444, "NA")</f>
        <v>-6.6330011442581709E-3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-43.07</v>
      </c>
      <c r="AD101" s="8">
        <f>IFERROR(AC101/AC444, "NA")</f>
        <v>-2.3243514535966165E-3</v>
      </c>
    </row>
    <row r="102" spans="1:30" ht="16.5" customHeight="1" x14ac:dyDescent="0.45">
      <c r="A102" s="12" t="s">
        <v>97</v>
      </c>
      <c r="B102" s="7">
        <v>-1953.23</v>
      </c>
      <c r="C102" s="8">
        <f>IFERROR(B102/B444, "NA")</f>
        <v>-1.1205474098667928E-2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-1953.23</v>
      </c>
      <c r="I102" s="8">
        <f>IFERROR(H102/H444, "NA")</f>
        <v>-0.11087717186946529</v>
      </c>
      <c r="J102" s="9"/>
      <c r="K102" s="7">
        <v>-1879.2</v>
      </c>
      <c r="L102" s="8">
        <f>IFERROR(K102/K444, "NA")</f>
        <v>-1.2592427898097827E-2</v>
      </c>
      <c r="M102" s="9"/>
      <c r="N102" s="10">
        <f t="shared" si="25"/>
        <v>-74.029999999999973</v>
      </c>
      <c r="O102" s="8">
        <f>IFERROR(N102/N444, "NA")</f>
        <v>-2.9520133345030267E-3</v>
      </c>
      <c r="P102" s="9"/>
      <c r="Q102" s="7">
        <v>-3124.27</v>
      </c>
      <c r="R102" s="8">
        <f>IFERROR(Q102/Q444, "NA")</f>
        <v>-1.0231582532490818E-2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-3124.27</v>
      </c>
      <c r="X102" s="8">
        <f>IFERROR(W102/W444, "NA")</f>
        <v>-0.48115362166174774</v>
      </c>
      <c r="Y102" s="9"/>
      <c r="Z102" s="7">
        <v>-3255</v>
      </c>
      <c r="AA102" s="8">
        <f>IFERROR(Z102/Z444, "NA")</f>
        <v>-1.1348359421195319E-2</v>
      </c>
      <c r="AB102" s="9"/>
      <c r="AC102" s="10">
        <f t="shared" si="27"/>
        <v>130.73000000000002</v>
      </c>
      <c r="AD102" s="8">
        <f>IFERROR(AC102/AC444, "NA")</f>
        <v>7.0550839454071451E-3</v>
      </c>
    </row>
    <row r="103" spans="1:30" ht="16.5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-86</v>
      </c>
      <c r="R103" s="8">
        <f>IFERROR(Q103/Q444, "NA")</f>
        <v>-2.816389421510338E-4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-86</v>
      </c>
      <c r="X103" s="8">
        <f>IFERROR(W103/W444, "NA")</f>
        <v>-1.3244441569681976E-2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-86</v>
      </c>
      <c r="AD103" s="8">
        <f>IFERROR(AC103/AC444, "NA")</f>
        <v>-4.6411475507153249E-3</v>
      </c>
    </row>
    <row r="104" spans="1:30" ht="16.5" customHeight="1" x14ac:dyDescent="0.45">
      <c r="A104" s="12" t="s">
        <v>99</v>
      </c>
      <c r="B104" s="7">
        <v>-110.12</v>
      </c>
      <c r="C104" s="8">
        <f>IFERROR(B104/B444, "NA")</f>
        <v>-6.3174680285747829E-4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-110.12</v>
      </c>
      <c r="I104" s="8">
        <f>IFERROR(H104/H444, "NA")</f>
        <v>-6.2510785551448209E-3</v>
      </c>
      <c r="J104" s="9"/>
      <c r="K104" s="7">
        <v>-363.41</v>
      </c>
      <c r="L104" s="8">
        <f>IFERROR(K104/K444, "NA")</f>
        <v>-2.4351927535375328E-3</v>
      </c>
      <c r="M104" s="9"/>
      <c r="N104" s="10">
        <f t="shared" si="25"/>
        <v>253.29000000000002</v>
      </c>
      <c r="O104" s="8">
        <f>IFERROR(N104/N444, "NA")</f>
        <v>1.0100168276324085E-2</v>
      </c>
      <c r="P104" s="9"/>
      <c r="Q104" s="7">
        <v>-375.43</v>
      </c>
      <c r="R104" s="8">
        <f>IFERROR(Q104/Q444, "NA")</f>
        <v>-1.229484977346077E-3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-375.43</v>
      </c>
      <c r="X104" s="8">
        <f>IFERROR(W104/W444, "NA")</f>
        <v>-5.7818147657043073E-2</v>
      </c>
      <c r="Y104" s="9"/>
      <c r="Z104" s="7">
        <v>-913.18</v>
      </c>
      <c r="AA104" s="8">
        <f>IFERROR(Z104/Z444, "NA")</f>
        <v>-3.183746499615097E-3</v>
      </c>
      <c r="AB104" s="9"/>
      <c r="AC104" s="10">
        <f t="shared" si="27"/>
        <v>537.75</v>
      </c>
      <c r="AD104" s="8">
        <f>IFERROR(AC104/AC444, "NA")</f>
        <v>2.9020663899967044E-2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-66.849999999999994</v>
      </c>
      <c r="C106" s="8">
        <f>IFERROR(B106/B444, "NA")</f>
        <v>-3.8351138549784248E-4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-66.849999999999994</v>
      </c>
      <c r="I106" s="8">
        <f>IFERROR(H106/H444, "NA")</f>
        <v>-3.7948111279643227E-3</v>
      </c>
      <c r="J106" s="9"/>
      <c r="K106" s="7">
        <v>-88.16</v>
      </c>
      <c r="L106" s="8">
        <f>IFERROR(K106/K444, "NA")</f>
        <v>-5.9075587670088571E-4</v>
      </c>
      <c r="M106" s="9"/>
      <c r="N106" s="10">
        <f t="shared" si="25"/>
        <v>21.310000000000002</v>
      </c>
      <c r="O106" s="8">
        <f>IFERROR(N106/N444, "NA")</f>
        <v>8.4975556069511729E-4</v>
      </c>
      <c r="P106" s="9"/>
      <c r="Q106" s="7">
        <v>-66.849999999999994</v>
      </c>
      <c r="R106" s="8">
        <f>IFERROR(Q106/Q444, "NA")</f>
        <v>-2.1892515445112335E-4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-66.849999999999994</v>
      </c>
      <c r="X106" s="8">
        <f>IFERROR(W106/W444, "NA")</f>
        <v>-1.0295243243409767E-2</v>
      </c>
      <c r="Y106" s="9"/>
      <c r="Z106" s="7">
        <v>-88.16</v>
      </c>
      <c r="AA106" s="8">
        <f>IFERROR(Z106/Z444, "NA")</f>
        <v>-3.0736447513750515E-4</v>
      </c>
      <c r="AB106" s="9"/>
      <c r="AC106" s="10">
        <f t="shared" si="27"/>
        <v>21.310000000000002</v>
      </c>
      <c r="AD106" s="8">
        <f>IFERROR(AC106/AC444, "NA")</f>
        <v>1.1500331896016694E-3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-5813.13</v>
      </c>
      <c r="C118" s="15">
        <f>IFERROR(B118/B444, "NA")</f>
        <v>-3.3349312496321219E-2</v>
      </c>
      <c r="D118" s="2"/>
      <c r="E118" s="14">
        <f>IFERROR(E94+E95+E96+E97+E98+E99+E100+E101+E102+E103+E104+E105+E106+E107+E108+E109+E110+E111+E112+E113+E114+E115+E116+E117, "NA")</f>
        <v>-6424.46</v>
      </c>
      <c r="F118" s="15">
        <f>IFERROR(E118/E444, "NA")</f>
        <v>-4.0999991193036017E-2</v>
      </c>
      <c r="G118" s="2"/>
      <c r="H118" s="14">
        <f t="shared" si="24"/>
        <v>611.32999999999993</v>
      </c>
      <c r="I118" s="15">
        <f>IFERROR(H118/H444, "NA")</f>
        <v>3.4702795614935368E-2</v>
      </c>
      <c r="J118" s="2"/>
      <c r="K118" s="14">
        <f>IFERROR(K94+K95+K96+K97+K98+K99+K100+K101+K102+K103+K104+K105+K106+K107+K108+K109+K110+K111+K112+K113+K114+K115+K116+K117, "NA")</f>
        <v>-5517.5899999999992</v>
      </c>
      <c r="L118" s="15">
        <f>IFERROR(K118/K444, "NA")</f>
        <v>-3.6973102515041281E-2</v>
      </c>
      <c r="M118" s="2"/>
      <c r="N118" s="14">
        <f t="shared" si="25"/>
        <v>-295.54000000000087</v>
      </c>
      <c r="O118" s="15">
        <f>IFERROR(N118/N444, "NA")</f>
        <v>-1.1784925312427766E-2</v>
      </c>
      <c r="P118" s="2"/>
      <c r="Q118" s="14">
        <f>IFERROR(Q94+Q95+Q96+Q97+Q98+Q99+Q100+Q101+Q102+Q103+Q104+Q105+Q106+Q107+Q108+Q109+Q110+Q111+Q112+Q113+Q114+Q115+Q116+Q117, "NA")</f>
        <v>-10280.19</v>
      </c>
      <c r="R118" s="15">
        <f>IFERROR(Q118/Q444, "NA")</f>
        <v>-3.3666300426879493E-2</v>
      </c>
      <c r="S118" s="2"/>
      <c r="T118" s="14">
        <f>IFERROR(T94+T95+T96+T97+T98+T99+T100+T101+T102+T103+T104+T105+T106+T107+T108+T109+T110+T111+T112+T113+T114+T115+T116+T117, "NA")</f>
        <v>-12253.35</v>
      </c>
      <c r="U118" s="15">
        <f>IFERROR(T118/T444, "NA")</f>
        <v>-4.0999997958925616E-2</v>
      </c>
      <c r="V118" s="2"/>
      <c r="W118" s="14">
        <f t="shared" si="26"/>
        <v>1973.1599999999999</v>
      </c>
      <c r="X118" s="15">
        <f>IFERROR(W118/W444, "NA")</f>
        <v>0.30387677125155449</v>
      </c>
      <c r="Y118" s="2"/>
      <c r="Z118" s="14">
        <f>IFERROR(Z94+Z95+Z96+Z97+Z98+Z99+Z100+Z101+Z102+Z103+Z104+Z105+Z106+Z107+Z108+Z109+Z110+Z111+Z112+Z113+Z114+Z115+Z116+Z117, "NA")</f>
        <v>-10947.51</v>
      </c>
      <c r="AA118" s="15">
        <f>IFERROR(Z118/Z444, "NA")</f>
        <v>-3.8167827418473112E-2</v>
      </c>
      <c r="AB118" s="2"/>
      <c r="AC118" s="14">
        <f t="shared" si="27"/>
        <v>667.31999999999971</v>
      </c>
      <c r="AD118" s="15">
        <f>IFERROR(AC118/AC444, "NA")</f>
        <v>3.60131463202715E-2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174310.33999999997</v>
      </c>
      <c r="C122" s="15">
        <f>IFERROR(B122/B444,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156694.18000000002</v>
      </c>
      <c r="F122" s="15">
        <f>IFERROR(E122/E444, "NA")</f>
        <v>1.0000000000000002</v>
      </c>
      <c r="G122" s="2"/>
      <c r="H122" s="14">
        <f t="shared" si="24"/>
        <v>17616.159999999945</v>
      </c>
      <c r="I122" s="15">
        <f>IFERROR(H122/H444, "NA")</f>
        <v>0.99999999999999667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149232.53999999998</v>
      </c>
      <c r="L122" s="15">
        <f>IFERROR(K122/K444, "NA")</f>
        <v>0.99999999999999978</v>
      </c>
      <c r="M122" s="2"/>
      <c r="N122" s="14">
        <f t="shared" si="25"/>
        <v>25077.799999999988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305355.49999999988</v>
      </c>
      <c r="R122" s="15">
        <f>IFERROR(Q122/Q444, "NA")</f>
        <v>0.99999999999999967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298862.21000000002</v>
      </c>
      <c r="U122" s="15">
        <f>IFERROR(T122/T444, "NA")</f>
        <v>1</v>
      </c>
      <c r="V122" s="2"/>
      <c r="W122" s="14">
        <f t="shared" si="26"/>
        <v>6493.2899999998626</v>
      </c>
      <c r="X122" s="15">
        <f>IFERROR(W122/W444, "NA")</f>
        <v>0.99999999999998213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286825.60000000009</v>
      </c>
      <c r="AA122" s="15">
        <f>IFERROR(Z122/Z444, "NA")</f>
        <v>1.0000000000000004</v>
      </c>
      <c r="AB122" s="2"/>
      <c r="AC122" s="14">
        <f t="shared" si="27"/>
        <v>18529.89999999979</v>
      </c>
      <c r="AD122" s="15">
        <f>IFERROR(AC122/AC444, "NA")</f>
        <v>0.99999999999998745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174310.33999999997</v>
      </c>
      <c r="C124" s="15">
        <f>IFERROR(B124/B444,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156694.18000000002</v>
      </c>
      <c r="F124" s="15">
        <f>IFERROR(E124/E444, "NA")</f>
        <v>1.0000000000000002</v>
      </c>
      <c r="G124" s="2"/>
      <c r="H124" s="14">
        <f t="shared" si="24"/>
        <v>17616.159999999945</v>
      </c>
      <c r="I124" s="15">
        <f>IFERROR(H124/H444, "NA")</f>
        <v>0.99999999999999667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149232.53999999998</v>
      </c>
      <c r="L124" s="15">
        <f>IFERROR(K124/K444, "NA")</f>
        <v>0.99999999999999978</v>
      </c>
      <c r="M124" s="2"/>
      <c r="N124" s="14">
        <f t="shared" si="25"/>
        <v>25077.799999999988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305355.49999999988</v>
      </c>
      <c r="R124" s="15">
        <f>IFERROR(Q124/Q444, "NA")</f>
        <v>0.99999999999999967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298862.21000000002</v>
      </c>
      <c r="U124" s="15">
        <f>IFERROR(T124/T444, "NA")</f>
        <v>1</v>
      </c>
      <c r="V124" s="2"/>
      <c r="W124" s="14">
        <f t="shared" si="26"/>
        <v>6493.2899999998626</v>
      </c>
      <c r="X124" s="15">
        <f>IFERROR(W124/W444, "NA")</f>
        <v>0.99999999999998213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286825.60000000009</v>
      </c>
      <c r="AA124" s="15">
        <f>IFERROR(Z124/Z444, "NA")</f>
        <v>1.0000000000000004</v>
      </c>
      <c r="AB124" s="2"/>
      <c r="AC124" s="14">
        <f t="shared" si="27"/>
        <v>18529.89999999979</v>
      </c>
      <c r="AD124" s="15">
        <f>IFERROR(AC124/AC444, "NA")</f>
        <v>0.99999999999998745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31965.61</v>
      </c>
      <c r="F129" s="8">
        <f>IFERROR(E129/E444, "NA")</f>
        <v>0.20399998264134636</v>
      </c>
      <c r="G129" s="9"/>
      <c r="H129" s="10">
        <f t="shared" ref="H129:H141" si="28">IFERROR(-(B129-E129), "NA")</f>
        <v>31965.61</v>
      </c>
      <c r="I129" s="8">
        <f>IFERROR(H129/H444, "NA")</f>
        <v>1.8145617433084165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62531.74</v>
      </c>
      <c r="U129" s="8">
        <f>IFERROR(T129/T444, "NA")</f>
        <v>0.20923267615534261</v>
      </c>
      <c r="V129" s="9"/>
      <c r="W129" s="10">
        <f t="shared" ref="W129:W141" si="30">IFERROR(-(Q129-T129), "NA")</f>
        <v>62531.74</v>
      </c>
      <c r="X129" s="8">
        <f>IFERROR(W129/W444, "NA")</f>
        <v>9.6302090311691302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7566.24</v>
      </c>
      <c r="C130" s="8">
        <f>IFERROR(B130/B444, "NA")</f>
        <v>4.3406719303054543E-2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-7566.24</v>
      </c>
      <c r="I130" s="8">
        <f>IFERROR(H130/H444, "NA")</f>
        <v>-0.42950563573446188</v>
      </c>
      <c r="J130" s="9"/>
      <c r="K130" s="7">
        <v>8807.82</v>
      </c>
      <c r="L130" s="8">
        <f>IFERROR(K130/K444, "NA")</f>
        <v>5.9020773887518092E-2</v>
      </c>
      <c r="M130" s="9"/>
      <c r="N130" s="10">
        <f t="shared" si="29"/>
        <v>1241.58</v>
      </c>
      <c r="O130" s="8">
        <f>IFERROR(N130/N444, "NA")</f>
        <v>4.9509127594924617E-2</v>
      </c>
      <c r="P130" s="9"/>
      <c r="Q130" s="7">
        <v>14040.85</v>
      </c>
      <c r="R130" s="8">
        <f>IFERROR(Q130/Q444, "NA")</f>
        <v>4.5981978382573757E-2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-14040.85</v>
      </c>
      <c r="X130" s="8">
        <f>IFERROR(W130/W444, "NA")</f>
        <v>-2.1623629931821999</v>
      </c>
      <c r="Y130" s="9"/>
      <c r="Z130" s="7">
        <v>15824.55</v>
      </c>
      <c r="AA130" s="8">
        <f>IFERROR(Z130/Z444, "NA")</f>
        <v>5.517133059252731E-2</v>
      </c>
      <c r="AB130" s="9"/>
      <c r="AC130" s="10">
        <f t="shared" si="31"/>
        <v>1783.6999999999989</v>
      </c>
      <c r="AD130" s="8">
        <f>IFERROR(AC130/AC444, "NA")</f>
        <v>9.6260638211754873E-2</v>
      </c>
    </row>
    <row r="131" spans="1:30" ht="16.5" customHeight="1" x14ac:dyDescent="0.45">
      <c r="A131" s="12" t="s">
        <v>123</v>
      </c>
      <c r="B131" s="7">
        <v>4240.3</v>
      </c>
      <c r="C131" s="8">
        <f>IFERROR(B131/B444, "NA")</f>
        <v>2.4326152998152606E-2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-4240.3</v>
      </c>
      <c r="I131" s="8">
        <f>IFERROR(H131/H444, "NA")</f>
        <v>-0.24070512529404817</v>
      </c>
      <c r="J131" s="9"/>
      <c r="K131" s="7">
        <v>4203.4399999999996</v>
      </c>
      <c r="L131" s="8">
        <f>IFERROR(K131/K444, "NA")</f>
        <v>2.8167047213697491E-2</v>
      </c>
      <c r="M131" s="9"/>
      <c r="N131" s="10">
        <f t="shared" si="29"/>
        <v>-36.860000000000582</v>
      </c>
      <c r="O131" s="8">
        <f>IFERROR(N131/N444, "NA")</f>
        <v>-1.4698259017936421E-3</v>
      </c>
      <c r="P131" s="9"/>
      <c r="Q131" s="7">
        <v>8474.06</v>
      </c>
      <c r="R131" s="8">
        <f>IFERROR(Q131/Q444, "NA")</f>
        <v>2.7751456908423133E-2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-8474.06</v>
      </c>
      <c r="X131" s="8">
        <f>IFERROR(W131/W444, "NA")</f>
        <v>-1.3050487503253401</v>
      </c>
      <c r="Y131" s="9"/>
      <c r="Z131" s="7">
        <v>8002.75</v>
      </c>
      <c r="AA131" s="8">
        <f>IFERROR(Z131/Z444, "NA")</f>
        <v>2.7901100878024838E-2</v>
      </c>
      <c r="AB131" s="9"/>
      <c r="AC131" s="10">
        <f t="shared" si="31"/>
        <v>-471.30999999999949</v>
      </c>
      <c r="AD131" s="8">
        <f>IFERROR(AC131/AC444, "NA")</f>
        <v>-2.5435107582879504E-2</v>
      </c>
    </row>
    <row r="132" spans="1:30" ht="16.5" customHeight="1" x14ac:dyDescent="0.45">
      <c r="A132" s="12" t="s">
        <v>124</v>
      </c>
      <c r="B132" s="7">
        <v>5756.42</v>
      </c>
      <c r="C132" s="8">
        <f>IFERROR(B132/B444, "NA")</f>
        <v>3.30239732192594E-2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-5756.42</v>
      </c>
      <c r="I132" s="8">
        <f>IFERROR(H132/H444, "NA")</f>
        <v>-0.32676928456598936</v>
      </c>
      <c r="J132" s="9"/>
      <c r="K132" s="7">
        <v>5610.26</v>
      </c>
      <c r="L132" s="8">
        <f>IFERROR(K132/K444, "NA")</f>
        <v>3.7594079682621497E-2</v>
      </c>
      <c r="M132" s="9"/>
      <c r="N132" s="10">
        <f t="shared" si="29"/>
        <v>-146.15999999999985</v>
      </c>
      <c r="O132" s="8">
        <f>IFERROR(N132/N444, "NA")</f>
        <v>-5.828262447264111E-3</v>
      </c>
      <c r="P132" s="9"/>
      <c r="Q132" s="7">
        <v>9732.7099999999991</v>
      </c>
      <c r="R132" s="8">
        <f>IFERROR(Q132/Q444, "NA")</f>
        <v>3.1873373821660327E-2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-9732.7099999999991</v>
      </c>
      <c r="X132" s="8">
        <f>IFERROR(W132/W444, "NA")</f>
        <v>-1.4988873129030169</v>
      </c>
      <c r="Y132" s="9"/>
      <c r="Z132" s="7">
        <v>10674.63</v>
      </c>
      <c r="AA132" s="8">
        <f>IFERROR(Z132/Z444, "NA")</f>
        <v>3.7216447904231703E-2</v>
      </c>
      <c r="AB132" s="9"/>
      <c r="AC132" s="10">
        <f t="shared" si="31"/>
        <v>941.92000000000007</v>
      </c>
      <c r="AD132" s="8">
        <f>IFERROR(AC132/AC444, "NA")</f>
        <v>5.0832438383369524E-2</v>
      </c>
    </row>
    <row r="133" spans="1:30" ht="16.5" customHeight="1" x14ac:dyDescent="0.45">
      <c r="A133" s="12" t="s">
        <v>125</v>
      </c>
      <c r="B133" s="7">
        <v>3453.85</v>
      </c>
      <c r="C133" s="8">
        <f>IFERROR(B133/B444, "NA")</f>
        <v>1.9814372457766991E-2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-3453.85</v>
      </c>
      <c r="I133" s="8">
        <f>IFERROR(H133/H444, "NA")</f>
        <v>-0.19606145720747309</v>
      </c>
      <c r="J133" s="9"/>
      <c r="K133" s="7">
        <v>2923.39</v>
      </c>
      <c r="L133" s="8">
        <f>IFERROR(K133/K444, "NA")</f>
        <v>1.9589494355587593E-2</v>
      </c>
      <c r="M133" s="9"/>
      <c r="N133" s="10">
        <f t="shared" si="29"/>
        <v>-530.46</v>
      </c>
      <c r="O133" s="8">
        <f>IFERROR(N133/N444, "NA")</f>
        <v>-2.1152573192225806E-2</v>
      </c>
      <c r="P133" s="9"/>
      <c r="Q133" s="7">
        <v>6435.88</v>
      </c>
      <c r="R133" s="8">
        <f>IFERROR(Q133/Q444, "NA")</f>
        <v>2.1076679476872039E-2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-6435.88</v>
      </c>
      <c r="X133" s="8">
        <f>IFERROR(W133/W444, "NA")</f>
        <v>-0.99115856522656787</v>
      </c>
      <c r="Y133" s="9"/>
      <c r="Z133" s="7">
        <v>5804.41</v>
      </c>
      <c r="AA133" s="8">
        <f>IFERROR(Z133/Z444, "NA")</f>
        <v>2.0236722245155245E-2</v>
      </c>
      <c r="AB133" s="9"/>
      <c r="AC133" s="10">
        <f t="shared" si="31"/>
        <v>-631.47000000000025</v>
      </c>
      <c r="AD133" s="8">
        <f>IFERROR(AC133/AC444, "NA")</f>
        <v>-3.4078435393607061E-2</v>
      </c>
    </row>
    <row r="134" spans="1:30" ht="16.5" customHeight="1" x14ac:dyDescent="0.45">
      <c r="A134" s="12" t="s">
        <v>126</v>
      </c>
      <c r="B134" s="7">
        <v>1833.11</v>
      </c>
      <c r="C134" s="8">
        <f>IFERROR(B134/B444, "NA")</f>
        <v>1.0516358352579658E-2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-1833.11</v>
      </c>
      <c r="I134" s="8">
        <f>IFERROR(H134/H444, "NA")</f>
        <v>-0.10405843271178279</v>
      </c>
      <c r="J134" s="9"/>
      <c r="K134" s="7">
        <v>1058.2</v>
      </c>
      <c r="L134" s="8">
        <f>IFERROR(K134/K444, "NA")</f>
        <v>7.0909467868066839E-3</v>
      </c>
      <c r="M134" s="9"/>
      <c r="N134" s="10">
        <f t="shared" si="29"/>
        <v>-774.90999999999985</v>
      </c>
      <c r="O134" s="8">
        <f>IFERROR(N134/N444, "NA")</f>
        <v>-3.0900238457918963E-2</v>
      </c>
      <c r="P134" s="9"/>
      <c r="Q134" s="7">
        <v>3100.42</v>
      </c>
      <c r="R134" s="8">
        <f>IFERROR(Q134/Q444, "NA")</f>
        <v>1.0153476849115212E-2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-3100.42</v>
      </c>
      <c r="X134" s="8">
        <f>IFERROR(W134/W444, "NA")</f>
        <v>-0.47748059920317898</v>
      </c>
      <c r="Y134" s="9"/>
      <c r="Z134" s="7">
        <v>2010.63</v>
      </c>
      <c r="AA134" s="8">
        <f>IFERROR(Z134/Z444, "NA")</f>
        <v>7.0099391407182632E-3</v>
      </c>
      <c r="AB134" s="9"/>
      <c r="AC134" s="10">
        <f t="shared" si="31"/>
        <v>-1089.79</v>
      </c>
      <c r="AD134" s="8">
        <f>IFERROR(AC134/AC444, "NA")</f>
        <v>-5.8812513829000622E-2</v>
      </c>
    </row>
    <row r="135" spans="1:30" ht="16.5" customHeight="1" x14ac:dyDescent="0.45">
      <c r="A135" s="12" t="s">
        <v>127</v>
      </c>
      <c r="B135" s="7">
        <v>1707.76</v>
      </c>
      <c r="C135" s="8">
        <f>IFERROR(B135/B444, "NA")</f>
        <v>9.7972386491816839E-3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-1707.76</v>
      </c>
      <c r="I135" s="8">
        <f>IFERROR(H135/H444, "NA")</f>
        <v>-9.694280705897311E-2</v>
      </c>
      <c r="J135" s="9"/>
      <c r="K135" s="7">
        <v>1466.62</v>
      </c>
      <c r="L135" s="8">
        <f>IFERROR(K135/K444, "NA")</f>
        <v>9.8277493635101285E-3</v>
      </c>
      <c r="M135" s="9"/>
      <c r="N135" s="10">
        <f t="shared" si="29"/>
        <v>-241.1400000000001</v>
      </c>
      <c r="O135" s="8">
        <f>IFERROR(N135/N444, "NA")</f>
        <v>-9.6156760162374767E-3</v>
      </c>
      <c r="P135" s="9"/>
      <c r="Q135" s="7">
        <v>2999.76</v>
      </c>
      <c r="R135" s="8">
        <f>IFERROR(Q135/Q444, "NA")</f>
        <v>9.8238282919416876E-3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-2999.76</v>
      </c>
      <c r="X135" s="8">
        <f>IFERROR(W135/W444, "NA")</f>
        <v>-0.46197844236126984</v>
      </c>
      <c r="Y135" s="9"/>
      <c r="Z135" s="7">
        <v>3121.73</v>
      </c>
      <c r="AA135" s="8">
        <f>IFERROR(Z135/Z444, "NA")</f>
        <v>1.0883721676168377E-2</v>
      </c>
      <c r="AB135" s="9"/>
      <c r="AC135" s="10">
        <f t="shared" si="31"/>
        <v>121.9699999999998</v>
      </c>
      <c r="AD135" s="8">
        <f>IFERROR(AC135/AC444, "NA")</f>
        <v>6.5823344972179903E-3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784.27</v>
      </c>
      <c r="L136" s="8">
        <f>IFERROR(K136/K444, "NA")</f>
        <v>5.2553551658371554E-3</v>
      </c>
      <c r="M136" s="9"/>
      <c r="N136" s="10">
        <f t="shared" si="29"/>
        <v>784.27</v>
      </c>
      <c r="O136" s="8">
        <f>IFERROR(N136/N444, "NA")</f>
        <v>3.127347693976347E-2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1702.69</v>
      </c>
      <c r="AA136" s="8">
        <f>IFERROR(Z136/Z444, "NA")</f>
        <v>5.9363250700076985E-3</v>
      </c>
      <c r="AB136" s="9"/>
      <c r="AC136" s="10">
        <f t="shared" si="31"/>
        <v>1702.69</v>
      </c>
      <c r="AD136" s="8">
        <f>IFERROR(AC136/AC444, "NA")</f>
        <v>9.1888785152645078E-2</v>
      </c>
    </row>
    <row r="137" spans="1:30" ht="16.5" customHeight="1" x14ac:dyDescent="0.45">
      <c r="A137" s="12" t="s">
        <v>129</v>
      </c>
      <c r="B137" s="7">
        <v>949.99</v>
      </c>
      <c r="C137" s="8">
        <f>IFERROR(B137/B444, "NA")</f>
        <v>5.4499922379819812E-3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-949.99</v>
      </c>
      <c r="I137" s="8">
        <f>IFERROR(H137/H444, "NA")</f>
        <v>-5.3927189580476098E-2</v>
      </c>
      <c r="J137" s="9"/>
      <c r="K137" s="7">
        <v>695.34</v>
      </c>
      <c r="L137" s="8">
        <f>IFERROR(K137/K444, "NA")</f>
        <v>4.6594395565471179E-3</v>
      </c>
      <c r="M137" s="9"/>
      <c r="N137" s="10">
        <f t="shared" si="29"/>
        <v>-254.64999999999998</v>
      </c>
      <c r="O137" s="8">
        <f>IFERROR(N137/N444, "NA")</f>
        <v>-1.015439950872884E-2</v>
      </c>
      <c r="P137" s="9"/>
      <c r="Q137" s="7">
        <v>1471.16</v>
      </c>
      <c r="R137" s="8">
        <f>IFERROR(Q137/Q444, "NA")</f>
        <v>4.8178598387780798E-3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-1471.16</v>
      </c>
      <c r="X137" s="8">
        <f>IFERROR(W137/W444, "NA")</f>
        <v>-0.22656619371689926</v>
      </c>
      <c r="Y137" s="9"/>
      <c r="Z137" s="7">
        <v>1287.72</v>
      </c>
      <c r="AA137" s="8">
        <f>IFERROR(Z137/Z444, "NA")</f>
        <v>4.4895574174690133E-3</v>
      </c>
      <c r="AB137" s="9"/>
      <c r="AC137" s="10">
        <f t="shared" si="31"/>
        <v>-183.44000000000005</v>
      </c>
      <c r="AD137" s="8">
        <f>IFERROR(AC137/AC444, "NA")</f>
        <v>-9.89967565933976E-3</v>
      </c>
    </row>
    <row r="138" spans="1:30" ht="16.5" customHeight="1" x14ac:dyDescent="0.45">
      <c r="A138" s="12" t="s">
        <v>130</v>
      </c>
      <c r="B138" s="7">
        <v>11196.65</v>
      </c>
      <c r="C138" s="8">
        <f>IFERROR(B138/B444, "NA")</f>
        <v>6.4233997822504385E-2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-11196.65</v>
      </c>
      <c r="I138" s="8">
        <f>IFERROR(H138/H444, "NA")</f>
        <v>-0.63558970854034014</v>
      </c>
      <c r="J138" s="9"/>
      <c r="K138" s="7">
        <v>7224.29</v>
      </c>
      <c r="L138" s="8">
        <f>IFERROR(K138/K444, "NA")</f>
        <v>4.8409616294140673E-2</v>
      </c>
      <c r="M138" s="9"/>
      <c r="N138" s="10">
        <f t="shared" si="29"/>
        <v>-3972.3599999999997</v>
      </c>
      <c r="O138" s="8">
        <f>IFERROR(N138/N444, "NA")</f>
        <v>-0.1584014546730575</v>
      </c>
      <c r="P138" s="9"/>
      <c r="Q138" s="7">
        <v>20323.689999999999</v>
      </c>
      <c r="R138" s="8">
        <f>IFERROR(Q138/Q444, "NA")</f>
        <v>6.655747153727376E-2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-20323.689999999999</v>
      </c>
      <c r="X138" s="8">
        <f>IFERROR(W138/W444, "NA")</f>
        <v>-3.1299526126201145</v>
      </c>
      <c r="Y138" s="9"/>
      <c r="Z138" s="7">
        <v>14198.49</v>
      </c>
      <c r="AA138" s="8">
        <f>IFERROR(Z138/Z444, "NA")</f>
        <v>4.9502171354300316E-2</v>
      </c>
      <c r="AB138" s="9"/>
      <c r="AC138" s="10">
        <f t="shared" si="31"/>
        <v>-6125.1999999999989</v>
      </c>
      <c r="AD138" s="8">
        <f>IFERROR(AC138/AC444, "NA")</f>
        <v>-0.33055763927490117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36704.32</v>
      </c>
      <c r="C141" s="15">
        <f>IFERROR(B141/B444, "NA")</f>
        <v>0.21056880504048126</v>
      </c>
      <c r="D141" s="2"/>
      <c r="E141" s="14">
        <f>IFERROR(E129+E130+E131+E132+E133+E134+E135+E136+E137+E138+E139+E140, "NA")</f>
        <v>31965.61</v>
      </c>
      <c r="F141" s="15">
        <f>IFERROR(E141/E444, "NA")</f>
        <v>0.20399998264134636</v>
      </c>
      <c r="G141" s="2"/>
      <c r="H141" s="14">
        <f t="shared" si="28"/>
        <v>-4738.7099999999991</v>
      </c>
      <c r="I141" s="15">
        <f>IFERROR(H141/H444, "NA")</f>
        <v>-0.26899789738512808</v>
      </c>
      <c r="J141" s="2"/>
      <c r="K141" s="14">
        <f>IFERROR(K129+K130+K131+K132+K133+K134+K135+K136+K137+K138+K139+K140, "NA")</f>
        <v>32773.629999999997</v>
      </c>
      <c r="L141" s="15">
        <f>IFERROR(K141/K444, "NA")</f>
        <v>0.21961450230626642</v>
      </c>
      <c r="M141" s="2"/>
      <c r="N141" s="14">
        <f t="shared" si="29"/>
        <v>-3930.6900000000023</v>
      </c>
      <c r="O141" s="15">
        <f>IFERROR(N141/N444, "NA")</f>
        <v>-0.15673982566253836</v>
      </c>
      <c r="P141" s="2"/>
      <c r="Q141" s="14">
        <f>IFERROR(Q129+Q130+Q131+Q132+Q133+Q134+Q135+Q136+Q137+Q138+Q139+Q140, "NA")</f>
        <v>66578.53</v>
      </c>
      <c r="R141" s="15">
        <f>IFERROR(Q141/Q444, "NA")</f>
        <v>0.218036125106638</v>
      </c>
      <c r="S141" s="2"/>
      <c r="T141" s="14">
        <f>IFERROR(T129+T130+T131+T132+T133+T134+T135+T136+T137+T138+T139+T140, "NA")</f>
        <v>62531.74</v>
      </c>
      <c r="U141" s="15">
        <f>IFERROR(T141/T444, "NA")</f>
        <v>0.20923267615534261</v>
      </c>
      <c r="V141" s="2"/>
      <c r="W141" s="14">
        <f t="shared" si="30"/>
        <v>-4046.7900000000009</v>
      </c>
      <c r="X141" s="15">
        <f>IFERROR(W141/W444, "NA")</f>
        <v>-0.62322643836945735</v>
      </c>
      <c r="Y141" s="2"/>
      <c r="Z141" s="14">
        <f>IFERROR(Z129+Z130+Z131+Z132+Z133+Z134+Z135+Z136+Z137+Z138+Z139+Z140, "NA")</f>
        <v>62627.6</v>
      </c>
      <c r="AA141" s="15">
        <f>IFERROR(Z141/Z444, "NA")</f>
        <v>0.21834731627860277</v>
      </c>
      <c r="AB141" s="2"/>
      <c r="AC141" s="14">
        <f t="shared" si="31"/>
        <v>-3950.9300000000003</v>
      </c>
      <c r="AD141" s="15">
        <f>IFERROR(AC141/AC444, "NA")</f>
        <v>-0.21321917549474068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1410.25</v>
      </c>
      <c r="F143" s="8">
        <f>IFERROR(E143/E444, "NA")</f>
        <v>9.000015188821946E-3</v>
      </c>
      <c r="G143" s="9"/>
      <c r="H143" s="10">
        <f t="shared" ref="H143:H149" si="32">IFERROR(-(B143-E143), "NA")</f>
        <v>1410.25</v>
      </c>
      <c r="I143" s="8">
        <f>IFERROR(H143/H444, "NA")</f>
        <v>8.0054336472874896E-2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2689.76</v>
      </c>
      <c r="U143" s="8">
        <f>IFERROR(T143/T444, "NA")</f>
        <v>9.0000003680625936E-3</v>
      </c>
      <c r="V143" s="9"/>
      <c r="W143" s="10">
        <f t="shared" ref="W143:W149" si="34">IFERROR(-(Q143-T143), "NA")</f>
        <v>2689.76</v>
      </c>
      <c r="X143" s="8">
        <f>IFERROR(W143/W444, "NA")</f>
        <v>0.41423685065660226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1576.02</v>
      </c>
      <c r="C144" s="8">
        <f>IFERROR(B144/B444, "NA")</f>
        <v>9.0414601910592338E-3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-1576.02</v>
      </c>
      <c r="I144" s="8">
        <f>IFERROR(H144/H444, "NA")</f>
        <v>-8.9464446281141835E-2</v>
      </c>
      <c r="J144" s="9"/>
      <c r="K144" s="7">
        <v>1505.59</v>
      </c>
      <c r="L144" s="8">
        <f>IFERROR(K144/K444, "NA")</f>
        <v>1.0088885440132559E-2</v>
      </c>
      <c r="M144" s="9"/>
      <c r="N144" s="10">
        <f t="shared" si="33"/>
        <v>-70.430000000000064</v>
      </c>
      <c r="O144" s="8">
        <f>IFERROR(N144/N444, "NA")</f>
        <v>-2.8084600722551459E-3</v>
      </c>
      <c r="P144" s="9"/>
      <c r="Q144" s="7">
        <v>2963.54</v>
      </c>
      <c r="R144" s="8">
        <f>IFERROR(Q144/Q444, "NA")</f>
        <v>9.7052124490962181E-3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-2963.54</v>
      </c>
      <c r="X144" s="8">
        <f>IFERROR(W144/W444, "NA")</f>
        <v>-0.45640037638855024</v>
      </c>
      <c r="Y144" s="9"/>
      <c r="Z144" s="7">
        <v>3533.47</v>
      </c>
      <c r="AA144" s="8">
        <f>IFERROR(Z144/Z444, "NA")</f>
        <v>1.2319228130264523E-2</v>
      </c>
      <c r="AB144" s="9"/>
      <c r="AC144" s="10">
        <f t="shared" si="35"/>
        <v>569.92999999999984</v>
      </c>
      <c r="AD144" s="8">
        <f>IFERROR(AC144/AC444, "NA")</f>
        <v>3.0757316553246327E-2</v>
      </c>
    </row>
    <row r="145" spans="1:30" ht="16.5" customHeight="1" x14ac:dyDescent="0.45">
      <c r="A145" s="12" t="s">
        <v>136</v>
      </c>
      <c r="B145" s="7">
        <v>25.96</v>
      </c>
      <c r="C145" s="8">
        <f>IFERROR(B145/B444, "NA")</f>
        <v>1.4892977662713528E-4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-25.96</v>
      </c>
      <c r="I145" s="8">
        <f>IFERROR(H145/H444, "NA")</f>
        <v>-1.4736469241877909E-3</v>
      </c>
      <c r="J145" s="9"/>
      <c r="K145" s="7">
        <v>-1013.03</v>
      </c>
      <c r="L145" s="8">
        <f>IFERROR(K145/K444, "NA")</f>
        <v>-6.7882648114144534E-3</v>
      </c>
      <c r="M145" s="9"/>
      <c r="N145" s="10">
        <f t="shared" si="33"/>
        <v>-1038.99</v>
      </c>
      <c r="O145" s="8">
        <f>IFERROR(N145/N444, "NA")</f>
        <v>-4.1430667761924909E-2</v>
      </c>
      <c r="P145" s="9"/>
      <c r="Q145" s="7">
        <v>60.82</v>
      </c>
      <c r="R145" s="8">
        <f>IFERROR(Q145/Q444, "NA")</f>
        <v>1.9917767978634739E-4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-60.82</v>
      </c>
      <c r="X145" s="8">
        <f>IFERROR(W145/W444, "NA")</f>
        <v>-9.3665922821867184E-3</v>
      </c>
      <c r="Y145" s="9"/>
      <c r="Z145" s="7">
        <v>-982.9</v>
      </c>
      <c r="AA145" s="8">
        <f>IFERROR(Z145/Z444, "NA")</f>
        <v>-3.4268210368948939E-3</v>
      </c>
      <c r="AB145" s="9"/>
      <c r="AC145" s="10">
        <f t="shared" si="35"/>
        <v>-1043.72</v>
      </c>
      <c r="AD145" s="8">
        <f>IFERROR(AC145/AC444, "NA")</f>
        <v>-5.6326261879448822E-2</v>
      </c>
    </row>
    <row r="146" spans="1:30" ht="16.5" customHeight="1" x14ac:dyDescent="0.45">
      <c r="A146" s="12" t="s">
        <v>137</v>
      </c>
      <c r="B146" s="7">
        <v>4.79</v>
      </c>
      <c r="C146" s="8">
        <f>IFERROR(B146/B444, "NA")</f>
        <v>2.7479723807549225E-5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-4.79</v>
      </c>
      <c r="I146" s="8">
        <f>IFERROR(H146/H444, "NA")</f>
        <v>-2.7190942861554386E-4</v>
      </c>
      <c r="J146" s="9"/>
      <c r="K146" s="7">
        <v>-231.41</v>
      </c>
      <c r="L146" s="8">
        <f>IFERROR(K146/K444, "NA")</f>
        <v>-1.5506671668256802E-3</v>
      </c>
      <c r="M146" s="9"/>
      <c r="N146" s="10">
        <f t="shared" si="33"/>
        <v>-236.2</v>
      </c>
      <c r="O146" s="8">
        <f>IFERROR(N146/N444, "NA")</f>
        <v>-9.4186890397084319E-3</v>
      </c>
      <c r="P146" s="9"/>
      <c r="Q146" s="7">
        <v>6.39</v>
      </c>
      <c r="R146" s="8">
        <f>IFERROR(Q146/Q444, "NA")</f>
        <v>2.0926428376105881E-5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-6.39</v>
      </c>
      <c r="X146" s="8">
        <f>IFERROR(W146/W444, "NA")</f>
        <v>-9.84092809654277E-4</v>
      </c>
      <c r="Y146" s="9"/>
      <c r="Z146" s="7">
        <v>481.35</v>
      </c>
      <c r="AA146" s="8">
        <f>IFERROR(Z146/Z444, "NA")</f>
        <v>1.6781974830698517E-3</v>
      </c>
      <c r="AB146" s="9"/>
      <c r="AC146" s="10">
        <f t="shared" si="35"/>
        <v>474.96000000000004</v>
      </c>
      <c r="AD146" s="8">
        <f>IFERROR(AC146/AC444, "NA")</f>
        <v>2.5632086519625008E-2</v>
      </c>
    </row>
    <row r="147" spans="1:30" ht="16.5" customHeight="1" x14ac:dyDescent="0.45">
      <c r="A147" s="12" t="s">
        <v>138</v>
      </c>
      <c r="B147" s="7">
        <v>3.35</v>
      </c>
      <c r="C147" s="8">
        <f>IFERROR(B147/B444, "NA")</f>
        <v>1.9218595982315221E-5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-3.35</v>
      </c>
      <c r="I147" s="8">
        <f>IFERROR(H147/H444, "NA")</f>
        <v>-1.9016630185011941E-4</v>
      </c>
      <c r="J147" s="9"/>
      <c r="K147" s="7">
        <v>27.78</v>
      </c>
      <c r="L147" s="8">
        <f>IFERROR(K147/K444, "NA")</f>
        <v>1.8615243029435806E-4</v>
      </c>
      <c r="M147" s="9"/>
      <c r="N147" s="10">
        <f t="shared" si="33"/>
        <v>24.43</v>
      </c>
      <c r="O147" s="8">
        <f>IFERROR(N147/N444, "NA")</f>
        <v>9.7416838797661717E-4</v>
      </c>
      <c r="P147" s="9"/>
      <c r="Q147" s="7">
        <v>0.51</v>
      </c>
      <c r="R147" s="8">
        <f>IFERROR(Q147/Q444, "NA")</f>
        <v>1.6701844243840377E-6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-0.51</v>
      </c>
      <c r="X147" s="8">
        <f>IFERROR(W147/W444, "NA")</f>
        <v>-7.8542618610904737E-5</v>
      </c>
      <c r="Y147" s="9"/>
      <c r="Z147" s="7">
        <v>44.8</v>
      </c>
      <c r="AA147" s="8">
        <f>IFERROR(Z147/Z444, "NA")</f>
        <v>1.561924737540861E-4</v>
      </c>
      <c r="AB147" s="9"/>
      <c r="AC147" s="10">
        <f t="shared" si="35"/>
        <v>44.29</v>
      </c>
      <c r="AD147" s="8">
        <f>IFERROR(AC147/AC444, "NA")</f>
        <v>2.3901909886183919E-3</v>
      </c>
    </row>
    <row r="148" spans="1:30" ht="16.5" customHeight="1" x14ac:dyDescent="0.45">
      <c r="A148" s="13" t="s">
        <v>139</v>
      </c>
      <c r="B148" s="14">
        <f>IFERROR(B143+B144+B145+B146+B147, "NA")</f>
        <v>1610.12</v>
      </c>
      <c r="C148" s="15">
        <f>IFERROR(B148/B444, "NA")</f>
        <v>9.237088287476233E-3</v>
      </c>
      <c r="D148" s="2"/>
      <c r="E148" s="14">
        <f>IFERROR(E143+E144+E145+E146+E147, "NA")</f>
        <v>1410.25</v>
      </c>
      <c r="F148" s="15">
        <f>IFERROR(E148/E444, "NA")</f>
        <v>9.000015188821946E-3</v>
      </c>
      <c r="G148" s="2"/>
      <c r="H148" s="14">
        <f t="shared" si="32"/>
        <v>-199.86999999999989</v>
      </c>
      <c r="I148" s="15">
        <f>IFERROR(H148/H444, "NA")</f>
        <v>-1.1345832462920402E-2</v>
      </c>
      <c r="J148" s="2"/>
      <c r="K148" s="14">
        <f>IFERROR(K143+K144+K145+K146+K147, "NA")</f>
        <v>288.92999999999995</v>
      </c>
      <c r="L148" s="15">
        <f>IFERROR(K148/K444, "NA")</f>
        <v>1.9361058921867841E-3</v>
      </c>
      <c r="M148" s="2"/>
      <c r="N148" s="14">
        <f t="shared" si="33"/>
        <v>-1321.19</v>
      </c>
      <c r="O148" s="15">
        <f>IFERROR(N148/N444, "NA")</f>
        <v>-5.2683648485911866E-2</v>
      </c>
      <c r="P148" s="2"/>
      <c r="Q148" s="14">
        <f>IFERROR(Q143+Q144+Q145+Q146+Q147, "NA")</f>
        <v>3031.26</v>
      </c>
      <c r="R148" s="15">
        <f>IFERROR(Q148/Q444, "NA")</f>
        <v>9.9269867416830557E-3</v>
      </c>
      <c r="S148" s="2"/>
      <c r="T148" s="14">
        <f>IFERROR(T143+T144+T145+T146+T147, "NA")</f>
        <v>2689.76</v>
      </c>
      <c r="U148" s="15">
        <f>IFERROR(T148/T444, "NA")</f>
        <v>9.0000003680625936E-3</v>
      </c>
      <c r="V148" s="2"/>
      <c r="W148" s="14">
        <f t="shared" si="34"/>
        <v>-341.5</v>
      </c>
      <c r="X148" s="15">
        <f>IFERROR(W148/W444, "NA")</f>
        <v>-5.2592753442399942E-2</v>
      </c>
      <c r="Y148" s="2"/>
      <c r="Z148" s="14">
        <f>IFERROR(Z143+Z144+Z145+Z146+Z147, "NA")</f>
        <v>3076.72</v>
      </c>
      <c r="AA148" s="15">
        <f>IFERROR(Z148/Z444, "NA")</f>
        <v>1.0726797050193568E-2</v>
      </c>
      <c r="AB148" s="2"/>
      <c r="AC148" s="14">
        <f t="shared" si="35"/>
        <v>45.459999999999582</v>
      </c>
      <c r="AD148" s="15">
        <f>IFERROR(AC148/AC444, "NA")</f>
        <v>2.4533321820408918E-3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38314.439999999995</v>
      </c>
      <c r="C149" s="15">
        <f>IFERROR(B149/B444, "NA")</f>
        <v>0.21980589332795747</v>
      </c>
      <c r="D149" s="2"/>
      <c r="E149" s="14">
        <f>IFERROR(E127+E129+E130+E131+E132+E133+E134+E135+E136+E137+E138+E139+E140+E143+E144+E145+E146+E147, "NA")</f>
        <v>33375.86</v>
      </c>
      <c r="F149" s="15">
        <f>IFERROR(E149/E444, "NA")</f>
        <v>0.21299999783016832</v>
      </c>
      <c r="G149" s="2"/>
      <c r="H149" s="14">
        <f t="shared" si="32"/>
        <v>-4938.5799999999945</v>
      </c>
      <c r="I149" s="15">
        <f>IFERROR(H149/H444, "NA")</f>
        <v>-0.28034372984804823</v>
      </c>
      <c r="J149" s="2"/>
      <c r="K149" s="14">
        <f>IFERROR(K127+K129+K130+K131+K132+K133+K134+K135+K136+K137+K138+K139+K140+K143+K144+K145+K146+K147, "NA")</f>
        <v>33062.55999999999</v>
      </c>
      <c r="L149" s="15">
        <f>IFERROR(K149/K444, "NA")</f>
        <v>0.22155060819845315</v>
      </c>
      <c r="M149" s="2"/>
      <c r="N149" s="14">
        <f t="shared" si="33"/>
        <v>-5251.8800000000047</v>
      </c>
      <c r="O149" s="15">
        <f>IFERROR(N149/N444, "NA")</f>
        <v>-0.20942347414845031</v>
      </c>
      <c r="P149" s="2"/>
      <c r="Q149" s="14">
        <f>IFERROR(Q127+Q129+Q130+Q131+Q132+Q133+Q134+Q135+Q136+Q137+Q138+Q139+Q140+Q143+Q144+Q145+Q146+Q147, "NA")</f>
        <v>69609.789999999994</v>
      </c>
      <c r="R149" s="15">
        <f>IFERROR(Q149/Q444, "NA")</f>
        <v>0.22796311184832102</v>
      </c>
      <c r="S149" s="2"/>
      <c r="T149" s="14">
        <f>IFERROR(T127+T129+T130+T131+T132+T133+T134+T135+T136+T137+T138+T139+T140+T143+T144+T145+T146+T147, "NA")</f>
        <v>65221.5</v>
      </c>
      <c r="U149" s="15">
        <f>IFERROR(T149/T444, "NA")</f>
        <v>0.21823267652340519</v>
      </c>
      <c r="V149" s="2"/>
      <c r="W149" s="14">
        <f t="shared" si="34"/>
        <v>-4388.2899999999936</v>
      </c>
      <c r="X149" s="15">
        <f>IFERROR(W149/W444, "NA")</f>
        <v>-0.67581919181185623</v>
      </c>
      <c r="Y149" s="2"/>
      <c r="Z149" s="14">
        <f>IFERROR(Z127+Z129+Z130+Z131+Z132+Z133+Z134+Z135+Z136+Z137+Z138+Z139+Z140+Z143+Z144+Z145+Z146+Z147, "NA")</f>
        <v>65704.319999999992</v>
      </c>
      <c r="AA149" s="15">
        <f>IFERROR(Z149/Z444, "NA")</f>
        <v>0.22907411332879632</v>
      </c>
      <c r="AB149" s="2"/>
      <c r="AC149" s="14">
        <f t="shared" si="35"/>
        <v>-3905.4700000000012</v>
      </c>
      <c r="AD149" s="15">
        <f>IFERROR(AC149/AC444, "NA")</f>
        <v>-0.21076584331269982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6424.46</v>
      </c>
      <c r="F153" s="8">
        <f>IFERROR(E153/E444, "NA")</f>
        <v>4.0999991193036017E-2</v>
      </c>
      <c r="G153" s="9"/>
      <c r="H153" s="10">
        <f t="shared" ref="H153:H158" si="36">IFERROR(-(B153-E153), "NA")</f>
        <v>6424.46</v>
      </c>
      <c r="I153" s="8">
        <f>IFERROR(H153/H444, "NA")</f>
        <v>0.36469128345791585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12253.35</v>
      </c>
      <c r="U153" s="8">
        <f>IFERROR(T153/T444, "NA")</f>
        <v>4.0999997958925616E-2</v>
      </c>
      <c r="V153" s="9"/>
      <c r="W153" s="10">
        <f t="shared" ref="W153:W158" si="38">IFERROR(-(Q153-T153), "NA")</f>
        <v>12253.35</v>
      </c>
      <c r="X153" s="8">
        <f>IFERROR(W153/W444, "NA")</f>
        <v>1.8870788152077052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3970.96</v>
      </c>
      <c r="C154" s="8">
        <f>IFERROR(B154/B444, "NA")</f>
        <v>2.2780977881174461E-2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-3970.96</v>
      </c>
      <c r="I154" s="8">
        <f>IFERROR(H154/H444, "NA")</f>
        <v>-0.22541575462529856</v>
      </c>
      <c r="J154" s="9"/>
      <c r="K154" s="7">
        <v>3806.29</v>
      </c>
      <c r="L154" s="8">
        <f>IFERROR(K154/K444, "NA")</f>
        <v>2.550576435943528E-2</v>
      </c>
      <c r="M154" s="9"/>
      <c r="N154" s="10">
        <f t="shared" si="37"/>
        <v>-164.67000000000007</v>
      </c>
      <c r="O154" s="8">
        <f>IFERROR(N154/N444, "NA")</f>
        <v>-6.5663654706553266E-3</v>
      </c>
      <c r="P154" s="9"/>
      <c r="Q154" s="7">
        <v>7798.35</v>
      </c>
      <c r="R154" s="8">
        <f>IFERROR(Q154/Q444, "NA")</f>
        <v>2.55385935409711E-2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-7798.35</v>
      </c>
      <c r="X154" s="8">
        <f>IFERROR(W154/W444, "NA")</f>
        <v>-1.2009859408712726</v>
      </c>
      <c r="Y154" s="9"/>
      <c r="Z154" s="7">
        <v>7168.91</v>
      </c>
      <c r="AA154" s="8">
        <f>IFERROR(Z154/Z444, "NA")</f>
        <v>2.4993968460276909E-2</v>
      </c>
      <c r="AB154" s="9"/>
      <c r="AC154" s="10">
        <f t="shared" si="39"/>
        <v>-629.44000000000051</v>
      </c>
      <c r="AD154" s="8">
        <f>IFERROR(AC154/AC444, "NA")</f>
        <v>-3.39688827246774E-2</v>
      </c>
    </row>
    <row r="155" spans="1:30" ht="16.5" customHeight="1" x14ac:dyDescent="0.45">
      <c r="A155" s="12" t="s">
        <v>144</v>
      </c>
      <c r="B155" s="7">
        <v>3108.31</v>
      </c>
      <c r="C155" s="8">
        <f>IFERROR(B155/B444, "NA")</f>
        <v>1.7832045993370217E-2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-3108.31</v>
      </c>
      <c r="I155" s="8">
        <f>IFERROR(H155/H444, "NA")</f>
        <v>-0.17644651274738646</v>
      </c>
      <c r="J155" s="9"/>
      <c r="K155" s="7">
        <v>2143.84</v>
      </c>
      <c r="L155" s="8">
        <f>IFERROR(K155/K444, "NA")</f>
        <v>1.4365767680426803E-2</v>
      </c>
      <c r="M155" s="9"/>
      <c r="N155" s="10">
        <f t="shared" si="37"/>
        <v>-964.4699999999998</v>
      </c>
      <c r="O155" s="8">
        <f>IFERROR(N155/N444, "NA")</f>
        <v>-3.8459115233393688E-2</v>
      </c>
      <c r="P155" s="9"/>
      <c r="Q155" s="7">
        <v>4579.67</v>
      </c>
      <c r="R155" s="8">
        <f>IFERROR(Q155/Q444, "NA")</f>
        <v>1.4997830397684011E-2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-4579.67</v>
      </c>
      <c r="X155" s="8">
        <f>IFERROR(W155/W444, "NA")</f>
        <v>-0.70529269445843557</v>
      </c>
      <c r="Y155" s="9"/>
      <c r="Z155" s="7">
        <v>4417.28</v>
      </c>
      <c r="AA155" s="8">
        <f>IFERROR(Z155/Z444, "NA")</f>
        <v>1.540057791215289E-2</v>
      </c>
      <c r="AB155" s="9"/>
      <c r="AC155" s="10">
        <f t="shared" si="39"/>
        <v>-162.39000000000033</v>
      </c>
      <c r="AD155" s="8">
        <f>IFERROR(AC155/AC444, "NA")</f>
        <v>-8.7636738460542211E-3</v>
      </c>
    </row>
    <row r="156" spans="1:30" ht="16.5" customHeight="1" x14ac:dyDescent="0.45">
      <c r="A156" s="12" t="s">
        <v>145</v>
      </c>
      <c r="B156" s="7">
        <v>28.19</v>
      </c>
      <c r="C156" s="8">
        <f>IFERROR(B156/B444, "NA")</f>
        <v>1.6172305096760181E-4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-28.19</v>
      </c>
      <c r="I156" s="8">
        <f>IFERROR(H156/H444, "NA")</f>
        <v>-1.6002352385536913E-3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-28.19</v>
      </c>
      <c r="O156" s="8">
        <f>IFERROR(N156/N444, "NA")</f>
        <v>-1.1241017952132969E-3</v>
      </c>
      <c r="P156" s="9"/>
      <c r="Q156" s="7">
        <v>28.19</v>
      </c>
      <c r="R156" s="8">
        <f>IFERROR(Q156/Q444, "NA")</f>
        <v>9.23186253399726E-5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-28.19</v>
      </c>
      <c r="X156" s="8">
        <f>IFERROR(W156/W444, "NA")</f>
        <v>-4.3414047424341273E-3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-28.19</v>
      </c>
      <c r="AD156" s="8">
        <f>IFERROR(AC156/AC444, "NA")</f>
        <v>-1.5213249936588953E-3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7107.46</v>
      </c>
      <c r="C158" s="15">
        <f>IFERROR(B158/B444, "NA")</f>
        <v>4.0774746925512279E-2</v>
      </c>
      <c r="D158" s="2"/>
      <c r="E158" s="14">
        <f>IFERROR(E153+E154+E155+E156+E157, "NA")</f>
        <v>6424.46</v>
      </c>
      <c r="F158" s="15">
        <f>IFERROR(E158/E444, "NA")</f>
        <v>4.0999991193036017E-2</v>
      </c>
      <c r="G158" s="2"/>
      <c r="H158" s="14">
        <f t="shared" si="36"/>
        <v>-683</v>
      </c>
      <c r="I158" s="15">
        <f>IFERROR(H158/H444, "NA")</f>
        <v>-3.877121915332285E-2</v>
      </c>
      <c r="J158" s="2"/>
      <c r="K158" s="14">
        <f>IFERROR(K153+K154+K155+K156+K157, "NA")</f>
        <v>5950.13</v>
      </c>
      <c r="L158" s="15">
        <f>IFERROR(K158/K444, "NA")</f>
        <v>3.987153203986208E-2</v>
      </c>
      <c r="M158" s="2"/>
      <c r="N158" s="14">
        <f t="shared" si="37"/>
        <v>-1157.33</v>
      </c>
      <c r="O158" s="15">
        <f>IFERROR(N158/N444, "NA")</f>
        <v>-4.6149582499262314E-2</v>
      </c>
      <c r="P158" s="2"/>
      <c r="Q158" s="14">
        <f>IFERROR(Q153+Q154+Q155+Q156+Q157, "NA")</f>
        <v>12406.210000000001</v>
      </c>
      <c r="R158" s="15">
        <f>IFERROR(Q158/Q444, "NA")</f>
        <v>4.0628742563995082E-2</v>
      </c>
      <c r="S158" s="2"/>
      <c r="T158" s="14">
        <f>IFERROR(T153+T154+T155+T156+T157, "NA")</f>
        <v>12253.35</v>
      </c>
      <c r="U158" s="15">
        <f>IFERROR(T158/T444, "NA")</f>
        <v>4.0999997958925616E-2</v>
      </c>
      <c r="V158" s="2"/>
      <c r="W158" s="14">
        <f t="shared" si="38"/>
        <v>-152.86000000000058</v>
      </c>
      <c r="X158" s="15">
        <f>IFERROR(W158/W444, "NA")</f>
        <v>-2.3541224864437146E-2</v>
      </c>
      <c r="Y158" s="2"/>
      <c r="Z158" s="14">
        <f>IFERROR(Z153+Z154+Z155+Z156+Z157, "NA")</f>
        <v>11586.189999999999</v>
      </c>
      <c r="AA158" s="15">
        <f>IFERROR(Z158/Z444, "NA")</f>
        <v>4.0394546372429799E-2</v>
      </c>
      <c r="AB158" s="2"/>
      <c r="AC158" s="14">
        <f t="shared" si="39"/>
        <v>-820.02000000000226</v>
      </c>
      <c r="AD158" s="15">
        <f>IFERROR(AC158/AC444, "NA")</f>
        <v>-4.4253881564390592E-2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244.98</v>
      </c>
      <c r="C161" s="8">
        <f>IFERROR(B161/B444, "NA")</f>
        <v>1.4054243712679352E-3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-244.98</v>
      </c>
      <c r="I161" s="8">
        <f>IFERROR(H161/H444, "NA")</f>
        <v>-1.3906549440967836E-2</v>
      </c>
      <c r="J161" s="9"/>
      <c r="K161" s="7">
        <v>114.31</v>
      </c>
      <c r="L161" s="8">
        <f>IFERROR(K161/K444, "NA")</f>
        <v>7.6598575618963527E-4</v>
      </c>
      <c r="M161" s="9"/>
      <c r="N161" s="10">
        <f t="shared" si="41"/>
        <v>-130.66999999999999</v>
      </c>
      <c r="O161" s="8">
        <f>IFERROR(N161/N444, "NA")</f>
        <v>-5.2105846605364128E-3</v>
      </c>
      <c r="P161" s="9"/>
      <c r="Q161" s="7">
        <v>425.55</v>
      </c>
      <c r="R161" s="8">
        <f>IFERROR(Q161/Q444, "NA")</f>
        <v>1.3936215329345633E-3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-425.55</v>
      </c>
      <c r="X161" s="8">
        <f>IFERROR(W161/W444, "NA")</f>
        <v>-6.5536884999746109E-2</v>
      </c>
      <c r="Y161" s="9"/>
      <c r="Z161" s="7">
        <v>171.49</v>
      </c>
      <c r="AA161" s="8">
        <f>IFERROR(Z161/Z444, "NA")</f>
        <v>5.9788944919839798E-4</v>
      </c>
      <c r="AB161" s="9"/>
      <c r="AC161" s="10">
        <f t="shared" si="43"/>
        <v>-254.06</v>
      </c>
      <c r="AD161" s="8">
        <f>IFERROR(AC161/AC444, "NA")</f>
        <v>-1.3710813334124829E-2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244.98</v>
      </c>
      <c r="C166" s="15">
        <f>IFERROR(B166/B444, "NA")</f>
        <v>1.4054243712679352E-3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-244.98</v>
      </c>
      <c r="I166" s="15">
        <f>IFERROR(H166/H444, "NA")</f>
        <v>-1.3906549440967836E-2</v>
      </c>
      <c r="J166" s="2"/>
      <c r="K166" s="14">
        <f>IFERROR(K160+K161+K162+K163+K164+K165, "NA")</f>
        <v>114.31</v>
      </c>
      <c r="L166" s="15">
        <f>IFERROR(K166/K444, "NA")</f>
        <v>7.6598575618963527E-4</v>
      </c>
      <c r="M166" s="2"/>
      <c r="N166" s="14">
        <f t="shared" si="41"/>
        <v>-130.66999999999999</v>
      </c>
      <c r="O166" s="15">
        <f>IFERROR(N166/N444, "NA")</f>
        <v>-5.2105846605364128E-3</v>
      </c>
      <c r="P166" s="2"/>
      <c r="Q166" s="14">
        <f>IFERROR(Q160+Q161+Q162+Q163+Q164+Q165, "NA")</f>
        <v>425.55</v>
      </c>
      <c r="R166" s="15">
        <f>IFERROR(Q166/Q444, "NA")</f>
        <v>1.3936215329345633E-3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-425.55</v>
      </c>
      <c r="X166" s="15">
        <f>IFERROR(W166/W444, "NA")</f>
        <v>-6.5536884999746109E-2</v>
      </c>
      <c r="Y166" s="2"/>
      <c r="Z166" s="14">
        <f>IFERROR(Z160+Z161+Z162+Z163+Z164+Z165, "NA")</f>
        <v>171.49</v>
      </c>
      <c r="AA166" s="15">
        <f>IFERROR(Z166/Z444, "NA")</f>
        <v>5.9788944919839798E-4</v>
      </c>
      <c r="AB166" s="2"/>
      <c r="AC166" s="14">
        <f t="shared" si="43"/>
        <v>-254.06</v>
      </c>
      <c r="AD166" s="15">
        <f>IFERROR(AC166/AC444, "NA")</f>
        <v>-1.3710813334124829E-2</v>
      </c>
    </row>
    <row r="167" spans="1:30" ht="16.5" customHeight="1" x14ac:dyDescent="0.45">
      <c r="A167" s="6" t="s">
        <v>155</v>
      </c>
      <c r="B167" s="7">
        <v>198.48</v>
      </c>
      <c r="C167" s="8">
        <f>IFERROR(B167/B444, "NA")</f>
        <v>1.1386587852447536E-3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-198.48</v>
      </c>
      <c r="I167" s="8">
        <f>IFERROR(H167/H444, "NA")</f>
        <v>-1.126692763916767E-2</v>
      </c>
      <c r="J167" s="9"/>
      <c r="K167" s="7">
        <v>94.8</v>
      </c>
      <c r="L167" s="8">
        <f>IFERROR(K167/K444, "NA")</f>
        <v>6.3525019409305767E-4</v>
      </c>
      <c r="M167" s="9"/>
      <c r="N167" s="10">
        <f t="shared" si="41"/>
        <v>-103.67999999999999</v>
      </c>
      <c r="O167" s="8">
        <f>IFERROR(N167/N444, "NA")</f>
        <v>-4.1343339527390773E-3</v>
      </c>
      <c r="P167" s="9"/>
      <c r="Q167" s="7">
        <v>360.07</v>
      </c>
      <c r="R167" s="8">
        <f>IFERROR(Q167/Q444, "NA")</f>
        <v>1.1791829523293341E-3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-360.07</v>
      </c>
      <c r="X167" s="8">
        <f>IFERROR(W167/W444, "NA")</f>
        <v>-5.5452628790644061E-2</v>
      </c>
      <c r="Y167" s="9"/>
      <c r="Z167" s="7">
        <v>211.47</v>
      </c>
      <c r="AA167" s="8">
        <f>IFERROR(Z167/Z444, "NA")</f>
        <v>7.3727728626733465E-4</v>
      </c>
      <c r="AB167" s="9"/>
      <c r="AC167" s="10">
        <f t="shared" si="43"/>
        <v>-148.6</v>
      </c>
      <c r="AD167" s="8">
        <f>IFERROR(AC167/AC444, "NA")</f>
        <v>-8.0194712329801996E-3</v>
      </c>
    </row>
    <row r="168" spans="1:30" ht="16.5" customHeight="1" x14ac:dyDescent="0.45">
      <c r="A168" s="6" t="s">
        <v>156</v>
      </c>
      <c r="B168" s="7">
        <v>51.93</v>
      </c>
      <c r="C168" s="8">
        <f>IFERROR(B168/B444, "NA")</f>
        <v>2.9791692219750132E-4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-51.93</v>
      </c>
      <c r="I168" s="8">
        <f>IFERROR(H168/H444, "NA")</f>
        <v>-2.9478615089781196E-3</v>
      </c>
      <c r="J168" s="9"/>
      <c r="K168" s="7">
        <v>47.8</v>
      </c>
      <c r="L168" s="8">
        <f>IFERROR(K168/K444, "NA")</f>
        <v>3.2030547761232231E-4</v>
      </c>
      <c r="M168" s="9"/>
      <c r="N168" s="10">
        <f t="shared" si="41"/>
        <v>-4.1300000000000026</v>
      </c>
      <c r="O168" s="8">
        <f>IFERROR(N168/N444, "NA")</f>
        <v>-1.6468749252326778E-4</v>
      </c>
      <c r="P168" s="9"/>
      <c r="Q168" s="7">
        <v>103.55</v>
      </c>
      <c r="R168" s="8">
        <f>IFERROR(Q168/Q444, "NA")</f>
        <v>3.3911293557836687E-4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-103.55</v>
      </c>
      <c r="X168" s="8">
        <f>IFERROR(W168/W444, "NA")</f>
        <v>-1.5947231680704287E-2</v>
      </c>
      <c r="Y168" s="9"/>
      <c r="Z168" s="7">
        <v>95.4</v>
      </c>
      <c r="AA168" s="8">
        <f>IFERROR(Z168/Z444, "NA")</f>
        <v>3.3260629455669234E-4</v>
      </c>
      <c r="AB168" s="9"/>
      <c r="AC168" s="10">
        <f t="shared" si="43"/>
        <v>-8.1499999999999915</v>
      </c>
      <c r="AD168" s="8">
        <f>IFERROR(AC168/AC444, "NA")</f>
        <v>-4.3982968067825414E-4</v>
      </c>
    </row>
    <row r="169" spans="1:30" ht="16.5" customHeight="1" x14ac:dyDescent="0.45">
      <c r="A169" s="6" t="s">
        <v>157</v>
      </c>
      <c r="B169" s="7">
        <v>-1310.33</v>
      </c>
      <c r="C169" s="8">
        <f>IFERROR(B169/B444, "NA")</f>
        <v>-7.5172247383603289E-3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1310.33</v>
      </c>
      <c r="I169" s="8">
        <f>IFERROR(H169/H444, "NA")</f>
        <v>7.4382271732318483E-2</v>
      </c>
      <c r="J169" s="9"/>
      <c r="K169" s="7">
        <v>-2229.5100000000002</v>
      </c>
      <c r="L169" s="8">
        <f>IFERROR(K169/K444, "NA")</f>
        <v>-1.4939838188105624E-2</v>
      </c>
      <c r="M169" s="9"/>
      <c r="N169" s="10">
        <f t="shared" si="41"/>
        <v>-919.18000000000029</v>
      </c>
      <c r="O169" s="8">
        <f>IFERROR(N169/N444, "NA")</f>
        <v>-3.6653135442502961E-2</v>
      </c>
      <c r="P169" s="9"/>
      <c r="Q169" s="7">
        <v>-2316.54</v>
      </c>
      <c r="R169" s="8">
        <f>IFERROR(Q169/Q444, "NA")</f>
        <v>-7.5863706401227424E-3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2316.54</v>
      </c>
      <c r="X169" s="8">
        <f>IFERROR(W169/W444, "NA")</f>
        <v>0.35675905434687305</v>
      </c>
      <c r="Y169" s="9"/>
      <c r="Z169" s="7">
        <v>-4221.9799999999996</v>
      </c>
      <c r="AA169" s="8">
        <f>IFERROR(Z169/Z444, "NA")</f>
        <v>-1.4719676346881171E-2</v>
      </c>
      <c r="AB169" s="9"/>
      <c r="AC169" s="10">
        <f t="shared" si="43"/>
        <v>-1905.4399999999996</v>
      </c>
      <c r="AD169" s="8">
        <f>IFERROR(AC169/AC444, "NA")</f>
        <v>-0.10283056033761635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6292.5199999999995</v>
      </c>
      <c r="C170" s="15">
        <f>IFERROR(B170/B444, "NA")</f>
        <v>3.609952226586214E-2</v>
      </c>
      <c r="D170" s="2"/>
      <c r="E170" s="14">
        <f>IFERROR(E151+E153+E154+E155+E156+E157+E160+E161+E162+E163+E164+E165+E167+E168+E169, "NA")</f>
        <v>6424.46</v>
      </c>
      <c r="F170" s="15">
        <f>IFERROR(E170/E444, "NA")</f>
        <v>4.0999991193036017E-2</v>
      </c>
      <c r="G170" s="2"/>
      <c r="H170" s="14">
        <f t="shared" si="40"/>
        <v>131.94000000000051</v>
      </c>
      <c r="I170" s="15">
        <f>IFERROR(H170/H444, "NA")</f>
        <v>7.4897139898820447E-3</v>
      </c>
      <c r="J170" s="2"/>
      <c r="K170" s="14">
        <f>IFERROR(K151+K153+K154+K155+K156+K157+K160+K161+K162+K163+K164+K165+K167+K168+K169, "NA")</f>
        <v>3977.5300000000007</v>
      </c>
      <c r="L170" s="15">
        <f>IFERROR(K170/K444, "NA")</f>
        <v>2.665323527965148E-2</v>
      </c>
      <c r="M170" s="2"/>
      <c r="N170" s="14">
        <f t="shared" si="41"/>
        <v>-2314.9899999999989</v>
      </c>
      <c r="O170" s="15">
        <f>IFERROR(N170/N444, "NA")</f>
        <v>-9.2312324047563982E-2</v>
      </c>
      <c r="P170" s="2"/>
      <c r="Q170" s="14">
        <f>IFERROR(Q151+Q153+Q154+Q155+Q156+Q157+Q160+Q161+Q162+Q163+Q164+Q165+Q167+Q168+Q169, "NA")</f>
        <v>10978.84</v>
      </c>
      <c r="R170" s="15">
        <f>IFERROR(Q170/Q444, "NA")</f>
        <v>3.5954289344714604E-2</v>
      </c>
      <c r="S170" s="2"/>
      <c r="T170" s="14">
        <f>IFERROR(T151+T153+T154+T155+T156+T157+T160+T161+T162+T163+T164+T165+T167+T168+T169, "NA")</f>
        <v>12253.35</v>
      </c>
      <c r="U170" s="15">
        <f>IFERROR(T170/T444, "NA")</f>
        <v>4.0999997958925616E-2</v>
      </c>
      <c r="V170" s="2"/>
      <c r="W170" s="14">
        <f t="shared" si="42"/>
        <v>1274.5100000000002</v>
      </c>
      <c r="X170" s="15">
        <f>IFERROR(W170/W444, "NA")</f>
        <v>0.19628108401134162</v>
      </c>
      <c r="Y170" s="2"/>
      <c r="Z170" s="14">
        <f>IFERROR(Z151+Z153+Z154+Z155+Z156+Z157+Z160+Z161+Z162+Z163+Z164+Z165+Z167+Z168+Z169, "NA")</f>
        <v>7842.5699999999979</v>
      </c>
      <c r="AA170" s="15">
        <f>IFERROR(Z170/Z444, "NA")</f>
        <v>2.7342643055571044E-2</v>
      </c>
      <c r="AB170" s="2"/>
      <c r="AC170" s="14">
        <f t="shared" si="43"/>
        <v>-3136.2700000000023</v>
      </c>
      <c r="AD170" s="15">
        <f>IFERROR(AC170/AC444, "NA")</f>
        <v>-0.16925455614979024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44606.96</v>
      </c>
      <c r="C171" s="15">
        <f>IFERROR(B171/B444, "NA")</f>
        <v>0.25590541559381963</v>
      </c>
      <c r="D171" s="2"/>
      <c r="E171" s="14">
        <f>IFERROR(E127+E129+E130+E131+E132+E133+E134+E135+E136+E137+E138+E139+E140+E143+E144+E145+E146+E147+E151+E153+E154+E155+E156+E157+E160+E161+E162+E163+E164+E165+E167+E168+E169, "NA")</f>
        <v>39800.32</v>
      </c>
      <c r="F171" s="15">
        <f>IFERROR(E171/E444, "NA")</f>
        <v>0.25399998902320431</v>
      </c>
      <c r="G171" s="2"/>
      <c r="H171" s="14">
        <f t="shared" si="40"/>
        <v>-4806.6399999999994</v>
      </c>
      <c r="I171" s="15">
        <f>IFERROR(H171/H444, "NA")</f>
        <v>-0.27285401585816649</v>
      </c>
      <c r="J171" s="2"/>
      <c r="K171" s="14">
        <f>IFERROR(K127+K129+K130+K131+K132+K133+K134+K135+K136+K137+K138+K139+K140+K143+K144+K145+K146+K147+K151+K153+K154+K155+K156+K157+K160+K161+K162+K163+K164+K165+K167+K168+K169, "NA")</f>
        <v>37040.089999999989</v>
      </c>
      <c r="L171" s="15">
        <f>IFERROR(K171/K444, "NA")</f>
        <v>0.24820384347810462</v>
      </c>
      <c r="M171" s="2"/>
      <c r="N171" s="14">
        <f t="shared" si="41"/>
        <v>-7566.8700000000099</v>
      </c>
      <c r="O171" s="15">
        <f>IFERROR(N171/N444, "NA")</f>
        <v>-0.30173579819601454</v>
      </c>
      <c r="P171" s="2"/>
      <c r="Q171" s="14">
        <f>IFERROR(Q127+Q129+Q130+Q131+Q132+Q133+Q134+Q135+Q136+Q137+Q138+Q139+Q140+Q143+Q144+Q145+Q146+Q147+Q151+Q153+Q154+Q155+Q156+Q157+Q160+Q161+Q162+Q163+Q164+Q165+Q167+Q168+Q169, "NA")</f>
        <v>80588.630000000019</v>
      </c>
      <c r="R171" s="15">
        <f>IFERROR(Q171/Q444, "NA")</f>
        <v>0.26391740119303569</v>
      </c>
      <c r="S171" s="2"/>
      <c r="T171" s="14">
        <f>IFERROR(T127+T129+T130+T131+T132+T133+T134+T135+T136+T137+T138+T139+T140+T143+T144+T145+T146+T147+T151+T153+T154+T155+T156+T157+T160+T161+T162+T163+T164+T165+T167+T168+T169, "NA")</f>
        <v>77474.850000000006</v>
      </c>
      <c r="U171" s="15">
        <f>IFERROR(T171/T444, "NA")</f>
        <v>0.25923267448233084</v>
      </c>
      <c r="V171" s="2"/>
      <c r="W171" s="14">
        <f t="shared" si="42"/>
        <v>-3113.7800000000134</v>
      </c>
      <c r="X171" s="15">
        <f>IFERROR(W171/W444, "NA")</f>
        <v>-0.4795381078005177</v>
      </c>
      <c r="Y171" s="2"/>
      <c r="Z171" s="14">
        <f>IFERROR(Z127+Z129+Z130+Z131+Z132+Z133+Z134+Z135+Z136+Z137+Z138+Z139+Z140+Z143+Z144+Z145+Z146+Z147+Z151+Z153+Z154+Z155+Z156+Z157+Z160+Z161+Z162+Z163+Z164+Z165+Z167+Z168+Z169, "NA")</f>
        <v>73546.89</v>
      </c>
      <c r="AA171" s="15">
        <f>IFERROR(Z171/Z444, "NA")</f>
        <v>0.25641675638436739</v>
      </c>
      <c r="AB171" s="2"/>
      <c r="AC171" s="14">
        <f t="shared" si="43"/>
        <v>-7041.7400000000198</v>
      </c>
      <c r="AD171" s="15">
        <f>IFERROR(AC171/AC444, "NA")</f>
        <v>-0.38002039946249094</v>
      </c>
    </row>
    <row r="172" spans="1:30" ht="16.5" customHeight="1" x14ac:dyDescent="0.45">
      <c r="A172" s="22" t="s">
        <v>160</v>
      </c>
      <c r="B172" s="23">
        <f>IFERROR(B124-B171, "NA")</f>
        <v>129703.37999999998</v>
      </c>
      <c r="C172" s="24">
        <f>IFERROR(B172/B444, "NA")</f>
        <v>0.74409458440618026</v>
      </c>
      <c r="D172" s="25"/>
      <c r="E172" s="23">
        <f>IFERROR(E124-E171, "NA")</f>
        <v>116893.86000000002</v>
      </c>
      <c r="F172" s="24">
        <f>IFERROR(E172/E444, "NA")</f>
        <v>0.7460000109767958</v>
      </c>
      <c r="G172" s="25"/>
      <c r="H172" s="23">
        <f>IFERROR(B172-E172, "NA")</f>
        <v>12809.51999999996</v>
      </c>
      <c r="I172" s="24">
        <f>IFERROR(H172/H444, "NA")</f>
        <v>0.72714598414183107</v>
      </c>
      <c r="J172" s="25"/>
      <c r="K172" s="23">
        <f>IFERROR(K124-K171, "NA")</f>
        <v>112192.44999999998</v>
      </c>
      <c r="L172" s="24">
        <f>IFERROR(K172/K444, "NA")</f>
        <v>0.75179615652189513</v>
      </c>
      <c r="M172" s="25"/>
      <c r="N172" s="23">
        <f>IFERROR(B172-K172, "NA")</f>
        <v>17510.929999999993</v>
      </c>
      <c r="O172" s="24">
        <f>IFERROR(N172/N444, "NA")</f>
        <v>0.69826420180398607</v>
      </c>
      <c r="P172" s="25"/>
      <c r="Q172" s="23">
        <f>IFERROR(Q124-Q171, "NA")</f>
        <v>224766.86999999988</v>
      </c>
      <c r="R172" s="24">
        <f>IFERROR(Q172/Q444, "NA")</f>
        <v>0.73608259880696392</v>
      </c>
      <c r="S172" s="25"/>
      <c r="T172" s="23">
        <f>IFERROR(T124-T171, "NA")</f>
        <v>221387.36000000002</v>
      </c>
      <c r="U172" s="24">
        <f>IFERROR(T172/T444, "NA")</f>
        <v>0.74076732551766911</v>
      </c>
      <c r="V172" s="25"/>
      <c r="W172" s="23">
        <f>IFERROR(Q172-T172, "NA")</f>
        <v>3379.5099999998638</v>
      </c>
      <c r="X172" s="24">
        <f>IFERROR(W172/W444, "NA")</f>
        <v>0.52046189219946659</v>
      </c>
      <c r="Y172" s="25"/>
      <c r="Z172" s="23">
        <f>IFERROR(Z124-Z171, "NA")</f>
        <v>213278.71000000008</v>
      </c>
      <c r="AA172" s="24">
        <f>IFERROR(Z172/Z444, "NA")</f>
        <v>0.74358324361563299</v>
      </c>
      <c r="AB172" s="25"/>
      <c r="AC172" s="23">
        <f>IFERROR(Q172-Z172, "NA")</f>
        <v>11488.1599999998</v>
      </c>
      <c r="AD172" s="24">
        <f>IFERROR(AC172/AC444, "NA")</f>
        <v>0.61997960053749801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10076.92</v>
      </c>
      <c r="C178" s="8">
        <f>IFERROR(B178/B444, "NA")</f>
        <v>5.7810225142122952E-2</v>
      </c>
      <c r="D178" s="9"/>
      <c r="E178" s="7">
        <v>10076.92</v>
      </c>
      <c r="F178" s="8">
        <f>IFERROR(E178/E444, "NA")</f>
        <v>6.4309472119513308E-2</v>
      </c>
      <c r="G178" s="9"/>
      <c r="H178" s="10">
        <f t="shared" si="44"/>
        <v>0</v>
      </c>
      <c r="I178" s="8">
        <f>IFERROR(H178/H444, "NA")</f>
        <v>0</v>
      </c>
      <c r="J178" s="9"/>
      <c r="K178" s="7">
        <v>10076.92</v>
      </c>
      <c r="L178" s="8">
        <f>IFERROR(K178/K444, "NA")</f>
        <v>6.7524951327639401E-2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20153.84</v>
      </c>
      <c r="R178" s="8">
        <f>IFERROR(Q178/Q444, "NA")</f>
        <v>6.6001234626525476E-2</v>
      </c>
      <c r="S178" s="9"/>
      <c r="T178" s="7">
        <v>20153.84</v>
      </c>
      <c r="U178" s="8">
        <f>IFERROR(T178/T444, "NA")</f>
        <v>6.7435223744079245E-2</v>
      </c>
      <c r="V178" s="9"/>
      <c r="W178" s="10">
        <f t="shared" si="46"/>
        <v>0</v>
      </c>
      <c r="X178" s="8">
        <f>IFERROR(W178/W444, "NA")</f>
        <v>0</v>
      </c>
      <c r="Y178" s="9"/>
      <c r="Z178" s="7">
        <v>20153.84</v>
      </c>
      <c r="AA178" s="8">
        <f>IFERROR(Z178/Z444, "NA")</f>
        <v>7.0265136724197569E-2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26826</v>
      </c>
      <c r="C180" s="8">
        <f>IFERROR(B180/B444, "NA")</f>
        <v>0.15389792711092182</v>
      </c>
      <c r="D180" s="9"/>
      <c r="E180" s="7">
        <v>25384.46</v>
      </c>
      <c r="F180" s="8">
        <f>IFERROR(E180/E444, "NA")</f>
        <v>0.16200001812447662</v>
      </c>
      <c r="G180" s="9"/>
      <c r="H180" s="10">
        <f t="shared" si="44"/>
        <v>-1441.5400000000009</v>
      </c>
      <c r="I180" s="8">
        <f>IFERROR(H180/H444, "NA")</f>
        <v>-8.1830546498215306E-2</v>
      </c>
      <c r="J180" s="9"/>
      <c r="K180" s="7">
        <v>24554.09</v>
      </c>
      <c r="L180" s="8">
        <f>IFERROR(K180/K444, "NA")</f>
        <v>0.16453576411686083</v>
      </c>
      <c r="M180" s="9"/>
      <c r="N180" s="10">
        <f t="shared" si="45"/>
        <v>-2271.91</v>
      </c>
      <c r="O180" s="8">
        <f>IFERROR(N180/N444, "NA")</f>
        <v>-9.0594470009331005E-2</v>
      </c>
      <c r="P180" s="9"/>
      <c r="Q180" s="7">
        <v>48365.15</v>
      </c>
      <c r="R180" s="8">
        <f>IFERROR(Q180/Q444, "NA")</f>
        <v>0.15838964747646597</v>
      </c>
      <c r="S180" s="9"/>
      <c r="T180" s="7">
        <v>47562.67</v>
      </c>
      <c r="U180" s="8">
        <f>IFERROR(T180/T444, "NA")</f>
        <v>0.15914581505637662</v>
      </c>
      <c r="V180" s="9"/>
      <c r="W180" s="10">
        <f t="shared" si="46"/>
        <v>-802.4800000000032</v>
      </c>
      <c r="X180" s="8">
        <f>IFERROR(W180/W444, "NA")</f>
        <v>-0.12358604035858645</v>
      </c>
      <c r="Y180" s="9"/>
      <c r="Z180" s="7">
        <v>46422.09</v>
      </c>
      <c r="AA180" s="8">
        <f>IFERROR(Z180/Z444, "NA")</f>
        <v>0.1618477918289023</v>
      </c>
      <c r="AB180" s="9"/>
      <c r="AC180" s="10">
        <f t="shared" si="47"/>
        <v>-1943.0600000000049</v>
      </c>
      <c r="AD180" s="8">
        <f>IFERROR(AC180/AC444, "NA")</f>
        <v>-0.10486079255689466</v>
      </c>
    </row>
    <row r="181" spans="1:30" ht="16.5" customHeight="1" x14ac:dyDescent="0.45">
      <c r="A181" s="12" t="s">
        <v>166</v>
      </c>
      <c r="B181" s="7">
        <v>83.37</v>
      </c>
      <c r="C181" s="8">
        <f>IFERROR(B181/B444, "NA")</f>
        <v>4.7828487971511043E-4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-83.37</v>
      </c>
      <c r="I181" s="8">
        <f>IFERROR(H181/H444, "NA")</f>
        <v>-4.7325864433565542E-3</v>
      </c>
      <c r="J181" s="9"/>
      <c r="K181" s="7">
        <v>201.63</v>
      </c>
      <c r="L181" s="8">
        <f>IFERROR(K181/K444, "NA")</f>
        <v>1.3511128337023546E-3</v>
      </c>
      <c r="M181" s="9"/>
      <c r="N181" s="10">
        <f t="shared" si="45"/>
        <v>118.25999999999999</v>
      </c>
      <c r="O181" s="8">
        <f>IFERROR(N181/N444, "NA")</f>
        <v>4.7157246648430106E-3</v>
      </c>
      <c r="P181" s="9"/>
      <c r="Q181" s="7">
        <v>88.1</v>
      </c>
      <c r="R181" s="8">
        <f>IFERROR(Q181/Q444, "NA")</f>
        <v>2.885161721337916E-4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-88.1</v>
      </c>
      <c r="X181" s="8">
        <f>IFERROR(W181/W444, "NA")</f>
        <v>-1.3567852352197466E-2</v>
      </c>
      <c r="Y181" s="9"/>
      <c r="Z181" s="7">
        <v>215.62</v>
      </c>
      <c r="AA181" s="8">
        <f>IFERROR(Z181/Z444, "NA")</f>
        <v>7.5174600872446535E-4</v>
      </c>
      <c r="AB181" s="9"/>
      <c r="AC181" s="10">
        <f t="shared" si="47"/>
        <v>127.52000000000001</v>
      </c>
      <c r="AD181" s="8">
        <f>IFERROR(AC181/AC444, "NA")</f>
        <v>6.8818504147350953E-3</v>
      </c>
    </row>
    <row r="182" spans="1:30" ht="16.5" customHeight="1" x14ac:dyDescent="0.45">
      <c r="A182" s="13" t="s">
        <v>167</v>
      </c>
      <c r="B182" s="14">
        <f>IFERROR(B177+B178+B179+B180+B181, "NA")</f>
        <v>36986.29</v>
      </c>
      <c r="C182" s="15">
        <f>IFERROR(B182/B444, "NA")</f>
        <v>0.21218643713275989</v>
      </c>
      <c r="D182" s="2"/>
      <c r="E182" s="14">
        <f>IFERROR(E177+E178+E179+E180+E181, "NA")</f>
        <v>35461.379999999997</v>
      </c>
      <c r="F182" s="15">
        <f>IFERROR(E182/E444, "NA")</f>
        <v>0.22630949024398991</v>
      </c>
      <c r="G182" s="2"/>
      <c r="H182" s="14">
        <f t="shared" si="44"/>
        <v>-1524.9100000000035</v>
      </c>
      <c r="I182" s="15">
        <f>IFERROR(H182/H444, "NA")</f>
        <v>-8.6563132941572016E-2</v>
      </c>
      <c r="J182" s="2"/>
      <c r="K182" s="14">
        <f>IFERROR(K177+K178+K179+K180+K181, "NA")</f>
        <v>34832.639999999999</v>
      </c>
      <c r="L182" s="15">
        <f>IFERROR(K182/K444, "NA")</f>
        <v>0.23341182827820259</v>
      </c>
      <c r="M182" s="2"/>
      <c r="N182" s="14">
        <f t="shared" si="45"/>
        <v>-2153.6500000000015</v>
      </c>
      <c r="O182" s="15">
        <f>IFERROR(N182/N444, "NA")</f>
        <v>-8.5878745344488056E-2</v>
      </c>
      <c r="P182" s="2"/>
      <c r="Q182" s="14">
        <f>IFERROR(Q177+Q178+Q179+Q180+Q181, "NA")</f>
        <v>68607.090000000011</v>
      </c>
      <c r="R182" s="15">
        <f>IFERROR(Q182/Q444, "NA")</f>
        <v>0.22467939827512526</v>
      </c>
      <c r="S182" s="2"/>
      <c r="T182" s="14">
        <f>IFERROR(T177+T178+T179+T180+T181, "NA")</f>
        <v>67716.509999999995</v>
      </c>
      <c r="U182" s="15">
        <f>IFERROR(T182/T444, "NA")</f>
        <v>0.22658103880045588</v>
      </c>
      <c r="V182" s="2"/>
      <c r="W182" s="14">
        <f t="shared" si="46"/>
        <v>-890.5800000000163</v>
      </c>
      <c r="X182" s="15">
        <f>IFERROR(W182/W444, "NA")</f>
        <v>-0.13715389271078593</v>
      </c>
      <c r="Y182" s="2"/>
      <c r="Z182" s="14">
        <f>IFERROR(Z177+Z178+Z179+Z180+Z181, "NA")</f>
        <v>66791.549999999988</v>
      </c>
      <c r="AA182" s="15">
        <f>IFERROR(Z182/Z444, "NA")</f>
        <v>0.2328646745618243</v>
      </c>
      <c r="AB182" s="2"/>
      <c r="AC182" s="14">
        <f t="shared" si="47"/>
        <v>-1815.5400000000227</v>
      </c>
      <c r="AD182" s="15">
        <f>IFERROR(AC182/AC444, "NA")</f>
        <v>-9.7978942142160533E-2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863</v>
      </c>
      <c r="C184" s="8">
        <f>IFERROR(B184/B444, "NA")</f>
        <v>4.9509398008173236E-3</v>
      </c>
      <c r="D184" s="9"/>
      <c r="E184" s="7">
        <v>862.5</v>
      </c>
      <c r="F184" s="8">
        <f>IFERROR(E184/E444, "NA")</f>
        <v>5.5043524909476537E-3</v>
      </c>
      <c r="G184" s="9"/>
      <c r="H184" s="10">
        <f t="shared" si="44"/>
        <v>-0.5</v>
      </c>
      <c r="I184" s="8">
        <f>IFERROR(H184/H444, "NA")</f>
        <v>-2.8383030126883494E-5</v>
      </c>
      <c r="J184" s="9"/>
      <c r="K184" s="7">
        <v>1150</v>
      </c>
      <c r="L184" s="8">
        <f>IFERROR(K184/K444, "NA")</f>
        <v>7.7060941266562906E-3</v>
      </c>
      <c r="M184" s="9"/>
      <c r="N184" s="10">
        <f t="shared" si="45"/>
        <v>287</v>
      </c>
      <c r="O184" s="8">
        <f>IFERROR(N184/N444, "NA")</f>
        <v>1.1444385073650804E-2</v>
      </c>
      <c r="P184" s="9"/>
      <c r="Q184" s="7">
        <v>1726</v>
      </c>
      <c r="R184" s="8">
        <f>IFERROR(Q184/Q444, "NA")</f>
        <v>5.6524280715428412E-3</v>
      </c>
      <c r="S184" s="9"/>
      <c r="T184" s="7">
        <v>1725</v>
      </c>
      <c r="U184" s="8">
        <f>IFERROR(T184/T444, "NA")</f>
        <v>5.771890664932177E-3</v>
      </c>
      <c r="V184" s="9"/>
      <c r="W184" s="10">
        <f t="shared" si="46"/>
        <v>-1</v>
      </c>
      <c r="X184" s="8">
        <f>IFERROR(W184/W444, "NA")</f>
        <v>-1.5400513453118578E-4</v>
      </c>
      <c r="Y184" s="9"/>
      <c r="Z184" s="7">
        <v>2300</v>
      </c>
      <c r="AA184" s="8">
        <f>IFERROR(Z184/Z444, "NA")</f>
        <v>8.0188100364820998E-3</v>
      </c>
      <c r="AB184" s="9"/>
      <c r="AC184" s="10">
        <f t="shared" si="47"/>
        <v>574</v>
      </c>
      <c r="AD184" s="8">
        <f>IFERROR(AC184/AC444, "NA")</f>
        <v>3.0976961559425538E-2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4436.8</v>
      </c>
      <c r="C186" s="8">
        <f>IFERROR(B186/B444, "NA")</f>
        <v>2.5453452732637664E-2</v>
      </c>
      <c r="D186" s="9"/>
      <c r="E186" s="7">
        <v>3808.59</v>
      </c>
      <c r="F186" s="8">
        <f>IFERROR(E186/E444, "NA")</f>
        <v>2.4305880409853133E-2</v>
      </c>
      <c r="G186" s="9"/>
      <c r="H186" s="10">
        <f t="shared" ref="H186:H197" si="48">IFERROR(-(B186-E186), "NA")</f>
        <v>-628.21</v>
      </c>
      <c r="I186" s="8">
        <f>IFERROR(H186/H444, "NA")</f>
        <v>-3.566100671201896E-2</v>
      </c>
      <c r="J186" s="9"/>
      <c r="K186" s="7">
        <v>3627.23</v>
      </c>
      <c r="L186" s="8">
        <f>IFERROR(K186/K444, "NA")</f>
        <v>2.4305891999157822E-2</v>
      </c>
      <c r="M186" s="9"/>
      <c r="N186" s="10">
        <f t="shared" ref="N186:N197" si="49">IFERROR(-(B186-K186), "NA")</f>
        <v>-809.57000000000016</v>
      </c>
      <c r="O186" s="8">
        <f>IFERROR(N186/N444, "NA")</f>
        <v>-3.2282337366116666E-2</v>
      </c>
      <c r="P186" s="9"/>
      <c r="Q186" s="7">
        <v>8265.76</v>
      </c>
      <c r="R186" s="8">
        <f>IFERROR(Q186/Q444, "NA")</f>
        <v>2.7069301191561968E-2</v>
      </c>
      <c r="S186" s="9"/>
      <c r="T186" s="7">
        <v>7296.73</v>
      </c>
      <c r="U186" s="8">
        <f>IFERROR(T186/T444, "NA")</f>
        <v>2.441503059219163E-2</v>
      </c>
      <c r="V186" s="9"/>
      <c r="W186" s="10">
        <f t="shared" ref="W186:W197" si="50">IFERROR(-(Q186-T186), "NA")</f>
        <v>-969.03000000000065</v>
      </c>
      <c r="X186" s="8">
        <f>IFERROR(W186/W444, "NA")</f>
        <v>-0.14923559551475504</v>
      </c>
      <c r="Y186" s="9"/>
      <c r="Z186" s="7">
        <v>7003.12</v>
      </c>
      <c r="AA186" s="8">
        <f>IFERROR(Z186/Z444, "NA")</f>
        <v>2.4415951714212403E-2</v>
      </c>
      <c r="AB186" s="9"/>
      <c r="AC186" s="10">
        <f t="shared" ref="AC186:AC197" si="51">IFERROR(-(Q186-Z186), "NA")</f>
        <v>-1262.6400000000003</v>
      </c>
      <c r="AD186" s="8">
        <f>IFERROR(AC186/AC444, "NA")</f>
        <v>-6.8140680737618586E-2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4436.8</v>
      </c>
      <c r="C193" s="15">
        <f>IFERROR(B193/B444, "NA")</f>
        <v>2.5453452732637664E-2</v>
      </c>
      <c r="D193" s="2"/>
      <c r="E193" s="14">
        <f>IFERROR(E186+E187+E188+E189+E190+E191+E192, "NA")</f>
        <v>3808.59</v>
      </c>
      <c r="F193" s="15">
        <f>IFERROR(E193/E444, "NA")</f>
        <v>2.4305880409853133E-2</v>
      </c>
      <c r="G193" s="2"/>
      <c r="H193" s="14">
        <f t="shared" si="48"/>
        <v>-628.21</v>
      </c>
      <c r="I193" s="15">
        <f>IFERROR(H193/H444, "NA")</f>
        <v>-3.566100671201896E-2</v>
      </c>
      <c r="J193" s="2"/>
      <c r="K193" s="14">
        <f>IFERROR(K186+K187+K188+K189+K190+K191+K192, "NA")</f>
        <v>3627.23</v>
      </c>
      <c r="L193" s="15">
        <f>IFERROR(K193/K444, "NA")</f>
        <v>2.4305891999157822E-2</v>
      </c>
      <c r="M193" s="2"/>
      <c r="N193" s="14">
        <f t="shared" si="49"/>
        <v>-809.57000000000016</v>
      </c>
      <c r="O193" s="15">
        <f>IFERROR(N193/N444, "NA")</f>
        <v>-3.2282337366116666E-2</v>
      </c>
      <c r="P193" s="2"/>
      <c r="Q193" s="14">
        <f>IFERROR(Q186+Q187+Q188+Q189+Q190+Q191+Q192, "NA")</f>
        <v>8265.76</v>
      </c>
      <c r="R193" s="15">
        <f>IFERROR(Q193/Q444, "NA")</f>
        <v>2.7069301191561968E-2</v>
      </c>
      <c r="S193" s="2"/>
      <c r="T193" s="14">
        <f>IFERROR(T186+T187+T188+T189+T190+T191+T192, "NA")</f>
        <v>7296.73</v>
      </c>
      <c r="U193" s="15">
        <f>IFERROR(T193/T444, "NA")</f>
        <v>2.441503059219163E-2</v>
      </c>
      <c r="V193" s="2"/>
      <c r="W193" s="14">
        <f t="shared" si="50"/>
        <v>-969.03000000000065</v>
      </c>
      <c r="X193" s="15">
        <f>IFERROR(W193/W444, "NA")</f>
        <v>-0.14923559551475504</v>
      </c>
      <c r="Y193" s="2"/>
      <c r="Z193" s="14">
        <f>IFERROR(Z186+Z187+Z188+Z189+Z190+Z191+Z192, "NA")</f>
        <v>7003.12</v>
      </c>
      <c r="AA193" s="15">
        <f>IFERROR(Z193/Z444, "NA")</f>
        <v>2.4415951714212403E-2</v>
      </c>
      <c r="AB193" s="2"/>
      <c r="AC193" s="14">
        <f t="shared" si="51"/>
        <v>-1262.6400000000003</v>
      </c>
      <c r="AD193" s="15">
        <f>IFERROR(AC193/AC444, "NA")</f>
        <v>-6.8140680737618586E-2</v>
      </c>
    </row>
    <row r="194" spans="1:30" ht="16.5" customHeight="1" x14ac:dyDescent="0.45">
      <c r="A194" s="6" t="s">
        <v>178</v>
      </c>
      <c r="B194" s="7">
        <v>345.56</v>
      </c>
      <c r="C194" s="8">
        <f>IFERROR(B194/B444, "NA")</f>
        <v>1.9824412022832381E-3</v>
      </c>
      <c r="D194" s="9"/>
      <c r="E194" s="7">
        <v>290.58999999999997</v>
      </c>
      <c r="F194" s="8">
        <f>IFERROR(E194/E444, "NA")</f>
        <v>1.8545041047472216E-3</v>
      </c>
      <c r="G194" s="9"/>
      <c r="H194" s="10">
        <f t="shared" si="48"/>
        <v>-54.970000000000027</v>
      </c>
      <c r="I194" s="8">
        <f>IFERROR(H194/H444, "NA")</f>
        <v>-3.1204303321495726E-3</v>
      </c>
      <c r="J194" s="9"/>
      <c r="K194" s="7">
        <v>361.46</v>
      </c>
      <c r="L194" s="8">
        <f>IFERROR(K194/K444, "NA")</f>
        <v>2.4221258982792893E-3</v>
      </c>
      <c r="M194" s="9"/>
      <c r="N194" s="10">
        <f t="shared" si="49"/>
        <v>15.899999999999977</v>
      </c>
      <c r="O194" s="8">
        <f>IFERROR(N194/N444, "NA")</f>
        <v>6.3402690826148966E-4</v>
      </c>
      <c r="P194" s="9"/>
      <c r="Q194" s="7">
        <v>595.72</v>
      </c>
      <c r="R194" s="8">
        <f>IFERROR(Q194/Q444, "NA")</f>
        <v>1.9509064025373705E-3</v>
      </c>
      <c r="S194" s="9"/>
      <c r="T194" s="7">
        <v>555.53</v>
      </c>
      <c r="U194" s="8">
        <f>IFERROR(T194/T444, "NA")</f>
        <v>1.8588164759940707E-3</v>
      </c>
      <c r="V194" s="9"/>
      <c r="W194" s="10">
        <f t="shared" si="50"/>
        <v>-40.190000000000055</v>
      </c>
      <c r="X194" s="8">
        <f>IFERROR(W194/W444, "NA")</f>
        <v>-6.1894663568083643E-3</v>
      </c>
      <c r="Y194" s="9"/>
      <c r="Z194" s="7">
        <v>611.62</v>
      </c>
      <c r="AA194" s="8">
        <f>IFERROR(Z194/Z444, "NA")</f>
        <v>2.1323759106579051E-3</v>
      </c>
      <c r="AB194" s="9"/>
      <c r="AC194" s="10">
        <f t="shared" si="51"/>
        <v>15.899999999999977</v>
      </c>
      <c r="AD194" s="8">
        <f>IFERROR(AC194/AC444, "NA")</f>
        <v>8.5807262856248318E-4</v>
      </c>
    </row>
    <row r="195" spans="1:30" ht="16.5" customHeight="1" x14ac:dyDescent="0.45">
      <c r="A195" s="6" t="s">
        <v>179</v>
      </c>
      <c r="B195" s="7">
        <v>239.37</v>
      </c>
      <c r="C195" s="8">
        <f>IFERROR(B195/B444, "NA")</f>
        <v>1.3732403941154609E-3</v>
      </c>
      <c r="D195" s="9"/>
      <c r="E195" s="7">
        <v>470.08</v>
      </c>
      <c r="F195" s="8">
        <f>IFERROR(E195/E444, "NA")</f>
        <v>2.9999837900807802E-3</v>
      </c>
      <c r="G195" s="9"/>
      <c r="H195" s="10">
        <f t="shared" si="48"/>
        <v>230.70999999999998</v>
      </c>
      <c r="I195" s="8">
        <f>IFERROR(H195/H444, "NA")</f>
        <v>1.309649776114658E-2</v>
      </c>
      <c r="J195" s="9"/>
      <c r="K195" s="7">
        <v>381.85</v>
      </c>
      <c r="L195" s="8">
        <f>IFERROR(K195/K444, "NA")</f>
        <v>2.5587582976206126E-3</v>
      </c>
      <c r="M195" s="9"/>
      <c r="N195" s="10">
        <f t="shared" si="49"/>
        <v>142.48000000000002</v>
      </c>
      <c r="O195" s="8">
        <f>IFERROR(N195/N444, "NA")</f>
        <v>5.6815191125218351E-3</v>
      </c>
      <c r="P195" s="9"/>
      <c r="Q195" s="7">
        <v>478.74</v>
      </c>
      <c r="R195" s="8">
        <f>IFERROR(Q195/Q444, "NA")</f>
        <v>1.5678119437835573E-3</v>
      </c>
      <c r="S195" s="9"/>
      <c r="T195" s="7">
        <v>896.58</v>
      </c>
      <c r="U195" s="8">
        <f>IFERROR(T195/T444, "NA")</f>
        <v>2.9999778158637052E-3</v>
      </c>
      <c r="V195" s="9"/>
      <c r="W195" s="10">
        <f t="shared" si="50"/>
        <v>417.84000000000003</v>
      </c>
      <c r="X195" s="8">
        <f>IFERROR(W195/W444, "NA")</f>
        <v>6.4349505412510666E-2</v>
      </c>
      <c r="Y195" s="9"/>
      <c r="Z195" s="7">
        <v>763.7</v>
      </c>
      <c r="AA195" s="8">
        <f>IFERROR(Z195/Z444, "NA")</f>
        <v>2.6625935760266868E-3</v>
      </c>
      <c r="AB195" s="9"/>
      <c r="AC195" s="10">
        <f t="shared" si="51"/>
        <v>284.96000000000004</v>
      </c>
      <c r="AD195" s="8">
        <f>IFERROR(AC195/AC444, "NA")</f>
        <v>1.5378388442463245E-2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42871.020000000004</v>
      </c>
      <c r="C196" s="15">
        <f>IFERROR(B196/B444, "NA")</f>
        <v>0.2459465112626136</v>
      </c>
      <c r="D196" s="2"/>
      <c r="E196" s="14">
        <f>IFERROR(E175+E177+E178+E179+E180+E181+E183+E184+E186+E187+E188+E189+E190+E191+E192+E194+E195, "NA")</f>
        <v>40893.14</v>
      </c>
      <c r="F196" s="15">
        <f>IFERROR(E196/E444, "NA")</f>
        <v>0.26097421103961871</v>
      </c>
      <c r="G196" s="2"/>
      <c r="H196" s="14">
        <f t="shared" si="48"/>
        <v>-1977.8800000000047</v>
      </c>
      <c r="I196" s="15">
        <f>IFERROR(H196/H444, "NA")</f>
        <v>-0.11227645525472091</v>
      </c>
      <c r="J196" s="2"/>
      <c r="K196" s="14">
        <f>IFERROR(K175+K177+K178+K179+K180+K181+K183+K184+K186+K187+K188+K189+K190+K191+K192+K194+K195, "NA")</f>
        <v>40353.18</v>
      </c>
      <c r="L196" s="15">
        <f>IFERROR(K196/K444, "NA")</f>
        <v>0.27040469859991662</v>
      </c>
      <c r="M196" s="2"/>
      <c r="N196" s="14">
        <f t="shared" si="49"/>
        <v>-2517.8400000000038</v>
      </c>
      <c r="O196" s="15">
        <f>IFERROR(N196/N444, "NA")</f>
        <v>-0.10040115161617068</v>
      </c>
      <c r="P196" s="2"/>
      <c r="Q196" s="14">
        <f>IFERROR(Q175+Q177+Q178+Q179+Q180+Q181+Q183+Q184+Q186+Q187+Q188+Q189+Q190+Q191+Q192+Q194+Q195, "NA")</f>
        <v>79673.310000000012</v>
      </c>
      <c r="R196" s="15">
        <f>IFERROR(Q196/Q444, "NA")</f>
        <v>0.26091984588455097</v>
      </c>
      <c r="S196" s="2"/>
      <c r="T196" s="14">
        <f>IFERROR(T175+T177+T178+T179+T180+T181+T183+T184+T186+T187+T188+T189+T190+T191+T192+T194+T195, "NA")</f>
        <v>78190.349999999991</v>
      </c>
      <c r="U196" s="15">
        <f>IFERROR(T196/T444, "NA")</f>
        <v>0.26162675434943744</v>
      </c>
      <c r="V196" s="2"/>
      <c r="W196" s="14">
        <f t="shared" si="50"/>
        <v>-1482.960000000021</v>
      </c>
      <c r="X196" s="15">
        <f>IFERROR(W196/W444, "NA")</f>
        <v>-0.22838345430437046</v>
      </c>
      <c r="Y196" s="2"/>
      <c r="Z196" s="14">
        <f>IFERROR(Z175+Z177+Z178+Z179+Z180+Z181+Z183+Z184+Z186+Z187+Z188+Z189+Z190+Z191+Z192+Z194+Z195, "NA")</f>
        <v>77469.989999999976</v>
      </c>
      <c r="AA196" s="15">
        <f>IFERROR(Z196/Z444, "NA")</f>
        <v>0.27009440579920335</v>
      </c>
      <c r="AB196" s="2"/>
      <c r="AC196" s="14">
        <f t="shared" si="51"/>
        <v>-2203.3200000000361</v>
      </c>
      <c r="AD196" s="15">
        <f>IFERROR(AC196/AC444, "NA")</f>
        <v>-0.11890620024932856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42871.020000000004</v>
      </c>
      <c r="C197" s="15">
        <f>IFERROR(B197/B444, "NA")</f>
        <v>0.2459465112626136</v>
      </c>
      <c r="D197" s="2"/>
      <c r="E197" s="14">
        <f>IFERROR(E175+E177+E178+E179+E180+E181+E183+E184+E186+E187+E188+E189+E190+E191+E192+E194+E195, "NA")</f>
        <v>40893.14</v>
      </c>
      <c r="F197" s="15">
        <f>IFERROR(E197/E444, "NA")</f>
        <v>0.26097421103961871</v>
      </c>
      <c r="G197" s="2"/>
      <c r="H197" s="14">
        <f t="shared" si="48"/>
        <v>-1977.8800000000047</v>
      </c>
      <c r="I197" s="15">
        <f>IFERROR(H197/H444, "NA")</f>
        <v>-0.11227645525472091</v>
      </c>
      <c r="J197" s="2"/>
      <c r="K197" s="14">
        <f>IFERROR(K175+K177+K178+K179+K180+K181+K183+K184+K186+K187+K188+K189+K190+K191+K192+K194+K195, "NA")</f>
        <v>40353.18</v>
      </c>
      <c r="L197" s="15">
        <f>IFERROR(K197/K444, "NA")</f>
        <v>0.27040469859991662</v>
      </c>
      <c r="M197" s="2"/>
      <c r="N197" s="14">
        <f t="shared" si="49"/>
        <v>-2517.8400000000038</v>
      </c>
      <c r="O197" s="15">
        <f>IFERROR(N197/N444, "NA")</f>
        <v>-0.10040115161617068</v>
      </c>
      <c r="P197" s="2"/>
      <c r="Q197" s="14">
        <f>IFERROR(Q175+Q177+Q178+Q179+Q180+Q181+Q183+Q184+Q186+Q187+Q188+Q189+Q190+Q191+Q192+Q194+Q195, "NA")</f>
        <v>79673.310000000012</v>
      </c>
      <c r="R197" s="15">
        <f>IFERROR(Q197/Q444, "NA")</f>
        <v>0.26091984588455097</v>
      </c>
      <c r="S197" s="2"/>
      <c r="T197" s="14">
        <f>IFERROR(T175+T177+T178+T179+T180+T181+T183+T184+T186+T187+T188+T189+T190+T191+T192+T194+T195, "NA")</f>
        <v>78190.349999999991</v>
      </c>
      <c r="U197" s="15">
        <f>IFERROR(T197/T444, "NA")</f>
        <v>0.26162675434943744</v>
      </c>
      <c r="V197" s="2"/>
      <c r="W197" s="14">
        <f t="shared" si="50"/>
        <v>-1482.960000000021</v>
      </c>
      <c r="X197" s="15">
        <f>IFERROR(W197/W444, "NA")</f>
        <v>-0.22838345430437046</v>
      </c>
      <c r="Y197" s="2"/>
      <c r="Z197" s="14">
        <f>IFERROR(Z175+Z177+Z178+Z179+Z180+Z181+Z183+Z184+Z186+Z187+Z188+Z189+Z190+Z191+Z192+Z194+Z195, "NA")</f>
        <v>77469.989999999976</v>
      </c>
      <c r="AA197" s="15">
        <f>IFERROR(Z197/Z444, "NA")</f>
        <v>0.27009440579920335</v>
      </c>
      <c r="AB197" s="2"/>
      <c r="AC197" s="14">
        <f t="shared" si="51"/>
        <v>-2203.3200000000361</v>
      </c>
      <c r="AD197" s="15">
        <f>IFERROR(AC197/AC444, "NA")</f>
        <v>-0.11890620024932856</v>
      </c>
    </row>
    <row r="198" spans="1:30" ht="16.5" customHeight="1" x14ac:dyDescent="0.45">
      <c r="A198" s="22" t="s">
        <v>181</v>
      </c>
      <c r="B198" s="23">
        <f>IFERROR(B172-B197, "NA")</f>
        <v>86832.359999999971</v>
      </c>
      <c r="C198" s="24">
        <f>IFERROR(B198/B444, "NA")</f>
        <v>0.49814807314356668</v>
      </c>
      <c r="D198" s="25"/>
      <c r="E198" s="23">
        <f>IFERROR(E172-E197, "NA")</f>
        <v>76000.720000000016</v>
      </c>
      <c r="F198" s="24">
        <f>IFERROR(E198/E444, "NA")</f>
        <v>0.48502579993717709</v>
      </c>
      <c r="G198" s="25"/>
      <c r="H198" s="23">
        <f>IFERROR(B198-E198, "NA")</f>
        <v>10831.639999999956</v>
      </c>
      <c r="I198" s="24">
        <f>IFERROR(H198/H444, "NA")</f>
        <v>0.61486952888711011</v>
      </c>
      <c r="J198" s="25"/>
      <c r="K198" s="23">
        <f>IFERROR(K172-K197, "NA")</f>
        <v>71839.26999999999</v>
      </c>
      <c r="L198" s="24">
        <f>IFERROR(K198/K444, "NA")</f>
        <v>0.48139145792197857</v>
      </c>
      <c r="M198" s="25"/>
      <c r="N198" s="23">
        <f>IFERROR(B198-K198, "NA")</f>
        <v>14993.089999999982</v>
      </c>
      <c r="O198" s="24">
        <f>IFERROR(N198/N444, "NA")</f>
        <v>0.59786305018781505</v>
      </c>
      <c r="P198" s="25"/>
      <c r="Q198" s="23">
        <f>IFERROR(Q172-Q197, "NA")</f>
        <v>145093.55999999988</v>
      </c>
      <c r="R198" s="24">
        <f>IFERROR(Q198/Q444, "NA")</f>
        <v>0.475162752922413</v>
      </c>
      <c r="S198" s="25"/>
      <c r="T198" s="23">
        <f>IFERROR(T172-T197, "NA")</f>
        <v>143197.01</v>
      </c>
      <c r="U198" s="24">
        <f>IFERROR(T198/T444, "NA")</f>
        <v>0.47914057116823167</v>
      </c>
      <c r="V198" s="25"/>
      <c r="W198" s="23">
        <f>IFERROR(Q198-T198, "NA")</f>
        <v>1896.5499999998719</v>
      </c>
      <c r="X198" s="24">
        <f>IFERROR(W198/W444, "NA")</f>
        <v>0.29207843789510063</v>
      </c>
      <c r="Y198" s="25"/>
      <c r="Z198" s="23">
        <f>IFERROR(Z172-Z197, "NA")</f>
        <v>135808.72000000009</v>
      </c>
      <c r="AA198" s="24">
        <f>IFERROR(Z198/Z444, "NA")</f>
        <v>0.47348883781642959</v>
      </c>
      <c r="AB198" s="25"/>
      <c r="AC198" s="23">
        <f>IFERROR(Q198-Z198, "NA")</f>
        <v>9284.8399999997928</v>
      </c>
      <c r="AD198" s="24">
        <f>IFERROR(AC198/AC444, "NA")</f>
        <v>0.50107340028817104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1724.67</v>
      </c>
      <c r="C202" s="8">
        <f>IFERROR(B202/B444, "NA")</f>
        <v>9.8942495321849531E-3</v>
      </c>
      <c r="D202" s="9"/>
      <c r="E202" s="7">
        <v>1410.25</v>
      </c>
      <c r="F202" s="8">
        <f>IFERROR(E202/E444, "NA")</f>
        <v>9.000015188821946E-3</v>
      </c>
      <c r="G202" s="9"/>
      <c r="H202" s="10">
        <f t="shared" si="52"/>
        <v>-314.42000000000007</v>
      </c>
      <c r="I202" s="8">
        <f>IFERROR(H202/H444, "NA")</f>
        <v>-1.784838466498942E-2</v>
      </c>
      <c r="J202" s="9"/>
      <c r="K202" s="7">
        <v>1132.82</v>
      </c>
      <c r="L202" s="8">
        <f>IFERROR(K202/K444, "NA")</f>
        <v>7.5909717813554597E-3</v>
      </c>
      <c r="M202" s="9"/>
      <c r="N202" s="10">
        <f t="shared" si="53"/>
        <v>-591.85000000000014</v>
      </c>
      <c r="O202" s="8">
        <f>IFERROR(N202/N444, "NA")</f>
        <v>-2.3600555072614042E-2</v>
      </c>
      <c r="P202" s="9"/>
      <c r="Q202" s="7">
        <v>3734.73</v>
      </c>
      <c r="R202" s="8">
        <f>IFERROR(Q202/Q444, "NA")</f>
        <v>1.2230760539764308E-2</v>
      </c>
      <c r="S202" s="9"/>
      <c r="T202" s="7">
        <v>2689.76</v>
      </c>
      <c r="U202" s="8">
        <f>IFERROR(T202/T444, "NA")</f>
        <v>9.0000003680625936E-3</v>
      </c>
      <c r="V202" s="9"/>
      <c r="W202" s="10">
        <f t="shared" si="54"/>
        <v>-1044.9699999999998</v>
      </c>
      <c r="X202" s="8">
        <f>IFERROR(W202/W444, "NA")</f>
        <v>-0.16093074543105315</v>
      </c>
      <c r="Y202" s="9"/>
      <c r="Z202" s="7">
        <v>2222.75</v>
      </c>
      <c r="AA202" s="8">
        <f>IFERROR(Z202/Z444, "NA")</f>
        <v>7.7494826124306906E-3</v>
      </c>
      <c r="AB202" s="9"/>
      <c r="AC202" s="10">
        <f t="shared" si="55"/>
        <v>-1511.98</v>
      </c>
      <c r="AD202" s="8">
        <f>IFERROR(AC202/AC444, "NA")</f>
        <v>-8.1596770624773912E-2</v>
      </c>
    </row>
    <row r="203" spans="1:30" ht="16.5" customHeight="1" x14ac:dyDescent="0.45">
      <c r="A203" s="6" t="s">
        <v>185</v>
      </c>
      <c r="B203" s="7">
        <v>1093.03</v>
      </c>
      <c r="C203" s="8">
        <f>IFERROR(B203/B444, "NA")</f>
        <v>6.2705976019552254E-3</v>
      </c>
      <c r="D203" s="9"/>
      <c r="E203" s="7">
        <v>940.17</v>
      </c>
      <c r="F203" s="8">
        <f>IFERROR(E203/E444, "NA")</f>
        <v>6.0000313987411654E-3</v>
      </c>
      <c r="G203" s="9"/>
      <c r="H203" s="10">
        <f t="shared" si="52"/>
        <v>-152.86000000000001</v>
      </c>
      <c r="I203" s="8">
        <f>IFERROR(H203/H444, "NA")</f>
        <v>-8.6772599703908212E-3</v>
      </c>
      <c r="J203" s="9"/>
      <c r="K203" s="7">
        <v>719.25</v>
      </c>
      <c r="L203" s="8">
        <f>IFERROR(K203/K444, "NA")</f>
        <v>4.8196593048674234E-3</v>
      </c>
      <c r="M203" s="9"/>
      <c r="N203" s="10">
        <f t="shared" si="53"/>
        <v>-373.78</v>
      </c>
      <c r="O203" s="8">
        <f>IFERROR(N203/N444, "NA")</f>
        <v>-1.4904816211948422E-2</v>
      </c>
      <c r="P203" s="9"/>
      <c r="Q203" s="7">
        <v>1937.25</v>
      </c>
      <c r="R203" s="8">
        <f>IFERROR(Q203/Q444, "NA")</f>
        <v>6.3442446590940725E-3</v>
      </c>
      <c r="S203" s="9"/>
      <c r="T203" s="7">
        <v>1793.18</v>
      </c>
      <c r="U203" s="8">
        <f>IFERROR(T203/T444, "NA")</f>
        <v>6.000022552198888E-3</v>
      </c>
      <c r="V203" s="9"/>
      <c r="W203" s="10">
        <f t="shared" si="54"/>
        <v>-144.06999999999994</v>
      </c>
      <c r="X203" s="8">
        <f>IFERROR(W203/W444, "NA")</f>
        <v>-2.2187519731907922E-2</v>
      </c>
      <c r="Y203" s="9"/>
      <c r="Z203" s="7">
        <v>1856.04</v>
      </c>
      <c r="AA203" s="8">
        <f>IFERROR(Z203/Z444, "NA")</f>
        <v>6.4709705130922765E-3</v>
      </c>
      <c r="AB203" s="9"/>
      <c r="AC203" s="10">
        <f t="shared" si="55"/>
        <v>-81.210000000000036</v>
      </c>
      <c r="AD203" s="8">
        <f>IFERROR(AC203/AC444, "NA")</f>
        <v>-4.3826464255068802E-3</v>
      </c>
    </row>
    <row r="204" spans="1:30" ht="16.5" customHeight="1" x14ac:dyDescent="0.45">
      <c r="A204" s="6" t="s">
        <v>186</v>
      </c>
      <c r="B204" s="7">
        <v>40.799999999999997</v>
      </c>
      <c r="C204" s="8">
        <f>IFERROR(B204/B444, "NA")</f>
        <v>2.3406528838163014E-4</v>
      </c>
      <c r="D204" s="9"/>
      <c r="E204" s="7">
        <v>313.39</v>
      </c>
      <c r="F204" s="8">
        <f>IFERROR(E204/E444, "NA")</f>
        <v>2.0000104662470553E-3</v>
      </c>
      <c r="G204" s="9"/>
      <c r="H204" s="10">
        <f t="shared" si="52"/>
        <v>272.58999999999997</v>
      </c>
      <c r="I204" s="8">
        <f>IFERROR(H204/H444, "NA")</f>
        <v>1.547386036457434E-2</v>
      </c>
      <c r="J204" s="9"/>
      <c r="K204" s="7">
        <v>249.17</v>
      </c>
      <c r="L204" s="8">
        <f>IFERROR(K204/K444, "NA")</f>
        <v>1.6696760639469111E-3</v>
      </c>
      <c r="M204" s="9"/>
      <c r="N204" s="10">
        <f t="shared" si="53"/>
        <v>208.37</v>
      </c>
      <c r="O204" s="8">
        <f>IFERROR(N204/N444, "NA")</f>
        <v>8.3089425707199242E-3</v>
      </c>
      <c r="P204" s="9"/>
      <c r="Q204" s="7">
        <v>64.98</v>
      </c>
      <c r="R204" s="8">
        <f>IFERROR(Q204/Q444, "NA")</f>
        <v>2.1280114489504858E-4</v>
      </c>
      <c r="S204" s="9"/>
      <c r="T204" s="7">
        <v>597.73</v>
      </c>
      <c r="U204" s="8">
        <f>IFERROR(T204/T444, "NA")</f>
        <v>2.0000186708115423E-3</v>
      </c>
      <c r="V204" s="9"/>
      <c r="W204" s="10">
        <f t="shared" si="54"/>
        <v>532.75</v>
      </c>
      <c r="X204" s="8">
        <f>IFERROR(W204/W444, "NA")</f>
        <v>8.2046235421489214E-2</v>
      </c>
      <c r="Y204" s="9"/>
      <c r="Z204" s="7">
        <v>311.2</v>
      </c>
      <c r="AA204" s="8">
        <f>IFERROR(Z204/Z444, "NA")</f>
        <v>1.0849798623274911E-3</v>
      </c>
      <c r="AB204" s="9"/>
      <c r="AC204" s="10">
        <f t="shared" si="55"/>
        <v>246.21999999999997</v>
      </c>
      <c r="AD204" s="8">
        <f>IFERROR(AC204/AC444, "NA")</f>
        <v>1.3287713371361943E-2</v>
      </c>
    </row>
    <row r="205" spans="1:30" ht="16.5" customHeight="1" x14ac:dyDescent="0.45">
      <c r="A205" s="6" t="s">
        <v>187</v>
      </c>
      <c r="B205" s="7">
        <v>623.13</v>
      </c>
      <c r="C205" s="8">
        <f>IFERROR(B205/B444, "NA")</f>
        <v>3.5748309595403233E-3</v>
      </c>
      <c r="D205" s="9"/>
      <c r="E205" s="7">
        <v>470.08</v>
      </c>
      <c r="F205" s="8">
        <f>IFERROR(E205/E444, "NA")</f>
        <v>2.9999837900807802E-3</v>
      </c>
      <c r="G205" s="9"/>
      <c r="H205" s="10">
        <f t="shared" si="52"/>
        <v>-153.05000000000001</v>
      </c>
      <c r="I205" s="8">
        <f>IFERROR(H205/H444, "NA")</f>
        <v>-8.6880455218390374E-3</v>
      </c>
      <c r="J205" s="9"/>
      <c r="K205" s="7">
        <v>697.41</v>
      </c>
      <c r="L205" s="8">
        <f>IFERROR(K205/K444, "NA")</f>
        <v>4.6733105259750985E-3</v>
      </c>
      <c r="M205" s="9"/>
      <c r="N205" s="10">
        <f t="shared" si="53"/>
        <v>74.279999999999973</v>
      </c>
      <c r="O205" s="8">
        <f>IFERROR(N205/N444, "NA")</f>
        <v>2.9619823110480187E-3</v>
      </c>
      <c r="P205" s="9"/>
      <c r="Q205" s="7">
        <v>1231.01</v>
      </c>
      <c r="R205" s="8">
        <f>IFERROR(Q205/Q444, "NA")</f>
        <v>4.0313994671784198E-3</v>
      </c>
      <c r="S205" s="9"/>
      <c r="T205" s="7">
        <v>896.58</v>
      </c>
      <c r="U205" s="8">
        <f>IFERROR(T205/T444, "NA")</f>
        <v>2.9999778158637052E-3</v>
      </c>
      <c r="V205" s="9"/>
      <c r="W205" s="10">
        <f t="shared" si="54"/>
        <v>-334.42999999999995</v>
      </c>
      <c r="X205" s="8">
        <f>IFERROR(W205/W444, "NA")</f>
        <v>-5.1503937141264451E-2</v>
      </c>
      <c r="Y205" s="9"/>
      <c r="Z205" s="7">
        <v>1395.61</v>
      </c>
      <c r="AA205" s="8">
        <f>IFERROR(Z205/Z444, "NA")</f>
        <v>4.865709336962949E-3</v>
      </c>
      <c r="AB205" s="9"/>
      <c r="AC205" s="10">
        <f t="shared" si="55"/>
        <v>164.59999999999991</v>
      </c>
      <c r="AD205" s="8">
        <f>IFERROR(AC205/AC444, "NA")</f>
        <v>8.8829405447411868E-3</v>
      </c>
    </row>
    <row r="206" spans="1:30" ht="16.5" customHeight="1" x14ac:dyDescent="0.45">
      <c r="A206" s="6" t="s">
        <v>188</v>
      </c>
      <c r="B206" s="7">
        <v>22.32</v>
      </c>
      <c r="C206" s="8">
        <f>IFERROR(B206/B444, "NA")</f>
        <v>1.2804748129112707E-4</v>
      </c>
      <c r="D206" s="9"/>
      <c r="E206" s="7">
        <v>156.69</v>
      </c>
      <c r="F206" s="8">
        <f>IFERROR(E206/E444, "NA")</f>
        <v>9.9997332383372516E-4</v>
      </c>
      <c r="G206" s="9"/>
      <c r="H206" s="10">
        <f t="shared" si="52"/>
        <v>134.37</v>
      </c>
      <c r="I206" s="8">
        <f>IFERROR(H206/H444, "NA")</f>
        <v>7.6276555162986702E-3</v>
      </c>
      <c r="J206" s="9"/>
      <c r="K206" s="7">
        <v>135.76</v>
      </c>
      <c r="L206" s="8">
        <f>IFERROR(K206/K444, "NA")</f>
        <v>9.097211640303112E-4</v>
      </c>
      <c r="M206" s="9"/>
      <c r="N206" s="10">
        <f t="shared" si="53"/>
        <v>113.44</v>
      </c>
      <c r="O206" s="8">
        <f>IFERROR(N206/N444, "NA")</f>
        <v>4.5235227970555651E-3</v>
      </c>
      <c r="P206" s="9"/>
      <c r="Q206" s="7">
        <v>245.12</v>
      </c>
      <c r="R206" s="8">
        <f>IFERROR(Q206/Q444, "NA")</f>
        <v>8.0273648255885352E-4</v>
      </c>
      <c r="S206" s="9"/>
      <c r="T206" s="7">
        <v>298.86</v>
      </c>
      <c r="U206" s="8">
        <f>IFERROR(T206/T444, "NA")</f>
        <v>9.9999260528790173E-4</v>
      </c>
      <c r="V206" s="9"/>
      <c r="W206" s="10">
        <f t="shared" si="54"/>
        <v>53.740000000000009</v>
      </c>
      <c r="X206" s="8">
        <f>IFERROR(W206/W444, "NA")</f>
        <v>8.2762359297059249E-3</v>
      </c>
      <c r="Y206" s="9"/>
      <c r="Z206" s="7">
        <v>135.76</v>
      </c>
      <c r="AA206" s="8">
        <f>IFERROR(Z206/Z444, "NA")</f>
        <v>4.7331897850122164E-4</v>
      </c>
      <c r="AB206" s="9"/>
      <c r="AC206" s="10">
        <f t="shared" si="55"/>
        <v>-109.36000000000001</v>
      </c>
      <c r="AD206" s="8">
        <f>IFERROR(AC206/AC444, "NA")</f>
        <v>-5.901812745886372E-3</v>
      </c>
    </row>
    <row r="207" spans="1:30" ht="16.5" customHeight="1" x14ac:dyDescent="0.45">
      <c r="A207" s="6" t="s">
        <v>189</v>
      </c>
      <c r="B207" s="7">
        <v>103.77</v>
      </c>
      <c r="C207" s="8">
        <f>IFERROR(B207/B444, "NA")</f>
        <v>5.9531752390592553E-4</v>
      </c>
      <c r="D207" s="9"/>
      <c r="E207" s="7">
        <v>100</v>
      </c>
      <c r="F207" s="8">
        <f>IFERROR(E207/E444, "NA")</f>
        <v>6.381857960519019E-4</v>
      </c>
      <c r="G207" s="9"/>
      <c r="H207" s="10">
        <f t="shared" si="52"/>
        <v>-3.769999999999996</v>
      </c>
      <c r="I207" s="8">
        <f>IFERROR(H207/H444, "NA")</f>
        <v>-2.140080471567013E-4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-103.77</v>
      </c>
      <c r="O207" s="8">
        <f>IFERROR(N207/N444, "NA")</f>
        <v>-4.137922784295275E-3</v>
      </c>
      <c r="P207" s="9"/>
      <c r="Q207" s="7">
        <v>103.77</v>
      </c>
      <c r="R207" s="8">
        <f>IFERROR(Q207/Q444, "NA")</f>
        <v>3.3983340729084623E-4</v>
      </c>
      <c r="S207" s="9"/>
      <c r="T207" s="7">
        <v>200</v>
      </c>
      <c r="U207" s="8">
        <f>IFERROR(T207/T444, "NA")</f>
        <v>6.692047147747451E-4</v>
      </c>
      <c r="V207" s="9"/>
      <c r="W207" s="10">
        <f t="shared" si="54"/>
        <v>96.23</v>
      </c>
      <c r="X207" s="8">
        <f>IFERROR(W207/W444, "NA")</f>
        <v>1.4819914095936007E-2</v>
      </c>
      <c r="Y207" s="9"/>
      <c r="Z207" s="7">
        <v>99.6</v>
      </c>
      <c r="AA207" s="8">
        <f>IFERROR(Z207/Z444, "NA")</f>
        <v>3.4724933897113788E-4</v>
      </c>
      <c r="AB207" s="9"/>
      <c r="AC207" s="10">
        <f t="shared" si="55"/>
        <v>-4.1700000000000017</v>
      </c>
      <c r="AD207" s="8">
        <f>IFERROR(AC207/AC444, "NA")</f>
        <v>-2.2504168937770828E-4</v>
      </c>
    </row>
    <row r="208" spans="1:30" ht="16.5" customHeight="1" x14ac:dyDescent="0.45">
      <c r="A208" s="6" t="s">
        <v>190</v>
      </c>
      <c r="B208" s="7">
        <v>25.97</v>
      </c>
      <c r="C208" s="8">
        <f>IFERROR(B208/B444, "NA")</f>
        <v>1.4898714557036604E-4</v>
      </c>
      <c r="D208" s="9"/>
      <c r="E208" s="7">
        <v>100</v>
      </c>
      <c r="F208" s="8">
        <f>IFERROR(E208/E444, "NA")</f>
        <v>6.381857960519019E-4</v>
      </c>
      <c r="G208" s="9"/>
      <c r="H208" s="10">
        <f t="shared" si="52"/>
        <v>74.03</v>
      </c>
      <c r="I208" s="8">
        <f>IFERROR(H208/H444, "NA")</f>
        <v>4.2023914405863701E-3</v>
      </c>
      <c r="J208" s="9"/>
      <c r="K208" s="7">
        <v>24.37</v>
      </c>
      <c r="L208" s="8">
        <f>IFERROR(K208/K444, "NA")</f>
        <v>1.6330218597096854E-4</v>
      </c>
      <c r="M208" s="9"/>
      <c r="N208" s="10">
        <f t="shared" si="53"/>
        <v>-1.5999999999999979</v>
      </c>
      <c r="O208" s="8">
        <f>IFERROR(N208/N444, "NA")</f>
        <v>-6.3801449887948653E-5</v>
      </c>
      <c r="P208" s="9"/>
      <c r="Q208" s="7">
        <v>66.790000000000006</v>
      </c>
      <c r="R208" s="8">
        <f>IFERROR(Q208/Q444, "NA")</f>
        <v>2.1872866216590174E-4</v>
      </c>
      <c r="S208" s="9"/>
      <c r="T208" s="7">
        <v>200</v>
      </c>
      <c r="U208" s="8">
        <f>IFERROR(T208/T444, "NA")</f>
        <v>6.692047147747451E-4</v>
      </c>
      <c r="V208" s="9"/>
      <c r="W208" s="10">
        <f t="shared" si="54"/>
        <v>133.20999999999998</v>
      </c>
      <c r="X208" s="8">
        <f>IFERROR(W208/W444, "NA")</f>
        <v>2.0515023970899254E-2</v>
      </c>
      <c r="Y208" s="9"/>
      <c r="Z208" s="7">
        <v>229.3</v>
      </c>
      <c r="AA208" s="8">
        <f>IFERROR(Z208/Z444, "NA")</f>
        <v>7.9944049624580248E-4</v>
      </c>
      <c r="AB208" s="9"/>
      <c r="AC208" s="10">
        <f t="shared" si="55"/>
        <v>162.51</v>
      </c>
      <c r="AD208" s="8">
        <f>IFERROR(AC208/AC444, "NA")</f>
        <v>8.7701498658924112E-3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3633.69</v>
      </c>
      <c r="C209" s="15">
        <f>IFERROR(B209/B444, "NA")</f>
        <v>2.084609553282955E-2</v>
      </c>
      <c r="D209" s="2"/>
      <c r="E209" s="14">
        <f>IFERROR(E201+E202+E203+E204+E205+E206+E207+E208, "NA")</f>
        <v>3490.58</v>
      </c>
      <c r="F209" s="15">
        <f>IFERROR(E209/E444, "NA")</f>
        <v>2.2276385759828477E-2</v>
      </c>
      <c r="G209" s="2"/>
      <c r="H209" s="14">
        <f t="shared" si="52"/>
        <v>-143.11000000000013</v>
      </c>
      <c r="I209" s="15">
        <f>IFERROR(H209/H444, "NA")</f>
        <v>-8.1237908829165997E-3</v>
      </c>
      <c r="J209" s="2"/>
      <c r="K209" s="14">
        <f>IFERROR(K201+K202+K203+K204+K205+K206+K207+K208, "NA")</f>
        <v>2958.7799999999997</v>
      </c>
      <c r="L209" s="15">
        <f>IFERROR(K209/K444, "NA")</f>
        <v>1.9826641026146171E-2</v>
      </c>
      <c r="M209" s="2"/>
      <c r="N209" s="14">
        <f t="shared" si="53"/>
        <v>-674.91000000000031</v>
      </c>
      <c r="O209" s="15">
        <f>IFERROR(N209/N444, "NA")</f>
        <v>-2.6912647839922189E-2</v>
      </c>
      <c r="P209" s="2"/>
      <c r="Q209" s="14">
        <f>IFERROR(Q201+Q202+Q203+Q204+Q205+Q206+Q207+Q208, "NA")</f>
        <v>7383.65</v>
      </c>
      <c r="R209" s="15">
        <f>IFERROR(Q209/Q444, "NA")</f>
        <v>2.4180504362947448E-2</v>
      </c>
      <c r="S209" s="2"/>
      <c r="T209" s="14">
        <f>IFERROR(T201+T202+T203+T204+T205+T206+T207+T208, "NA")</f>
        <v>6676.11</v>
      </c>
      <c r="U209" s="15">
        <f>IFERROR(T209/T444, "NA")</f>
        <v>2.2338421441774118E-2</v>
      </c>
      <c r="V209" s="2"/>
      <c r="W209" s="14">
        <f t="shared" si="54"/>
        <v>-707.54</v>
      </c>
      <c r="X209" s="15">
        <f>IFERROR(W209/W444, "NA")</f>
        <v>-0.10896479288619518</v>
      </c>
      <c r="Y209" s="2"/>
      <c r="Z209" s="14">
        <f>IFERROR(Z201+Z202+Z203+Z204+Z205+Z206+Z207+Z208, "NA")</f>
        <v>6250.26</v>
      </c>
      <c r="AA209" s="15">
        <f>IFERROR(Z209/Z444, "NA")</f>
        <v>2.179115113853157E-2</v>
      </c>
      <c r="AB209" s="2"/>
      <c r="AC209" s="14">
        <f t="shared" si="55"/>
        <v>-1133.3899999999994</v>
      </c>
      <c r="AD209" s="15">
        <f>IFERROR(AC209/AC444, "NA")</f>
        <v>-6.1165467703549289E-2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5954.38</v>
      </c>
      <c r="F213" s="8">
        <f>IFERROR(E213/E444, "NA")</f>
        <v>3.8000007402955234E-2</v>
      </c>
      <c r="G213" s="9"/>
      <c r="H213" s="10">
        <f t="shared" ref="H213:H227" si="56">IFERROR(-(B213-E213), "NA")</f>
        <v>5954.38</v>
      </c>
      <c r="I213" s="8">
        <f>IFERROR(H213/H444, "NA")</f>
        <v>0.33800669385382509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11356.77</v>
      </c>
      <c r="U213" s="8">
        <f>IFERROR(T213/T444, "NA")</f>
        <v>3.8000020143061912E-2</v>
      </c>
      <c r="V213" s="9"/>
      <c r="W213" s="10">
        <f t="shared" ref="W213:W227" si="58">IFERROR(-(Q213-T213), "NA")</f>
        <v>11356.77</v>
      </c>
      <c r="X213" s="8">
        <f>IFERROR(W213/W444, "NA")</f>
        <v>1.7490008916897346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3040.97</v>
      </c>
      <c r="C214" s="8">
        <f>IFERROR(B214/B444, "NA")</f>
        <v>1.7445723529654063E-2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-3040.97</v>
      </c>
      <c r="I214" s="8">
        <f>IFERROR(H214/H444, "NA")</f>
        <v>-0.17262388624989777</v>
      </c>
      <c r="J214" s="9"/>
      <c r="K214" s="7">
        <v>4978.33</v>
      </c>
      <c r="L214" s="8">
        <f>IFERROR(K214/K444, "NA")</f>
        <v>3.3359547455266793E-2</v>
      </c>
      <c r="M214" s="9"/>
      <c r="N214" s="10">
        <f t="shared" si="57"/>
        <v>1937.3600000000001</v>
      </c>
      <c r="O214" s="8">
        <f>IFERROR(N214/N444, "NA")</f>
        <v>7.7253985596822727E-2</v>
      </c>
      <c r="P214" s="9"/>
      <c r="Q214" s="7">
        <v>5434.1</v>
      </c>
      <c r="R214" s="8">
        <f>IFERROR(Q214/Q444, "NA")</f>
        <v>1.779597878538294E-2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-5434.1</v>
      </c>
      <c r="X214" s="8">
        <f>IFERROR(W214/W444, "NA")</f>
        <v>-0.83687930155591661</v>
      </c>
      <c r="Y214" s="9"/>
      <c r="Z214" s="7">
        <v>9725.07</v>
      </c>
      <c r="AA214" s="8">
        <f>IFERROR(Z214/Z444, "NA")</f>
        <v>3.3905864748474339E-2</v>
      </c>
      <c r="AB214" s="9"/>
      <c r="AC214" s="10">
        <f t="shared" si="59"/>
        <v>4290.9699999999993</v>
      </c>
      <c r="AD214" s="8">
        <f>IFERROR(AC214/AC444, "NA")</f>
        <v>0.23157005704294109</v>
      </c>
    </row>
    <row r="215" spans="1:30" ht="16.5" customHeight="1" x14ac:dyDescent="0.45">
      <c r="A215" s="12" t="s">
        <v>195</v>
      </c>
      <c r="B215" s="7">
        <v>1308.02</v>
      </c>
      <c r="C215" s="8">
        <f>IFERROR(B215/B444, "NA")</f>
        <v>7.5039725124740166E-3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-1308.02</v>
      </c>
      <c r="I215" s="8">
        <f>IFERROR(H215/H444, "NA")</f>
        <v>-7.4251142133132289E-2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-1308.02</v>
      </c>
      <c r="O215" s="8">
        <f>IFERROR(N215/N444, "NA")</f>
        <v>-5.2158482801521688E-2</v>
      </c>
      <c r="P215" s="9"/>
      <c r="Q215" s="7">
        <v>2027.69</v>
      </c>
      <c r="R215" s="8">
        <f>IFERROR(Q215/Q444, "NA")</f>
        <v>6.6404240303515084E-3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-2027.69</v>
      </c>
      <c r="X215" s="8">
        <f>IFERROR(W215/W444, "NA")</f>
        <v>-0.3122746712375401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-2027.69</v>
      </c>
      <c r="AD215" s="8">
        <f>IFERROR(AC215/AC444, "NA")</f>
        <v>-0.1094280055477902</v>
      </c>
    </row>
    <row r="216" spans="1:30" ht="16.5" customHeight="1" x14ac:dyDescent="0.45">
      <c r="A216" s="12" t="s">
        <v>196</v>
      </c>
      <c r="B216" s="7">
        <v>44</v>
      </c>
      <c r="C216" s="8">
        <f>IFERROR(B216/B444, "NA")</f>
        <v>2.524233502154835E-4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-44</v>
      </c>
      <c r="I216" s="8">
        <f>IFERROR(H216/H444, "NA")</f>
        <v>-2.4977066511657473E-3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-44</v>
      </c>
      <c r="O216" s="8">
        <f>IFERROR(N216/N444, "NA")</f>
        <v>-1.7545398719185901E-3</v>
      </c>
      <c r="P216" s="9"/>
      <c r="Q216" s="7">
        <v>144</v>
      </c>
      <c r="R216" s="8">
        <f>IFERROR(Q216/Q444, "NA")</f>
        <v>4.7158148453196354E-4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-144</v>
      </c>
      <c r="X216" s="8">
        <f>IFERROR(W216/W444, "NA")</f>
        <v>-2.2176739372490751E-2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-144</v>
      </c>
      <c r="AD216" s="8">
        <f>IFERROR(AC216/AC444, "NA")</f>
        <v>-7.7712238058489152E-3</v>
      </c>
    </row>
    <row r="217" spans="1:30" ht="16.5" customHeight="1" x14ac:dyDescent="0.45">
      <c r="A217" s="12" t="s">
        <v>197</v>
      </c>
      <c r="B217" s="7">
        <v>5174.8900000000003</v>
      </c>
      <c r="C217" s="8">
        <f>IFERROR(B217/B444, "NA")</f>
        <v>2.968779706355917E-2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-5174.8900000000003</v>
      </c>
      <c r="I217" s="8">
        <f>IFERROR(H217/H444, "NA")</f>
        <v>-0.29375811754661624</v>
      </c>
      <c r="J217" s="9"/>
      <c r="K217" s="7">
        <v>5383.35</v>
      </c>
      <c r="L217" s="8">
        <f>IFERROR(K217/K444, "NA")</f>
        <v>3.6073566797160998E-2</v>
      </c>
      <c r="M217" s="9"/>
      <c r="N217" s="10">
        <f t="shared" si="57"/>
        <v>208.46000000000004</v>
      </c>
      <c r="O217" s="8">
        <f>IFERROR(N217/N444, "NA")</f>
        <v>8.3125314022761219E-3</v>
      </c>
      <c r="P217" s="9"/>
      <c r="Q217" s="7">
        <v>7222.66</v>
      </c>
      <c r="R217" s="8">
        <f>IFERROR(Q217/Q444, "NA")</f>
        <v>2.3653282812983553E-2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-7222.66</v>
      </c>
      <c r="X217" s="8">
        <f>IFERROR(W217/W444, "NA")</f>
        <v>-1.1123267249730142</v>
      </c>
      <c r="Y217" s="9"/>
      <c r="Z217" s="7">
        <v>8508.18</v>
      </c>
      <c r="AA217" s="8">
        <f>IFERROR(Z217/Z444, "NA")</f>
        <v>2.966325181573751E-2</v>
      </c>
      <c r="AB217" s="9"/>
      <c r="AC217" s="10">
        <f t="shared" si="59"/>
        <v>1285.5200000000004</v>
      </c>
      <c r="AD217" s="8">
        <f>IFERROR(AC217/AC444, "NA")</f>
        <v>6.9375441853436817E-2</v>
      </c>
    </row>
    <row r="218" spans="1:30" ht="16.5" customHeight="1" x14ac:dyDescent="0.45">
      <c r="A218" s="13" t="s">
        <v>198</v>
      </c>
      <c r="B218" s="14">
        <f>IFERROR(B213+B214+B215+B216+B217, "NA")</f>
        <v>9567.880000000001</v>
      </c>
      <c r="C218" s="15">
        <f>IFERROR(B218/B444, "NA")</f>
        <v>5.4889916455902736E-2</v>
      </c>
      <c r="D218" s="2"/>
      <c r="E218" s="14">
        <f>IFERROR(E213+E214+E215+E216+E217, "NA")</f>
        <v>5954.38</v>
      </c>
      <c r="F218" s="15">
        <f>IFERROR(E218/E444, "NA")</f>
        <v>3.8000007402955234E-2</v>
      </c>
      <c r="G218" s="2"/>
      <c r="H218" s="14">
        <f t="shared" si="56"/>
        <v>-3613.5000000000009</v>
      </c>
      <c r="I218" s="15">
        <f>IFERROR(H218/H444, "NA")</f>
        <v>-0.20512415872698705</v>
      </c>
      <c r="J218" s="2"/>
      <c r="K218" s="14">
        <f>IFERROR(K213+K214+K215+K216+K217, "NA")</f>
        <v>10361.68</v>
      </c>
      <c r="L218" s="15">
        <f>IFERROR(K218/K444, "NA")</f>
        <v>6.9433114252427791E-2</v>
      </c>
      <c r="M218" s="2"/>
      <c r="N218" s="14">
        <f t="shared" si="57"/>
        <v>793.79999999999927</v>
      </c>
      <c r="O218" s="15">
        <f>IFERROR(N218/N444, "NA")</f>
        <v>3.1653494325658539E-2</v>
      </c>
      <c r="P218" s="2"/>
      <c r="Q218" s="14">
        <f>IFERROR(Q213+Q214+Q215+Q216+Q217, "NA")</f>
        <v>14828.45</v>
      </c>
      <c r="R218" s="15">
        <f>IFERROR(Q218/Q444, "NA")</f>
        <v>4.856126711324997E-2</v>
      </c>
      <c r="S218" s="2"/>
      <c r="T218" s="14">
        <f>IFERROR(T213+T214+T215+T216+T217, "NA")</f>
        <v>11356.77</v>
      </c>
      <c r="U218" s="15">
        <f>IFERROR(T218/T444, "NA")</f>
        <v>3.8000020143061912E-2</v>
      </c>
      <c r="V218" s="2"/>
      <c r="W218" s="14">
        <f t="shared" si="58"/>
        <v>-3471.6800000000003</v>
      </c>
      <c r="X218" s="15">
        <f>IFERROR(W218/W444, "NA")</f>
        <v>-0.53465654544922703</v>
      </c>
      <c r="Y218" s="2"/>
      <c r="Z218" s="14">
        <f>IFERROR(Z213+Z214+Z215+Z216+Z217, "NA")</f>
        <v>18233.25</v>
      </c>
      <c r="AA218" s="15">
        <f>IFERROR(Z218/Z444, "NA")</f>
        <v>6.3569116564211853E-2</v>
      </c>
      <c r="AB218" s="2"/>
      <c r="AC218" s="14">
        <f t="shared" si="59"/>
        <v>3404.7999999999993</v>
      </c>
      <c r="AD218" s="15">
        <f>IFERROR(AC218/AC444, "NA")</f>
        <v>0.18374626954273876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246.77</v>
      </c>
      <c r="C222" s="8">
        <f>IFERROR(B222/B444, "NA")</f>
        <v>1.4156934121062469E-3</v>
      </c>
      <c r="D222" s="9"/>
      <c r="E222" s="7">
        <v>100</v>
      </c>
      <c r="F222" s="8">
        <f>IFERROR(E222/E444, "NA")</f>
        <v>6.381857960519019E-4</v>
      </c>
      <c r="G222" s="9"/>
      <c r="H222" s="10">
        <f t="shared" si="56"/>
        <v>-146.77000000000001</v>
      </c>
      <c r="I222" s="8">
        <f>IFERROR(H222/H444, "NA")</f>
        <v>-8.3315546634453817E-3</v>
      </c>
      <c r="J222" s="9"/>
      <c r="K222" s="7">
        <v>328.97</v>
      </c>
      <c r="L222" s="8">
        <f>IFERROR(K222/K444, "NA")</f>
        <v>2.2044119868227133E-3</v>
      </c>
      <c r="M222" s="9"/>
      <c r="N222" s="10">
        <f t="shared" si="57"/>
        <v>82.200000000000017</v>
      </c>
      <c r="O222" s="8">
        <f>IFERROR(N222/N444, "NA")</f>
        <v>3.2777994879933667E-3</v>
      </c>
      <c r="P222" s="9"/>
      <c r="Q222" s="7">
        <v>338.44</v>
      </c>
      <c r="R222" s="8">
        <f>IFERROR(Q222/Q444, "NA")</f>
        <v>1.1083474835069287E-3</v>
      </c>
      <c r="S222" s="9"/>
      <c r="T222" s="7">
        <v>200</v>
      </c>
      <c r="U222" s="8">
        <f>IFERROR(T222/T444, "NA")</f>
        <v>6.692047147747451E-4</v>
      </c>
      <c r="V222" s="9"/>
      <c r="W222" s="10">
        <f t="shared" si="58"/>
        <v>-138.44</v>
      </c>
      <c r="X222" s="8">
        <f>IFERROR(W222/W444, "NA")</f>
        <v>-2.1320470824497357E-2</v>
      </c>
      <c r="Y222" s="9"/>
      <c r="Z222" s="7">
        <v>436.13</v>
      </c>
      <c r="AA222" s="8">
        <f>IFERROR(Z222/Z444, "NA")</f>
        <v>1.5205407048743209E-3</v>
      </c>
      <c r="AB222" s="9"/>
      <c r="AC222" s="10">
        <f t="shared" si="59"/>
        <v>97.69</v>
      </c>
      <c r="AD222" s="8">
        <f>IFERROR(AC222/AC444, "NA")</f>
        <v>5.2720198166206983E-3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9814.6500000000015</v>
      </c>
      <c r="C227" s="15">
        <f>IFERROR(B227/B444, "NA")</f>
        <v>5.6305609868008984E-2</v>
      </c>
      <c r="D227" s="2"/>
      <c r="E227" s="14">
        <f>IFERROR(E211+E213+E214+E215+E216+E217+E219+E220+E221+E222+E223+E224+E225+E226, "NA")</f>
        <v>6054.38</v>
      </c>
      <c r="F227" s="15">
        <f>IFERROR(E227/E444, "NA")</f>
        <v>3.8638193199007138E-2</v>
      </c>
      <c r="G227" s="2"/>
      <c r="H227" s="14">
        <f t="shared" si="56"/>
        <v>-3760.2700000000013</v>
      </c>
      <c r="I227" s="15">
        <f>IFERROR(H227/H444, "NA")</f>
        <v>-0.21345571339043246</v>
      </c>
      <c r="J227" s="2"/>
      <c r="K227" s="14">
        <f>IFERROR(K211+K213+K214+K215+K216+K217+K219+K220+K221+K222+K223+K224+K225+K226, "NA")</f>
        <v>10690.65</v>
      </c>
      <c r="L227" s="15">
        <f>IFERROR(K227/K444, "NA")</f>
        <v>7.1637526239250501E-2</v>
      </c>
      <c r="M227" s="2"/>
      <c r="N227" s="14">
        <f t="shared" si="57"/>
        <v>875.99999999999818</v>
      </c>
      <c r="O227" s="15">
        <f>IFERROR(N227/N444, "NA")</f>
        <v>3.4931293813651856E-2</v>
      </c>
      <c r="P227" s="2"/>
      <c r="Q227" s="14">
        <f>IFERROR(Q211+Q213+Q214+Q215+Q216+Q217+Q219+Q220+Q221+Q222+Q223+Q224+Q225+Q226, "NA")</f>
        <v>15166.890000000001</v>
      </c>
      <c r="R227" s="15">
        <f>IFERROR(Q227/Q444, "NA")</f>
        <v>4.9669614596756902E-2</v>
      </c>
      <c r="S227" s="2"/>
      <c r="T227" s="14">
        <f>IFERROR(T211+T213+T214+T215+T216+T217+T219+T220+T221+T222+T223+T224+T225+T226, "NA")</f>
        <v>11556.77</v>
      </c>
      <c r="U227" s="15">
        <f>IFERROR(T227/T444, "NA")</f>
        <v>3.8669224857836658E-2</v>
      </c>
      <c r="V227" s="2"/>
      <c r="W227" s="14">
        <f t="shared" si="58"/>
        <v>-3610.1200000000008</v>
      </c>
      <c r="X227" s="15">
        <f>IFERROR(W227/W444, "NA")</f>
        <v>-0.55597701627372453</v>
      </c>
      <c r="Y227" s="2"/>
      <c r="Z227" s="14">
        <f>IFERROR(Z211+Z213+Z214+Z215+Z216+Z217+Z219+Z220+Z221+Z222+Z223+Z224+Z225+Z226, "NA")</f>
        <v>18669.38</v>
      </c>
      <c r="AA227" s="15">
        <f>IFERROR(Z227/Z444, "NA")</f>
        <v>6.5089657269086165E-2</v>
      </c>
      <c r="AB227" s="2"/>
      <c r="AC227" s="14">
        <f t="shared" si="59"/>
        <v>3502.49</v>
      </c>
      <c r="AD227" s="15">
        <f>IFERROR(AC227/AC444, "NA")</f>
        <v>0.18901828935935949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3447.27</v>
      </c>
      <c r="F229" s="8">
        <f>IFERROR(E229/E444, "NA")</f>
        <v>2.1999987491558397E-2</v>
      </c>
      <c r="G229" s="9"/>
      <c r="H229" s="10">
        <f t="shared" ref="H229:H236" si="60">IFERROR(-(B229-E229), "NA")</f>
        <v>3447.27</v>
      </c>
      <c r="I229" s="8">
        <f>IFERROR(H229/H444, "NA")</f>
        <v>0.1956879365310033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6574.97</v>
      </c>
      <c r="U229" s="8">
        <f>IFERROR(T229/T444, "NA")</f>
        <v>2.2000004617512531E-2</v>
      </c>
      <c r="V229" s="9"/>
      <c r="W229" s="10">
        <f t="shared" ref="W229:W236" si="62">IFERROR(-(Q229-T229), "NA")</f>
        <v>6574.97</v>
      </c>
      <c r="X229" s="8">
        <f>IFERROR(W229/W444, "NA")</f>
        <v>1.0125791393885106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303.23</v>
      </c>
      <c r="L231" s="8">
        <f>IFERROR(K231/K444, "NA")</f>
        <v>2.0319294974139018E-3</v>
      </c>
      <c r="M231" s="9"/>
      <c r="N231" s="10">
        <f t="shared" si="61"/>
        <v>303.23</v>
      </c>
      <c r="O231" s="8">
        <f>IFERROR(N231/N444, "NA")</f>
        <v>1.2091571030951685E-2</v>
      </c>
      <c r="P231" s="9"/>
      <c r="Q231" s="7">
        <v>0</v>
      </c>
      <c r="R231" s="8">
        <f>IFERROR(Q231/Q444, "NA")</f>
        <v>0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0</v>
      </c>
      <c r="X231" s="8">
        <f>IFERROR(W231/W444, "NA")</f>
        <v>0</v>
      </c>
      <c r="Y231" s="9"/>
      <c r="Z231" s="7">
        <v>636.94000000000005</v>
      </c>
      <c r="AA231" s="8">
        <f>IFERROR(Z231/Z444, "NA")</f>
        <v>2.2206525498421345E-3</v>
      </c>
      <c r="AB231" s="9"/>
      <c r="AC231" s="10">
        <f t="shared" si="63"/>
        <v>636.94000000000005</v>
      </c>
      <c r="AD231" s="8">
        <f>IFERROR(AC231/AC444, "NA")</f>
        <v>3.4373633964565338E-2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53.54</v>
      </c>
      <c r="C233" s="8">
        <f>IFERROR(B233/B444, "NA")</f>
        <v>3.0715332205765876E-4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-53.54</v>
      </c>
      <c r="I233" s="8">
        <f>IFERROR(H233/H444, "NA")</f>
        <v>-3.0392548659866842E-3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-53.54</v>
      </c>
      <c r="O233" s="8">
        <f>IFERROR(N233/N444, "NA")</f>
        <v>-2.1349560168754844E-3</v>
      </c>
      <c r="P233" s="9"/>
      <c r="Q233" s="7">
        <v>271.32</v>
      </c>
      <c r="R233" s="8">
        <f>IFERROR(Q233/Q444, "NA")</f>
        <v>8.88538113772308E-4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-271.32</v>
      </c>
      <c r="X233" s="8">
        <f>IFERROR(W233/W444, "NA")</f>
        <v>-4.178467310100132E-2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-271.32</v>
      </c>
      <c r="AD233" s="8">
        <f>IFERROR(AC233/AC444, "NA")</f>
        <v>-1.4642280854186998E-2</v>
      </c>
    </row>
    <row r="234" spans="1:30" ht="16.5" customHeight="1" x14ac:dyDescent="0.45">
      <c r="A234" s="6" t="s">
        <v>213</v>
      </c>
      <c r="B234" s="7">
        <v>3880.32</v>
      </c>
      <c r="C234" s="8">
        <f>IFERROR(B234/B444, "NA")</f>
        <v>2.2260985779730565E-2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-3880.32</v>
      </c>
      <c r="I234" s="8">
        <f>IFERROR(H234/H444, "NA")</f>
        <v>-0.22027047892389712</v>
      </c>
      <c r="J234" s="9"/>
      <c r="K234" s="7">
        <v>3360</v>
      </c>
      <c r="L234" s="8">
        <f>IFERROR(K234/K444, "NA")</f>
        <v>2.2515196752665334E-2</v>
      </c>
      <c r="M234" s="9"/>
      <c r="N234" s="10">
        <f t="shared" si="61"/>
        <v>-520.32000000000016</v>
      </c>
      <c r="O234" s="8">
        <f>IFERROR(N234/N444, "NA")</f>
        <v>-2.0748231503560935E-2</v>
      </c>
      <c r="P234" s="9"/>
      <c r="Q234" s="7">
        <v>6536.1</v>
      </c>
      <c r="R234" s="8">
        <f>IFERROR(Q234/Q444, "NA")</f>
        <v>2.1404887090620606E-2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-6536.1</v>
      </c>
      <c r="X234" s="8">
        <f>IFERROR(W234/W444, "NA")</f>
        <v>-1.0065929598092833</v>
      </c>
      <c r="Y234" s="9"/>
      <c r="Z234" s="7">
        <v>5866.92</v>
      </c>
      <c r="AA234" s="8">
        <f>IFERROR(Z234/Z444, "NA")</f>
        <v>2.0454659556190243E-2</v>
      </c>
      <c r="AB234" s="9"/>
      <c r="AC234" s="10">
        <f t="shared" si="63"/>
        <v>-669.18000000000029</v>
      </c>
      <c r="AD234" s="8">
        <f>IFERROR(AC234/AC444, "NA")</f>
        <v>-3.6113524627763745E-2</v>
      </c>
    </row>
    <row r="235" spans="1:30" ht="16.5" customHeight="1" x14ac:dyDescent="0.45">
      <c r="A235" s="6" t="s">
        <v>214</v>
      </c>
      <c r="B235" s="7">
        <v>34.270000000000003</v>
      </c>
      <c r="C235" s="8">
        <f>IFERROR(B235/B444, "NA")</f>
        <v>1.9660336845192319E-4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-34.270000000000003</v>
      </c>
      <c r="I235" s="8">
        <f>IFERROR(H235/H444, "NA")</f>
        <v>-1.9453728848965947E-3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-34.270000000000003</v>
      </c>
      <c r="O235" s="8">
        <f>IFERROR(N235/N444, "NA")</f>
        <v>-1.366547304787502E-3</v>
      </c>
      <c r="P235" s="9"/>
      <c r="Q235" s="7">
        <v>50.66</v>
      </c>
      <c r="R235" s="8">
        <f>IFERROR(Q235/Q444, "NA")</f>
        <v>1.6590498615548106E-4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-50.66</v>
      </c>
      <c r="X235" s="8">
        <f>IFERROR(W235/W444, "NA")</f>
        <v>-7.8019001153498708E-3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-50.66</v>
      </c>
      <c r="AD235" s="8">
        <f>IFERROR(AC235/AC444, "NA")</f>
        <v>-2.7339597083632363E-3</v>
      </c>
    </row>
    <row r="236" spans="1:30" ht="16.5" customHeight="1" x14ac:dyDescent="0.45">
      <c r="A236" s="19" t="s">
        <v>215</v>
      </c>
      <c r="B236" s="14">
        <f>IFERROR(B229+B230+B231+B232+B233+B234+B235, "NA")</f>
        <v>3968.13</v>
      </c>
      <c r="C236" s="15">
        <f>IFERROR(B236/B444, "NA")</f>
        <v>2.276474247024015E-2</v>
      </c>
      <c r="D236" s="2"/>
      <c r="E236" s="14">
        <f>IFERROR(E229+E230+E231+E232+E233+E234+E235, "NA")</f>
        <v>3447.27</v>
      </c>
      <c r="F236" s="15">
        <f>IFERROR(E236/E444, "NA")</f>
        <v>2.1999987491558397E-2</v>
      </c>
      <c r="G236" s="2"/>
      <c r="H236" s="14">
        <f t="shared" si="60"/>
        <v>-520.86000000000013</v>
      </c>
      <c r="I236" s="15">
        <f>IFERROR(H236/H444, "NA")</f>
        <v>-2.9567170143777077E-2</v>
      </c>
      <c r="J236" s="2"/>
      <c r="K236" s="14">
        <f>IFERROR(K229+K230+K231+K232+K233+K234+K235, "NA")</f>
        <v>3663.23</v>
      </c>
      <c r="L236" s="15">
        <f>IFERROR(K236/K444, "NA")</f>
        <v>2.4547126250079238E-2</v>
      </c>
      <c r="M236" s="2"/>
      <c r="N236" s="14">
        <f t="shared" si="61"/>
        <v>-304.90000000000009</v>
      </c>
      <c r="O236" s="15">
        <f>IFERROR(N236/N444, "NA")</f>
        <v>-1.2158163794272234E-2</v>
      </c>
      <c r="P236" s="2"/>
      <c r="Q236" s="14">
        <f>IFERROR(Q229+Q230+Q231+Q232+Q233+Q234+Q235, "NA")</f>
        <v>6858.08</v>
      </c>
      <c r="R236" s="15">
        <f>IFERROR(Q236/Q444, "NA")</f>
        <v>2.2459330190548393E-2</v>
      </c>
      <c r="S236" s="2"/>
      <c r="T236" s="14">
        <f>IFERROR(T229+T230+T231+T232+T233+T234+T235, "NA")</f>
        <v>6574.97</v>
      </c>
      <c r="U236" s="15">
        <f>IFERROR(T236/T444, "NA")</f>
        <v>2.2000004617512531E-2</v>
      </c>
      <c r="V236" s="2"/>
      <c r="W236" s="14">
        <f t="shared" si="62"/>
        <v>-283.10999999999967</v>
      </c>
      <c r="X236" s="15">
        <f>IFERROR(W236/W444, "NA")</f>
        <v>-4.3600393637123952E-2</v>
      </c>
      <c r="Y236" s="2"/>
      <c r="Z236" s="14">
        <f>IFERROR(Z229+Z230+Z231+Z232+Z233+Z234+Z235, "NA")</f>
        <v>6503.8600000000006</v>
      </c>
      <c r="AA236" s="15">
        <f>IFERROR(Z236/Z444, "NA")</f>
        <v>2.267531210603238E-2</v>
      </c>
      <c r="AB236" s="2"/>
      <c r="AC236" s="14">
        <f t="shared" si="63"/>
        <v>-354.21999999999935</v>
      </c>
      <c r="AD236" s="15">
        <f>IFERROR(AC236/AC444, "NA")</f>
        <v>-1.9116131225748595E-2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13319</v>
      </c>
      <c r="F240" s="8">
        <f>IFERROR(E240/E444, "NA")</f>
        <v>8.4999966176152811E-2</v>
      </c>
      <c r="G240" s="9"/>
      <c r="H240" s="10">
        <f t="shared" ref="H240:H263" si="64">IFERROR(-(B240-E240), "NA")</f>
        <v>13319</v>
      </c>
      <c r="I240" s="8">
        <f>IFERROR(H240/H444, "NA")</f>
        <v>0.75606715651992251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25403.279999999999</v>
      </c>
      <c r="U240" s="8">
        <f>IFERROR(T240/T444, "NA")</f>
        <v>8.4999973733714929E-2</v>
      </c>
      <c r="V240" s="9"/>
      <c r="W240" s="10">
        <f t="shared" ref="W240:W263" si="66">IFERROR(-(Q240-T240), "NA")</f>
        <v>25403.279999999999</v>
      </c>
      <c r="X240" s="8">
        <f>IFERROR(W240/W444, "NA")</f>
        <v>3.9122355539333804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2772.58</v>
      </c>
      <c r="C242" s="8">
        <f>IFERROR(B242/B444, "NA")</f>
        <v>1.5905998462282845E-2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-2772.58</v>
      </c>
      <c r="I242" s="8">
        <f>IFERROR(H242/H444, "NA")</f>
        <v>-0.15738844333838925</v>
      </c>
      <c r="J242" s="9"/>
      <c r="K242" s="7">
        <v>2352.4899999999998</v>
      </c>
      <c r="L242" s="8">
        <f>IFERROR(K242/K444, "NA")</f>
        <v>1.576392119305883E-2</v>
      </c>
      <c r="M242" s="9"/>
      <c r="N242" s="10">
        <f t="shared" si="65"/>
        <v>-420.09000000000015</v>
      </c>
      <c r="O242" s="8">
        <f>IFERROR(N242/N444, "NA")</f>
        <v>-1.6751469427142746E-2</v>
      </c>
      <c r="P242" s="9"/>
      <c r="Q242" s="7">
        <v>5490.58</v>
      </c>
      <c r="R242" s="8">
        <f>IFERROR(Q242/Q444, "NA")</f>
        <v>1.798094352320492E-2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-5490.58</v>
      </c>
      <c r="X242" s="8">
        <f>IFERROR(W242/W444, "NA")</f>
        <v>-0.84557751155423788</v>
      </c>
      <c r="Y242" s="9"/>
      <c r="Z242" s="7">
        <v>4648.8500000000004</v>
      </c>
      <c r="AA242" s="8">
        <f>IFERROR(Z242/Z444, "NA")</f>
        <v>1.6207932625260789E-2</v>
      </c>
      <c r="AB242" s="9"/>
      <c r="AC242" s="10">
        <f t="shared" si="67"/>
        <v>-841.72999999999956</v>
      </c>
      <c r="AD242" s="8">
        <f>IFERROR(AC242/AC444, "NA")</f>
        <v>-4.5425501486786139E-2</v>
      </c>
    </row>
    <row r="243" spans="1:30" ht="16.5" customHeight="1" x14ac:dyDescent="0.45">
      <c r="A243" s="12" t="s">
        <v>220</v>
      </c>
      <c r="B243" s="7">
        <v>7634.86</v>
      </c>
      <c r="C243" s="8">
        <f>IFERROR(B243/B444, "NA")</f>
        <v>4.3800384991504231E-2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-7634.86</v>
      </c>
      <c r="I243" s="8">
        <f>IFERROR(H243/H444, "NA")</f>
        <v>-0.43340092278907538</v>
      </c>
      <c r="J243" s="9"/>
      <c r="K243" s="7">
        <v>5970.25</v>
      </c>
      <c r="L243" s="8">
        <f>IFERROR(K243/K444, "NA")</f>
        <v>4.0006355182321492E-2</v>
      </c>
      <c r="M243" s="9"/>
      <c r="N243" s="10">
        <f t="shared" si="65"/>
        <v>-1664.6099999999997</v>
      </c>
      <c r="O243" s="8">
        <f>IFERROR(N243/N444, "NA")</f>
        <v>-6.6377832186236455E-2</v>
      </c>
      <c r="P243" s="9"/>
      <c r="Q243" s="7">
        <v>11956.08</v>
      </c>
      <c r="R243" s="8">
        <f>IFERROR(Q243/Q444, "NA")</f>
        <v>3.9154624691548047E-2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-11956.08</v>
      </c>
      <c r="X243" s="8">
        <f>IFERROR(W243/W444, "NA")</f>
        <v>-1.8412977088656195</v>
      </c>
      <c r="Y243" s="9"/>
      <c r="Z243" s="7">
        <v>11719.83</v>
      </c>
      <c r="AA243" s="8">
        <f>IFERROR(Z243/Z444, "NA")</f>
        <v>4.0860474099940876E-2</v>
      </c>
      <c r="AB243" s="9"/>
      <c r="AC243" s="10">
        <f t="shared" si="67"/>
        <v>-236.25</v>
      </c>
      <c r="AD243" s="8">
        <f>IFERROR(AC243/AC444, "NA")</f>
        <v>-1.2749664056470877E-2</v>
      </c>
    </row>
    <row r="244" spans="1:30" ht="16.5" customHeight="1" x14ac:dyDescent="0.45">
      <c r="A244" s="12" t="s">
        <v>221</v>
      </c>
      <c r="B244" s="7">
        <v>867.26</v>
      </c>
      <c r="C244" s="8">
        <f>IFERROR(B244/B444, "NA")</f>
        <v>4.9753789706336411E-3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-867.26</v>
      </c>
      <c r="I244" s="8">
        <f>IFERROR(H244/H444, "NA")</f>
        <v>-4.9230933415681952E-2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-867.26</v>
      </c>
      <c r="O244" s="8">
        <f>IFERROR(N244/N444, "NA")</f>
        <v>-3.4582778393639012E-2</v>
      </c>
      <c r="P244" s="9"/>
      <c r="Q244" s="7">
        <v>1184.8900000000001</v>
      </c>
      <c r="R244" s="8">
        <f>IFERROR(Q244/Q444, "NA")</f>
        <v>3.8803623972713773E-3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-1184.8900000000001</v>
      </c>
      <c r="X244" s="8">
        <f>IFERROR(W244/W444, "NA")</f>
        <v>-0.18247914385465672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-1184.8900000000001</v>
      </c>
      <c r="AD244" s="8">
        <f>IFERROR(AC244/AC444, "NA")</f>
        <v>-6.3944759550780009E-2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228.2</v>
      </c>
      <c r="C246" s="8">
        <f>IFERROR(B246/B444, "NA")</f>
        <v>1.3091592845266666E-3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-228.2</v>
      </c>
      <c r="I246" s="8">
        <f>IFERROR(H246/H444, "NA")</f>
        <v>-1.2954014949909625E-2</v>
      </c>
      <c r="J246" s="9"/>
      <c r="K246" s="7">
        <v>698.29</v>
      </c>
      <c r="L246" s="8">
        <f>IFERROR(K246/K444, "NA")</f>
        <v>4.6792073632198443E-3</v>
      </c>
      <c r="M246" s="9"/>
      <c r="N246" s="10">
        <f t="shared" si="65"/>
        <v>470.09</v>
      </c>
      <c r="O246" s="8">
        <f>IFERROR(N246/N444, "NA")</f>
        <v>1.8745264736141135E-2</v>
      </c>
      <c r="P246" s="9"/>
      <c r="Q246" s="7">
        <v>453.27</v>
      </c>
      <c r="R246" s="8">
        <f>IFERROR(Q246/Q444, "NA")</f>
        <v>1.4844009687069661E-3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-453.27</v>
      </c>
      <c r="X246" s="8">
        <f>IFERROR(W246/W444, "NA")</f>
        <v>-6.9805907328950575E-2</v>
      </c>
      <c r="Y246" s="9"/>
      <c r="Z246" s="7">
        <v>960.76</v>
      </c>
      <c r="AA246" s="8">
        <f>IFERROR(Z246/Z444, "NA")</f>
        <v>3.3496312741958878E-3</v>
      </c>
      <c r="AB246" s="9"/>
      <c r="AC246" s="10">
        <f t="shared" si="67"/>
        <v>507.49</v>
      </c>
      <c r="AD246" s="8">
        <f>IFERROR(AC246/AC444, "NA")</f>
        <v>2.7387627564099071E-2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182.09</v>
      </c>
      <c r="C248" s="8">
        <f>IFERROR(B248/B444, "NA")</f>
        <v>1.044631087289486E-3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-182.09</v>
      </c>
      <c r="I248" s="8">
        <f>IFERROR(H248/H444, "NA")</f>
        <v>-1.0336531911608431E-2</v>
      </c>
      <c r="J248" s="9"/>
      <c r="K248" s="7">
        <v>165.41</v>
      </c>
      <c r="L248" s="8">
        <f>IFERROR(K248/K444, "NA")</f>
        <v>1.1084043734697539E-3</v>
      </c>
      <c r="M248" s="9"/>
      <c r="N248" s="10">
        <f t="shared" si="65"/>
        <v>-16.680000000000007</v>
      </c>
      <c r="O248" s="8">
        <f>IFERROR(N248/N444, "NA")</f>
        <v>-6.651301150818658E-4</v>
      </c>
      <c r="P248" s="9"/>
      <c r="Q248" s="7">
        <v>385.03</v>
      </c>
      <c r="R248" s="8">
        <f>IFERROR(Q248/Q444, "NA")</f>
        <v>1.260923742981541E-3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-385.03</v>
      </c>
      <c r="X248" s="8">
        <f>IFERROR(W248/W444, "NA")</f>
        <v>-5.9296596948542453E-2</v>
      </c>
      <c r="Y248" s="9"/>
      <c r="Z248" s="7">
        <v>357.23</v>
      </c>
      <c r="AA248" s="8">
        <f>IFERROR(Z248/Z444, "NA")</f>
        <v>1.2454606562315221E-3</v>
      </c>
      <c r="AB248" s="9"/>
      <c r="AC248" s="10">
        <f t="shared" si="67"/>
        <v>-27.799999999999955</v>
      </c>
      <c r="AD248" s="8">
        <f>IFERROR(AC248/AC444, "NA")</f>
        <v>-1.5002779291847187E-3</v>
      </c>
    </row>
    <row r="249" spans="1:30" ht="16.5" customHeight="1" x14ac:dyDescent="0.45">
      <c r="A249" s="12" t="s">
        <v>226</v>
      </c>
      <c r="B249" s="7">
        <v>4037.18</v>
      </c>
      <c r="C249" s="8">
        <f>IFERROR(B249/B444, "NA")</f>
        <v>2.3160875023248765E-2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-4037.18</v>
      </c>
      <c r="I249" s="8">
        <f>IFERROR(H249/H444, "NA")</f>
        <v>-0.22917480313530297</v>
      </c>
      <c r="J249" s="9"/>
      <c r="K249" s="7">
        <v>3837.71</v>
      </c>
      <c r="L249" s="8">
        <f>IFERROR(K249/K444, "NA")</f>
        <v>2.5716308252878357E-2</v>
      </c>
      <c r="M249" s="9"/>
      <c r="N249" s="10">
        <f t="shared" si="65"/>
        <v>-199.4699999999998</v>
      </c>
      <c r="O249" s="8">
        <f>IFERROR(N249/N444, "NA")</f>
        <v>-7.9540470057182008E-3</v>
      </c>
      <c r="P249" s="9"/>
      <c r="Q249" s="7">
        <v>7155.19</v>
      </c>
      <c r="R249" s="8">
        <f>IFERROR(Q249/Q444, "NA")</f>
        <v>2.3432327238251806E-2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-7155.19</v>
      </c>
      <c r="X249" s="8">
        <f>IFERROR(W249/W444, "NA")</f>
        <v>-1.101935998546195</v>
      </c>
      <c r="Y249" s="9"/>
      <c r="Z249" s="7">
        <v>6518.94</v>
      </c>
      <c r="AA249" s="8">
        <f>IFERROR(Z249/Z444, "NA")</f>
        <v>2.2727887608358529E-2</v>
      </c>
      <c r="AB249" s="9"/>
      <c r="AC249" s="10">
        <f t="shared" si="67"/>
        <v>-636.25</v>
      </c>
      <c r="AD249" s="8">
        <f>IFERROR(AC249/AC444, "NA")</f>
        <v>-3.4336396850495644E-2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2588.54</v>
      </c>
      <c r="C254" s="8">
        <f>IFERROR(B254/B444, "NA")</f>
        <v>1.4850180431063354E-2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-2588.54</v>
      </c>
      <c r="I254" s="8">
        <f>IFERROR(H254/H444, "NA")</f>
        <v>-0.146941217609286</v>
      </c>
      <c r="J254" s="9"/>
      <c r="K254" s="7">
        <v>1932.76</v>
      </c>
      <c r="L254" s="8">
        <f>IFERROR(K254/K444, "NA")</f>
        <v>1.2951330855857576E-2</v>
      </c>
      <c r="M254" s="9"/>
      <c r="N254" s="10">
        <f t="shared" si="65"/>
        <v>-655.78</v>
      </c>
      <c r="O254" s="8">
        <f>IFERROR(N254/N444, "NA")</f>
        <v>-2.6149821754699386E-2</v>
      </c>
      <c r="P254" s="9"/>
      <c r="Q254" s="7">
        <v>4472.1899999999996</v>
      </c>
      <c r="R254" s="8">
        <f>IFERROR(Q254/Q444, "NA")</f>
        <v>1.4645847217423624E-2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-4472.1899999999996</v>
      </c>
      <c r="X254" s="8">
        <f>IFERROR(W254/W444, "NA")</f>
        <v>-0.68874022259902357</v>
      </c>
      <c r="Y254" s="9"/>
      <c r="Z254" s="7">
        <v>3375</v>
      </c>
      <c r="AA254" s="8">
        <f>IFERROR(Z254/Z444, "NA")</f>
        <v>1.1766732118750907E-2</v>
      </c>
      <c r="AB254" s="9"/>
      <c r="AC254" s="10">
        <f t="shared" si="67"/>
        <v>-1097.1899999999996</v>
      </c>
      <c r="AD254" s="8">
        <f>IFERROR(AC254/AC444, "NA")</f>
        <v>-5.9211868385690057E-2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18310.71</v>
      </c>
      <c r="C262" s="15">
        <f>IFERROR(B262/B444, "NA")</f>
        <v>0.10504660825054898</v>
      </c>
      <c r="D262" s="2"/>
      <c r="E262" s="14">
        <f>IFERROR(E240+E241+E242+E243+E244+E245+E246+E247+E248+E249+E250+E251+E252+E253+E254+E255+E256+E257+E258+E259+E260+E261, "NA")</f>
        <v>13319</v>
      </c>
      <c r="F262" s="15">
        <f>IFERROR(E262/E444, "NA")</f>
        <v>8.4999966176152811E-2</v>
      </c>
      <c r="G262" s="2"/>
      <c r="H262" s="14">
        <f t="shared" si="64"/>
        <v>-4991.7099999999991</v>
      </c>
      <c r="I262" s="15">
        <f>IFERROR(H262/H444, "NA")</f>
        <v>-0.28335971062933113</v>
      </c>
      <c r="J262" s="2"/>
      <c r="K262" s="14">
        <f>IFERROR(K240+K241+K242+K243+K244+K245+K246+K247+K248+K249+K250+K251+K252+K253+K254+K255+K256+K257+K258+K259+K260+K261, "NA")</f>
        <v>14956.909999999998</v>
      </c>
      <c r="L262" s="15">
        <f>IFERROR(K262/K444, "NA")</f>
        <v>0.10022552722080584</v>
      </c>
      <c r="M262" s="2"/>
      <c r="N262" s="14">
        <f t="shared" si="65"/>
        <v>-3353.8000000000011</v>
      </c>
      <c r="O262" s="15">
        <f>IFERROR(N262/N444, "NA")</f>
        <v>-0.13373581414637659</v>
      </c>
      <c r="P262" s="2"/>
      <c r="Q262" s="14">
        <f>IFERROR(Q240+Q241+Q242+Q243+Q244+Q245+Q246+Q247+Q248+Q249+Q250+Q251+Q252+Q253+Q254+Q255+Q256+Q257+Q258+Q259+Q260+Q261, "NA")</f>
        <v>31097.229999999996</v>
      </c>
      <c r="R262" s="15">
        <f>IFERROR(Q262/Q444, "NA")</f>
        <v>0.10183942977938827</v>
      </c>
      <c r="S262" s="2"/>
      <c r="T262" s="14">
        <f>IFERROR(T240+T241+T242+T243+T244+T245+T246+T247+T248+T249+T250+T251+T252+T253+T254+T255+T256+T257+T258+T259+T260+T261, "NA")</f>
        <v>25403.279999999999</v>
      </c>
      <c r="U262" s="15">
        <f>IFERROR(T262/T444, "NA")</f>
        <v>8.4999973733714929E-2</v>
      </c>
      <c r="V262" s="2"/>
      <c r="W262" s="14">
        <f t="shared" si="66"/>
        <v>-5693.9499999999971</v>
      </c>
      <c r="X262" s="15">
        <f>IFERROR(W262/W444, "NA")</f>
        <v>-0.87689753576384477</v>
      </c>
      <c r="Y262" s="2"/>
      <c r="Z262" s="14">
        <f>IFERROR(Z240+Z241+Z242+Z243+Z244+Z245+Z246+Z247+Z248+Z249+Z250+Z251+Z252+Z253+Z254+Z255+Z256+Z257+Z258+Z259+Z260+Z261, "NA")</f>
        <v>27580.609999999997</v>
      </c>
      <c r="AA262" s="15">
        <f>IFERROR(Z262/Z444, "NA")</f>
        <v>9.6158118382738494E-2</v>
      </c>
      <c r="AB262" s="2"/>
      <c r="AC262" s="14">
        <f t="shared" si="67"/>
        <v>-3516.619999999999</v>
      </c>
      <c r="AD262" s="15">
        <f>IFERROR(AC262/AC444, "NA")</f>
        <v>-0.18978084069530837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18310.71</v>
      </c>
      <c r="C263" s="15">
        <f>IFERROR(B263/B444, "NA")</f>
        <v>0.10504660825054898</v>
      </c>
      <c r="D263" s="2"/>
      <c r="E263" s="14">
        <f>IFERROR(E238+E240+E241+E242+E243+E244+E245+E246+E247+E248+E249+E250+E251+E252+E253+E254+E255+E256+E257+E258+E259+E260+E261, "NA")</f>
        <v>13319</v>
      </c>
      <c r="F263" s="15">
        <f>IFERROR(E263/E444, "NA")</f>
        <v>8.4999966176152811E-2</v>
      </c>
      <c r="G263" s="2"/>
      <c r="H263" s="14">
        <f t="shared" si="64"/>
        <v>-4991.7099999999991</v>
      </c>
      <c r="I263" s="15">
        <f>IFERROR(H263/H444, "NA")</f>
        <v>-0.28335971062933113</v>
      </c>
      <c r="J263" s="2"/>
      <c r="K263" s="14">
        <f>IFERROR(K238+K240+K241+K242+K243+K244+K245+K246+K247+K248+K249+K250+K251+K252+K253+K254+K255+K256+K257+K258+K259+K260+K261, "NA")</f>
        <v>14956.909999999998</v>
      </c>
      <c r="L263" s="15">
        <f>IFERROR(K263/K444, "NA")</f>
        <v>0.10022552722080584</v>
      </c>
      <c r="M263" s="2"/>
      <c r="N263" s="14">
        <f t="shared" si="65"/>
        <v>-3353.8000000000011</v>
      </c>
      <c r="O263" s="15">
        <f>IFERROR(N263/N444, "NA")</f>
        <v>-0.13373581414637659</v>
      </c>
      <c r="P263" s="2"/>
      <c r="Q263" s="14">
        <f>IFERROR(Q238+Q240+Q241+Q242+Q243+Q244+Q245+Q246+Q247+Q248+Q249+Q250+Q251+Q252+Q253+Q254+Q255+Q256+Q257+Q258+Q259+Q260+Q261, "NA")</f>
        <v>31097.229999999996</v>
      </c>
      <c r="R263" s="15">
        <f>IFERROR(Q263/Q444, "NA")</f>
        <v>0.10183942977938827</v>
      </c>
      <c r="S263" s="2"/>
      <c r="T263" s="14">
        <f>IFERROR(T238+T240+T241+T242+T243+T244+T245+T246+T247+T248+T249+T250+T251+T252+T253+T254+T255+T256+T257+T258+T259+T260+T261, "NA")</f>
        <v>25403.279999999999</v>
      </c>
      <c r="U263" s="15">
        <f>IFERROR(T263/T444, "NA")</f>
        <v>8.4999973733714929E-2</v>
      </c>
      <c r="V263" s="2"/>
      <c r="W263" s="14">
        <f t="shared" si="66"/>
        <v>-5693.9499999999971</v>
      </c>
      <c r="X263" s="15">
        <f>IFERROR(W263/W444, "NA")</f>
        <v>-0.87689753576384477</v>
      </c>
      <c r="Y263" s="2"/>
      <c r="Z263" s="14">
        <f>IFERROR(Z238+Z240+Z241+Z242+Z243+Z244+Z245+Z246+Z247+Z248+Z249+Z250+Z251+Z252+Z253+Z254+Z255+Z256+Z257+Z258+Z259+Z260+Z261, "NA")</f>
        <v>27580.609999999997</v>
      </c>
      <c r="AA263" s="15">
        <f>IFERROR(Z263/Z444, "NA")</f>
        <v>9.6158118382738494E-2</v>
      </c>
      <c r="AB263" s="2"/>
      <c r="AC263" s="14">
        <f t="shared" si="67"/>
        <v>-3516.619999999999</v>
      </c>
      <c r="AD263" s="15">
        <f>IFERROR(AC263/AC444, "NA")</f>
        <v>-0.18978084069530837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4551.24</v>
      </c>
      <c r="C265" s="8">
        <f>IFERROR(B265/B444, "NA")</f>
        <v>2.6109982918970841E-2</v>
      </c>
      <c r="D265" s="9"/>
      <c r="E265" s="7">
        <v>3760.66</v>
      </c>
      <c r="F265" s="8">
        <f>IFERROR(E265/E444, "NA")</f>
        <v>2.3999997957805452E-2</v>
      </c>
      <c r="G265" s="9"/>
      <c r="H265" s="10">
        <f>IFERROR(-(B265-E265), "NA")</f>
        <v>-790.57999999999993</v>
      </c>
      <c r="I265" s="8">
        <f>IFERROR(H265/H444, "NA")</f>
        <v>-4.4878111915423097E-2</v>
      </c>
      <c r="J265" s="9"/>
      <c r="K265" s="7">
        <v>3239.36</v>
      </c>
      <c r="L265" s="8">
        <f>IFERROR(K265/K444, "NA")</f>
        <v>2.1706793974022018E-2</v>
      </c>
      <c r="M265" s="9"/>
      <c r="N265" s="10">
        <f>IFERROR(-(B265-K265), "NA")</f>
        <v>-1311.8799999999997</v>
      </c>
      <c r="O265" s="8">
        <f>IFERROR(N265/N444, "NA")</f>
        <v>-5.231240379937635E-2</v>
      </c>
      <c r="P265" s="9"/>
      <c r="Q265" s="7">
        <v>7832.53</v>
      </c>
      <c r="R265" s="8">
        <f>IFERROR(Q265/Q444, "NA")</f>
        <v>2.5650528646119032E-2</v>
      </c>
      <c r="S265" s="9"/>
      <c r="T265" s="7">
        <v>7172.69</v>
      </c>
      <c r="U265" s="8">
        <f>IFERROR(T265/T444, "NA")</f>
        <v>2.3999989828088333E-2</v>
      </c>
      <c r="V265" s="9"/>
      <c r="W265" s="10">
        <f>IFERROR(-(Q265-T265), "NA")</f>
        <v>-659.84000000000015</v>
      </c>
      <c r="X265" s="8">
        <f>IFERROR(W265/W444, "NA")</f>
        <v>-0.10161874796905764</v>
      </c>
      <c r="Y265" s="9"/>
      <c r="Z265" s="7">
        <v>6144.05</v>
      </c>
      <c r="AA265" s="8">
        <f>IFERROR(Z265/Z444, "NA")</f>
        <v>2.1420856436803411E-2</v>
      </c>
      <c r="AB265" s="9"/>
      <c r="AC265" s="10">
        <f>IFERROR(-(Q265-Z265), "NA")</f>
        <v>-1688.4799999999996</v>
      </c>
      <c r="AD265" s="8">
        <f>IFERROR(AC265/AC444, "NA")</f>
        <v>-9.1121916470137315E-2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4551.24</v>
      </c>
      <c r="C267" s="15">
        <f>IFERROR(B267/B444, "NA")</f>
        <v>2.6109982918970841E-2</v>
      </c>
      <c r="D267" s="2"/>
      <c r="E267" s="14">
        <f>IFERROR(E265+E266, "NA")</f>
        <v>3760.66</v>
      </c>
      <c r="F267" s="15">
        <f>IFERROR(E267/E444, "NA")</f>
        <v>2.3999997957805452E-2</v>
      </c>
      <c r="G267" s="2"/>
      <c r="H267" s="14">
        <f>IFERROR(-(B267-E267), "NA")</f>
        <v>-790.57999999999993</v>
      </c>
      <c r="I267" s="15">
        <f>IFERROR(H267/H444, "NA")</f>
        <v>-4.4878111915423097E-2</v>
      </c>
      <c r="J267" s="2"/>
      <c r="K267" s="14">
        <f>IFERROR(K265+K266, "NA")</f>
        <v>3239.36</v>
      </c>
      <c r="L267" s="15">
        <f>IFERROR(K267/K444, "NA")</f>
        <v>2.1706793974022018E-2</v>
      </c>
      <c r="M267" s="2"/>
      <c r="N267" s="14">
        <f>IFERROR(-(B267-K267), "NA")</f>
        <v>-1311.8799999999997</v>
      </c>
      <c r="O267" s="15">
        <f>IFERROR(N267/N444, "NA")</f>
        <v>-5.231240379937635E-2</v>
      </c>
      <c r="P267" s="2"/>
      <c r="Q267" s="14">
        <f>IFERROR(Q265+Q266, "NA")</f>
        <v>7832.53</v>
      </c>
      <c r="R267" s="15">
        <f>IFERROR(Q267/Q444, "NA")</f>
        <v>2.5650528646119032E-2</v>
      </c>
      <c r="S267" s="2"/>
      <c r="T267" s="14">
        <f>IFERROR(T265+T266, "NA")</f>
        <v>7172.69</v>
      </c>
      <c r="U267" s="15">
        <f>IFERROR(T267/T444, "NA")</f>
        <v>2.3999989828088333E-2</v>
      </c>
      <c r="V267" s="2"/>
      <c r="W267" s="14">
        <f>IFERROR(-(Q267-T267), "NA")</f>
        <v>-659.84000000000015</v>
      </c>
      <c r="X267" s="15">
        <f>IFERROR(W267/W444, "NA")</f>
        <v>-0.10161874796905764</v>
      </c>
      <c r="Y267" s="2"/>
      <c r="Z267" s="14">
        <f>IFERROR(Z265+Z266, "NA")</f>
        <v>6144.05</v>
      </c>
      <c r="AA267" s="15">
        <f>IFERROR(Z267/Z444, "NA")</f>
        <v>2.1420856436803411E-2</v>
      </c>
      <c r="AB267" s="2"/>
      <c r="AC267" s="14">
        <f>IFERROR(-(Q267-Z267), "NA")</f>
        <v>-1688.4799999999996</v>
      </c>
      <c r="AD267" s="15">
        <f>IFERROR(AC267/AC444, "NA")</f>
        <v>-9.1121916470137315E-2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241.5</v>
      </c>
      <c r="C270" s="8">
        <f>IFERROR(B270/B444, "NA")</f>
        <v>1.3854599790236197E-3</v>
      </c>
      <c r="D270" s="9"/>
      <c r="E270" s="7">
        <v>236.63</v>
      </c>
      <c r="F270" s="8">
        <f>IFERROR(E270/E444, "NA")</f>
        <v>1.5101390491976154E-3</v>
      </c>
      <c r="G270" s="9"/>
      <c r="H270" s="10">
        <f>IFERROR(-(B270-E270), "NA")</f>
        <v>-4.8700000000000045</v>
      </c>
      <c r="I270" s="8">
        <f>IFERROR(H270/H444, "NA")</f>
        <v>-2.7645071343584547E-4</v>
      </c>
      <c r="J270" s="9"/>
      <c r="K270" s="7">
        <v>229.7</v>
      </c>
      <c r="L270" s="8">
        <f>IFERROR(K270/K444, "NA")</f>
        <v>1.5392085399069128E-3</v>
      </c>
      <c r="M270" s="9"/>
      <c r="N270" s="10">
        <f>IFERROR(-(B270-K270), "NA")</f>
        <v>-11.800000000000011</v>
      </c>
      <c r="O270" s="8">
        <f>IFERROR(N270/N444, "NA")</f>
        <v>-4.7053569292362235E-4</v>
      </c>
      <c r="P270" s="9"/>
      <c r="Q270" s="7">
        <v>483</v>
      </c>
      <c r="R270" s="8">
        <f>IFERROR(Q270/Q444, "NA")</f>
        <v>1.5817628960342945E-3</v>
      </c>
      <c r="S270" s="9"/>
      <c r="T270" s="7">
        <v>473.26</v>
      </c>
      <c r="U270" s="8">
        <f>IFERROR(T270/T444, "NA")</f>
        <v>1.5835391165714794E-3</v>
      </c>
      <c r="V270" s="9"/>
      <c r="W270" s="10">
        <f>IFERROR(-(Q270-T270), "NA")</f>
        <v>-9.7400000000000091</v>
      </c>
      <c r="X270" s="8">
        <f>IFERROR(W270/W444, "NA")</f>
        <v>-1.5000100103337508E-3</v>
      </c>
      <c r="Y270" s="9"/>
      <c r="Z270" s="7">
        <v>459.4</v>
      </c>
      <c r="AA270" s="8">
        <f>IFERROR(Z270/Z444, "NA")</f>
        <v>1.601670143808642E-3</v>
      </c>
      <c r="AB270" s="9"/>
      <c r="AC270" s="10">
        <f>IFERROR(-(Q270-Z270), "NA")</f>
        <v>-23.600000000000023</v>
      </c>
      <c r="AD270" s="8">
        <f>IFERROR(AC270/AC444, "NA")</f>
        <v>-1.2736172348474623E-3</v>
      </c>
    </row>
    <row r="271" spans="1:30" ht="16.5" customHeight="1" x14ac:dyDescent="0.45">
      <c r="A271" s="6" t="s">
        <v>246</v>
      </c>
      <c r="B271" s="7">
        <v>1068.3</v>
      </c>
      <c r="C271" s="8">
        <f>IFERROR(B271/B444, "NA")</f>
        <v>6.1287242053454771E-3</v>
      </c>
      <c r="D271" s="9"/>
      <c r="E271" s="7">
        <v>1068.3</v>
      </c>
      <c r="F271" s="8">
        <f>IFERROR(E271/E444, "NA")</f>
        <v>6.8177388592224678E-3</v>
      </c>
      <c r="G271" s="9"/>
      <c r="H271" s="10">
        <f>IFERROR(-(B271-E271), "NA")</f>
        <v>0</v>
      </c>
      <c r="I271" s="8">
        <f>IFERROR(H271/H444, "NA")</f>
        <v>0</v>
      </c>
      <c r="J271" s="9"/>
      <c r="K271" s="7">
        <v>852.8</v>
      </c>
      <c r="L271" s="8">
        <f>IFERROR(K271/K444, "NA")</f>
        <v>5.7145713662717255E-3</v>
      </c>
      <c r="M271" s="9"/>
      <c r="N271" s="10">
        <f>IFERROR(-(B271-K271), "NA")</f>
        <v>-215.5</v>
      </c>
      <c r="O271" s="8">
        <f>IFERROR(N271/N444, "NA")</f>
        <v>-8.5932577817830948E-3</v>
      </c>
      <c r="P271" s="9"/>
      <c r="Q271" s="7">
        <v>2136.6</v>
      </c>
      <c r="R271" s="8">
        <f>IFERROR(Q271/Q444, "NA")</f>
        <v>6.9970902767430088E-3</v>
      </c>
      <c r="S271" s="9"/>
      <c r="T271" s="7">
        <v>2136.6</v>
      </c>
      <c r="U271" s="8">
        <f>IFERROR(T271/T444, "NA")</f>
        <v>7.149113967938602E-3</v>
      </c>
      <c r="V271" s="9"/>
      <c r="W271" s="10">
        <f>IFERROR(-(Q271-T271), "NA")</f>
        <v>0</v>
      </c>
      <c r="X271" s="8">
        <f>IFERROR(W271/W444, "NA")</f>
        <v>0</v>
      </c>
      <c r="Y271" s="9"/>
      <c r="Z271" s="7">
        <v>1705.6</v>
      </c>
      <c r="AA271" s="8">
        <f>IFERROR(Z271/Z444, "NA")</f>
        <v>5.9464706079234214E-3</v>
      </c>
      <c r="AB271" s="9"/>
      <c r="AC271" s="10">
        <f>IFERROR(-(Q271-Z271), "NA")</f>
        <v>-431</v>
      </c>
      <c r="AD271" s="8">
        <f>IFERROR(AC271/AC444, "NA")</f>
        <v>-2.3259704585561685E-2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1309.8</v>
      </c>
      <c r="C273" s="15">
        <f>IFERROR(B273/B444, "NA")</f>
        <v>7.5141841843690974E-3</v>
      </c>
      <c r="D273" s="2"/>
      <c r="E273" s="14">
        <f>IFERROR(E269+E270+E271+E272, "NA")</f>
        <v>1304.9299999999998</v>
      </c>
      <c r="F273" s="15">
        <f>IFERROR(E273/E444, "NA")</f>
        <v>8.3278779084200831E-3</v>
      </c>
      <c r="G273" s="2"/>
      <c r="H273" s="14">
        <f>IFERROR(-(B273-E273), "NA")</f>
        <v>-4.8700000000001182</v>
      </c>
      <c r="I273" s="15">
        <f>IFERROR(H273/H444, "NA")</f>
        <v>-2.7645071343585192E-4</v>
      </c>
      <c r="J273" s="2"/>
      <c r="K273" s="14">
        <f>IFERROR(K269+K270+K271+K272, "NA")</f>
        <v>1082.5</v>
      </c>
      <c r="L273" s="15">
        <f>IFERROR(K273/K444, "NA")</f>
        <v>7.2537799061786383E-3</v>
      </c>
      <c r="M273" s="2"/>
      <c r="N273" s="14">
        <f>IFERROR(-(B273-K273), "NA")</f>
        <v>-227.29999999999995</v>
      </c>
      <c r="O273" s="15">
        <f>IFERROR(N273/N444, "NA")</f>
        <v>-9.0637934747067155E-3</v>
      </c>
      <c r="P273" s="2"/>
      <c r="Q273" s="14">
        <f>IFERROR(Q269+Q270+Q271+Q272, "NA")</f>
        <v>2619.6</v>
      </c>
      <c r="R273" s="15">
        <f>IFERROR(Q273/Q444, "NA")</f>
        <v>8.5788531727773037E-3</v>
      </c>
      <c r="S273" s="2"/>
      <c r="T273" s="14">
        <f>IFERROR(T269+T270+T271+T272, "NA")</f>
        <v>2609.8599999999997</v>
      </c>
      <c r="U273" s="15">
        <f>IFERROR(T273/T444, "NA")</f>
        <v>8.7326530845100812E-3</v>
      </c>
      <c r="V273" s="2"/>
      <c r="W273" s="14">
        <f>IFERROR(-(Q273-T273), "NA")</f>
        <v>-9.7400000000002365</v>
      </c>
      <c r="X273" s="15">
        <f>IFERROR(W273/W444, "NA")</f>
        <v>-1.5000100103337859E-3</v>
      </c>
      <c r="Y273" s="2"/>
      <c r="Z273" s="14">
        <f>IFERROR(Z269+Z270+Z271+Z272, "NA")</f>
        <v>2165</v>
      </c>
      <c r="AA273" s="15">
        <f>IFERROR(Z273/Z444, "NA")</f>
        <v>7.5481407517320638E-3</v>
      </c>
      <c r="AB273" s="2"/>
      <c r="AC273" s="14">
        <f>IFERROR(-(Q273-Z273), "NA")</f>
        <v>-454.59999999999991</v>
      </c>
      <c r="AD273" s="15">
        <f>IFERROR(AC273/AC444, "NA")</f>
        <v>-2.453332182040914E-2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hidden="1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0</v>
      </c>
      <c r="F287" s="8">
        <f>IFERROR(E287/E444, "NA")</f>
        <v>0</v>
      </c>
      <c r="G287" s="9"/>
      <c r="H287" s="10">
        <f t="shared" si="72"/>
        <v>0</v>
      </c>
      <c r="I287" s="8">
        <f>IFERROR(H287/H444, "NA")</f>
        <v>0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0</v>
      </c>
      <c r="U287" s="8">
        <f>IFERROR(T287/T444, "NA")</f>
        <v>0</v>
      </c>
      <c r="V287" s="9"/>
      <c r="W287" s="10">
        <f t="shared" si="74"/>
        <v>0</v>
      </c>
      <c r="X287" s="8">
        <f>IFERROR(W287/W444, "NA")</f>
        <v>0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145.75</v>
      </c>
      <c r="C288" s="8">
        <f>IFERROR(B288/B444, "NA")</f>
        <v>8.3615234758878908E-4</v>
      </c>
      <c r="D288" s="9"/>
      <c r="E288" s="7">
        <v>146</v>
      </c>
      <c r="F288" s="8">
        <f>IFERROR(E288/E444, "NA")</f>
        <v>9.317512622357768E-4</v>
      </c>
      <c r="G288" s="9"/>
      <c r="H288" s="10">
        <f t="shared" si="72"/>
        <v>0.25</v>
      </c>
      <c r="I288" s="8">
        <f>IFERROR(H288/H444, "NA")</f>
        <v>1.4191515063441747E-5</v>
      </c>
      <c r="J288" s="9"/>
      <c r="K288" s="7">
        <v>144.65</v>
      </c>
      <c r="L288" s="8">
        <f>IFERROR(K288/K444, "NA")</f>
        <v>9.6929262210507174E-4</v>
      </c>
      <c r="M288" s="9"/>
      <c r="N288" s="10">
        <f t="shared" si="73"/>
        <v>-1.0999999999999943</v>
      </c>
      <c r="O288" s="8">
        <f>IFERROR(N288/N444, "NA")</f>
        <v>-4.3863496797964525E-5</v>
      </c>
      <c r="P288" s="9"/>
      <c r="Q288" s="7">
        <v>291.5</v>
      </c>
      <c r="R288" s="8">
        <f>IFERROR(Q288/Q444, "NA")</f>
        <v>9.5462501903519016E-4</v>
      </c>
      <c r="S288" s="9"/>
      <c r="T288" s="7">
        <v>292</v>
      </c>
      <c r="U288" s="8">
        <f>IFERROR(T288/T444, "NA")</f>
        <v>9.7703888357112789E-4</v>
      </c>
      <c r="V288" s="9"/>
      <c r="W288" s="10">
        <f t="shared" si="74"/>
        <v>0.5</v>
      </c>
      <c r="X288" s="8">
        <f>IFERROR(W288/W444, "NA")</f>
        <v>7.700256726559289E-5</v>
      </c>
      <c r="Y288" s="9"/>
      <c r="Z288" s="7">
        <v>289.3</v>
      </c>
      <c r="AA288" s="8">
        <f>IFERROR(Z288/Z444, "NA")</f>
        <v>1.0086268450235963E-3</v>
      </c>
      <c r="AB288" s="9"/>
      <c r="AC288" s="10">
        <f t="shared" si="75"/>
        <v>-2.1999999999999886</v>
      </c>
      <c r="AD288" s="8">
        <f>IFERROR(AC288/AC444, "NA")</f>
        <v>-1.1872703036713559E-4</v>
      </c>
    </row>
    <row r="289" spans="1:30" ht="16.5" customHeight="1" x14ac:dyDescent="0.45">
      <c r="A289" s="6" t="s">
        <v>262</v>
      </c>
      <c r="B289" s="7">
        <v>262.14</v>
      </c>
      <c r="C289" s="8">
        <f>IFERROR(B289/B444, "NA")</f>
        <v>1.5038694778519736E-3</v>
      </c>
      <c r="D289" s="9"/>
      <c r="E289" s="7">
        <v>247</v>
      </c>
      <c r="F289" s="8">
        <f>IFERROR(E289/E444, "NA")</f>
        <v>1.5763189162481977E-3</v>
      </c>
      <c r="G289" s="9"/>
      <c r="H289" s="10">
        <f t="shared" si="72"/>
        <v>-15.139999999999986</v>
      </c>
      <c r="I289" s="8">
        <f>IFERROR(H289/H444, "NA")</f>
        <v>-8.5943815224203139E-4</v>
      </c>
      <c r="J289" s="9"/>
      <c r="K289" s="7">
        <v>220.99</v>
      </c>
      <c r="L289" s="8">
        <f>IFERROR(K289/K444, "NA")</f>
        <v>1.4808432530867598E-3</v>
      </c>
      <c r="M289" s="9"/>
      <c r="N289" s="10">
        <f t="shared" si="73"/>
        <v>-41.149999999999977</v>
      </c>
      <c r="O289" s="8">
        <f>IFERROR(N289/N444, "NA")</f>
        <v>-1.6408935393056807E-3</v>
      </c>
      <c r="P289" s="9"/>
      <c r="Q289" s="7">
        <v>509.44</v>
      </c>
      <c r="R289" s="8">
        <f>IFERROR(Q289/Q444, "NA")</f>
        <v>1.6683504963886356E-3</v>
      </c>
      <c r="S289" s="9"/>
      <c r="T289" s="7">
        <v>494</v>
      </c>
      <c r="U289" s="8">
        <f>IFERROR(T289/T444, "NA")</f>
        <v>1.6529356454936205E-3</v>
      </c>
      <c r="V289" s="9"/>
      <c r="W289" s="10">
        <f t="shared" si="74"/>
        <v>-15.439999999999998</v>
      </c>
      <c r="X289" s="8">
        <f>IFERROR(W289/W444, "NA")</f>
        <v>-2.3778392771615078E-3</v>
      </c>
      <c r="Y289" s="9"/>
      <c r="Z289" s="7">
        <v>439.06</v>
      </c>
      <c r="AA289" s="8">
        <f>IFERROR(Z289/Z444, "NA")</f>
        <v>1.5307559715729698E-3</v>
      </c>
      <c r="AB289" s="9"/>
      <c r="AC289" s="10">
        <f t="shared" si="75"/>
        <v>-70.38</v>
      </c>
      <c r="AD289" s="8">
        <f>IFERROR(AC289/AC444, "NA")</f>
        <v>-3.798185635108657E-3</v>
      </c>
    </row>
    <row r="290" spans="1:30" ht="16.5" customHeight="1" x14ac:dyDescent="0.45">
      <c r="A290" s="6" t="s">
        <v>263</v>
      </c>
      <c r="B290" s="7">
        <v>430</v>
      </c>
      <c r="C290" s="8">
        <f>IFERROR(B290/B444, "NA")</f>
        <v>2.4668645589240434E-3</v>
      </c>
      <c r="D290" s="9"/>
      <c r="E290" s="7">
        <v>940.17</v>
      </c>
      <c r="F290" s="8">
        <f>IFERROR(E290/E444, "NA")</f>
        <v>6.0000313987411654E-3</v>
      </c>
      <c r="G290" s="9"/>
      <c r="H290" s="10">
        <f t="shared" si="72"/>
        <v>510.16999999999996</v>
      </c>
      <c r="I290" s="8">
        <f>IFERROR(H290/H444, "NA")</f>
        <v>2.89603409596643E-2</v>
      </c>
      <c r="J290" s="9"/>
      <c r="K290" s="7">
        <v>3569.05</v>
      </c>
      <c r="L290" s="8">
        <f>IFERROR(K290/K444, "NA")</f>
        <v>2.3916030645863159E-2</v>
      </c>
      <c r="M290" s="9"/>
      <c r="N290" s="10">
        <f t="shared" si="73"/>
        <v>3139.05</v>
      </c>
      <c r="O290" s="8">
        <f>IFERROR(N290/N444, "NA")</f>
        <v>0.12517246329422843</v>
      </c>
      <c r="P290" s="9"/>
      <c r="Q290" s="7">
        <v>1388.41</v>
      </c>
      <c r="R290" s="8">
        <f>IFERROR(Q290/Q444, "NA")</f>
        <v>4.5468642287432191E-3</v>
      </c>
      <c r="S290" s="9"/>
      <c r="T290" s="7">
        <v>1793.18</v>
      </c>
      <c r="U290" s="8">
        <f>IFERROR(T290/T444, "NA")</f>
        <v>6.000022552198888E-3</v>
      </c>
      <c r="V290" s="9"/>
      <c r="W290" s="10">
        <f t="shared" si="74"/>
        <v>404.77</v>
      </c>
      <c r="X290" s="8">
        <f>IFERROR(W290/W444, "NA")</f>
        <v>6.233665830418806E-2</v>
      </c>
      <c r="Y290" s="9"/>
      <c r="Z290" s="7">
        <v>4834.43</v>
      </c>
      <c r="AA290" s="8">
        <f>IFERROR(Z290/Z444, "NA")</f>
        <v>1.6854946002030503E-2</v>
      </c>
      <c r="AB290" s="9"/>
      <c r="AC290" s="10">
        <f t="shared" si="75"/>
        <v>3446.0200000000004</v>
      </c>
      <c r="AD290" s="8">
        <f>IFERROR(AC290/AC444, "NA")</f>
        <v>0.18597078235716308</v>
      </c>
    </row>
    <row r="291" spans="1:30" ht="16.5" customHeight="1" x14ac:dyDescent="0.45">
      <c r="A291" s="6" t="s">
        <v>264</v>
      </c>
      <c r="B291" s="7">
        <v>1334.79</v>
      </c>
      <c r="C291" s="8">
        <f>IFERROR(B291/B444, "NA")</f>
        <v>7.6575491735028454E-3</v>
      </c>
      <c r="D291" s="9"/>
      <c r="E291" s="7">
        <v>783.47</v>
      </c>
      <c r="F291" s="8">
        <f>IFERROR(E291/E444, "NA")</f>
        <v>4.9999942563278364E-3</v>
      </c>
      <c r="G291" s="9"/>
      <c r="H291" s="10">
        <f t="shared" si="72"/>
        <v>-551.31999999999994</v>
      </c>
      <c r="I291" s="8">
        <f>IFERROR(H291/H444, "NA")</f>
        <v>-3.1296264339106809E-2</v>
      </c>
      <c r="J291" s="9"/>
      <c r="K291" s="7">
        <v>1926.16</v>
      </c>
      <c r="L291" s="8">
        <f>IFERROR(K291/K444, "NA")</f>
        <v>1.2907104576521984E-2</v>
      </c>
      <c r="M291" s="9"/>
      <c r="N291" s="10">
        <f t="shared" si="73"/>
        <v>591.37000000000012</v>
      </c>
      <c r="O291" s="8">
        <f>IFERROR(N291/N444, "NA")</f>
        <v>2.3581414637647655E-2</v>
      </c>
      <c r="P291" s="9"/>
      <c r="Q291" s="7">
        <v>3829.47</v>
      </c>
      <c r="R291" s="8">
        <f>IFERROR(Q291/Q444, "NA")</f>
        <v>1.2541021858129294E-2</v>
      </c>
      <c r="S291" s="9"/>
      <c r="T291" s="7">
        <v>1494.31</v>
      </c>
      <c r="U291" s="8">
        <f>IFERROR(T291/T444, "NA")</f>
        <v>4.9999964866752466E-3</v>
      </c>
      <c r="V291" s="9"/>
      <c r="W291" s="10">
        <f t="shared" si="74"/>
        <v>-2335.16</v>
      </c>
      <c r="X291" s="8">
        <f>IFERROR(W291/W444, "NA")</f>
        <v>-0.35962662995184375</v>
      </c>
      <c r="Y291" s="9"/>
      <c r="Z291" s="7">
        <v>4845.1000000000004</v>
      </c>
      <c r="AA291" s="8">
        <f>IFERROR(Z291/Z444, "NA")</f>
        <v>1.6892146307721487E-2</v>
      </c>
      <c r="AB291" s="9"/>
      <c r="AC291" s="10">
        <f t="shared" si="75"/>
        <v>1015.6300000000006</v>
      </c>
      <c r="AD291" s="8">
        <f>IFERROR(AC291/AC444, "NA")</f>
        <v>5.4810333568988463E-2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156.69</v>
      </c>
      <c r="F292" s="8">
        <f>IFERROR(E292/E444, "NA")</f>
        <v>9.9997332383372516E-4</v>
      </c>
      <c r="G292" s="9"/>
      <c r="H292" s="10">
        <f t="shared" si="72"/>
        <v>156.69</v>
      </c>
      <c r="I292" s="8">
        <f>IFERROR(H292/H444, "NA")</f>
        <v>8.8946739811627488E-3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394.79</v>
      </c>
      <c r="R292" s="8">
        <f>IFERROR(Q292/Q444, "NA")</f>
        <v>1.2928864880442632E-3</v>
      </c>
      <c r="S292" s="9"/>
      <c r="T292" s="7">
        <v>298.86</v>
      </c>
      <c r="U292" s="8">
        <f>IFERROR(T292/T444, "NA")</f>
        <v>9.9999260528790173E-4</v>
      </c>
      <c r="V292" s="9"/>
      <c r="W292" s="10">
        <f t="shared" si="74"/>
        <v>-95.93</v>
      </c>
      <c r="X292" s="8">
        <f>IFERROR(W292/W444, "NA")</f>
        <v>-1.4773712555576652E-2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-394.79</v>
      </c>
      <c r="AD292" s="8">
        <f>IFERROR(AC292/AC444, "NA")</f>
        <v>-2.1305565599382594E-2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235.04</v>
      </c>
      <c r="F293" s="8">
        <f>IFERROR(E293/E444, "NA")</f>
        <v>1.4999918950403901E-3</v>
      </c>
      <c r="G293" s="9"/>
      <c r="H293" s="10">
        <f t="shared" si="72"/>
        <v>235.04</v>
      </c>
      <c r="I293" s="8">
        <f>IFERROR(H293/H444, "NA")</f>
        <v>1.3342294802045391E-2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448.29</v>
      </c>
      <c r="U293" s="8">
        <f>IFERROR(T293/T444, "NA")</f>
        <v>1.4999889079318526E-3</v>
      </c>
      <c r="V293" s="9"/>
      <c r="W293" s="10">
        <f t="shared" si="74"/>
        <v>448.29</v>
      </c>
      <c r="X293" s="8">
        <f>IFERROR(W293/W444, "NA")</f>
        <v>6.9038961758985273E-2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300</v>
      </c>
      <c r="C294" s="8">
        <f>IFERROR(B294/B444, "NA")</f>
        <v>1.7210682969237511E-3</v>
      </c>
      <c r="D294" s="9"/>
      <c r="E294" s="7">
        <v>311</v>
      </c>
      <c r="F294" s="8">
        <f>IFERROR(E294/E444, "NA")</f>
        <v>1.984757825721415E-3</v>
      </c>
      <c r="G294" s="9"/>
      <c r="H294" s="10">
        <f t="shared" si="72"/>
        <v>11</v>
      </c>
      <c r="I294" s="8">
        <f>IFERROR(H294/H444, "NA")</f>
        <v>6.2442666279143683E-4</v>
      </c>
      <c r="J294" s="9"/>
      <c r="K294" s="7">
        <v>325.02</v>
      </c>
      <c r="L294" s="8">
        <f>IFERROR(K294/K444, "NA")</f>
        <v>2.1779432287355022E-3</v>
      </c>
      <c r="M294" s="9"/>
      <c r="N294" s="10">
        <f t="shared" si="73"/>
        <v>25.019999999999982</v>
      </c>
      <c r="O294" s="8">
        <f>IFERROR(N294/N444, "NA")</f>
        <v>9.9769517262279762E-4</v>
      </c>
      <c r="P294" s="9"/>
      <c r="Q294" s="7">
        <v>599.99</v>
      </c>
      <c r="R294" s="8">
        <f>IFERROR(Q294/Q444, "NA")</f>
        <v>1.9648901035023113E-3</v>
      </c>
      <c r="S294" s="9"/>
      <c r="T294" s="7">
        <v>622</v>
      </c>
      <c r="U294" s="8">
        <f>IFERROR(T294/T444, "NA")</f>
        <v>2.0812266629494573E-3</v>
      </c>
      <c r="V294" s="9"/>
      <c r="W294" s="10">
        <f t="shared" si="74"/>
        <v>22.009999999999991</v>
      </c>
      <c r="X294" s="8">
        <f>IFERROR(W294/W444, "NA")</f>
        <v>3.3896530110313974E-3</v>
      </c>
      <c r="Y294" s="9"/>
      <c r="Z294" s="7">
        <v>650.01</v>
      </c>
      <c r="AA294" s="8">
        <f>IFERROR(Z294/Z444, "NA")</f>
        <v>2.2662203094842301E-3</v>
      </c>
      <c r="AB294" s="9"/>
      <c r="AC294" s="10">
        <f t="shared" si="75"/>
        <v>50.019999999999982</v>
      </c>
      <c r="AD294" s="8">
        <f>IFERROR(AC294/AC444, "NA")</f>
        <v>2.6994209358927961E-3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2472.6799999999998</v>
      </c>
      <c r="C295" s="15">
        <f>IFERROR(B295/B444, "NA")</f>
        <v>1.4185503854791401E-2</v>
      </c>
      <c r="D295" s="2"/>
      <c r="E295" s="14">
        <f>IFERROR(E286+E287+E288+E289+E290+E291+E292+E293+E294, "NA")</f>
        <v>2819.3700000000003</v>
      </c>
      <c r="F295" s="15">
        <f>IFERROR(E295/E444, "NA")</f>
        <v>1.7992818878148509E-2</v>
      </c>
      <c r="G295" s="2"/>
      <c r="H295" s="14">
        <f t="shared" si="72"/>
        <v>346.69000000000051</v>
      </c>
      <c r="I295" s="15">
        <f>IFERROR(H295/H444, "NA")</f>
        <v>1.9680225429378504E-2</v>
      </c>
      <c r="J295" s="2"/>
      <c r="K295" s="14">
        <f>IFERROR(K286+K287+K288+K289+K290+K291+K292+K293+K294, "NA")</f>
        <v>6185.8700000000008</v>
      </c>
      <c r="L295" s="15">
        <f>IFERROR(K295/K444, "NA")</f>
        <v>4.1451214326312484E-2</v>
      </c>
      <c r="M295" s="2"/>
      <c r="N295" s="14">
        <f t="shared" si="73"/>
        <v>3713.190000000001</v>
      </c>
      <c r="O295" s="15">
        <f>IFERROR(N295/N444, "NA")</f>
        <v>0.14806681606839525</v>
      </c>
      <c r="P295" s="2"/>
      <c r="Q295" s="14">
        <f>IFERROR(Q286+Q287+Q288+Q289+Q290+Q291+Q292+Q293+Q294, "NA")</f>
        <v>7013.5999999999995</v>
      </c>
      <c r="R295" s="15">
        <f>IFERROR(Q295/Q444, "NA")</f>
        <v>2.2968638193842913E-2</v>
      </c>
      <c r="S295" s="2"/>
      <c r="T295" s="14">
        <f>IFERROR(T286+T287+T288+T289+T290+T291+T292+T293+T294, "NA")</f>
        <v>5442.64</v>
      </c>
      <c r="U295" s="15">
        <f>IFERROR(T295/T444, "NA")</f>
        <v>1.8211201744108094E-2</v>
      </c>
      <c r="V295" s="2"/>
      <c r="W295" s="14">
        <f t="shared" si="74"/>
        <v>-1570.9599999999991</v>
      </c>
      <c r="X295" s="15">
        <f>IFERROR(W295/W444, "NA")</f>
        <v>-0.24193590614311145</v>
      </c>
      <c r="Y295" s="2"/>
      <c r="Z295" s="14">
        <f>IFERROR(Z286+Z287+Z288+Z289+Z290+Z291+Z292+Z293+Z294, "NA")</f>
        <v>11057.9</v>
      </c>
      <c r="AA295" s="15">
        <f>IFERROR(Z295/Z444, "NA")</f>
        <v>3.8552695435832784E-2</v>
      </c>
      <c r="AB295" s="2"/>
      <c r="AC295" s="14">
        <f t="shared" si="75"/>
        <v>4044.3</v>
      </c>
      <c r="AD295" s="15">
        <f>IFERROR(AC295/AC444, "NA")</f>
        <v>0.21825805859718592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525.57000000000005</v>
      </c>
      <c r="C299" s="8">
        <f>IFERROR(B299/B444, "NA")</f>
        <v>3.0151395493807197E-3</v>
      </c>
      <c r="D299" s="9"/>
      <c r="E299" s="7">
        <v>517</v>
      </c>
      <c r="F299" s="8">
        <f>IFERROR(E299/E444, "NA")</f>
        <v>3.2994205655883326E-3</v>
      </c>
      <c r="G299" s="9"/>
      <c r="H299" s="10">
        <f t="shared" si="76"/>
        <v>-8.57000000000005</v>
      </c>
      <c r="I299" s="8">
        <f>IFERROR(H299/H444, "NA")</f>
        <v>-4.8648513637478591E-4</v>
      </c>
      <c r="J299" s="9"/>
      <c r="K299" s="7">
        <v>507.4</v>
      </c>
      <c r="L299" s="8">
        <f>IFERROR(K299/K444, "NA")</f>
        <v>3.400062747709045E-3</v>
      </c>
      <c r="M299" s="9"/>
      <c r="N299" s="10">
        <f t="shared" si="77"/>
        <v>-18.170000000000073</v>
      </c>
      <c r="O299" s="8">
        <f>IFERROR(N299/N444, "NA")</f>
        <v>-7.2454521529002067E-4</v>
      </c>
      <c r="P299" s="9"/>
      <c r="Q299" s="7">
        <v>1051.1400000000001</v>
      </c>
      <c r="R299" s="8">
        <f>IFERROR(Q299/Q444, "NA")</f>
        <v>3.4423483447981128E-3</v>
      </c>
      <c r="S299" s="9"/>
      <c r="T299" s="7">
        <v>1034</v>
      </c>
      <c r="U299" s="8">
        <f>IFERROR(T299/T444, "NA")</f>
        <v>3.4597883753854325E-3</v>
      </c>
      <c r="V299" s="9"/>
      <c r="W299" s="10">
        <f t="shared" si="78"/>
        <v>-17.1400000000001</v>
      </c>
      <c r="X299" s="8">
        <f>IFERROR(W299/W444, "NA")</f>
        <v>-2.6396480058645394E-3</v>
      </c>
      <c r="Y299" s="9"/>
      <c r="Z299" s="7">
        <v>1414.51</v>
      </c>
      <c r="AA299" s="8">
        <f>IFERROR(Z299/Z444, "NA")</f>
        <v>4.9316030368279544E-3</v>
      </c>
      <c r="AB299" s="9"/>
      <c r="AC299" s="10">
        <f t="shared" si="79"/>
        <v>363.36999999999989</v>
      </c>
      <c r="AD299" s="8">
        <f>IFERROR(AC299/AC444, "NA")</f>
        <v>1.9609927738411942E-2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546</v>
      </c>
      <c r="C310" s="8">
        <f>IFERROR(B310/B444, "NA")</f>
        <v>3.1323443004012269E-3</v>
      </c>
      <c r="D310" s="9"/>
      <c r="E310" s="7">
        <v>55</v>
      </c>
      <c r="F310" s="8">
        <f>IFERROR(E310/E444, "NA")</f>
        <v>3.5100218782854606E-4</v>
      </c>
      <c r="G310" s="9"/>
      <c r="H310" s="10">
        <f t="shared" si="76"/>
        <v>-491</v>
      </c>
      <c r="I310" s="8">
        <f>IFERROR(H310/H444, "NA")</f>
        <v>-2.787213558459959E-2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-546</v>
      </c>
      <c r="O310" s="8">
        <f>IFERROR(N310/N444, "NA")</f>
        <v>-2.1772244774262504E-2</v>
      </c>
      <c r="P310" s="9"/>
      <c r="Q310" s="7">
        <v>546</v>
      </c>
      <c r="R310" s="8">
        <f>IFERROR(Q310/Q444, "NA")</f>
        <v>1.7880797955170285E-3</v>
      </c>
      <c r="S310" s="9"/>
      <c r="T310" s="7">
        <v>110</v>
      </c>
      <c r="U310" s="8">
        <f>IFERROR(T310/T444, "NA")</f>
        <v>3.6806259312610981E-4</v>
      </c>
      <c r="V310" s="9"/>
      <c r="W310" s="10">
        <f t="shared" si="78"/>
        <v>-436</v>
      </c>
      <c r="X310" s="8">
        <f>IFERROR(W310/W444, "NA")</f>
        <v>-6.714623865559699E-2</v>
      </c>
      <c r="Y310" s="9"/>
      <c r="Z310" s="7">
        <v>0</v>
      </c>
      <c r="AA310" s="8">
        <f>IFERROR(Z310/Z444, "NA")</f>
        <v>0</v>
      </c>
      <c r="AB310" s="9"/>
      <c r="AC310" s="10">
        <f t="shared" si="79"/>
        <v>-546</v>
      </c>
      <c r="AD310" s="8">
        <f>IFERROR(AC310/AC444, "NA")</f>
        <v>-2.9465890263843806E-2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26.73</v>
      </c>
      <c r="L311" s="8">
        <f>IFERROR(K311/K444, "NA")</f>
        <v>1.7911643130915012E-4</v>
      </c>
      <c r="M311" s="9"/>
      <c r="N311" s="10">
        <f t="shared" si="77"/>
        <v>26.73</v>
      </c>
      <c r="O311" s="8">
        <f>IFERROR(N311/N444, "NA")</f>
        <v>1.0658829721905435E-3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26.73</v>
      </c>
      <c r="AA311" s="8">
        <f>IFERROR(Z311/Z444, "NA")</f>
        <v>9.3192518380507192E-5</v>
      </c>
      <c r="AB311" s="9"/>
      <c r="AC311" s="10">
        <f t="shared" si="79"/>
        <v>26.73</v>
      </c>
      <c r="AD311" s="8">
        <f>IFERROR(AC311/AC444, "NA")</f>
        <v>1.4425334189607049E-3</v>
      </c>
    </row>
    <row r="312" spans="1:30" ht="16.5" customHeight="1" x14ac:dyDescent="0.45">
      <c r="A312" s="6" t="s">
        <v>284</v>
      </c>
      <c r="B312" s="7">
        <v>523.70000000000005</v>
      </c>
      <c r="C312" s="8">
        <f>IFERROR(B312/B444, "NA")</f>
        <v>3.004411556996562E-3</v>
      </c>
      <c r="D312" s="9"/>
      <c r="E312" s="7">
        <v>35</v>
      </c>
      <c r="F312" s="8">
        <f>IFERROR(E312/E444, "NA")</f>
        <v>2.2336502861816567E-4</v>
      </c>
      <c r="G312" s="9"/>
      <c r="H312" s="10">
        <f t="shared" si="76"/>
        <v>-488.70000000000005</v>
      </c>
      <c r="I312" s="8">
        <f>IFERROR(H312/H444, "NA")</f>
        <v>-2.7741573646015927E-2</v>
      </c>
      <c r="J312" s="9"/>
      <c r="K312" s="7">
        <v>236.28</v>
      </c>
      <c r="L312" s="8">
        <f>IFERROR(K312/K444, "NA")</f>
        <v>1.583300800214216E-3</v>
      </c>
      <c r="M312" s="9"/>
      <c r="N312" s="10">
        <f t="shared" si="77"/>
        <v>-287.42000000000007</v>
      </c>
      <c r="O312" s="8">
        <f>IFERROR(N312/N444, "NA")</f>
        <v>-1.1461132954246394E-2</v>
      </c>
      <c r="P312" s="9"/>
      <c r="Q312" s="7">
        <v>808.54</v>
      </c>
      <c r="R312" s="8">
        <f>IFERROR(Q312/Q444, "NA")</f>
        <v>2.647864538218568E-3</v>
      </c>
      <c r="S312" s="9"/>
      <c r="T312" s="7">
        <v>70</v>
      </c>
      <c r="U312" s="8">
        <f>IFERROR(T312/T444, "NA")</f>
        <v>2.3422165017116081E-4</v>
      </c>
      <c r="V312" s="9"/>
      <c r="W312" s="10">
        <f t="shared" si="78"/>
        <v>-738.54</v>
      </c>
      <c r="X312" s="8">
        <f>IFERROR(W312/W444, "NA")</f>
        <v>-0.11373895205666193</v>
      </c>
      <c r="Y312" s="9"/>
      <c r="Z312" s="7">
        <v>407.59</v>
      </c>
      <c r="AA312" s="8">
        <f>IFERROR(Z312/Z444, "NA")</f>
        <v>1.4210377316390169E-3</v>
      </c>
      <c r="AB312" s="9"/>
      <c r="AC312" s="10">
        <f t="shared" si="79"/>
        <v>-400.95</v>
      </c>
      <c r="AD312" s="8">
        <f>IFERROR(AC312/AC444, "NA")</f>
        <v>-2.1638001284410572E-2</v>
      </c>
    </row>
    <row r="313" spans="1:30" ht="16.5" customHeight="1" x14ac:dyDescent="0.45">
      <c r="A313" s="6" t="s">
        <v>285</v>
      </c>
      <c r="B313" s="7">
        <v>312</v>
      </c>
      <c r="C313" s="8">
        <f>IFERROR(B313/B444, "NA")</f>
        <v>1.7899110288007011E-3</v>
      </c>
      <c r="D313" s="9"/>
      <c r="E313" s="7">
        <v>250</v>
      </c>
      <c r="F313" s="8">
        <f>IFERROR(E313/E444, "NA")</f>
        <v>1.5954644901297547E-3</v>
      </c>
      <c r="G313" s="9"/>
      <c r="H313" s="10">
        <f t="shared" si="76"/>
        <v>-62</v>
      </c>
      <c r="I313" s="8">
        <f>IFERROR(H313/H444, "NA")</f>
        <v>-3.5194957357335532E-3</v>
      </c>
      <c r="J313" s="9"/>
      <c r="K313" s="7">
        <v>248</v>
      </c>
      <c r="L313" s="8">
        <f>IFERROR(K313/K444, "NA")</f>
        <v>1.6618359507919653E-3</v>
      </c>
      <c r="M313" s="9"/>
      <c r="N313" s="10">
        <f t="shared" si="77"/>
        <v>-64</v>
      </c>
      <c r="O313" s="8">
        <f>IFERROR(N313/N444, "NA")</f>
        <v>-2.5520579955179493E-3</v>
      </c>
      <c r="P313" s="9"/>
      <c r="Q313" s="7">
        <v>540</v>
      </c>
      <c r="R313" s="8">
        <f>IFERROR(Q313/Q444, "NA")</f>
        <v>1.7684305669948633E-3</v>
      </c>
      <c r="S313" s="9"/>
      <c r="T313" s="7">
        <v>500</v>
      </c>
      <c r="U313" s="8">
        <f>IFERROR(T313/T444, "NA")</f>
        <v>1.673011786936863E-3</v>
      </c>
      <c r="V313" s="9"/>
      <c r="W313" s="10">
        <f t="shared" si="78"/>
        <v>-40</v>
      </c>
      <c r="X313" s="8">
        <f>IFERROR(W313/W444, "NA")</f>
        <v>-6.1602053812474305E-3</v>
      </c>
      <c r="Y313" s="9"/>
      <c r="Z313" s="7">
        <v>496</v>
      </c>
      <c r="AA313" s="8">
        <f>IFERROR(Z313/Z444, "NA")</f>
        <v>1.7292738165630964E-3</v>
      </c>
      <c r="AB313" s="9"/>
      <c r="AC313" s="10">
        <f t="shared" si="79"/>
        <v>-44</v>
      </c>
      <c r="AD313" s="8">
        <f>IFERROR(AC313/AC444, "NA")</f>
        <v>-2.3745406073427244E-3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hidden="1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0</v>
      </c>
      <c r="F318" s="8">
        <f>IFERROR(E318/E444, "NA")</f>
        <v>0</v>
      </c>
      <c r="G318" s="9"/>
      <c r="H318" s="10">
        <f t="shared" si="76"/>
        <v>0</v>
      </c>
      <c r="I318" s="8">
        <f>IFERROR(H318/H444, "NA")</f>
        <v>0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0</v>
      </c>
      <c r="U318" s="8">
        <f>IFERROR(T318/T444, "NA")</f>
        <v>0</v>
      </c>
      <c r="V318" s="9"/>
      <c r="W318" s="10">
        <f t="shared" si="78"/>
        <v>0</v>
      </c>
      <c r="X318" s="8">
        <f>IFERROR(W318/W444, "NA")</f>
        <v>0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323.94</v>
      </c>
      <c r="C319" s="8">
        <f>IFERROR(B319/B444, "NA")</f>
        <v>1.8584095470182665E-3</v>
      </c>
      <c r="D319" s="9"/>
      <c r="E319" s="7">
        <v>314</v>
      </c>
      <c r="F319" s="8">
        <f>IFERROR(E319/E444, "NA")</f>
        <v>2.0039033996029718E-3</v>
      </c>
      <c r="G319" s="9"/>
      <c r="H319" s="10">
        <f t="shared" si="76"/>
        <v>-9.9399999999999977</v>
      </c>
      <c r="I319" s="8">
        <f>IFERROR(H319/H444, "NA")</f>
        <v>-5.6425463892244374E-4</v>
      </c>
      <c r="J319" s="9"/>
      <c r="K319" s="7">
        <v>315.81</v>
      </c>
      <c r="L319" s="8">
        <f>IFERROR(K319/K444, "NA")</f>
        <v>2.1162274662081069E-3</v>
      </c>
      <c r="M319" s="9"/>
      <c r="N319" s="10">
        <f t="shared" si="77"/>
        <v>-8.1299999999999955</v>
      </c>
      <c r="O319" s="8">
        <f>IFERROR(N319/N444, "NA")</f>
        <v>-3.2419111724313934E-4</v>
      </c>
      <c r="P319" s="9"/>
      <c r="Q319" s="7">
        <v>647.88</v>
      </c>
      <c r="R319" s="8">
        <f>IFERROR(Q319/Q444, "NA")</f>
        <v>2.1217236958233927E-3</v>
      </c>
      <c r="S319" s="9"/>
      <c r="T319" s="7">
        <v>628</v>
      </c>
      <c r="U319" s="8">
        <f>IFERROR(T319/T444, "NA")</f>
        <v>2.1013028043926998E-3</v>
      </c>
      <c r="V319" s="9"/>
      <c r="W319" s="10">
        <f t="shared" si="78"/>
        <v>-19.879999999999995</v>
      </c>
      <c r="X319" s="8">
        <f>IFERROR(W319/W444, "NA")</f>
        <v>-3.0616220744799725E-3</v>
      </c>
      <c r="Y319" s="9"/>
      <c r="Z319" s="7">
        <v>631.62</v>
      </c>
      <c r="AA319" s="8">
        <f>IFERROR(Z319/Z444, "NA")</f>
        <v>2.2021046935838365E-3</v>
      </c>
      <c r="AB319" s="9"/>
      <c r="AC319" s="10">
        <f t="shared" si="79"/>
        <v>-16.259999999999991</v>
      </c>
      <c r="AD319" s="8">
        <f>IFERROR(AC319/AC444, "NA")</f>
        <v>-8.7750068807710617E-4</v>
      </c>
    </row>
    <row r="320" spans="1:30" ht="16.5" customHeight="1" x14ac:dyDescent="0.45">
      <c r="A320" s="6" t="s">
        <v>292</v>
      </c>
      <c r="B320" s="7">
        <v>1122.8800000000001</v>
      </c>
      <c r="C320" s="8">
        <f>IFERROR(B320/B444, "NA")</f>
        <v>6.4418438974991393E-3</v>
      </c>
      <c r="D320" s="9"/>
      <c r="E320" s="7">
        <v>1101</v>
      </c>
      <c r="F320" s="8">
        <f>IFERROR(E320/E444, "NA")</f>
        <v>7.0264256145314398E-3</v>
      </c>
      <c r="G320" s="9"/>
      <c r="H320" s="10">
        <f t="shared" si="76"/>
        <v>-21.880000000000109</v>
      </c>
      <c r="I320" s="8">
        <f>IFERROR(H320/H444, "NA")</f>
        <v>-1.2420413983524278E-3</v>
      </c>
      <c r="J320" s="9"/>
      <c r="K320" s="7">
        <v>981.05</v>
      </c>
      <c r="L320" s="8">
        <f>IFERROR(K320/K444, "NA")</f>
        <v>6.5739683851792638E-3</v>
      </c>
      <c r="M320" s="9"/>
      <c r="N320" s="10">
        <f t="shared" si="77"/>
        <v>-141.83000000000015</v>
      </c>
      <c r="O320" s="8">
        <f>IFERROR(N320/N444, "NA")</f>
        <v>-5.6555997735048616E-3</v>
      </c>
      <c r="P320" s="9"/>
      <c r="Q320" s="7">
        <v>2211.54</v>
      </c>
      <c r="R320" s="8">
        <f>IFERROR(Q320/Q444, "NA")</f>
        <v>7.2425091409848517E-3</v>
      </c>
      <c r="S320" s="9"/>
      <c r="T320" s="7">
        <v>2202</v>
      </c>
      <c r="U320" s="8">
        <f>IFERROR(T320/T444, "NA")</f>
        <v>7.3679439096699445E-3</v>
      </c>
      <c r="V320" s="9"/>
      <c r="W320" s="10">
        <f t="shared" si="78"/>
        <v>-9.5399999999999636</v>
      </c>
      <c r="X320" s="8">
        <f>IFERROR(W320/W444, "NA")</f>
        <v>-1.4692089834275066E-3</v>
      </c>
      <c r="Y320" s="9"/>
      <c r="Z320" s="7">
        <v>1949.39</v>
      </c>
      <c r="AA320" s="8">
        <f>IFERROR(Z320/Z444, "NA")</f>
        <v>6.7964296073990613E-3</v>
      </c>
      <c r="AB320" s="9"/>
      <c r="AC320" s="10">
        <f t="shared" si="79"/>
        <v>-262.14999999999986</v>
      </c>
      <c r="AD320" s="8">
        <f>IFERROR(AC320/AC444, "NA")</f>
        <v>-1.4147405004883973E-2</v>
      </c>
    </row>
    <row r="321" spans="1:30" ht="16.5" customHeight="1" x14ac:dyDescent="0.45">
      <c r="A321" s="6" t="s">
        <v>293</v>
      </c>
      <c r="B321" s="7">
        <v>1310.33</v>
      </c>
      <c r="C321" s="8">
        <f>IFERROR(B321/B444, "NA")</f>
        <v>7.5172247383603289E-3</v>
      </c>
      <c r="D321" s="9"/>
      <c r="E321" s="7">
        <v>1566.94</v>
      </c>
      <c r="F321" s="8">
        <f>IFERROR(E321/E444, "NA")</f>
        <v>9.9999885126556727E-3</v>
      </c>
      <c r="G321" s="9"/>
      <c r="H321" s="10">
        <f t="shared" si="76"/>
        <v>256.61000000000013</v>
      </c>
      <c r="I321" s="8">
        <f>IFERROR(H321/H444, "NA")</f>
        <v>1.4566738721719152E-2</v>
      </c>
      <c r="J321" s="9"/>
      <c r="K321" s="7">
        <v>2229.5100000000002</v>
      </c>
      <c r="L321" s="8">
        <f>IFERROR(K321/K444, "NA")</f>
        <v>1.4939838188105624E-2</v>
      </c>
      <c r="M321" s="9"/>
      <c r="N321" s="10">
        <f t="shared" si="77"/>
        <v>919.18000000000029</v>
      </c>
      <c r="O321" s="8">
        <f>IFERROR(N321/N444, "NA")</f>
        <v>3.6653135442502961E-2</v>
      </c>
      <c r="P321" s="9"/>
      <c r="Q321" s="7">
        <v>2316.54</v>
      </c>
      <c r="R321" s="8">
        <f>IFERROR(Q321/Q444, "NA")</f>
        <v>7.5863706401227424E-3</v>
      </c>
      <c r="S321" s="9"/>
      <c r="T321" s="7">
        <v>2846.45</v>
      </c>
      <c r="U321" s="8">
        <f>IFERROR(T321/T444, "NA")</f>
        <v>9.5242888018528659E-3</v>
      </c>
      <c r="V321" s="9"/>
      <c r="W321" s="10">
        <f t="shared" si="78"/>
        <v>529.90999999999985</v>
      </c>
      <c r="X321" s="8">
        <f>IFERROR(W321/W444, "NA")</f>
        <v>8.1608860839420622E-2</v>
      </c>
      <c r="Y321" s="9"/>
      <c r="Z321" s="7">
        <v>4221.9799999999996</v>
      </c>
      <c r="AA321" s="8">
        <f>IFERROR(Z321/Z444, "NA")</f>
        <v>1.4719676346881171E-2</v>
      </c>
      <c r="AB321" s="9"/>
      <c r="AC321" s="10">
        <f t="shared" si="79"/>
        <v>1905.4399999999996</v>
      </c>
      <c r="AD321" s="8">
        <f>IFERROR(AC321/AC444, "NA")</f>
        <v>0.10283056033761635</v>
      </c>
    </row>
    <row r="322" spans="1:30" ht="16.5" customHeight="1" x14ac:dyDescent="0.45">
      <c r="A322" s="6" t="s">
        <v>294</v>
      </c>
      <c r="B322" s="7">
        <v>174.5</v>
      </c>
      <c r="C322" s="8">
        <f>IFERROR(B322/B444, "NA")</f>
        <v>1.0010880593773152E-3</v>
      </c>
      <c r="D322" s="9"/>
      <c r="E322" s="7">
        <v>191</v>
      </c>
      <c r="F322" s="8">
        <f>IFERROR(E322/E444, "NA")</f>
        <v>1.2189348704591326E-3</v>
      </c>
      <c r="G322" s="9"/>
      <c r="H322" s="10">
        <f t="shared" si="76"/>
        <v>16.5</v>
      </c>
      <c r="I322" s="8">
        <f>IFERROR(H322/H444, "NA")</f>
        <v>9.366399941871552E-4</v>
      </c>
      <c r="J322" s="9"/>
      <c r="K322" s="7">
        <v>174.48</v>
      </c>
      <c r="L322" s="8">
        <f>IFERROR(K322/K444, "NA")</f>
        <v>1.1691820027991213E-3</v>
      </c>
      <c r="M322" s="9"/>
      <c r="N322" s="10">
        <f t="shared" si="77"/>
        <v>-2.0000000000010232E-2</v>
      </c>
      <c r="O322" s="8">
        <f>IFERROR(N322/N444, "NA")</f>
        <v>-7.9751812359976717E-7</v>
      </c>
      <c r="P322" s="9"/>
      <c r="Q322" s="7">
        <v>411.95</v>
      </c>
      <c r="R322" s="8">
        <f>IFERROR(Q322/Q444, "NA")</f>
        <v>1.3490832816176555E-3</v>
      </c>
      <c r="S322" s="9"/>
      <c r="T322" s="7">
        <v>382</v>
      </c>
      <c r="U322" s="8">
        <f>IFERROR(T322/T444, "NA")</f>
        <v>1.2781810052197632E-3</v>
      </c>
      <c r="V322" s="9"/>
      <c r="W322" s="10">
        <f t="shared" si="78"/>
        <v>-29.949999999999989</v>
      </c>
      <c r="X322" s="8">
        <f>IFERROR(W322/W444, "NA")</f>
        <v>-4.6124537792090123E-3</v>
      </c>
      <c r="Y322" s="9"/>
      <c r="Z322" s="7">
        <v>334.43</v>
      </c>
      <c r="AA322" s="8">
        <f>IFERROR(Z322/Z444, "NA")</f>
        <v>1.1659698436959603E-3</v>
      </c>
      <c r="AB322" s="9"/>
      <c r="AC322" s="10">
        <f t="shared" si="79"/>
        <v>-77.519999999999982</v>
      </c>
      <c r="AD322" s="8">
        <f>IFERROR(AC322/AC444, "NA")</f>
        <v>-4.1835088154819986E-3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4838.92</v>
      </c>
      <c r="C324" s="15">
        <f>IFERROR(B324/B444, "NA")</f>
        <v>2.7760372677834259E-2</v>
      </c>
      <c r="D324" s="2"/>
      <c r="E324" s="14">
        <f>IFERROR(E297+E298+E299+E300+E301+E302+E303+E304+E305+E306+E307+E308+E309+E310+E311+E312+E313+E314+E315+E316+E317+E318+E319+E320+E321+E322+E323, "NA")</f>
        <v>4029.94</v>
      </c>
      <c r="F324" s="15">
        <f>IFERROR(E324/E444, "NA")</f>
        <v>2.5718504669414017E-2</v>
      </c>
      <c r="G324" s="2"/>
      <c r="H324" s="14">
        <f t="shared" si="76"/>
        <v>-808.98</v>
      </c>
      <c r="I324" s="15">
        <f>IFERROR(H324/H444, "NA")</f>
        <v>-4.5922607424092418E-2</v>
      </c>
      <c r="J324" s="2"/>
      <c r="K324" s="14">
        <f>IFERROR(K297+K298+K299+K300+K301+K302+K303+K304+K305+K306+K307+K308+K309+K310+K311+K312+K313+K314+K315+K316+K317+K318+K319+K320+K321+K322+K323, "NA")</f>
        <v>4719.26</v>
      </c>
      <c r="L324" s="15">
        <f>IFERROR(K324/K444, "NA")</f>
        <v>3.1623531972316495E-2</v>
      </c>
      <c r="M324" s="2"/>
      <c r="N324" s="14">
        <f t="shared" si="77"/>
        <v>-119.65999999999985</v>
      </c>
      <c r="O324" s="15">
        <f>IFERROR(N324/N444, "NA")</f>
        <v>-4.7715509334949604E-3</v>
      </c>
      <c r="P324" s="2"/>
      <c r="Q324" s="14">
        <f>IFERROR(Q297+Q298+Q299+Q300+Q301+Q302+Q303+Q304+Q305+Q306+Q307+Q308+Q309+Q310+Q311+Q312+Q313+Q314+Q315+Q316+Q317+Q318+Q319+Q320+Q321+Q322+Q323, "NA")</f>
        <v>8533.59</v>
      </c>
      <c r="R324" s="15">
        <f>IFERROR(Q324/Q444, "NA")</f>
        <v>2.7946410004077216E-2</v>
      </c>
      <c r="S324" s="2"/>
      <c r="T324" s="14">
        <f>IFERROR(T297+T298+T299+T300+T301+T302+T303+T304+T305+T306+T307+T308+T309+T310+T311+T312+T313+T314+T315+T316+T317+T318+T319+T320+T321+T322+T323, "NA")</f>
        <v>7772.45</v>
      </c>
      <c r="U324" s="15">
        <f>IFERROR(T324/T444, "NA")</f>
        <v>2.600680092675484E-2</v>
      </c>
      <c r="V324" s="2"/>
      <c r="W324" s="14">
        <f t="shared" si="78"/>
        <v>-761.14000000000033</v>
      </c>
      <c r="X324" s="15">
        <f>IFERROR(W324/W444, "NA")</f>
        <v>-0.11721946809706678</v>
      </c>
      <c r="Y324" s="2"/>
      <c r="Z324" s="14">
        <f>IFERROR(Z297+Z298+Z299+Z300+Z301+Z302+Z303+Z304+Z305+Z306+Z307+Z308+Z309+Z310+Z311+Z312+Z313+Z314+Z315+Z316+Z317+Z318+Z319+Z320+Z321+Z322+Z323, "NA")</f>
        <v>9482.25</v>
      </c>
      <c r="AA324" s="15">
        <f>IFERROR(Z324/Z444, "NA")</f>
        <v>3.3059287594970607E-2</v>
      </c>
      <c r="AB324" s="2"/>
      <c r="AC324" s="14">
        <f t="shared" si="79"/>
        <v>948.65999999999985</v>
      </c>
      <c r="AD324" s="15">
        <f>IFERROR(AC324/AC444, "NA")</f>
        <v>5.1196174830948828E-2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48899.82</v>
      </c>
      <c r="C325" s="15">
        <f>IFERROR(B325/B444, "NA")</f>
        <v>0.28053309975759327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38226.130000000005</v>
      </c>
      <c r="F325" s="15">
        <f>IFERROR(E325/E444, "NA")</f>
        <v>0.24395373204033491</v>
      </c>
      <c r="G325" s="2"/>
      <c r="H325" s="14">
        <f t="shared" si="76"/>
        <v>-10673.689999999995</v>
      </c>
      <c r="I325" s="15">
        <f>IFERROR(H325/H444, "NA")</f>
        <v>-0.6059033296700298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47496.560000000005</v>
      </c>
      <c r="L325" s="15">
        <f>IFERROR(K325/K444, "NA")</f>
        <v>0.31827214091511141</v>
      </c>
      <c r="M325" s="2"/>
      <c r="N325" s="14">
        <f t="shared" si="77"/>
        <v>-1403.2599999999948</v>
      </c>
      <c r="O325" s="15">
        <f>IFERROR(N325/N444, "NA")</f>
        <v>-5.5956264106101626E-2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86505.17</v>
      </c>
      <c r="R325" s="15">
        <f>IFERROR(Q325/Q444, "NA")</f>
        <v>0.28329330894645749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73208.77</v>
      </c>
      <c r="U325" s="15">
        <f>IFERROR(T325/T444, "NA")</f>
        <v>0.24495827023429961</v>
      </c>
      <c r="V325" s="2"/>
      <c r="W325" s="14">
        <f t="shared" si="78"/>
        <v>-13296.399999999994</v>
      </c>
      <c r="X325" s="15">
        <f>IFERROR(W325/W444, "NA")</f>
        <v>-2.0477138707804574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87853.309999999983</v>
      </c>
      <c r="AA325" s="15">
        <f>IFERROR(Z325/Z444, "NA")</f>
        <v>0.30629521911572744</v>
      </c>
      <c r="AB325" s="2"/>
      <c r="AC325" s="14">
        <f t="shared" si="79"/>
        <v>1348.1399999999849</v>
      </c>
      <c r="AD325" s="15">
        <f>IFERROR(AC325/AC444, "NA")</f>
        <v>7.2754844872340546E-2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10440.49</v>
      </c>
      <c r="C329" s="8">
        <f>IFERROR(B329/B444, "NA")</f>
        <v>5.9895987811164848E-2</v>
      </c>
      <c r="D329" s="9"/>
      <c r="E329" s="7">
        <v>10440.49</v>
      </c>
      <c r="F329" s="8">
        <f>IFERROR(E329/E444, "NA")</f>
        <v>6.6629724218219208E-2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10136.4</v>
      </c>
      <c r="L329" s="8">
        <f>IFERROR(K329/K444, "NA")</f>
        <v>6.7923523917772885E-2</v>
      </c>
      <c r="M329" s="9"/>
      <c r="N329" s="10">
        <f t="shared" si="81"/>
        <v>-304.09000000000015</v>
      </c>
      <c r="O329" s="8">
        <f>IFERROR(N329/N444, "NA")</f>
        <v>-1.2125864310266462E-2</v>
      </c>
      <c r="P329" s="9"/>
      <c r="Q329" s="7">
        <v>20880.98</v>
      </c>
      <c r="R329" s="8">
        <f>IFERROR(Q329/Q444, "NA")</f>
        <v>6.8382524631126665E-2</v>
      </c>
      <c r="S329" s="9"/>
      <c r="T329" s="7">
        <v>20880.98</v>
      </c>
      <c r="U329" s="8">
        <f>IFERROR(T329/T444, "NA")</f>
        <v>6.9868251325585787E-2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20272.8</v>
      </c>
      <c r="AA329" s="8">
        <f>IFERROR(Z329/Z444, "NA")</f>
        <v>7.067988352504101E-2</v>
      </c>
      <c r="AB329" s="9"/>
      <c r="AC329" s="10">
        <f t="shared" si="83"/>
        <v>-608.18000000000029</v>
      </c>
      <c r="AD329" s="8">
        <f>IFERROR(AC329/AC444, "NA")</f>
        <v>-3.2821547876674968E-2</v>
      </c>
    </row>
    <row r="330" spans="1:30" ht="16.5" customHeight="1" x14ac:dyDescent="0.45">
      <c r="A330" s="6" t="s">
        <v>301</v>
      </c>
      <c r="B330" s="7">
        <v>728.65</v>
      </c>
      <c r="C330" s="8">
        <f>IFERROR(B330/B444, "NA")</f>
        <v>4.180188048511637E-3</v>
      </c>
      <c r="D330" s="9"/>
      <c r="E330" s="7">
        <v>728.65</v>
      </c>
      <c r="F330" s="8">
        <f>IFERROR(E330/E444, "NA")</f>
        <v>4.6501408029321831E-3</v>
      </c>
      <c r="G330" s="9"/>
      <c r="H330" s="10">
        <f t="shared" si="80"/>
        <v>0</v>
      </c>
      <c r="I330" s="8">
        <f>IFERROR(H330/H444, "NA")</f>
        <v>0</v>
      </c>
      <c r="J330" s="9"/>
      <c r="K330" s="7">
        <v>728.65</v>
      </c>
      <c r="L330" s="8">
        <f>IFERROR(K330/K444, "NA")</f>
        <v>4.8826482481635703E-3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1457.3</v>
      </c>
      <c r="R330" s="8">
        <f>IFERROR(Q330/Q444, "NA")</f>
        <v>4.7724701208918781E-3</v>
      </c>
      <c r="S330" s="9"/>
      <c r="T330" s="7">
        <v>1457.3</v>
      </c>
      <c r="U330" s="8">
        <f>IFERROR(T330/T444, "NA")</f>
        <v>4.87616015420618E-3</v>
      </c>
      <c r="V330" s="9"/>
      <c r="W330" s="10">
        <f t="shared" si="82"/>
        <v>0</v>
      </c>
      <c r="X330" s="8">
        <f>IFERROR(W330/W444, "NA")</f>
        <v>0</v>
      </c>
      <c r="Y330" s="9"/>
      <c r="Z330" s="7">
        <v>1457.3</v>
      </c>
      <c r="AA330" s="8">
        <f>IFERROR(Z330/Z444, "NA")</f>
        <v>5.0807877678979846E-3</v>
      </c>
      <c r="AB330" s="9"/>
      <c r="AC330" s="10">
        <f t="shared" si="83"/>
        <v>0</v>
      </c>
      <c r="AD330" s="8">
        <f>IFERROR(AC330/AC444, "NA")</f>
        <v>0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15.16</v>
      </c>
      <c r="C332" s="8">
        <f>IFERROR(B332/B444, "NA")</f>
        <v>8.6971317937880224E-5</v>
      </c>
      <c r="D332" s="9"/>
      <c r="E332" s="7">
        <v>133</v>
      </c>
      <c r="F332" s="8">
        <f>IFERROR(E332/E444, "NA")</f>
        <v>8.4878710874902947E-4</v>
      </c>
      <c r="G332" s="9"/>
      <c r="H332" s="10">
        <f t="shared" si="80"/>
        <v>117.84</v>
      </c>
      <c r="I332" s="8">
        <f>IFERROR(H332/H444, "NA")</f>
        <v>6.6893125403039017E-3</v>
      </c>
      <c r="J332" s="9"/>
      <c r="K332" s="7">
        <v>15.16</v>
      </c>
      <c r="L332" s="8">
        <f>IFERROR(K332/K444, "NA")</f>
        <v>1.0158642344357336E-4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30.32</v>
      </c>
      <c r="R332" s="8">
        <f>IFERROR(Q332/Q444, "NA")</f>
        <v>9.9294101465341217E-5</v>
      </c>
      <c r="S332" s="9"/>
      <c r="T332" s="7">
        <v>266</v>
      </c>
      <c r="U332" s="8">
        <f>IFERROR(T332/T444, "NA")</f>
        <v>8.9004227065041101E-4</v>
      </c>
      <c r="V332" s="9"/>
      <c r="W332" s="10">
        <f t="shared" si="82"/>
        <v>235.68</v>
      </c>
      <c r="X332" s="8">
        <f>IFERROR(W332/W444, "NA")</f>
        <v>3.6295930106309861E-2</v>
      </c>
      <c r="Y332" s="9"/>
      <c r="Z332" s="7">
        <v>30.32</v>
      </c>
      <c r="AA332" s="8">
        <f>IFERROR(Z332/Z444, "NA")</f>
        <v>1.0570883491571186E-4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964.14</v>
      </c>
      <c r="C333" s="8">
        <f>IFERROR(B333/B444, "NA")</f>
        <v>5.5311692926535514E-3</v>
      </c>
      <c r="D333" s="9"/>
      <c r="E333" s="7">
        <v>964</v>
      </c>
      <c r="F333" s="8">
        <f>IFERROR(E333/E444, "NA")</f>
        <v>6.1521110739403339E-3</v>
      </c>
      <c r="G333" s="9"/>
      <c r="H333" s="10">
        <f t="shared" si="80"/>
        <v>-0.13999999999998636</v>
      </c>
      <c r="I333" s="8">
        <f>IFERROR(H333/H444, "NA")</f>
        <v>-7.9472484355266033E-6</v>
      </c>
      <c r="J333" s="9"/>
      <c r="K333" s="7">
        <v>964.14</v>
      </c>
      <c r="L333" s="8">
        <f>IFERROR(K333/K444, "NA")</f>
        <v>6.4606552967603438E-3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1928.28</v>
      </c>
      <c r="R333" s="8">
        <f>IFERROR(Q333/Q444, "NA")</f>
        <v>6.3148690624534355E-3</v>
      </c>
      <c r="S333" s="9"/>
      <c r="T333" s="7">
        <v>1928</v>
      </c>
      <c r="U333" s="8">
        <f>IFERROR(T333/T444, "NA")</f>
        <v>6.4511334504285429E-3</v>
      </c>
      <c r="V333" s="9"/>
      <c r="W333" s="10">
        <f t="shared" si="82"/>
        <v>-0.27999999999997272</v>
      </c>
      <c r="X333" s="8">
        <f>IFERROR(W333/W444, "NA")</f>
        <v>-4.3121437668727814E-5</v>
      </c>
      <c r="Y333" s="9"/>
      <c r="Z333" s="7">
        <v>1928.28</v>
      </c>
      <c r="AA333" s="8">
        <f>IFERROR(Z333/Z444, "NA")</f>
        <v>6.7228308770207407E-3</v>
      </c>
      <c r="AB333" s="9"/>
      <c r="AC333" s="10">
        <f t="shared" si="83"/>
        <v>0</v>
      </c>
      <c r="AD333" s="8">
        <f>IFERROR(AC333/AC444, "NA")</f>
        <v>0</v>
      </c>
    </row>
    <row r="334" spans="1:30" ht="16.5" customHeight="1" x14ac:dyDescent="0.45">
      <c r="A334" s="6" t="s">
        <v>305</v>
      </c>
      <c r="B334" s="7">
        <v>-803.92</v>
      </c>
      <c r="C334" s="8">
        <f>IFERROR(B334/B444, "NA")</f>
        <v>-4.6120040842098061E-3</v>
      </c>
      <c r="D334" s="9"/>
      <c r="E334" s="7">
        <v>-803.92</v>
      </c>
      <c r="F334" s="8">
        <f>IFERROR(E334/E444, "NA")</f>
        <v>-5.1305032516204491E-3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-780.5</v>
      </c>
      <c r="L334" s="8">
        <f>IFERROR(K334/K444, "NA")</f>
        <v>-5.2300925790045522E-3</v>
      </c>
      <c r="M334" s="9"/>
      <c r="N334" s="10">
        <f t="shared" si="81"/>
        <v>23.419999999999959</v>
      </c>
      <c r="O334" s="8">
        <f>IFERROR(N334/N444, "NA")</f>
        <v>9.3389372273484797E-4</v>
      </c>
      <c r="P334" s="9"/>
      <c r="Q334" s="7">
        <v>-1607.84</v>
      </c>
      <c r="R334" s="8">
        <f>IFERROR(Q334/Q444, "NA")</f>
        <v>-5.2654692645130018E-3</v>
      </c>
      <c r="S334" s="9"/>
      <c r="T334" s="7">
        <v>-1607.84</v>
      </c>
      <c r="U334" s="8">
        <f>IFERROR(T334/T444, "NA")</f>
        <v>-5.3798705430171305E-3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-1561</v>
      </c>
      <c r="AA334" s="8">
        <f>IFERROR(Z334/Z444, "NA")</f>
        <v>-5.4423315073689384E-3</v>
      </c>
      <c r="AB334" s="9"/>
      <c r="AC334" s="10">
        <f t="shared" si="83"/>
        <v>46.839999999999918</v>
      </c>
      <c r="AD334" s="8">
        <f>IFERROR(AC334/AC444, "NA")</f>
        <v>2.5278064101802956E-3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235.04</v>
      </c>
      <c r="F335" s="8">
        <f>IFERROR(E335/E444, "NA")</f>
        <v>1.4999918950403901E-3</v>
      </c>
      <c r="G335" s="9"/>
      <c r="H335" s="10">
        <f t="shared" si="80"/>
        <v>235.04</v>
      </c>
      <c r="I335" s="8">
        <f>IFERROR(H335/H444, "NA")</f>
        <v>1.3342294802045391E-2</v>
      </c>
      <c r="J335" s="9"/>
      <c r="K335" s="7">
        <v>1654.81</v>
      </c>
      <c r="L335" s="8">
        <f>IFERROR(K335/K444, "NA")</f>
        <v>1.1088801410201823E-2</v>
      </c>
      <c r="M335" s="9"/>
      <c r="N335" s="10">
        <f t="shared" si="81"/>
        <v>1654.81</v>
      </c>
      <c r="O335" s="8">
        <f>IFERROR(N335/N444, "NA")</f>
        <v>6.5987048305672771E-2</v>
      </c>
      <c r="P335" s="9"/>
      <c r="Q335" s="7">
        <v>0</v>
      </c>
      <c r="R335" s="8">
        <f>IFERROR(Q335/Q444, "NA")</f>
        <v>0</v>
      </c>
      <c r="S335" s="9"/>
      <c r="T335" s="7">
        <v>448.29</v>
      </c>
      <c r="U335" s="8">
        <f>IFERROR(T335/T444, "NA")</f>
        <v>1.4999889079318526E-3</v>
      </c>
      <c r="V335" s="9"/>
      <c r="W335" s="10">
        <f t="shared" si="82"/>
        <v>448.29</v>
      </c>
      <c r="X335" s="8">
        <f>IFERROR(W335/W444, "NA")</f>
        <v>6.9038961758985273E-2</v>
      </c>
      <c r="Y335" s="9"/>
      <c r="Z335" s="7">
        <v>3309.62</v>
      </c>
      <c r="AA335" s="8">
        <f>IFERROR(Z335/Z444, "NA")</f>
        <v>1.1538788727366038E-2</v>
      </c>
      <c r="AB335" s="9"/>
      <c r="AC335" s="10">
        <f t="shared" si="83"/>
        <v>3309.62</v>
      </c>
      <c r="AD335" s="8">
        <f>IFERROR(AC335/AC444, "NA")</f>
        <v>0.17860970647440061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4133.8900000000003</v>
      </c>
      <c r="C338" s="8">
        <f>IFERROR(B338/B444, "NA")</f>
        <v>2.3715690073233753E-2</v>
      </c>
      <c r="D338" s="9"/>
      <c r="E338" s="7">
        <v>3133.88</v>
      </c>
      <c r="F338" s="8">
        <f>IFERROR(E338/E444, "NA")</f>
        <v>1.9999977025311345E-2</v>
      </c>
      <c r="G338" s="9"/>
      <c r="H338" s="10">
        <f t="shared" si="84"/>
        <v>-1000.0100000000002</v>
      </c>
      <c r="I338" s="8">
        <f>IFERROR(H338/H444, "NA")</f>
        <v>-5.6766627914369532E-2</v>
      </c>
      <c r="J338" s="9"/>
      <c r="K338" s="7">
        <v>4933.7299999999996</v>
      </c>
      <c r="L338" s="8">
        <f>IFERROR(K338/K444, "NA")</f>
        <v>3.3060685022180812E-2</v>
      </c>
      <c r="M338" s="9"/>
      <c r="N338" s="10">
        <f t="shared" si="85"/>
        <v>799.83999999999924</v>
      </c>
      <c r="O338" s="8">
        <f>IFERROR(N338/N444, "NA")</f>
        <v>3.1894344798985542E-2</v>
      </c>
      <c r="P338" s="9"/>
      <c r="Q338" s="7">
        <v>8059.61</v>
      </c>
      <c r="R338" s="8">
        <f>IFERROR(Q338/Q444, "NA")</f>
        <v>2.6394186448254576E-2</v>
      </c>
      <c r="S338" s="9"/>
      <c r="T338" s="7">
        <v>5977.24</v>
      </c>
      <c r="U338" s="8">
        <f>IFERROR(T338/T444, "NA")</f>
        <v>1.9999985946700986E-2</v>
      </c>
      <c r="V338" s="9"/>
      <c r="W338" s="10">
        <f t="shared" si="86"/>
        <v>-2082.37</v>
      </c>
      <c r="X338" s="8">
        <f>IFERROR(W338/W444, "NA")</f>
        <v>-0.3206956719937053</v>
      </c>
      <c r="Y338" s="9"/>
      <c r="Z338" s="7">
        <v>9707.1</v>
      </c>
      <c r="AA338" s="8">
        <f>IFERROR(Z338/Z444, "NA")</f>
        <v>3.3843213437015386E-2</v>
      </c>
      <c r="AB338" s="9"/>
      <c r="AC338" s="10">
        <f t="shared" si="87"/>
        <v>1647.4900000000007</v>
      </c>
      <c r="AD338" s="8">
        <f>IFERROR(AC338/AC444, "NA")</f>
        <v>8.8909816027069682E-2</v>
      </c>
    </row>
    <row r="339" spans="1:30" ht="16.5" customHeight="1" x14ac:dyDescent="0.45">
      <c r="A339" s="12" t="s">
        <v>309</v>
      </c>
      <c r="B339" s="7">
        <v>392.4</v>
      </c>
      <c r="C339" s="8">
        <f>IFERROR(B339/B444, "NA")</f>
        <v>2.2511573323762664E-3</v>
      </c>
      <c r="D339" s="9"/>
      <c r="E339" s="7">
        <v>313.39</v>
      </c>
      <c r="F339" s="8">
        <f>IFERROR(E339/E444, "NA")</f>
        <v>2.0000104662470553E-3</v>
      </c>
      <c r="G339" s="9"/>
      <c r="H339" s="10">
        <f t="shared" si="84"/>
        <v>-79.009999999999991</v>
      </c>
      <c r="I339" s="8">
        <f>IFERROR(H339/H444, "NA")</f>
        <v>-4.4850864206501286E-3</v>
      </c>
      <c r="J339" s="9"/>
      <c r="K339" s="7">
        <v>341.75</v>
      </c>
      <c r="L339" s="8">
        <f>IFERROR(K339/K444, "NA")</f>
        <v>2.2900501458998149E-3</v>
      </c>
      <c r="M339" s="9"/>
      <c r="N339" s="10">
        <f t="shared" si="85"/>
        <v>-50.649999999999977</v>
      </c>
      <c r="O339" s="8">
        <f>IFERROR(N339/N444, "NA")</f>
        <v>-2.0197146480153763E-3</v>
      </c>
      <c r="P339" s="9"/>
      <c r="Q339" s="7">
        <v>723.47</v>
      </c>
      <c r="R339" s="8">
        <f>IFERROR(Q339/Q444, "NA")</f>
        <v>2.36927122648847E-3</v>
      </c>
      <c r="S339" s="9"/>
      <c r="T339" s="7">
        <v>597.73</v>
      </c>
      <c r="U339" s="8">
        <f>IFERROR(T339/T444, "NA")</f>
        <v>2.0000186708115423E-3</v>
      </c>
      <c r="V339" s="9"/>
      <c r="W339" s="10">
        <f t="shared" si="86"/>
        <v>-125.74000000000001</v>
      </c>
      <c r="X339" s="8">
        <f>IFERROR(W339/W444, "NA")</f>
        <v>-1.93646056159513E-2</v>
      </c>
      <c r="Y339" s="9"/>
      <c r="Z339" s="7">
        <v>642.79</v>
      </c>
      <c r="AA339" s="8">
        <f>IFERROR(Z339/Z444, "NA")</f>
        <v>2.2410482188479691E-3</v>
      </c>
      <c r="AB339" s="9"/>
      <c r="AC339" s="10">
        <f t="shared" si="87"/>
        <v>-80.680000000000064</v>
      </c>
      <c r="AD339" s="8">
        <f>IFERROR(AC339/AC444, "NA")</f>
        <v>-4.3540440045547989E-3</v>
      </c>
    </row>
    <row r="340" spans="1:30" ht="16.5" customHeight="1" x14ac:dyDescent="0.45">
      <c r="A340" s="12" t="s">
        <v>310</v>
      </c>
      <c r="B340" s="7">
        <v>251.38</v>
      </c>
      <c r="C340" s="8">
        <f>IFERROR(B340/B444, "NA")</f>
        <v>1.4421404949356419E-3</v>
      </c>
      <c r="D340" s="9"/>
      <c r="E340" s="7">
        <v>626.78</v>
      </c>
      <c r="F340" s="8">
        <f>IFERROR(E340/E444, "NA")</f>
        <v>4.0000209324941105E-3</v>
      </c>
      <c r="G340" s="9"/>
      <c r="H340" s="10">
        <f t="shared" si="84"/>
        <v>375.4</v>
      </c>
      <c r="I340" s="8">
        <f>IFERROR(H340/H444, "NA")</f>
        <v>2.1309979019264125E-2</v>
      </c>
      <c r="J340" s="9"/>
      <c r="K340" s="7">
        <v>498.8</v>
      </c>
      <c r="L340" s="8">
        <f>IFERROR(K340/K444, "NA")</f>
        <v>3.342434565544485E-3</v>
      </c>
      <c r="M340" s="9"/>
      <c r="N340" s="10">
        <f t="shared" si="85"/>
        <v>247.42000000000002</v>
      </c>
      <c r="O340" s="8">
        <f>IFERROR(N340/N444, "NA")</f>
        <v>9.8660967070476734E-3</v>
      </c>
      <c r="P340" s="9"/>
      <c r="Q340" s="7">
        <v>1493.52</v>
      </c>
      <c r="R340" s="8">
        <f>IFERROR(Q340/Q444, "NA")</f>
        <v>4.8910859637373485E-3</v>
      </c>
      <c r="S340" s="9"/>
      <c r="T340" s="7">
        <v>1195.45</v>
      </c>
      <c r="U340" s="8">
        <f>IFERROR(T340/T444, "NA")</f>
        <v>4.0000038813873453E-3</v>
      </c>
      <c r="V340" s="9"/>
      <c r="W340" s="10">
        <f t="shared" si="86"/>
        <v>-298.06999999999994</v>
      </c>
      <c r="X340" s="8">
        <f>IFERROR(W340/W444, "NA")</f>
        <v>-4.5904310449710529E-2</v>
      </c>
      <c r="Y340" s="9"/>
      <c r="Z340" s="7">
        <v>1060.19</v>
      </c>
      <c r="AA340" s="8">
        <f>IFERROR(Z340/Z444, "NA")</f>
        <v>3.6962879185121556E-3</v>
      </c>
      <c r="AB340" s="9"/>
      <c r="AC340" s="10">
        <f t="shared" si="87"/>
        <v>-433.32999999999993</v>
      </c>
      <c r="AD340" s="8">
        <f>IFERROR(AC340/AC444, "NA")</f>
        <v>-2.3385447304086874E-2</v>
      </c>
    </row>
    <row r="341" spans="1:30" ht="16.5" customHeight="1" x14ac:dyDescent="0.45">
      <c r="A341" s="12" t="s">
        <v>311</v>
      </c>
      <c r="B341" s="7">
        <v>380.17</v>
      </c>
      <c r="C341" s="8">
        <f>IFERROR(B341/B444, "NA")</f>
        <v>2.1809951148050082E-3</v>
      </c>
      <c r="D341" s="9"/>
      <c r="E341" s="7">
        <v>313.39</v>
      </c>
      <c r="F341" s="8">
        <f>IFERROR(E341/E444, "NA")</f>
        <v>2.0000104662470553E-3</v>
      </c>
      <c r="G341" s="9"/>
      <c r="H341" s="10">
        <f t="shared" si="84"/>
        <v>-66.78000000000003</v>
      </c>
      <c r="I341" s="8">
        <f>IFERROR(H341/H444, "NA")</f>
        <v>-3.790837503746561E-3</v>
      </c>
      <c r="J341" s="9"/>
      <c r="K341" s="7">
        <v>380.17</v>
      </c>
      <c r="L341" s="8">
        <f>IFERROR(K341/K444, "NA")</f>
        <v>2.54750069924428E-3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760.34</v>
      </c>
      <c r="R341" s="8">
        <f>IFERROR(Q341/Q444, "NA")</f>
        <v>2.4900157357571747E-3</v>
      </c>
      <c r="S341" s="9"/>
      <c r="T341" s="7">
        <v>597.73</v>
      </c>
      <c r="U341" s="8">
        <f>IFERROR(T341/T444, "NA")</f>
        <v>2.0000186708115423E-3</v>
      </c>
      <c r="V341" s="9"/>
      <c r="W341" s="10">
        <f t="shared" si="86"/>
        <v>-162.61000000000001</v>
      </c>
      <c r="X341" s="8">
        <f>IFERROR(W341/W444, "NA")</f>
        <v>-2.5042774926116118E-2</v>
      </c>
      <c r="Y341" s="9"/>
      <c r="Z341" s="7">
        <v>760.34</v>
      </c>
      <c r="AA341" s="8">
        <f>IFERROR(Z341/Z444, "NA")</f>
        <v>2.6508791404951304E-3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5157.84</v>
      </c>
      <c r="C342" s="15">
        <f>IFERROR(B342/B444, "NA")</f>
        <v>2.9589983015350669E-2</v>
      </c>
      <c r="D342" s="2"/>
      <c r="E342" s="14">
        <f>IFERROR(E337+E338+E339+E340+E341, "NA")</f>
        <v>4387.4400000000005</v>
      </c>
      <c r="F342" s="15">
        <f>IFERROR(E342/E444, "NA")</f>
        <v>2.8000018890299568E-2</v>
      </c>
      <c r="G342" s="2"/>
      <c r="H342" s="14">
        <f t="shared" si="84"/>
        <v>-770.39999999999964</v>
      </c>
      <c r="I342" s="15">
        <f>IFERROR(H342/H444, "NA")</f>
        <v>-4.3732572819502061E-2</v>
      </c>
      <c r="J342" s="2"/>
      <c r="K342" s="14">
        <f>IFERROR(K337+K338+K339+K340+K341, "NA")</f>
        <v>6154.45</v>
      </c>
      <c r="L342" s="15">
        <f>IFERROR(K342/K444, "NA")</f>
        <v>4.1240670432869393E-2</v>
      </c>
      <c r="M342" s="2"/>
      <c r="N342" s="14">
        <f t="shared" si="85"/>
        <v>996.60999999999967</v>
      </c>
      <c r="O342" s="15">
        <f>IFERROR(N342/N444, "NA")</f>
        <v>3.9740726858017855E-2</v>
      </c>
      <c r="P342" s="2"/>
      <c r="Q342" s="14">
        <f>IFERROR(Q337+Q338+Q339+Q340+Q341, "NA")</f>
        <v>11036.94</v>
      </c>
      <c r="R342" s="15">
        <f>IFERROR(Q342/Q444, "NA")</f>
        <v>3.6144559374237571E-2</v>
      </c>
      <c r="S342" s="2"/>
      <c r="T342" s="14">
        <f>IFERROR(T337+T338+T339+T340+T341, "NA")</f>
        <v>8368.15</v>
      </c>
      <c r="U342" s="15">
        <f>IFERROR(T342/T444, "NA")</f>
        <v>2.8000027169711415E-2</v>
      </c>
      <c r="V342" s="2"/>
      <c r="W342" s="14">
        <f t="shared" si="86"/>
        <v>-2668.7900000000009</v>
      </c>
      <c r="X342" s="15">
        <f>IFERROR(W342/W444, "NA")</f>
        <v>-0.4110073629854834</v>
      </c>
      <c r="Y342" s="2"/>
      <c r="Z342" s="14">
        <f>IFERROR(Z337+Z338+Z339+Z340+Z341, "NA")</f>
        <v>12170.42</v>
      </c>
      <c r="AA342" s="15">
        <f>IFERROR(Z342/Z444, "NA")</f>
        <v>4.2431428714870642E-2</v>
      </c>
      <c r="AB342" s="2"/>
      <c r="AC342" s="14">
        <f t="shared" si="87"/>
        <v>1133.4799999999996</v>
      </c>
      <c r="AD342" s="15">
        <f>IFERROR(AC342/AC444, "NA")</f>
        <v>6.1170324718427954E-2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16502.359999999997</v>
      </c>
      <c r="C343" s="15">
        <f>IFERROR(B343/B444, "NA")</f>
        <v>9.4672295401408757E-2</v>
      </c>
      <c r="D343" s="2"/>
      <c r="E343" s="14">
        <f>IFERROR(E328+E329+E330+E331+E332+E333+E334+E335+E337+E338+E339+E340+E341, "NA")</f>
        <v>16084.699999999999</v>
      </c>
      <c r="F343" s="15">
        <f>IFERROR(E343/E444, "NA")</f>
        <v>0.10265027073756025</v>
      </c>
      <c r="G343" s="2"/>
      <c r="H343" s="14">
        <f t="shared" si="84"/>
        <v>-417.65999999999804</v>
      </c>
      <c r="I343" s="15">
        <f>IFERROR(H343/H444, "NA")</f>
        <v>-2.3708912725588206E-2</v>
      </c>
      <c r="J343" s="2"/>
      <c r="K343" s="14">
        <f>IFERROR(K328+K329+K330+K331+K332+K333+K334+K335+K337+K338+K339+K340+K341, "NA")</f>
        <v>18873.109999999997</v>
      </c>
      <c r="L343" s="15">
        <f>IFERROR(K343/K444, "NA")</f>
        <v>0.12646779315020704</v>
      </c>
      <c r="M343" s="2"/>
      <c r="N343" s="14">
        <f t="shared" si="85"/>
        <v>2370.75</v>
      </c>
      <c r="O343" s="15">
        <f>IFERROR(N343/N444, "NA")</f>
        <v>9.4535804576159038E-2</v>
      </c>
      <c r="P343" s="2"/>
      <c r="Q343" s="14">
        <f>IFERROR(Q328+Q329+Q330+Q331+Q332+Q333+Q334+Q335+Q337+Q338+Q339+Q340+Q341, "NA")</f>
        <v>33725.979999999996</v>
      </c>
      <c r="R343" s="15">
        <f>IFERROR(Q343/Q444, "NA")</f>
        <v>0.11044824802566187</v>
      </c>
      <c r="S343" s="2"/>
      <c r="T343" s="14">
        <f>IFERROR(T328+T329+T330+T331+T332+T333+T334+T335+T337+T338+T339+T340+T341, "NA")</f>
        <v>31740.880000000001</v>
      </c>
      <c r="U343" s="15">
        <f>IFERROR(T343/T444, "NA")</f>
        <v>0.10620573273549706</v>
      </c>
      <c r="V343" s="2"/>
      <c r="W343" s="14">
        <f t="shared" si="86"/>
        <v>-1985.0999999999949</v>
      </c>
      <c r="X343" s="15">
        <f>IFERROR(W343/W444, "NA")</f>
        <v>-0.30571559255785608</v>
      </c>
      <c r="Y343" s="2"/>
      <c r="Z343" s="14">
        <f>IFERROR(Z328+Z329+Z330+Z331+Z332+Z333+Z334+Z335+Z337+Z338+Z339+Z340+Z341, "NA")</f>
        <v>37607.74</v>
      </c>
      <c r="AA343" s="15">
        <f>IFERROR(Z343/Z444, "NA")</f>
        <v>0.13111709693974319</v>
      </c>
      <c r="AB343" s="2"/>
      <c r="AC343" s="14">
        <f t="shared" si="87"/>
        <v>3881.760000000002</v>
      </c>
      <c r="AD343" s="15">
        <f>IFERROR(AC343/AC444, "NA")</f>
        <v>0.20948628972633404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16502.359999999997</v>
      </c>
      <c r="C344" s="15">
        <f>IFERROR(B344/B444, "NA")</f>
        <v>9.4672295401408757E-2</v>
      </c>
      <c r="D344" s="2"/>
      <c r="E344" s="14">
        <f>IFERROR(E328+E329+E330+E331+E332+E333+E334+E335+E337+E338+E339+E340+E341, "NA")</f>
        <v>16084.699999999999</v>
      </c>
      <c r="F344" s="15">
        <f>IFERROR(E344/E444, "NA")</f>
        <v>0.10265027073756025</v>
      </c>
      <c r="G344" s="2"/>
      <c r="H344" s="14">
        <f t="shared" si="84"/>
        <v>-417.65999999999804</v>
      </c>
      <c r="I344" s="15">
        <f>IFERROR(H344/H444, "NA")</f>
        <v>-2.3708912725588206E-2</v>
      </c>
      <c r="J344" s="2"/>
      <c r="K344" s="14">
        <f>IFERROR(K328+K329+K330+K331+K332+K333+K334+K335+K337+K338+K339+K340+K341, "NA")</f>
        <v>18873.109999999997</v>
      </c>
      <c r="L344" s="15">
        <f>IFERROR(K344/K444, "NA")</f>
        <v>0.12646779315020704</v>
      </c>
      <c r="M344" s="2"/>
      <c r="N344" s="14">
        <f t="shared" si="85"/>
        <v>2370.75</v>
      </c>
      <c r="O344" s="15">
        <f>IFERROR(N344/N444, "NA")</f>
        <v>9.4535804576159038E-2</v>
      </c>
      <c r="P344" s="2"/>
      <c r="Q344" s="14">
        <f>IFERROR(Q328+Q329+Q330+Q331+Q332+Q333+Q334+Q335+Q337+Q338+Q339+Q340+Q341, "NA")</f>
        <v>33725.979999999996</v>
      </c>
      <c r="R344" s="15">
        <f>IFERROR(Q344/Q444, "NA")</f>
        <v>0.11044824802566187</v>
      </c>
      <c r="S344" s="2"/>
      <c r="T344" s="14">
        <f>IFERROR(T328+T329+T330+T331+T332+T333+T334+T335+T337+T338+T339+T340+T341, "NA")</f>
        <v>31740.880000000001</v>
      </c>
      <c r="U344" s="15">
        <f>IFERROR(T344/T444, "NA")</f>
        <v>0.10620573273549706</v>
      </c>
      <c r="V344" s="2"/>
      <c r="W344" s="14">
        <f t="shared" si="86"/>
        <v>-1985.0999999999949</v>
      </c>
      <c r="X344" s="15">
        <f>IFERROR(W344/W444, "NA")</f>
        <v>-0.30571559255785608</v>
      </c>
      <c r="Y344" s="2"/>
      <c r="Z344" s="14">
        <f>IFERROR(Z328+Z329+Z330+Z331+Z332+Z333+Z334+Z335+Z337+Z338+Z339+Z340+Z341, "NA")</f>
        <v>37607.74</v>
      </c>
      <c r="AA344" s="15">
        <f>IFERROR(Z344/Z444, "NA")</f>
        <v>0.13111709693974319</v>
      </c>
      <c r="AB344" s="2"/>
      <c r="AC344" s="14">
        <f t="shared" si="87"/>
        <v>3881.760000000002</v>
      </c>
      <c r="AD344" s="15">
        <f>IFERROR(AC344/AC444, "NA")</f>
        <v>0.20948628972633404</v>
      </c>
    </row>
    <row r="345" spans="1:30" ht="16.5" customHeight="1" x14ac:dyDescent="0.45">
      <c r="A345" s="22" t="s">
        <v>315</v>
      </c>
      <c r="B345" s="23">
        <f>IFERROR(B198-B325-B344, "NA")</f>
        <v>21430.179999999975</v>
      </c>
      <c r="C345" s="24">
        <f>IFERROR(B345/B444, "NA")</f>
        <v>0.12294267798456462</v>
      </c>
      <c r="D345" s="25"/>
      <c r="E345" s="23">
        <f>IFERROR(E198-E325-E344, "NA")</f>
        <v>21689.890000000014</v>
      </c>
      <c r="F345" s="24">
        <f>IFERROR(E345/E444, "NA")</f>
        <v>0.13842179715928196</v>
      </c>
      <c r="G345" s="25"/>
      <c r="H345" s="23">
        <f>IFERROR(B345-E345, "NA")</f>
        <v>-259.71000000003914</v>
      </c>
      <c r="I345" s="24">
        <f>IFERROR(H345/H444, "NA")</f>
        <v>-1.4742713508508046E-2</v>
      </c>
      <c r="J345" s="25"/>
      <c r="K345" s="23">
        <f>IFERROR(K198-K325-K344, "NA")</f>
        <v>5469.5999999999876</v>
      </c>
      <c r="L345" s="24">
        <f>IFERROR(K345/K444, "NA")</f>
        <v>3.665152385666013E-2</v>
      </c>
      <c r="M345" s="25"/>
      <c r="N345" s="23">
        <f>IFERROR(B345-K345, "NA")</f>
        <v>15960.579999999987</v>
      </c>
      <c r="O345" s="24">
        <f>IFERROR(N345/N444, "NA")</f>
        <v>0.63644259065787245</v>
      </c>
      <c r="P345" s="25"/>
      <c r="Q345" s="23">
        <f>IFERROR(Q198-Q325-Q344, "NA")</f>
        <v>24862.409999999887</v>
      </c>
      <c r="R345" s="24">
        <f>IFERROR(Q345/Q444, "NA")</f>
        <v>8.1421195950293637E-2</v>
      </c>
      <c r="S345" s="25"/>
      <c r="T345" s="23">
        <f>IFERROR(T198-T325-T344, "NA")</f>
        <v>38247.360000000001</v>
      </c>
      <c r="U345" s="24">
        <f>IFERROR(T345/T444, "NA")</f>
        <v>0.12797656819843498</v>
      </c>
      <c r="V345" s="25"/>
      <c r="W345" s="23">
        <f>IFERROR(Q345-T345, "NA")</f>
        <v>-13384.950000000114</v>
      </c>
      <c r="X345" s="24">
        <f>IFERROR(W345/W444, "NA")</f>
        <v>-2.0613510254432126</v>
      </c>
      <c r="Y345" s="25"/>
      <c r="Z345" s="23">
        <f>IFERROR(Z198-Z325-Z344, "NA")</f>
        <v>10347.670000000107</v>
      </c>
      <c r="AA345" s="24">
        <f>IFERROR(Z345/Z444, "NA")</f>
        <v>3.6076521760958956E-2</v>
      </c>
      <c r="AB345" s="25"/>
      <c r="AC345" s="23">
        <f>IFERROR(Q345-Z345, "NA")</f>
        <v>14514.73999999978</v>
      </c>
      <c r="AD345" s="24">
        <f>IFERROR(AC345/AC444, "NA")</f>
        <v>0.78331453488684566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21430.179999999975</v>
      </c>
      <c r="C404" s="24">
        <f>IFERROR(B404/B444, "NA")</f>
        <v>0.12294267798456462</v>
      </c>
      <c r="D404" s="25"/>
      <c r="E404" s="23">
        <f>IFERROR(E345-E403, "NA")</f>
        <v>21689.890000000014</v>
      </c>
      <c r="F404" s="24">
        <f>IFERROR(E404/E444, "NA")</f>
        <v>0.13842179715928196</v>
      </c>
      <c r="G404" s="25"/>
      <c r="H404" s="23">
        <f>IFERROR(B404-E404, "NA")</f>
        <v>-259.71000000003914</v>
      </c>
      <c r="I404" s="24">
        <f>IFERROR(H404/H444, "NA")</f>
        <v>-1.4742713508508046E-2</v>
      </c>
      <c r="J404" s="25"/>
      <c r="K404" s="23">
        <f>IFERROR(K345-K403, "NA")</f>
        <v>5469.5999999999876</v>
      </c>
      <c r="L404" s="24">
        <f>IFERROR(K404/K444, "NA")</f>
        <v>3.665152385666013E-2</v>
      </c>
      <c r="M404" s="25"/>
      <c r="N404" s="23">
        <f>IFERROR(B404-K404, "NA")</f>
        <v>15960.579999999987</v>
      </c>
      <c r="O404" s="24">
        <f>IFERROR(N404/N444, "NA")</f>
        <v>0.63644259065787245</v>
      </c>
      <c r="P404" s="25"/>
      <c r="Q404" s="23">
        <f>IFERROR(Q345-Q403, "NA")</f>
        <v>24862.409999999887</v>
      </c>
      <c r="R404" s="24">
        <f>IFERROR(Q404/Q444, "NA")</f>
        <v>8.1421195950293637E-2</v>
      </c>
      <c r="S404" s="25"/>
      <c r="T404" s="23">
        <f>IFERROR(T345-T403, "NA")</f>
        <v>38247.360000000001</v>
      </c>
      <c r="U404" s="24">
        <f>IFERROR(T404/T444, "NA")</f>
        <v>0.12797656819843498</v>
      </c>
      <c r="V404" s="25"/>
      <c r="W404" s="23">
        <f>IFERROR(Q404-T404, "NA")</f>
        <v>-13384.950000000114</v>
      </c>
      <c r="X404" s="24">
        <f>IFERROR(W404/W444, "NA")</f>
        <v>-2.0613510254432126</v>
      </c>
      <c r="Y404" s="25"/>
      <c r="Z404" s="23">
        <f>IFERROR(Z345-Z403, "NA")</f>
        <v>10347.670000000107</v>
      </c>
      <c r="AA404" s="24">
        <f>IFERROR(Z404/Z444, "NA")</f>
        <v>3.6076521760958956E-2</v>
      </c>
      <c r="AB404" s="25"/>
      <c r="AC404" s="23">
        <f>IFERROR(Q404-Z404, "NA")</f>
        <v>14514.73999999978</v>
      </c>
      <c r="AD404" s="24">
        <f>IFERROR(AC404/AC444, "NA")</f>
        <v>0.78331453488684566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3198.13</v>
      </c>
      <c r="F407" s="8">
        <f>IFERROR(E407/E444, "NA")</f>
        <v>2.0410011399274692E-2</v>
      </c>
      <c r="G407" s="9"/>
      <c r="H407" s="10">
        <f t="shared" ref="H407:H429" si="100">IFERROR(-(B407-E407), "NA")</f>
        <v>3198.13</v>
      </c>
      <c r="I407" s="8">
        <f>IFERROR(H407/H444, "NA")</f>
        <v>0.18154524027937982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6280.57</v>
      </c>
      <c r="U407" s="8">
        <f>IFERROR(T407/T444, "NA")</f>
        <v>2.1014935277364106E-2</v>
      </c>
      <c r="V407" s="9"/>
      <c r="W407" s="10">
        <f t="shared" ref="W407:W429" si="102">IFERROR(-(Q407-T407), "NA")</f>
        <v>6280.57</v>
      </c>
      <c r="X407" s="8">
        <f>IFERROR(W407/W444, "NA")</f>
        <v>0.96724002778252938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4196.93</v>
      </c>
      <c r="C410" s="8">
        <f>IFERROR(B410/B444, "NA")</f>
        <v>2.4077343891360663E-2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-4196.93</v>
      </c>
      <c r="I410" s="8">
        <f>IFERROR(H410/H444, "NA")</f>
        <v>-0.23824318126084229</v>
      </c>
      <c r="J410" s="9"/>
      <c r="K410" s="7">
        <v>3134.5</v>
      </c>
      <c r="L410" s="8">
        <f>IFERROR(K410/K444, "NA")</f>
        <v>2.1004132208699254E-2</v>
      </c>
      <c r="M410" s="9"/>
      <c r="N410" s="10">
        <f t="shared" si="101"/>
        <v>-1062.4300000000003</v>
      </c>
      <c r="O410" s="8">
        <f>IFERROR(N410/N444, "NA")</f>
        <v>-4.2365359002783369E-2</v>
      </c>
      <c r="P410" s="9"/>
      <c r="Q410" s="7">
        <v>8316.4500000000007</v>
      </c>
      <c r="R410" s="8">
        <f>IFERROR(Q410/Q444, "NA")</f>
        <v>2.723530442386006E-2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-8316.4500000000007</v>
      </c>
      <c r="X410" s="8">
        <f>IFERROR(W410/W444, "NA")</f>
        <v>-1.2807760010718801</v>
      </c>
      <c r="Y410" s="9"/>
      <c r="Z410" s="7">
        <v>6133.93</v>
      </c>
      <c r="AA410" s="8">
        <f>IFERROR(Z410/Z444, "NA")</f>
        <v>2.1385573672642891E-2</v>
      </c>
      <c r="AB410" s="9"/>
      <c r="AC410" s="10">
        <f t="shared" si="103"/>
        <v>-2182.5200000000004</v>
      </c>
      <c r="AD410" s="8">
        <f>IFERROR(AC410/AC444, "NA")</f>
        <v>-0.11778369014403735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-28.34</v>
      </c>
      <c r="C417" s="8">
        <f>IFERROR(B417/B444, "NA")</f>
        <v>-1.6258358511606367E-4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28.34</v>
      </c>
      <c r="I417" s="8">
        <f>IFERROR(H417/H444, "NA")</f>
        <v>1.6087501475917562E-3</v>
      </c>
      <c r="J417" s="9"/>
      <c r="K417" s="7">
        <v>-88.66</v>
      </c>
      <c r="L417" s="8">
        <f>IFERROR(K417/K444, "NA")</f>
        <v>-5.9410635240812759E-4</v>
      </c>
      <c r="M417" s="9"/>
      <c r="N417" s="10">
        <f t="shared" si="101"/>
        <v>-60.319999999999993</v>
      </c>
      <c r="O417" s="8">
        <f>IFERROR(N417/N444, "NA")</f>
        <v>-2.4053146607756668E-3</v>
      </c>
      <c r="P417" s="9"/>
      <c r="Q417" s="7">
        <v>-50.06</v>
      </c>
      <c r="R417" s="8">
        <f>IFERROR(Q417/Q444, "NA")</f>
        <v>-1.6394006330326457E-4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50.06</v>
      </c>
      <c r="X417" s="8">
        <f>IFERROR(W417/W444, "NA")</f>
        <v>7.70949703463116E-3</v>
      </c>
      <c r="Y417" s="9"/>
      <c r="Z417" s="7">
        <v>-84.84</v>
      </c>
      <c r="AA417" s="8">
        <f>IFERROR(Z417/Z444, "NA")</f>
        <v>-2.9578949717180061E-4</v>
      </c>
      <c r="AB417" s="9"/>
      <c r="AC417" s="10">
        <f t="shared" si="103"/>
        <v>-34.78</v>
      </c>
      <c r="AD417" s="8">
        <f>IFERROR(AC417/AC444, "NA")</f>
        <v>-1.8769664164404534E-3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96</v>
      </c>
      <c r="C421" s="8">
        <f>IFERROR(B421/B444, "NA")</f>
        <v>5.507418550156003E-4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-96</v>
      </c>
      <c r="I421" s="8">
        <f>IFERROR(H421/H444, "NA")</f>
        <v>-5.4495417843616308E-3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-96</v>
      </c>
      <c r="O421" s="8">
        <f>IFERROR(N421/N444, "NA")</f>
        <v>-3.8280869932769239E-3</v>
      </c>
      <c r="P421" s="9"/>
      <c r="Q421" s="7">
        <v>96</v>
      </c>
      <c r="R421" s="8">
        <f>IFERROR(Q421/Q444, "NA")</f>
        <v>3.1438765635464236E-4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-96</v>
      </c>
      <c r="X421" s="8">
        <f>IFERROR(W421/W444, "NA")</f>
        <v>-1.4784492914993834E-2</v>
      </c>
      <c r="Y421" s="9"/>
      <c r="Z421" s="7">
        <v>-20</v>
      </c>
      <c r="AA421" s="8">
        <f>IFERROR(Z421/Z444, "NA")</f>
        <v>-6.9728782925931301E-5</v>
      </c>
      <c r="AB421" s="9"/>
      <c r="AC421" s="10">
        <f t="shared" si="103"/>
        <v>-116</v>
      </c>
      <c r="AD421" s="8">
        <f>IFERROR(AC421/AC444, "NA")</f>
        <v>-6.2601525102671815E-3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4264.59</v>
      </c>
      <c r="C428" s="15">
        <f>IFERROR(B428/B444, "NA")</f>
        <v>2.44655021612602E-2</v>
      </c>
      <c r="D428" s="2"/>
      <c r="E428" s="14">
        <f>IFERROR(E407+E408+E409+E410+E411+E412+E413+E414+E415+E416+E417+E418+E419+E420+E421+E422+E423+E424+E425+E426+E427, "NA")</f>
        <v>3198.13</v>
      </c>
      <c r="F428" s="15">
        <f>IFERROR(E428/E444, "NA")</f>
        <v>2.0410011399274692E-2</v>
      </c>
      <c r="G428" s="2"/>
      <c r="H428" s="14">
        <f t="shared" si="100"/>
        <v>-1066.46</v>
      </c>
      <c r="I428" s="15">
        <f>IFERROR(H428/H444, "NA")</f>
        <v>-6.0538732618232338E-2</v>
      </c>
      <c r="J428" s="2"/>
      <c r="K428" s="14">
        <f>IFERROR(K407+K408+K409+K410+K411+K412+K413+K414+K415+K416+K417+K418+K419+K420+K421+K422+K423+K424+K425+K426+K427, "NA")</f>
        <v>3045.84</v>
      </c>
      <c r="L428" s="15">
        <f>IFERROR(K428/K444, "NA")</f>
        <v>2.0410025856291127E-2</v>
      </c>
      <c r="M428" s="2"/>
      <c r="N428" s="14">
        <f t="shared" si="101"/>
        <v>-1218.75</v>
      </c>
      <c r="O428" s="15">
        <f>IFERROR(N428/N444, "NA")</f>
        <v>-4.8598760656835951E-2</v>
      </c>
      <c r="P428" s="2"/>
      <c r="Q428" s="14">
        <f>IFERROR(Q407+Q408+Q409+Q410+Q411+Q412+Q413+Q414+Q415+Q416+Q417+Q418+Q419+Q420+Q421+Q422+Q423+Q424+Q425+Q426+Q427, "NA")</f>
        <v>8362.3900000000012</v>
      </c>
      <c r="R428" s="15">
        <f>IFERROR(Q428/Q444, "NA")</f>
        <v>2.738575201691144E-2</v>
      </c>
      <c r="S428" s="2"/>
      <c r="T428" s="14">
        <f>IFERROR(T407+T408+T409+T410+T411+T412+T413+T414+T415+T416+T417+T418+T419+T420+T421+T422+T423+T424+T425+T426+T427, "NA")</f>
        <v>6280.57</v>
      </c>
      <c r="U428" s="15">
        <f>IFERROR(T428/T444, "NA")</f>
        <v>2.1014935277364106E-2</v>
      </c>
      <c r="V428" s="2"/>
      <c r="W428" s="14">
        <f t="shared" si="102"/>
        <v>-2081.8200000000015</v>
      </c>
      <c r="X428" s="15">
        <f>IFERROR(W428/W444, "NA")</f>
        <v>-0.32061096916971338</v>
      </c>
      <c r="Y428" s="2"/>
      <c r="Z428" s="14">
        <f>IFERROR(Z407+Z408+Z409+Z410+Z411+Z412+Z413+Z414+Z415+Z416+Z417+Z418+Z419+Z420+Z421+Z422+Z423+Z424+Z425+Z426+Z427, "NA")</f>
        <v>6029.09</v>
      </c>
      <c r="AA428" s="15">
        <f>IFERROR(Z428/Z444, "NA")</f>
        <v>2.1020055392545159E-2</v>
      </c>
      <c r="AB428" s="2"/>
      <c r="AC428" s="14">
        <f t="shared" si="103"/>
        <v>-2333.3000000000011</v>
      </c>
      <c r="AD428" s="15">
        <f>IFERROR(AC428/AC444, "NA")</f>
        <v>-0.12592080907074502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4264.59</v>
      </c>
      <c r="C429" s="15">
        <f>IFERROR(B429/B444, "NA")</f>
        <v>2.44655021612602E-2</v>
      </c>
      <c r="D429" s="2"/>
      <c r="E429" s="14">
        <f>IFERROR(E407+E408+E409+E410+E411+E412+E413+E414+E415+E416+E417+E418+E419+E420+E421+E422+E423+E424+E425+E426+E427, "NA")</f>
        <v>3198.13</v>
      </c>
      <c r="F429" s="15">
        <f>IFERROR(E429/E444, "NA")</f>
        <v>2.0410011399274692E-2</v>
      </c>
      <c r="G429" s="2"/>
      <c r="H429" s="14">
        <f t="shared" si="100"/>
        <v>-1066.46</v>
      </c>
      <c r="I429" s="15">
        <f>IFERROR(H429/H444, "NA")</f>
        <v>-6.0538732618232338E-2</v>
      </c>
      <c r="J429" s="2"/>
      <c r="K429" s="14">
        <f>IFERROR(K407+K408+K409+K410+K411+K412+K413+K414+K415+K416+K417+K418+K419+K420+K421+K422+K423+K424+K425+K426+K427, "NA")</f>
        <v>3045.84</v>
      </c>
      <c r="L429" s="15">
        <f>IFERROR(K429/K444, "NA")</f>
        <v>2.0410025856291127E-2</v>
      </c>
      <c r="M429" s="2"/>
      <c r="N429" s="14">
        <f t="shared" si="101"/>
        <v>-1218.75</v>
      </c>
      <c r="O429" s="15">
        <f>IFERROR(N429/N444, "NA")</f>
        <v>-4.8598760656835951E-2</v>
      </c>
      <c r="P429" s="2"/>
      <c r="Q429" s="14">
        <f>IFERROR(Q407+Q408+Q409+Q410+Q411+Q412+Q413+Q414+Q415+Q416+Q417+Q418+Q419+Q420+Q421+Q422+Q423+Q424+Q425+Q426+Q427, "NA")</f>
        <v>8362.3900000000012</v>
      </c>
      <c r="R429" s="15">
        <f>IFERROR(Q429/Q444, "NA")</f>
        <v>2.738575201691144E-2</v>
      </c>
      <c r="S429" s="2"/>
      <c r="T429" s="14">
        <f>IFERROR(T407+T408+T409+T410+T411+T412+T413+T414+T415+T416+T417+T418+T419+T420+T421+T422+T423+T424+T425+T426+T427, "NA")</f>
        <v>6280.57</v>
      </c>
      <c r="U429" s="15">
        <f>IFERROR(T429/T444, "NA")</f>
        <v>2.1014935277364106E-2</v>
      </c>
      <c r="V429" s="2"/>
      <c r="W429" s="14">
        <f t="shared" si="102"/>
        <v>-2081.8200000000015</v>
      </c>
      <c r="X429" s="15">
        <f>IFERROR(W429/W444, "NA")</f>
        <v>-0.32061096916971338</v>
      </c>
      <c r="Y429" s="2"/>
      <c r="Z429" s="14">
        <f>IFERROR(Z407+Z408+Z409+Z410+Z411+Z412+Z413+Z414+Z415+Z416+Z417+Z418+Z419+Z420+Z421+Z422+Z423+Z424+Z425+Z426+Z427, "NA")</f>
        <v>6029.09</v>
      </c>
      <c r="AA429" s="15">
        <f>IFERROR(Z429/Z444, "NA")</f>
        <v>2.1020055392545159E-2</v>
      </c>
      <c r="AB429" s="2"/>
      <c r="AC429" s="14">
        <f t="shared" si="103"/>
        <v>-2333.3000000000011</v>
      </c>
      <c r="AD429" s="15">
        <f>IFERROR(AC429/AC444, "NA")</f>
        <v>-0.12592080907074502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17165.589999999975</v>
      </c>
      <c r="C443" s="24">
        <f>IFERROR(B443/B444, "NA")</f>
        <v>9.8477175823304425E-2</v>
      </c>
      <c r="D443" s="25"/>
      <c r="E443" s="23">
        <f>IFERROR(E404-E429-E442, "NA")</f>
        <v>18491.760000000013</v>
      </c>
      <c r="F443" s="24">
        <f>IFERROR(E443/E444, "NA")</f>
        <v>0.11801178576000726</v>
      </c>
      <c r="G443" s="25"/>
      <c r="H443" s="23">
        <f>IFERROR(B443-E443, "NA")</f>
        <v>-1326.1700000000383</v>
      </c>
      <c r="I443" s="24">
        <f>IFERROR(H443/H444, "NA")</f>
        <v>-7.5281446126740328E-2</v>
      </c>
      <c r="J443" s="25"/>
      <c r="K443" s="23">
        <f>IFERROR(K404-K429-K442, "NA")</f>
        <v>2423.7599999999875</v>
      </c>
      <c r="L443" s="24">
        <f>IFERROR(K443/K444, "NA")</f>
        <v>1.6241498000369003E-2</v>
      </c>
      <c r="M443" s="25"/>
      <c r="N443" s="23">
        <f>IFERROR(B443-K443, "NA")</f>
        <v>14741.829999999987</v>
      </c>
      <c r="O443" s="24">
        <f>IFERROR(N443/N444, "NA")</f>
        <v>0.58784383000103657</v>
      </c>
      <c r="P443" s="25"/>
      <c r="Q443" s="23">
        <f>IFERROR(Q404-Q429-Q442, "NA")</f>
        <v>16500.019999999888</v>
      </c>
      <c r="R443" s="24">
        <f>IFERROR(Q443/Q444, "NA")</f>
        <v>5.40354439333822E-2</v>
      </c>
      <c r="S443" s="25"/>
      <c r="T443" s="23">
        <f>IFERROR(T404-T429-T442, "NA")</f>
        <v>31966.79</v>
      </c>
      <c r="U443" s="24">
        <f>IFERROR(T443/T444, "NA")</f>
        <v>0.10696163292107087</v>
      </c>
      <c r="V443" s="25"/>
      <c r="W443" s="23">
        <f>IFERROR(Q443-T443, "NA")</f>
        <v>-15466.770000000113</v>
      </c>
      <c r="X443" s="24">
        <f>IFERROR(W443/W444, "NA")</f>
        <v>-2.3819619946129253</v>
      </c>
      <c r="Y443" s="25"/>
      <c r="Z443" s="23">
        <f>IFERROR(Z404-Z429-Z442, "NA")</f>
        <v>4318.5800000001072</v>
      </c>
      <c r="AA443" s="24">
        <f>IFERROR(Z443/Z444, "NA")</f>
        <v>1.5056466368413794E-2</v>
      </c>
      <c r="AB443" s="25"/>
      <c r="AC443" s="23">
        <f>IFERROR(Q443-Z443, "NA")</f>
        <v>12181.43999999978</v>
      </c>
      <c r="AD443" s="24">
        <f>IFERROR(AC443/AC444, "NA")</f>
        <v>0.65739372581610078</v>
      </c>
    </row>
    <row r="444" spans="1:30" ht="15.75" hidden="1" x14ac:dyDescent="0.45">
      <c r="A444" s="26" t="s">
        <v>117</v>
      </c>
      <c r="B444" s="7">
        <v>174310.34</v>
      </c>
      <c r="C444" s="27"/>
      <c r="D444" s="9"/>
      <c r="E444" s="7">
        <v>156694.18</v>
      </c>
      <c r="F444" s="27"/>
      <c r="G444" s="9"/>
      <c r="H444" s="10">
        <f>IFERROR(B444-E444, "NA")</f>
        <v>17616.160000000003</v>
      </c>
      <c r="I444" s="27"/>
      <c r="J444" s="9"/>
      <c r="K444" s="7">
        <v>149232.54</v>
      </c>
      <c r="L444" s="27"/>
      <c r="M444" s="9"/>
      <c r="N444" s="10">
        <f>IFERROR(B444-K444, "NA")</f>
        <v>25077.799999999988</v>
      </c>
      <c r="O444" s="27"/>
      <c r="P444" s="9"/>
      <c r="Q444" s="7">
        <v>305355.5</v>
      </c>
      <c r="R444" s="27"/>
      <c r="S444" s="9"/>
      <c r="T444" s="7">
        <v>298862.21000000002</v>
      </c>
      <c r="U444" s="27"/>
      <c r="V444" s="9"/>
      <c r="W444" s="10">
        <f>IFERROR(Q444-T444, "NA")</f>
        <v>6493.289999999979</v>
      </c>
      <c r="X444" s="27"/>
      <c r="Y444" s="9"/>
      <c r="Z444" s="7">
        <v>286825.59999999998</v>
      </c>
      <c r="AA444" s="27"/>
      <c r="AB444" s="9"/>
      <c r="AC444" s="10">
        <f>IFERROR(Q444-Z444, "NA")</f>
        <v>18529.900000000023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35945.4</v>
      </c>
      <c r="F10" s="8">
        <f>IFERROR(E10/E444, "NA")</f>
        <v>0.42599996586823624</v>
      </c>
      <c r="G10" s="9"/>
      <c r="H10" s="10">
        <f t="shared" ref="H10:H19" si="0">IFERROR(B10-E10, "NA")</f>
        <v>-35945.4</v>
      </c>
      <c r="I10" s="8">
        <f>IFERROR(H10/H444, "NA")</f>
        <v>5.9153413728639519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64996.58</v>
      </c>
      <c r="U10" s="8">
        <f>IFERROR(T10/T444, "NA")</f>
        <v>0.42599994822189741</v>
      </c>
      <c r="V10" s="9"/>
      <c r="W10" s="10">
        <f t="shared" ref="W10:W19" si="2">IFERROR(Q10-T10, "NA")</f>
        <v>-64996.58</v>
      </c>
      <c r="X10" s="8">
        <f>IFERROR(W10/W444, "NA")</f>
        <v>36.918128322806432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25281.33</v>
      </c>
      <c r="C11" s="8">
        <f>IFERROR(B11/B444, "NA")</f>
        <v>0.32286854118094194</v>
      </c>
      <c r="D11" s="9"/>
      <c r="E11" s="7">
        <v>0</v>
      </c>
      <c r="F11" s="8">
        <f>IFERROR(E11/E444, "NA")</f>
        <v>0</v>
      </c>
      <c r="G11" s="9"/>
      <c r="H11" s="10">
        <f t="shared" si="0"/>
        <v>25281.33</v>
      </c>
      <c r="I11" s="8">
        <f>IFERROR(H11/H444, "NA")</f>
        <v>-4.1604126622607236</v>
      </c>
      <c r="J11" s="9"/>
      <c r="K11" s="7">
        <v>31552.9</v>
      </c>
      <c r="L11" s="8">
        <f>IFERROR(K11/K444, "NA")</f>
        <v>0.39217287429833297</v>
      </c>
      <c r="M11" s="9"/>
      <c r="N11" s="10">
        <f t="shared" si="1"/>
        <v>-6271.57</v>
      </c>
      <c r="O11" s="8">
        <f>IFERROR(N11/N444, "NA")</f>
        <v>2.9110923378992526</v>
      </c>
      <c r="P11" s="9"/>
      <c r="Q11" s="7">
        <v>54945.93</v>
      </c>
      <c r="R11" s="8">
        <f>IFERROR(Q11/Q444, "NA")</f>
        <v>0.36433009783799991</v>
      </c>
      <c r="S11" s="9"/>
      <c r="T11" s="7">
        <v>0</v>
      </c>
      <c r="U11" s="8">
        <f>IFERROR(T11/T444, "NA")</f>
        <v>0</v>
      </c>
      <c r="V11" s="9"/>
      <c r="W11" s="10">
        <f t="shared" si="2"/>
        <v>54945.93</v>
      </c>
      <c r="X11" s="8">
        <f>IFERROR(W11/W444, "NA")</f>
        <v>-31.209348161948512</v>
      </c>
      <c r="Y11" s="9"/>
      <c r="Z11" s="7">
        <v>59772.39</v>
      </c>
      <c r="AA11" s="8">
        <f>IFERROR(Z11/Z444, "NA")</f>
        <v>0.40887626183424397</v>
      </c>
      <c r="AB11" s="9"/>
      <c r="AC11" s="10">
        <f t="shared" si="3"/>
        <v>-4826.4599999999991</v>
      </c>
      <c r="AD11" s="8">
        <f>IFERROR(AC11/AC444, "NA")</f>
        <v>-1.0431980287900386</v>
      </c>
    </row>
    <row r="12" spans="1:30" ht="16.5" customHeight="1" x14ac:dyDescent="0.45">
      <c r="A12" s="12" t="s">
        <v>14</v>
      </c>
      <c r="B12" s="7">
        <v>2165.4</v>
      </c>
      <c r="C12" s="8">
        <f>IFERROR(B12/B444, "NA")</f>
        <v>2.7654381279513841E-2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2165.4</v>
      </c>
      <c r="I12" s="8">
        <f>IFERROR(H12/H444, "NA")</f>
        <v>-0.35634824508280899</v>
      </c>
      <c r="J12" s="9"/>
      <c r="K12" s="7">
        <v>2581.1</v>
      </c>
      <c r="L12" s="8">
        <f>IFERROR(K12/K444, "NA")</f>
        <v>3.2080645704560505E-2</v>
      </c>
      <c r="M12" s="9"/>
      <c r="N12" s="10">
        <f t="shared" si="1"/>
        <v>-415.69999999999982</v>
      </c>
      <c r="O12" s="8">
        <f>IFERROR(N12/N444, "NA")</f>
        <v>0.19295664161680709</v>
      </c>
      <c r="P12" s="9"/>
      <c r="Q12" s="7">
        <v>4735</v>
      </c>
      <c r="R12" s="8">
        <f>IFERROR(Q12/Q444, "NA")</f>
        <v>3.139637482271989E-2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4735</v>
      </c>
      <c r="X12" s="8">
        <f>IFERROR(W12/W444, "NA")</f>
        <v>-2.689485163811518</v>
      </c>
      <c r="Y12" s="9"/>
      <c r="Z12" s="7">
        <v>4949.75</v>
      </c>
      <c r="AA12" s="8">
        <f>IFERROR(Z12/Z444, "NA")</f>
        <v>3.3859032188842522E-2</v>
      </c>
      <c r="AB12" s="9"/>
      <c r="AC12" s="10">
        <f t="shared" si="3"/>
        <v>-214.75</v>
      </c>
      <c r="AD12" s="8">
        <f>IFERROR(AC12/AC444, "NA")</f>
        <v>-4.6416374875718612E-2</v>
      </c>
    </row>
    <row r="13" spans="1:30" ht="16.5" customHeight="1" x14ac:dyDescent="0.45">
      <c r="A13" s="12" t="s">
        <v>15</v>
      </c>
      <c r="B13" s="7">
        <v>54</v>
      </c>
      <c r="C13" s="8">
        <f>IFERROR(B13/B444, "NA")</f>
        <v>6.8963544337939751E-4</v>
      </c>
      <c r="D13" s="9"/>
      <c r="E13" s="7">
        <v>0</v>
      </c>
      <c r="F13" s="8">
        <f>IFERROR(E13/E444, "NA")</f>
        <v>0</v>
      </c>
      <c r="G13" s="9"/>
      <c r="H13" s="10">
        <f t="shared" si="0"/>
        <v>54</v>
      </c>
      <c r="I13" s="8">
        <f>IFERROR(H13/H444, "NA")</f>
        <v>-8.8864899023144376E-3</v>
      </c>
      <c r="J13" s="9"/>
      <c r="K13" s="7">
        <v>34</v>
      </c>
      <c r="L13" s="8">
        <f>IFERROR(K13/K444, "NA")</f>
        <v>4.2258802601799901E-4</v>
      </c>
      <c r="M13" s="9"/>
      <c r="N13" s="10">
        <f t="shared" si="1"/>
        <v>20</v>
      </c>
      <c r="O13" s="8">
        <f>IFERROR(N13/N444, "NA")</f>
        <v>-9.2834564164930092E-3</v>
      </c>
      <c r="P13" s="9"/>
      <c r="Q13" s="7">
        <v>104.5</v>
      </c>
      <c r="R13" s="8">
        <f>IFERROR(Q13/Q444, "NA")</f>
        <v>6.9290837781926687E-4</v>
      </c>
      <c r="S13" s="9"/>
      <c r="T13" s="7">
        <v>0</v>
      </c>
      <c r="U13" s="8">
        <f>IFERROR(T13/T444, "NA")</f>
        <v>0</v>
      </c>
      <c r="V13" s="9"/>
      <c r="W13" s="10">
        <f t="shared" si="2"/>
        <v>104.5</v>
      </c>
      <c r="X13" s="8">
        <f>IFERROR(W13/W444, "NA")</f>
        <v>-5.9356113963738889E-2</v>
      </c>
      <c r="Y13" s="9"/>
      <c r="Z13" s="7">
        <v>66.5</v>
      </c>
      <c r="AA13" s="8">
        <f>IFERROR(Z13/Z444, "NA")</f>
        <v>4.5489684136734742E-4</v>
      </c>
      <c r="AB13" s="9"/>
      <c r="AC13" s="10">
        <f t="shared" si="3"/>
        <v>38</v>
      </c>
      <c r="AD13" s="8">
        <f>IFERROR(AC13/AC444, "NA")</f>
        <v>8.2133748324903708E-3</v>
      </c>
    </row>
    <row r="14" spans="1:30" ht="16.5" customHeight="1" x14ac:dyDescent="0.45">
      <c r="A14" s="12" t="s">
        <v>16</v>
      </c>
      <c r="B14" s="7">
        <v>35</v>
      </c>
      <c r="C14" s="8">
        <f>IFERROR(B14/B444, "NA")</f>
        <v>4.4698593552368359E-4</v>
      </c>
      <c r="D14" s="9"/>
      <c r="E14" s="7">
        <v>0</v>
      </c>
      <c r="F14" s="8">
        <f>IFERROR(E14/E444, "NA")</f>
        <v>0</v>
      </c>
      <c r="G14" s="9"/>
      <c r="H14" s="10">
        <f t="shared" si="0"/>
        <v>35</v>
      </c>
      <c r="I14" s="8">
        <f>IFERROR(H14/H444, "NA")</f>
        <v>-5.7597619737223211E-3</v>
      </c>
      <c r="J14" s="9"/>
      <c r="K14" s="7">
        <v>180</v>
      </c>
      <c r="L14" s="8">
        <f>IFERROR(K14/K444, "NA")</f>
        <v>2.2372307259776419E-3</v>
      </c>
      <c r="M14" s="9"/>
      <c r="N14" s="10">
        <f t="shared" si="1"/>
        <v>-145</v>
      </c>
      <c r="O14" s="8">
        <f>IFERROR(N14/N444, "NA")</f>
        <v>6.7305059019574315E-2</v>
      </c>
      <c r="P14" s="9"/>
      <c r="Q14" s="7">
        <v>70</v>
      </c>
      <c r="R14" s="8">
        <f>IFERROR(Q14/Q444, "NA")</f>
        <v>4.6414915260620747E-4</v>
      </c>
      <c r="S14" s="9"/>
      <c r="T14" s="7">
        <v>0</v>
      </c>
      <c r="U14" s="8">
        <f>IFERROR(T14/T444, "NA")</f>
        <v>0</v>
      </c>
      <c r="V14" s="9"/>
      <c r="W14" s="10">
        <f t="shared" si="2"/>
        <v>70</v>
      </c>
      <c r="X14" s="8">
        <f>IFERROR(W14/W444, "NA")</f>
        <v>-3.9760076339346626E-2</v>
      </c>
      <c r="Y14" s="9"/>
      <c r="Z14" s="7">
        <v>335</v>
      </c>
      <c r="AA14" s="8">
        <f>IFERROR(Z14/Z444, "NA")</f>
        <v>2.2915855918505474E-3</v>
      </c>
      <c r="AB14" s="9"/>
      <c r="AC14" s="10">
        <f t="shared" si="3"/>
        <v>-265</v>
      </c>
      <c r="AD14" s="8">
        <f>IFERROR(AC14/AC444, "NA")</f>
        <v>-5.7277482384472327E-2</v>
      </c>
    </row>
    <row r="15" spans="1:30" ht="16.5" customHeight="1" x14ac:dyDescent="0.45">
      <c r="A15" s="12" t="s">
        <v>17</v>
      </c>
      <c r="B15" s="7">
        <v>68</v>
      </c>
      <c r="C15" s="8">
        <f>IFERROR(B15/B444, "NA")</f>
        <v>8.6842981758887094E-4</v>
      </c>
      <c r="D15" s="9"/>
      <c r="E15" s="7">
        <v>0</v>
      </c>
      <c r="F15" s="8">
        <f>IFERROR(E15/E444, "NA")</f>
        <v>0</v>
      </c>
      <c r="G15" s="9"/>
      <c r="H15" s="10">
        <f t="shared" si="0"/>
        <v>68</v>
      </c>
      <c r="I15" s="8">
        <f>IFERROR(H15/H444, "NA")</f>
        <v>-1.1190394691803366E-2</v>
      </c>
      <c r="J15" s="9"/>
      <c r="K15" s="7">
        <v>15</v>
      </c>
      <c r="L15" s="8">
        <f>IFERROR(K15/K444, "NA")</f>
        <v>1.8643589383147014E-4</v>
      </c>
      <c r="M15" s="9"/>
      <c r="N15" s="10">
        <f t="shared" si="1"/>
        <v>53</v>
      </c>
      <c r="O15" s="8">
        <f>IFERROR(N15/N444, "NA")</f>
        <v>-2.4601159503706473E-2</v>
      </c>
      <c r="P15" s="9"/>
      <c r="Q15" s="7">
        <v>104</v>
      </c>
      <c r="R15" s="8">
        <f>IFERROR(Q15/Q444, "NA")</f>
        <v>6.8959302672922252E-4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104</v>
      </c>
      <c r="X15" s="8">
        <f>IFERROR(W15/W444, "NA")</f>
        <v>-5.907211341845784E-2</v>
      </c>
      <c r="Y15" s="9"/>
      <c r="Z15" s="7">
        <v>30.5</v>
      </c>
      <c r="AA15" s="8">
        <f>IFERROR(Z15/Z444, "NA")</f>
        <v>2.0863689716848265E-4</v>
      </c>
      <c r="AB15" s="9"/>
      <c r="AC15" s="10">
        <f t="shared" si="3"/>
        <v>73.5</v>
      </c>
      <c r="AD15" s="8">
        <f>IFERROR(AC15/AC444, "NA")</f>
        <v>1.5886396057580059E-2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1.1000000000000001</v>
      </c>
      <c r="AA16" s="8">
        <f>IFERROR(Z16/Z444, "NA")</f>
        <v>7.5246094060764239E-6</v>
      </c>
      <c r="AB16" s="9"/>
      <c r="AC16" s="10">
        <f t="shared" si="3"/>
        <v>-1.1000000000000001</v>
      </c>
      <c r="AD16" s="8">
        <f>IFERROR(AC16/AC444, "NA")</f>
        <v>-2.3775558725630023E-4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27603.730000000003</v>
      </c>
      <c r="C18" s="15">
        <f>IFERROR(B18/B444, "NA")</f>
        <v>0.35252797365694777</v>
      </c>
      <c r="D18" s="2"/>
      <c r="E18" s="14">
        <f>IFERROR(E10+E11+E12+E13+E14+E15+E16+E17, "NA")</f>
        <v>35945.4</v>
      </c>
      <c r="F18" s="15">
        <f>IFERROR(E18/E444, "NA")</f>
        <v>0.42599996586823624</v>
      </c>
      <c r="G18" s="2"/>
      <c r="H18" s="14">
        <f t="shared" si="0"/>
        <v>-8341.6699999999983</v>
      </c>
      <c r="I18" s="15">
        <f>IFERROR(H18/H444, "NA")</f>
        <v>1.3727438189525789</v>
      </c>
      <c r="J18" s="2"/>
      <c r="K18" s="14">
        <f>IFERROR(K10+K11+K12+K13+K14+K15+K16+K17, "NA")</f>
        <v>34363</v>
      </c>
      <c r="L18" s="15">
        <f>IFERROR(K18/K444, "NA")</f>
        <v>0.42709977464872062</v>
      </c>
      <c r="M18" s="2"/>
      <c r="N18" s="14">
        <f t="shared" si="1"/>
        <v>-6759.2699999999968</v>
      </c>
      <c r="O18" s="15">
        <f>IFERROR(N18/N444, "NA")</f>
        <v>3.1374694226154336</v>
      </c>
      <c r="P18" s="2"/>
      <c r="Q18" s="14">
        <f>IFERROR(Q10+Q11+Q12+Q13+Q14+Q15+Q16+Q17, "NA")</f>
        <v>59959.43</v>
      </c>
      <c r="R18" s="15">
        <f>IFERROR(Q18/Q444, "NA")</f>
        <v>0.39757312321787447</v>
      </c>
      <c r="S18" s="2"/>
      <c r="T18" s="14">
        <f>IFERROR(T10+T11+T12+T13+T14+T15+T16+T17, "NA")</f>
        <v>64996.58</v>
      </c>
      <c r="U18" s="15">
        <f>IFERROR(T18/T444, "NA")</f>
        <v>0.42599994822189741</v>
      </c>
      <c r="V18" s="2"/>
      <c r="W18" s="14">
        <f t="shared" si="2"/>
        <v>-5037.1500000000015</v>
      </c>
      <c r="X18" s="15">
        <f>IFERROR(W18/W444, "NA")</f>
        <v>2.8611066933248557</v>
      </c>
      <c r="Y18" s="2"/>
      <c r="Z18" s="14">
        <f>IFERROR(Z10+Z11+Z12+Z13+Z14+Z15+Z16+Z17, "NA")</f>
        <v>65155.24</v>
      </c>
      <c r="AA18" s="15">
        <f>IFERROR(Z18/Z444, "NA")</f>
        <v>0.44569793796287893</v>
      </c>
      <c r="AB18" s="2"/>
      <c r="AC18" s="14">
        <f t="shared" si="3"/>
        <v>-5195.8099999999977</v>
      </c>
      <c r="AD18" s="15">
        <f>IFERROR(AC18/AC444, "NA")</f>
        <v>-1.1230298707474151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7762.86</v>
      </c>
      <c r="F21" s="8">
        <f>IFERROR(E21/E444, "NA")</f>
        <v>9.2000036027972867E-2</v>
      </c>
      <c r="G21" s="9"/>
      <c r="H21" s="10">
        <f t="shared" ref="H21:H29" si="4">IFERROR(B21-E21, "NA")</f>
        <v>-7762.86</v>
      </c>
      <c r="I21" s="8">
        <f>IFERROR(H21/H444, "NA")</f>
        <v>1.2774921667237158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14036.82</v>
      </c>
      <c r="U21" s="8">
        <f>IFERROR(T21/T444, "NA")</f>
        <v>9.1999988202457625E-2</v>
      </c>
      <c r="V21" s="9"/>
      <c r="W21" s="10">
        <f t="shared" ref="W21:W29" si="6">IFERROR(Q21-T21, "NA")</f>
        <v>-14036.82</v>
      </c>
      <c r="X21" s="8">
        <f>IFERROR(W21/W444, "NA")</f>
        <v>7.972929068023821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16.05</v>
      </c>
      <c r="C22" s="8">
        <f>IFERROR(B22/B444, "NA")</f>
        <v>2.0497497900443204E-4</v>
      </c>
      <c r="D22" s="9"/>
      <c r="E22" s="7">
        <v>0</v>
      </c>
      <c r="F22" s="8">
        <f>IFERROR(E22/E444, "NA")</f>
        <v>0</v>
      </c>
      <c r="G22" s="9"/>
      <c r="H22" s="10">
        <f t="shared" si="4"/>
        <v>16.05</v>
      </c>
      <c r="I22" s="8">
        <f>IFERROR(H22/H444, "NA")</f>
        <v>-2.6412622765212357E-3</v>
      </c>
      <c r="J22" s="9"/>
      <c r="K22" s="7">
        <v>5120.45</v>
      </c>
      <c r="L22" s="8">
        <f>IFERROR(K22/K444, "NA")</f>
        <v>6.3642378171290093E-2</v>
      </c>
      <c r="M22" s="9"/>
      <c r="N22" s="10">
        <f t="shared" si="5"/>
        <v>-5104.3999999999996</v>
      </c>
      <c r="O22" s="8">
        <f>IFERROR(N22/N444, "NA")</f>
        <v>2.3693237466173453</v>
      </c>
      <c r="P22" s="9"/>
      <c r="Q22" s="7">
        <v>2374.6799999999998</v>
      </c>
      <c r="R22" s="8">
        <f>IFERROR(Q22/Q444, "NA")</f>
        <v>1.574579585301298E-2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2374.6799999999998</v>
      </c>
      <c r="X22" s="8">
        <f>IFERROR(W22/W444, "NA")</f>
        <v>-1.3488208297359947</v>
      </c>
      <c r="Y22" s="9"/>
      <c r="Z22" s="7">
        <v>9287.4</v>
      </c>
      <c r="AA22" s="8">
        <f>IFERROR(Z22/Z444, "NA")</f>
        <v>6.3530961270903796E-2</v>
      </c>
      <c r="AB22" s="9"/>
      <c r="AC22" s="10">
        <f t="shared" si="7"/>
        <v>-6912.7199999999993</v>
      </c>
      <c r="AD22" s="8">
        <f>IFERROR(AC22/AC444, "NA")</f>
        <v>-1.4941252755803378</v>
      </c>
    </row>
    <row r="23" spans="1:30" ht="16.5" customHeight="1" x14ac:dyDescent="0.45">
      <c r="A23" s="12" t="s">
        <v>24</v>
      </c>
      <c r="B23" s="7">
        <v>3524.26</v>
      </c>
      <c r="C23" s="8">
        <f>IFERROR(B23/B444, "NA")</f>
        <v>4.5008418660819921E-2</v>
      </c>
      <c r="D23" s="9"/>
      <c r="E23" s="7">
        <v>0</v>
      </c>
      <c r="F23" s="8">
        <f>IFERROR(E23/E444, "NA")</f>
        <v>0</v>
      </c>
      <c r="G23" s="9"/>
      <c r="H23" s="10">
        <f t="shared" si="4"/>
        <v>3524.26</v>
      </c>
      <c r="I23" s="8">
        <f>IFERROR(H23/H444, "NA")</f>
        <v>-0.57996853524316083</v>
      </c>
      <c r="J23" s="9"/>
      <c r="K23" s="7">
        <v>0</v>
      </c>
      <c r="L23" s="8">
        <f>IFERROR(K23/K444, "NA")</f>
        <v>0</v>
      </c>
      <c r="M23" s="9"/>
      <c r="N23" s="10">
        <f t="shared" si="5"/>
        <v>3524.26</v>
      </c>
      <c r="O23" s="8">
        <f>IFERROR(N23/N444, "NA")</f>
        <v>-1.6358657055194827</v>
      </c>
      <c r="P23" s="9"/>
      <c r="Q23" s="7">
        <v>5442.96</v>
      </c>
      <c r="R23" s="8">
        <f>IFERROR(Q23/Q444, "NA")</f>
        <v>3.6090646738135473E-2</v>
      </c>
      <c r="S23" s="9"/>
      <c r="T23" s="7">
        <v>0</v>
      </c>
      <c r="U23" s="8">
        <f>IFERROR(T23/T444, "NA")</f>
        <v>0</v>
      </c>
      <c r="V23" s="9"/>
      <c r="W23" s="10">
        <f t="shared" si="6"/>
        <v>5442.96</v>
      </c>
      <c r="X23" s="8">
        <f>IFERROR(W23/W444, "NA")</f>
        <v>-3.0916072158858587</v>
      </c>
      <c r="Y23" s="9"/>
      <c r="Z23" s="7">
        <v>0</v>
      </c>
      <c r="AA23" s="8">
        <f>IFERROR(Z23/Z444, "NA")</f>
        <v>0</v>
      </c>
      <c r="AB23" s="9"/>
      <c r="AC23" s="10">
        <f t="shared" si="7"/>
        <v>5442.96</v>
      </c>
      <c r="AD23" s="8">
        <f>IFERROR(AC23/AC444, "NA")</f>
        <v>1.1764492283750472</v>
      </c>
    </row>
    <row r="24" spans="1:30" ht="16.5" customHeight="1" x14ac:dyDescent="0.45">
      <c r="A24" s="12" t="s">
        <v>25</v>
      </c>
      <c r="B24" s="7">
        <v>715.99</v>
      </c>
      <c r="C24" s="8">
        <f>IFERROR(B24/B444, "NA")</f>
        <v>9.1439274278743484E-3</v>
      </c>
      <c r="D24" s="9"/>
      <c r="E24" s="7">
        <v>0</v>
      </c>
      <c r="F24" s="8">
        <f>IFERROR(E24/E444, "NA")</f>
        <v>0</v>
      </c>
      <c r="G24" s="9"/>
      <c r="H24" s="10">
        <f t="shared" si="4"/>
        <v>715.99</v>
      </c>
      <c r="I24" s="8">
        <f>IFERROR(H24/H444, "NA")</f>
        <v>-0.11782662787329841</v>
      </c>
      <c r="J24" s="9"/>
      <c r="K24" s="7">
        <v>1093.73</v>
      </c>
      <c r="L24" s="8">
        <f>IFERROR(K24/K444, "NA")</f>
        <v>1.359403534401959E-2</v>
      </c>
      <c r="M24" s="9"/>
      <c r="N24" s="10">
        <f t="shared" si="5"/>
        <v>-377.74</v>
      </c>
      <c r="O24" s="8">
        <f>IFERROR(N24/N444, "NA")</f>
        <v>0.17533664133830346</v>
      </c>
      <c r="P24" s="9"/>
      <c r="Q24" s="7">
        <v>1828.69</v>
      </c>
      <c r="R24" s="8">
        <f>IFERROR(Q24/Q444, "NA")</f>
        <v>1.2125498769706365E-2</v>
      </c>
      <c r="S24" s="9"/>
      <c r="T24" s="7">
        <v>0</v>
      </c>
      <c r="U24" s="8">
        <f>IFERROR(T24/T444, "NA")</f>
        <v>0</v>
      </c>
      <c r="V24" s="9"/>
      <c r="W24" s="10">
        <f t="shared" si="6"/>
        <v>1828.69</v>
      </c>
      <c r="X24" s="8">
        <f>IFERROR(W24/W444, "NA")</f>
        <v>-1.0386979142999968</v>
      </c>
      <c r="Y24" s="9"/>
      <c r="Z24" s="7">
        <v>1790.01</v>
      </c>
      <c r="AA24" s="8">
        <f>IFERROR(Z24/Z444, "NA")</f>
        <v>1.2244660075428054E-2</v>
      </c>
      <c r="AB24" s="9"/>
      <c r="AC24" s="10">
        <f t="shared" si="7"/>
        <v>38.680000000000064</v>
      </c>
      <c r="AD24" s="8">
        <f>IFERROR(AC24/AC444, "NA")</f>
        <v>8.3603510137033703E-3</v>
      </c>
    </row>
    <row r="25" spans="1:30" ht="16.5" customHeight="1" x14ac:dyDescent="0.45">
      <c r="A25" s="12" t="s">
        <v>26</v>
      </c>
      <c r="B25" s="7">
        <v>102.6</v>
      </c>
      <c r="C25" s="8">
        <f>IFERROR(B25/B444, "NA")</f>
        <v>1.3103073424208553E-3</v>
      </c>
      <c r="D25" s="9"/>
      <c r="E25" s="7">
        <v>0</v>
      </c>
      <c r="F25" s="8">
        <f>IFERROR(E25/E444, "NA")</f>
        <v>0</v>
      </c>
      <c r="G25" s="9"/>
      <c r="H25" s="10">
        <f t="shared" si="4"/>
        <v>102.6</v>
      </c>
      <c r="I25" s="8">
        <f>IFERROR(H25/H444, "NA")</f>
        <v>-1.6884330814397431E-2</v>
      </c>
      <c r="J25" s="9"/>
      <c r="K25" s="7">
        <v>0</v>
      </c>
      <c r="L25" s="8">
        <f>IFERROR(K25/K444, "NA")</f>
        <v>0</v>
      </c>
      <c r="M25" s="9"/>
      <c r="N25" s="10">
        <f t="shared" si="5"/>
        <v>102.6</v>
      </c>
      <c r="O25" s="8">
        <f>IFERROR(N25/N444, "NA")</f>
        <v>-4.7624131416609129E-2</v>
      </c>
      <c r="P25" s="9"/>
      <c r="Q25" s="7">
        <v>150.38999999999999</v>
      </c>
      <c r="R25" s="8">
        <f>IFERROR(Q25/Q444, "NA")</f>
        <v>9.9719130086353626E-4</v>
      </c>
      <c r="S25" s="9"/>
      <c r="T25" s="7">
        <v>0</v>
      </c>
      <c r="U25" s="8">
        <f>IFERROR(T25/T444, "NA")</f>
        <v>0</v>
      </c>
      <c r="V25" s="9"/>
      <c r="W25" s="10">
        <f t="shared" si="6"/>
        <v>150.38999999999999</v>
      </c>
      <c r="X25" s="8">
        <f>IFERROR(W25/W444, "NA")</f>
        <v>-8.5421684009633403E-2</v>
      </c>
      <c r="Y25" s="9"/>
      <c r="Z25" s="7">
        <v>0</v>
      </c>
      <c r="AA25" s="8">
        <f>IFERROR(Z25/Z444, "NA")</f>
        <v>0</v>
      </c>
      <c r="AB25" s="9"/>
      <c r="AC25" s="10">
        <f t="shared" si="7"/>
        <v>150.38999999999999</v>
      </c>
      <c r="AD25" s="8">
        <f>IFERROR(AC25/AC444, "NA")</f>
        <v>3.2505511606795441E-2</v>
      </c>
    </row>
    <row r="26" spans="1:30" ht="16.5" customHeight="1" x14ac:dyDescent="0.45">
      <c r="A26" s="12" t="s">
        <v>27</v>
      </c>
      <c r="B26" s="7">
        <v>1422.83</v>
      </c>
      <c r="C26" s="8">
        <f>IFERROR(B26/B444, "NA")</f>
        <v>1.8170999961176076E-2</v>
      </c>
      <c r="D26" s="9"/>
      <c r="E26" s="7">
        <v>0</v>
      </c>
      <c r="F26" s="8">
        <f>IFERROR(E26/E444, "NA")</f>
        <v>0</v>
      </c>
      <c r="G26" s="9"/>
      <c r="H26" s="10">
        <f t="shared" si="4"/>
        <v>1422.83</v>
      </c>
      <c r="I26" s="8">
        <f>IFERROR(H26/H444, "NA")</f>
        <v>-0.23414748940203797</v>
      </c>
      <c r="J26" s="9"/>
      <c r="K26" s="7">
        <v>0</v>
      </c>
      <c r="L26" s="8">
        <f>IFERROR(K26/K444, "NA")</f>
        <v>0</v>
      </c>
      <c r="M26" s="9"/>
      <c r="N26" s="10">
        <f t="shared" si="5"/>
        <v>1422.83</v>
      </c>
      <c r="O26" s="8">
        <f>IFERROR(N26/N444, "NA")</f>
        <v>-0.6604390146539374</v>
      </c>
      <c r="P26" s="9"/>
      <c r="Q26" s="7">
        <v>2136.5700000000002</v>
      </c>
      <c r="R26" s="8">
        <f>IFERROR(Q26/Q444, "NA")</f>
        <v>1.4166959356912067E-2</v>
      </c>
      <c r="S26" s="9"/>
      <c r="T26" s="7">
        <v>0</v>
      </c>
      <c r="U26" s="8">
        <f>IFERROR(T26/T444, "NA")</f>
        <v>0</v>
      </c>
      <c r="V26" s="9"/>
      <c r="W26" s="10">
        <f t="shared" si="6"/>
        <v>2136.5700000000002</v>
      </c>
      <c r="X26" s="8">
        <f>IFERROR(W26/W444, "NA")</f>
        <v>-1.2135740900622547</v>
      </c>
      <c r="Y26" s="9"/>
      <c r="Z26" s="7">
        <v>0</v>
      </c>
      <c r="AA26" s="8">
        <f>IFERROR(Z26/Z444, "NA")</f>
        <v>0</v>
      </c>
      <c r="AB26" s="9"/>
      <c r="AC26" s="10">
        <f t="shared" si="7"/>
        <v>2136.5700000000002</v>
      </c>
      <c r="AD26" s="8">
        <f>IFERROR(AC26/AC444, "NA")</f>
        <v>0.46180132278563035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670.88</v>
      </c>
      <c r="C28" s="8">
        <f>IFERROR(B28/B444, "NA")</f>
        <v>8.5678264121179671E-3</v>
      </c>
      <c r="D28" s="9"/>
      <c r="E28" s="7">
        <v>0</v>
      </c>
      <c r="F28" s="8">
        <f>IFERROR(E28/E444, "NA")</f>
        <v>0</v>
      </c>
      <c r="G28" s="9"/>
      <c r="H28" s="10">
        <f t="shared" si="4"/>
        <v>670.88</v>
      </c>
      <c r="I28" s="8">
        <f>IFERROR(H28/H444, "NA")</f>
        <v>-0.11040311751230944</v>
      </c>
      <c r="J28" s="9"/>
      <c r="K28" s="7">
        <v>784.69</v>
      </c>
      <c r="L28" s="8">
        <f>IFERROR(K28/K444, "NA")</f>
        <v>9.7529587687077545E-3</v>
      </c>
      <c r="M28" s="9"/>
      <c r="N28" s="10">
        <f t="shared" si="5"/>
        <v>-113.81000000000006</v>
      </c>
      <c r="O28" s="8">
        <f>IFERROR(N28/N444, "NA")</f>
        <v>5.2827508738053496E-2</v>
      </c>
      <c r="P28" s="9"/>
      <c r="Q28" s="7">
        <v>1461.56</v>
      </c>
      <c r="R28" s="8">
        <f>IFERROR(Q28/Q444, "NA")</f>
        <v>9.6911690783304076E-3</v>
      </c>
      <c r="S28" s="9"/>
      <c r="T28" s="7">
        <v>0</v>
      </c>
      <c r="U28" s="8">
        <f>IFERROR(T28/T444, "NA")</f>
        <v>0</v>
      </c>
      <c r="V28" s="9"/>
      <c r="W28" s="10">
        <f t="shared" si="6"/>
        <v>1461.56</v>
      </c>
      <c r="X28" s="8">
        <f>IFERROR(W28/W444, "NA")</f>
        <v>-0.83016767392193502</v>
      </c>
      <c r="Y28" s="9"/>
      <c r="Z28" s="7">
        <v>1587.35</v>
      </c>
      <c r="AA28" s="8">
        <f>IFERROR(Z28/Z444, "NA")</f>
        <v>1.0858353400668555E-2</v>
      </c>
      <c r="AB28" s="9"/>
      <c r="AC28" s="10">
        <f t="shared" si="7"/>
        <v>-125.78999999999996</v>
      </c>
      <c r="AD28" s="8">
        <f>IFERROR(AC28/AC444, "NA")</f>
        <v>-2.7188432109972724E-2</v>
      </c>
    </row>
    <row r="29" spans="1:30" ht="16.5" customHeight="1" x14ac:dyDescent="0.45">
      <c r="A29" s="13" t="s">
        <v>30</v>
      </c>
      <c r="B29" s="14">
        <f>IFERROR(B21+B22+B23+B24+B25+B26+B27+B28, "NA")</f>
        <v>6452.6100000000006</v>
      </c>
      <c r="C29" s="15">
        <f>IFERROR(B29/B444, "NA")</f>
        <v>8.2406454783413602E-2</v>
      </c>
      <c r="D29" s="2"/>
      <c r="E29" s="14">
        <f>IFERROR(E21+E22+E23+E24+E25+E26+E27+E28, "NA")</f>
        <v>7762.86</v>
      </c>
      <c r="F29" s="15">
        <f>IFERROR(E29/E444, "NA")</f>
        <v>9.2000036027972867E-2</v>
      </c>
      <c r="G29" s="2"/>
      <c r="H29" s="14">
        <f t="shared" si="4"/>
        <v>-1310.2499999999991</v>
      </c>
      <c r="I29" s="15">
        <f>IFERROR(H29/H444, "NA")</f>
        <v>0.21562080360199046</v>
      </c>
      <c r="J29" s="2"/>
      <c r="K29" s="14">
        <f>IFERROR(K21+K22+K23+K24+K25+K26+K27+K28, "NA")</f>
        <v>6998.8700000000008</v>
      </c>
      <c r="L29" s="15">
        <f>IFERROR(K29/K444, "NA")</f>
        <v>8.6989372284017444E-2</v>
      </c>
      <c r="M29" s="2"/>
      <c r="N29" s="14">
        <f t="shared" si="5"/>
        <v>-546.26000000000022</v>
      </c>
      <c r="O29" s="15">
        <f>IFERROR(N29/N444, "NA")</f>
        <v>0.25355904510367366</v>
      </c>
      <c r="P29" s="2"/>
      <c r="Q29" s="14">
        <f>IFERROR(Q21+Q22+Q23+Q24+Q25+Q26+Q27+Q28, "NA")</f>
        <v>13394.849999999999</v>
      </c>
      <c r="R29" s="15">
        <f>IFERROR(Q29/Q444, "NA")</f>
        <v>8.8817261096960823E-2</v>
      </c>
      <c r="S29" s="2"/>
      <c r="T29" s="14">
        <f>IFERROR(T21+T22+T23+T24+T25+T26+T27+T28, "NA")</f>
        <v>14036.82</v>
      </c>
      <c r="U29" s="15">
        <f>IFERROR(T29/T444, "NA")</f>
        <v>9.1999988202457625E-2</v>
      </c>
      <c r="V29" s="2"/>
      <c r="W29" s="14">
        <f t="shared" si="6"/>
        <v>-641.97000000000116</v>
      </c>
      <c r="X29" s="15">
        <f>IFERROR(W29/W444, "NA")</f>
        <v>0.36463966010814858</v>
      </c>
      <c r="Y29" s="2"/>
      <c r="Z29" s="14">
        <f>IFERROR(Z21+Z22+Z23+Z24+Z25+Z26+Z27+Z28, "NA")</f>
        <v>12664.76</v>
      </c>
      <c r="AA29" s="15">
        <f>IFERROR(Z29/Z444, "NA")</f>
        <v>8.6633974747000408E-2</v>
      </c>
      <c r="AB29" s="2"/>
      <c r="AC29" s="14">
        <f t="shared" si="7"/>
        <v>730.08999999999833</v>
      </c>
      <c r="AD29" s="15">
        <f>IFERROR(AC29/AC444, "NA")</f>
        <v>0.1578027060908653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20419.689999999999</v>
      </c>
      <c r="F31" s="8">
        <f>IFERROR(E31/E444, "NA")</f>
        <v>0.24200001232535912</v>
      </c>
      <c r="G31" s="9"/>
      <c r="H31" s="10">
        <f t="shared" ref="H31:H40" si="8">IFERROR(B31-E31, "NA")</f>
        <v>-20419.689999999999</v>
      </c>
      <c r="I31" s="8">
        <f>IFERROR(H31/H444, "NA")</f>
        <v>3.3603586850627978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36922.949999999997</v>
      </c>
      <c r="U31" s="8">
        <f>IFERROR(T31/T444, "NA")</f>
        <v>0.24200003735888417</v>
      </c>
      <c r="V31" s="9"/>
      <c r="W31" s="10">
        <f t="shared" ref="W31:W40" si="10">IFERROR(Q31-T31, "NA")</f>
        <v>-36922.949999999997</v>
      </c>
      <c r="X31" s="8">
        <f>IFERROR(W31/W444, "NA")</f>
        <v>20.972275866769689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11638.8</v>
      </c>
      <c r="C33" s="8">
        <f>IFERROR(B33/B444, "NA")</f>
        <v>0.1486394258963728</v>
      </c>
      <c r="D33" s="9"/>
      <c r="E33" s="7">
        <v>0</v>
      </c>
      <c r="F33" s="8">
        <f>IFERROR(E33/E444, "NA")</f>
        <v>0</v>
      </c>
      <c r="G33" s="9"/>
      <c r="H33" s="10">
        <f t="shared" si="8"/>
        <v>11638.8</v>
      </c>
      <c r="I33" s="8">
        <f>IFERROR(H33/H444, "NA")</f>
        <v>-1.9153347902788385</v>
      </c>
      <c r="J33" s="9"/>
      <c r="K33" s="7">
        <v>11457.3</v>
      </c>
      <c r="L33" s="8">
        <f>IFERROR(K33/K444, "NA")</f>
        <v>0.14240346442635352</v>
      </c>
      <c r="M33" s="9"/>
      <c r="N33" s="10">
        <f t="shared" si="9"/>
        <v>181.5</v>
      </c>
      <c r="O33" s="8">
        <f>IFERROR(N33/N444, "NA")</f>
        <v>-8.4247366979674054E-2</v>
      </c>
      <c r="P33" s="9"/>
      <c r="Q33" s="7">
        <v>22916.78</v>
      </c>
      <c r="R33" s="8">
        <f>IFERROR(Q33/Q444, "NA")</f>
        <v>0.1519543431066126</v>
      </c>
      <c r="S33" s="9"/>
      <c r="T33" s="7">
        <v>0</v>
      </c>
      <c r="U33" s="8">
        <f>IFERROR(T33/T444, "NA")</f>
        <v>0</v>
      </c>
      <c r="V33" s="9"/>
      <c r="W33" s="10">
        <f t="shared" si="10"/>
        <v>22916.78</v>
      </c>
      <c r="X33" s="8">
        <f>IFERROR(W33/W444, "NA")</f>
        <v>-13.016756032171598</v>
      </c>
      <c r="Y33" s="9"/>
      <c r="Z33" s="7">
        <v>19823.64</v>
      </c>
      <c r="AA33" s="8">
        <f>IFERROR(Z33/Z444, "NA")</f>
        <v>0.13560468000606621</v>
      </c>
      <c r="AB33" s="9"/>
      <c r="AC33" s="10">
        <f t="shared" si="11"/>
        <v>3093.1399999999994</v>
      </c>
      <c r="AD33" s="8">
        <f>IFERROR(AC33/AC444, "NA")</f>
        <v>0.66855574287813846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639.91999999999996</v>
      </c>
      <c r="C35" s="8">
        <f>IFERROR(B35/B444, "NA")</f>
        <v>8.1724354245804459E-3</v>
      </c>
      <c r="D35" s="9"/>
      <c r="E35" s="7">
        <v>0</v>
      </c>
      <c r="F35" s="8">
        <f>IFERROR(E35/E444, "NA")</f>
        <v>0</v>
      </c>
      <c r="G35" s="9"/>
      <c r="H35" s="10">
        <f t="shared" si="8"/>
        <v>639.91999999999996</v>
      </c>
      <c r="I35" s="8">
        <f>IFERROR(H35/H444, "NA")</f>
        <v>-0.10530819663498249</v>
      </c>
      <c r="J35" s="9"/>
      <c r="K35" s="7">
        <v>1765.78</v>
      </c>
      <c r="L35" s="8">
        <f>IFERROR(K35/K444, "NA")</f>
        <v>2.194698484064889E-2</v>
      </c>
      <c r="M35" s="9"/>
      <c r="N35" s="10">
        <f t="shared" si="9"/>
        <v>-1125.8600000000001</v>
      </c>
      <c r="O35" s="8">
        <f>IFERROR(N35/N444, "NA")</f>
        <v>0.52259361205364097</v>
      </c>
      <c r="P35" s="9"/>
      <c r="Q35" s="7">
        <v>1454.66</v>
      </c>
      <c r="R35" s="8">
        <f>IFERROR(Q35/Q444, "NA")</f>
        <v>9.6454172332877969E-3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1454.66</v>
      </c>
      <c r="X35" s="8">
        <f>IFERROR(W35/W444, "NA")</f>
        <v>-0.82624846639705662</v>
      </c>
      <c r="Y35" s="9"/>
      <c r="Z35" s="7">
        <v>2875.69</v>
      </c>
      <c r="AA35" s="8">
        <f>IFERROR(Z35/Z444, "NA")</f>
        <v>1.9671312748145372E-2</v>
      </c>
      <c r="AB35" s="9"/>
      <c r="AC35" s="10">
        <f t="shared" si="11"/>
        <v>-1421.03</v>
      </c>
      <c r="AD35" s="8">
        <f>IFERROR(AC35/AC444, "NA")</f>
        <v>-0.30714347468983666</v>
      </c>
    </row>
    <row r="36" spans="1:30" ht="16.5" customHeight="1" x14ac:dyDescent="0.45">
      <c r="A36" s="12" t="s">
        <v>36</v>
      </c>
      <c r="B36" s="7">
        <v>13056.56</v>
      </c>
      <c r="C36" s="8">
        <f>IFERROR(B36/B444, "NA")</f>
        <v>0.16674567675203159</v>
      </c>
      <c r="D36" s="9"/>
      <c r="E36" s="7">
        <v>0</v>
      </c>
      <c r="F36" s="8">
        <f>IFERROR(E36/E444, "NA")</f>
        <v>0</v>
      </c>
      <c r="G36" s="9"/>
      <c r="H36" s="10">
        <f t="shared" si="8"/>
        <v>13056.56</v>
      </c>
      <c r="I36" s="8">
        <f>IFERROR(H36/H444, "NA")</f>
        <v>-2.148647937017826</v>
      </c>
      <c r="J36" s="9"/>
      <c r="K36" s="7">
        <v>17427.78</v>
      </c>
      <c r="L36" s="8">
        <f>IFERROR(K36/K444, "NA")</f>
        <v>0.21661091611988126</v>
      </c>
      <c r="M36" s="9"/>
      <c r="N36" s="10">
        <f t="shared" si="9"/>
        <v>-4371.2199999999993</v>
      </c>
      <c r="O36" s="8">
        <f>IFERROR(N36/N444, "NA")</f>
        <v>2.0290015178451282</v>
      </c>
      <c r="P36" s="9"/>
      <c r="Q36" s="7">
        <v>20933.45</v>
      </c>
      <c r="R36" s="8">
        <f>IFERROR(Q36/Q444, "NA")</f>
        <v>0.13880347255177733</v>
      </c>
      <c r="S36" s="9"/>
      <c r="T36" s="7">
        <v>0</v>
      </c>
      <c r="U36" s="8">
        <f>IFERROR(T36/T444, "NA")</f>
        <v>0</v>
      </c>
      <c r="V36" s="9"/>
      <c r="W36" s="10">
        <f t="shared" si="10"/>
        <v>20933.45</v>
      </c>
      <c r="X36" s="8">
        <f>IFERROR(W36/W444, "NA")</f>
        <v>-11.89022242922708</v>
      </c>
      <c r="Y36" s="9"/>
      <c r="Z36" s="7">
        <v>30499</v>
      </c>
      <c r="AA36" s="8">
        <f>IFERROR(Z36/Z444, "NA")</f>
        <v>0.20863005661447712</v>
      </c>
      <c r="AB36" s="9"/>
      <c r="AC36" s="10">
        <f t="shared" si="11"/>
        <v>-9565.5499999999993</v>
      </c>
      <c r="AD36" s="8">
        <f>IFERROR(AC36/AC444, "NA")</f>
        <v>-2.0675117797086386</v>
      </c>
    </row>
    <row r="37" spans="1:30" ht="16.5" customHeight="1" x14ac:dyDescent="0.45">
      <c r="A37" s="12" t="s">
        <v>37</v>
      </c>
      <c r="B37" s="7">
        <v>777</v>
      </c>
      <c r="C37" s="8">
        <f>IFERROR(B37/B444, "NA")</f>
        <v>9.9230877686257747E-3</v>
      </c>
      <c r="D37" s="9"/>
      <c r="E37" s="7">
        <v>0</v>
      </c>
      <c r="F37" s="8">
        <f>IFERROR(E37/E444, "NA")</f>
        <v>0</v>
      </c>
      <c r="G37" s="9"/>
      <c r="H37" s="10">
        <f t="shared" si="8"/>
        <v>777</v>
      </c>
      <c r="I37" s="8">
        <f>IFERROR(H37/H444, "NA")</f>
        <v>-0.12786671581663553</v>
      </c>
      <c r="J37" s="9"/>
      <c r="K37" s="7">
        <v>0</v>
      </c>
      <c r="L37" s="8">
        <f>IFERROR(K37/K444, "NA")</f>
        <v>0</v>
      </c>
      <c r="M37" s="9"/>
      <c r="N37" s="10">
        <f t="shared" si="9"/>
        <v>777</v>
      </c>
      <c r="O37" s="8">
        <f>IFERROR(N37/N444, "NA")</f>
        <v>-0.36066228178075338</v>
      </c>
      <c r="P37" s="9"/>
      <c r="Q37" s="7">
        <v>950.85</v>
      </c>
      <c r="R37" s="8">
        <f>IFERROR(Q37/Q444, "NA")</f>
        <v>6.3048031679373197E-3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950.85</v>
      </c>
      <c r="X37" s="8">
        <f>IFERROR(W37/W444, "NA")</f>
        <v>-0.54008383696096773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950.85</v>
      </c>
      <c r="AD37" s="8">
        <f>IFERROR(AC37/AC444, "NA")</f>
        <v>0.20551809103877552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462.48</v>
      </c>
      <c r="L39" s="8">
        <f>IFERROR(K39/K444, "NA")</f>
        <v>5.7481914786118877E-3</v>
      </c>
      <c r="M39" s="9"/>
      <c r="N39" s="10">
        <f t="shared" si="9"/>
        <v>-462.48</v>
      </c>
      <c r="O39" s="8">
        <f>IFERROR(N39/N444, "NA")</f>
        <v>0.21467064617498435</v>
      </c>
      <c r="P39" s="9"/>
      <c r="Q39" s="7">
        <v>137.65</v>
      </c>
      <c r="R39" s="8">
        <f>IFERROR(Q39/Q444, "NA")</f>
        <v>9.127161550892065E-4</v>
      </c>
      <c r="S39" s="9"/>
      <c r="T39" s="7">
        <v>0</v>
      </c>
      <c r="U39" s="8">
        <f>IFERROR(T39/T444, "NA")</f>
        <v>0</v>
      </c>
      <c r="V39" s="9"/>
      <c r="W39" s="10">
        <f t="shared" si="10"/>
        <v>137.65</v>
      </c>
      <c r="X39" s="8">
        <f>IFERROR(W39/W444, "NA")</f>
        <v>-7.8185350115872326E-2</v>
      </c>
      <c r="Y39" s="9"/>
      <c r="Z39" s="7">
        <v>1084.1300000000001</v>
      </c>
      <c r="AA39" s="8">
        <f>IFERROR(Z39/Z444, "NA")</f>
        <v>7.416049814008758E-3</v>
      </c>
      <c r="AB39" s="9"/>
      <c r="AC39" s="10">
        <f t="shared" si="11"/>
        <v>-946.48000000000013</v>
      </c>
      <c r="AD39" s="8">
        <f>IFERROR(AC39/AC444, "NA")</f>
        <v>-0.20457355293303917</v>
      </c>
    </row>
    <row r="40" spans="1:30" ht="16.5" customHeight="1" x14ac:dyDescent="0.45">
      <c r="A40" s="13" t="s">
        <v>40</v>
      </c>
      <c r="B40" s="14">
        <f>IFERROR(B31+B32+B33+B34+B35+B36+B37+B38+B39, "NA")</f>
        <v>26112.28</v>
      </c>
      <c r="C40" s="15">
        <f>IFERROR(B40/B444, "NA")</f>
        <v>0.33348062584161065</v>
      </c>
      <c r="D40" s="2"/>
      <c r="E40" s="14">
        <f>IFERROR(E31+E32+E33+E34+E35+E36+E37+E38+E39, "NA")</f>
        <v>20419.689999999999</v>
      </c>
      <c r="F40" s="15">
        <f>IFERROR(E40/E444, "NA")</f>
        <v>0.24200001232535912</v>
      </c>
      <c r="G40" s="2"/>
      <c r="H40" s="14">
        <f t="shared" si="8"/>
        <v>5692.59</v>
      </c>
      <c r="I40" s="15">
        <f>IFERROR(H40/H444, "NA")</f>
        <v>-0.93679895468548424</v>
      </c>
      <c r="J40" s="2"/>
      <c r="K40" s="14">
        <f>IFERROR(K31+K32+K33+K34+K35+K36+K37+K38+K39, "NA")</f>
        <v>31113.34</v>
      </c>
      <c r="L40" s="15">
        <f>IFERROR(K40/K444, "NA")</f>
        <v>0.38670955686549557</v>
      </c>
      <c r="M40" s="2"/>
      <c r="N40" s="14">
        <f t="shared" si="9"/>
        <v>-5001.0600000000013</v>
      </c>
      <c r="O40" s="15">
        <f>IFERROR(N40/N444, "NA")</f>
        <v>2.3213561273133267</v>
      </c>
      <c r="P40" s="2"/>
      <c r="Q40" s="14">
        <f>IFERROR(Q31+Q32+Q33+Q34+Q35+Q36+Q37+Q38+Q39, "NA")</f>
        <v>46393.39</v>
      </c>
      <c r="R40" s="15">
        <f>IFERROR(Q40/Q444, "NA")</f>
        <v>0.30762075221470425</v>
      </c>
      <c r="S40" s="2"/>
      <c r="T40" s="14">
        <f>IFERROR(T31+T32+T33+T34+T35+T36+T37+T38+T39, "NA")</f>
        <v>36922.949999999997</v>
      </c>
      <c r="U40" s="15">
        <f>IFERROR(T40/T444, "NA")</f>
        <v>0.24200003735888417</v>
      </c>
      <c r="V40" s="2"/>
      <c r="W40" s="14">
        <f t="shared" si="10"/>
        <v>9470.4400000000023</v>
      </c>
      <c r="X40" s="15">
        <f>IFERROR(W40/W444, "NA")</f>
        <v>-5.379220248102885</v>
      </c>
      <c r="Y40" s="2"/>
      <c r="Z40" s="14">
        <f>IFERROR(Z31+Z32+Z33+Z34+Z35+Z36+Z37+Z38+Z39, "NA")</f>
        <v>54282.46</v>
      </c>
      <c r="AA40" s="15">
        <f>IFERROR(Z40/Z444, "NA")</f>
        <v>0.37132209918269748</v>
      </c>
      <c r="AB40" s="2"/>
      <c r="AC40" s="14">
        <f t="shared" si="11"/>
        <v>-7889.07</v>
      </c>
      <c r="AD40" s="15">
        <f>IFERROR(AC40/AC444, "NA")</f>
        <v>-1.7051549734146003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16622.64</v>
      </c>
      <c r="F42" s="8">
        <f>IFERROR(E42/E444, "NA")</f>
        <v>0.19700000758483638</v>
      </c>
      <c r="G42" s="9"/>
      <c r="H42" s="10">
        <f>IFERROR(B42-E42, "NA")</f>
        <v>-16622.64</v>
      </c>
      <c r="I42" s="8">
        <f>IFERROR(H42/H444, "NA")</f>
        <v>2.7354985649964454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30057.11</v>
      </c>
      <c r="U42" s="8">
        <f>IFERROR(T42/T444, "NA")</f>
        <v>0.19700001605776601</v>
      </c>
      <c r="V42" s="9"/>
      <c r="W42" s="10">
        <f>IFERROR(Q42-T42, "NA")</f>
        <v>-30057.11</v>
      </c>
      <c r="X42" s="8">
        <f>IFERROR(W42/W444, "NA")</f>
        <v>17.072471259144841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3415.06</v>
      </c>
      <c r="C43" s="8">
        <f>IFERROR(B43/B444, "NA")</f>
        <v>4.3613822541986022E-2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3415.06</v>
      </c>
      <c r="I43" s="8">
        <f>IFERROR(H43/H444, "NA")</f>
        <v>-0.56199807788514711</v>
      </c>
      <c r="J43" s="9"/>
      <c r="K43" s="7">
        <v>2711.42</v>
      </c>
      <c r="L43" s="8">
        <f>IFERROR(K43/K444, "NA")</f>
        <v>3.3700400750168322E-2</v>
      </c>
      <c r="M43" s="9"/>
      <c r="N43" s="10">
        <f>IFERROR(B43-K43, "NA")</f>
        <v>703.63999999999987</v>
      </c>
      <c r="O43" s="8">
        <f>IFERROR(N43/N444, "NA")</f>
        <v>-0.32661056364505697</v>
      </c>
      <c r="P43" s="9"/>
      <c r="Q43" s="7">
        <v>6116.47</v>
      </c>
      <c r="R43" s="8">
        <f>IFERROR(Q43/Q444, "NA")</f>
        <v>4.0556490963446996E-2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6116.47</v>
      </c>
      <c r="X43" s="8">
        <f>IFERROR(W43/W444, "NA")</f>
        <v>-3.4741616303903351</v>
      </c>
      <c r="Y43" s="9"/>
      <c r="Z43" s="7">
        <v>5983.52</v>
      </c>
      <c r="AA43" s="8">
        <f>IFERROR(Z43/Z444, "NA")</f>
        <v>4.0930591703133096E-2</v>
      </c>
      <c r="AB43" s="9"/>
      <c r="AC43" s="10">
        <f>IFERROR(Q43-Z43, "NA")</f>
        <v>132.94999999999982</v>
      </c>
      <c r="AD43" s="8">
        <f>IFERROR(AC43/AC444, "NA")</f>
        <v>2.8736004841568248E-2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12983.88</v>
      </c>
      <c r="C48" s="8">
        <f>IFERROR(B48/B444, "NA")</f>
        <v>0.16581747852934983</v>
      </c>
      <c r="D48" s="9"/>
      <c r="E48" s="7">
        <v>0</v>
      </c>
      <c r="F48" s="8">
        <f>IFERROR(E48/E444, "NA")</f>
        <v>0</v>
      </c>
      <c r="G48" s="9"/>
      <c r="H48" s="10">
        <f t="shared" si="12"/>
        <v>12983.88</v>
      </c>
      <c r="I48" s="8">
        <f>IFERROR(H48/H444, "NA")</f>
        <v>-2.1366873798678219</v>
      </c>
      <c r="J48" s="9"/>
      <c r="K48" s="7">
        <v>5938.85</v>
      </c>
      <c r="L48" s="8">
        <f>IFERROR(K48/K444, "NA")</f>
        <v>7.3814320538735101E-2</v>
      </c>
      <c r="M48" s="9"/>
      <c r="N48" s="10">
        <f t="shared" si="13"/>
        <v>7045.0299999999988</v>
      </c>
      <c r="O48" s="8">
        <f>IFERROR(N48/N444, "NA")</f>
        <v>-3.2701114478942865</v>
      </c>
      <c r="P48" s="9"/>
      <c r="Q48" s="7">
        <v>22807.74</v>
      </c>
      <c r="R48" s="8">
        <f>IFERROR(Q48/Q444, "NA")</f>
        <v>0.15123133134089575</v>
      </c>
      <c r="S48" s="9"/>
      <c r="T48" s="7">
        <v>0</v>
      </c>
      <c r="U48" s="8">
        <f>IFERROR(T48/T444, "NA")</f>
        <v>0</v>
      </c>
      <c r="V48" s="9"/>
      <c r="W48" s="10">
        <f t="shared" si="14"/>
        <v>22807.74</v>
      </c>
      <c r="X48" s="8">
        <f>IFERROR(W48/W444, "NA")</f>
        <v>-12.954821193256709</v>
      </c>
      <c r="Y48" s="9"/>
      <c r="Z48" s="7">
        <v>10641.18</v>
      </c>
      <c r="AA48" s="8">
        <f>IFERROR(Z48/Z444, "NA")</f>
        <v>7.2791566472502109E-2</v>
      </c>
      <c r="AB48" s="9"/>
      <c r="AC48" s="10">
        <f t="shared" si="15"/>
        <v>12166.560000000001</v>
      </c>
      <c r="AD48" s="8">
        <f>IFERROR(AC48/AC444, "NA")</f>
        <v>2.6296978342627386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customHeight="1" x14ac:dyDescent="0.45">
      <c r="A55" s="17" t="s">
        <v>53</v>
      </c>
      <c r="B55" s="7">
        <v>128.79</v>
      </c>
      <c r="C55" s="8">
        <f>IFERROR(B55/B444, "NA")</f>
        <v>1.6447805324598631E-3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128.79</v>
      </c>
      <c r="I55" s="8">
        <f>IFERROR(H55/H444, "NA")</f>
        <v>-2.1194278417019933E-2</v>
      </c>
      <c r="J55" s="9"/>
      <c r="K55" s="7">
        <v>191.27</v>
      </c>
      <c r="L55" s="8">
        <f>IFERROR(K55/K444, "NA")</f>
        <v>2.3773062275430201E-3</v>
      </c>
      <c r="M55" s="9"/>
      <c r="N55" s="10">
        <f t="shared" si="13"/>
        <v>-62.480000000000018</v>
      </c>
      <c r="O55" s="8">
        <f>IFERROR(N55/N444, "NA")</f>
        <v>2.9001517845124166E-2</v>
      </c>
      <c r="P55" s="9"/>
      <c r="Q55" s="7">
        <v>395.14</v>
      </c>
      <c r="R55" s="8">
        <f>IFERROR(Q55/Q444, "NA")</f>
        <v>2.6200556594402399E-3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395.14</v>
      </c>
      <c r="X55" s="8">
        <f>IFERROR(W55/W444, "NA")</f>
        <v>-0.22443995092470606</v>
      </c>
      <c r="Y55" s="9"/>
      <c r="Z55" s="7">
        <v>191.27</v>
      </c>
      <c r="AA55" s="8">
        <f>IFERROR(Z55/Z444, "NA")</f>
        <v>1.3083927646365795E-3</v>
      </c>
      <c r="AB55" s="9"/>
      <c r="AC55" s="10">
        <f t="shared" si="15"/>
        <v>203.86999999999998</v>
      </c>
      <c r="AD55" s="8">
        <f>IFERROR(AC55/AC444, "NA")</f>
        <v>4.4064755976310835E-2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customHeight="1" x14ac:dyDescent="0.45">
      <c r="A60" s="17" t="s">
        <v>58</v>
      </c>
      <c r="B60" s="7">
        <v>661.07</v>
      </c>
      <c r="C60" s="8">
        <f>IFERROR(B60/B444, "NA")</f>
        <v>8.4425426399040437E-3</v>
      </c>
      <c r="D60" s="9"/>
      <c r="E60" s="7">
        <v>0</v>
      </c>
      <c r="F60" s="8">
        <f>IFERROR(E60/E444, "NA")</f>
        <v>0</v>
      </c>
      <c r="G60" s="9"/>
      <c r="H60" s="10">
        <f t="shared" si="12"/>
        <v>661.07</v>
      </c>
      <c r="I60" s="8">
        <f>IFERROR(H60/H444, "NA")</f>
        <v>-0.10878873851338899</v>
      </c>
      <c r="J60" s="9"/>
      <c r="K60" s="7">
        <v>0</v>
      </c>
      <c r="L60" s="8">
        <f>IFERROR(K60/K444, "NA")</f>
        <v>0</v>
      </c>
      <c r="M60" s="9"/>
      <c r="N60" s="10">
        <f t="shared" si="13"/>
        <v>661.07</v>
      </c>
      <c r="O60" s="8">
        <f>IFERROR(N60/N444, "NA")</f>
        <v>-0.3068507266625517</v>
      </c>
      <c r="P60" s="9"/>
      <c r="Q60" s="7">
        <v>661.07</v>
      </c>
      <c r="R60" s="8">
        <f>IFERROR(Q60/Q444, "NA")</f>
        <v>4.383358290191223E-3</v>
      </c>
      <c r="S60" s="9"/>
      <c r="T60" s="7">
        <v>0</v>
      </c>
      <c r="U60" s="8">
        <f>IFERROR(T60/T444, "NA")</f>
        <v>0</v>
      </c>
      <c r="V60" s="9"/>
      <c r="W60" s="10">
        <f t="shared" si="14"/>
        <v>661.07</v>
      </c>
      <c r="X60" s="8">
        <f>IFERROR(W60/W444, "NA")</f>
        <v>-0.37548848093788395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661.07</v>
      </c>
      <c r="AD60" s="8">
        <f>IFERROR(AC60/AC444, "NA")</f>
        <v>0.14288462369774763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13773.74</v>
      </c>
      <c r="C61" s="15">
        <f>IFERROR(B61/B444, "NA")</f>
        <v>0.17590480170171374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13773.74</v>
      </c>
      <c r="I61" s="15">
        <f>IFERROR(H61/H444, "NA")</f>
        <v>-2.2666703967982307</v>
      </c>
      <c r="J61" s="2"/>
      <c r="K61" s="14">
        <f>IFERROR(K46+K47+K48+K49+K50+K51+K52+K53+K54+K55+K56+K57+K58+K59+K60, "NA")</f>
        <v>6130.1200000000008</v>
      </c>
      <c r="L61" s="15">
        <f>IFERROR(K61/K444, "NA")</f>
        <v>7.6191626766278137E-2</v>
      </c>
      <c r="M61" s="2"/>
      <c r="N61" s="14">
        <f t="shared" si="13"/>
        <v>7643.619999999999</v>
      </c>
      <c r="O61" s="15">
        <f>IFERROR(N61/N444, "NA")</f>
        <v>-3.5479606567117141</v>
      </c>
      <c r="P61" s="2"/>
      <c r="Q61" s="14">
        <f>IFERROR(Q46+Q47+Q48+Q49+Q50+Q51+Q52+Q53+Q54+Q55+Q56+Q57+Q58+Q59+Q60, "NA")</f>
        <v>23863.95</v>
      </c>
      <c r="R61" s="15">
        <f>IFERROR(Q61/Q444, "NA")</f>
        <v>0.1582347452905272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23863.95</v>
      </c>
      <c r="X61" s="15">
        <f>IFERROR(W61/W444, "NA")</f>
        <v>-13.554749625119298</v>
      </c>
      <c r="Y61" s="2"/>
      <c r="Z61" s="14">
        <f>IFERROR(Z46+Z47+Z48+Z49+Z50+Z51+Z52+Z53+Z54+Z55+Z56+Z57+Z58+Z59+Z60, "NA")</f>
        <v>10832.45</v>
      </c>
      <c r="AA61" s="15">
        <f>IFERROR(Z61/Z444, "NA")</f>
        <v>7.4099959237138691E-2</v>
      </c>
      <c r="AB61" s="2"/>
      <c r="AC61" s="14">
        <f t="shared" si="15"/>
        <v>13031.5</v>
      </c>
      <c r="AD61" s="15">
        <f>IFERROR(AC61/AC444, "NA")</f>
        <v>2.8166472139367968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17188.8</v>
      </c>
      <c r="C62" s="15">
        <f>IFERROR(B62/B444, "NA")</f>
        <v>0.21951862424369978</v>
      </c>
      <c r="D62" s="2"/>
      <c r="E62" s="14">
        <f>IFERROR(E42+E43+E44+E46+E47+E48+E49+E50+E51+E52+E53+E54+E55+E56+E57+E58+E59+E60, "NA")</f>
        <v>16622.64</v>
      </c>
      <c r="F62" s="15">
        <f>IFERROR(E62/E444, "NA")</f>
        <v>0.19700000758483638</v>
      </c>
      <c r="G62" s="2"/>
      <c r="H62" s="14">
        <f t="shared" si="12"/>
        <v>566.15999999999985</v>
      </c>
      <c r="I62" s="15">
        <f>IFERROR(H62/H444, "NA")</f>
        <v>-9.3169909686932242E-2</v>
      </c>
      <c r="J62" s="2"/>
      <c r="K62" s="14">
        <f>IFERROR(K42+K43+K44+K46+K47+K48+K49+K50+K51+K52+K53+K54+K55+K56+K57+K58+K59+K60, "NA")</f>
        <v>8841.5400000000009</v>
      </c>
      <c r="L62" s="15">
        <f>IFERROR(K62/K444, "NA")</f>
        <v>0.10989202751644646</v>
      </c>
      <c r="M62" s="2"/>
      <c r="N62" s="14">
        <f t="shared" si="13"/>
        <v>8347.2599999999984</v>
      </c>
      <c r="O62" s="15">
        <f>IFERROR(N62/N444, "NA")</f>
        <v>-3.874571220356771</v>
      </c>
      <c r="P62" s="2"/>
      <c r="Q62" s="14">
        <f>IFERROR(Q42+Q43+Q44+Q46+Q47+Q48+Q49+Q50+Q51+Q52+Q53+Q54+Q55+Q56+Q57+Q58+Q59+Q60, "NA")</f>
        <v>29980.420000000002</v>
      </c>
      <c r="R62" s="15">
        <f>IFERROR(Q62/Q444, "NA")</f>
        <v>0.19879123625397421</v>
      </c>
      <c r="S62" s="2"/>
      <c r="T62" s="14">
        <f>IFERROR(T42+T43+T44+T46+T47+T48+T49+T50+T51+T52+T53+T54+T55+T56+T57+T58+T59+T60, "NA")</f>
        <v>30057.11</v>
      </c>
      <c r="U62" s="15">
        <f>IFERROR(T62/T444, "NA")</f>
        <v>0.19700001605776601</v>
      </c>
      <c r="V62" s="2"/>
      <c r="W62" s="14">
        <f t="shared" si="14"/>
        <v>-76.68999999999869</v>
      </c>
      <c r="X62" s="15">
        <f>IFERROR(W62/W444, "NA")</f>
        <v>4.356000363520629E-2</v>
      </c>
      <c r="Y62" s="2"/>
      <c r="Z62" s="14">
        <f>IFERROR(Z42+Z43+Z44+Z46+Z47+Z48+Z49+Z50+Z51+Z52+Z53+Z54+Z55+Z56+Z57+Z58+Z59+Z60, "NA")</f>
        <v>16815.97</v>
      </c>
      <c r="AA62" s="15">
        <f>IFERROR(Z62/Z444, "NA")</f>
        <v>0.11503055094027179</v>
      </c>
      <c r="AB62" s="2"/>
      <c r="AC62" s="14">
        <f t="shared" si="15"/>
        <v>13164.45</v>
      </c>
      <c r="AD62" s="15">
        <f>IFERROR(AC62/AC444, "NA")</f>
        <v>2.8453832187783652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6834.69</v>
      </c>
      <c r="F64" s="8">
        <f>IFERROR(E64/E444, "NA")</f>
        <v>8.100000853294094E-2</v>
      </c>
      <c r="G64" s="9"/>
      <c r="H64" s="10">
        <f t="shared" ref="H64:H73" si="16">IFERROR(B64-E64, "NA")</f>
        <v>-6834.69</v>
      </c>
      <c r="I64" s="8">
        <f>IFERROR(H64/H444, "NA")</f>
        <v>1.1247482161194344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12358.51</v>
      </c>
      <c r="U64" s="8">
        <f>IFERROR(T64/T444, "NA")</f>
        <v>8.1000025233632311E-2</v>
      </c>
      <c r="V64" s="9"/>
      <c r="W64" s="10">
        <f t="shared" ref="W64:W73" si="18">IFERROR(Q64-T64, "NA")</f>
        <v>-12358.51</v>
      </c>
      <c r="X64" s="8">
        <f>IFERROR(W64/W444, "NA")</f>
        <v>7.0196471577225523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2210.52</v>
      </c>
      <c r="C65" s="8">
        <f>IFERROR(B65/B444, "NA")</f>
        <v>2.8230610005537515E-2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2210.52</v>
      </c>
      <c r="I65" s="8">
        <f>IFERROR(H65/H444, "NA")</f>
        <v>-0.36377340109007611</v>
      </c>
      <c r="J65" s="9"/>
      <c r="K65" s="7">
        <v>1349.51</v>
      </c>
      <c r="L65" s="8">
        <f>IFERROR(K65/K444, "NA")</f>
        <v>1.6773140205633818E-2</v>
      </c>
      <c r="M65" s="9"/>
      <c r="N65" s="10">
        <f t="shared" si="17"/>
        <v>861.01</v>
      </c>
      <c r="O65" s="8">
        <f>IFERROR(N65/N444, "NA")</f>
        <v>-0.39965744045823226</v>
      </c>
      <c r="P65" s="9"/>
      <c r="Q65" s="7">
        <v>4134.5200000000004</v>
      </c>
      <c r="R65" s="8">
        <f>IFERROR(Q65/Q444, "NA")</f>
        <v>2.7414770777620244E-2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4134.5200000000004</v>
      </c>
      <c r="X65" s="8">
        <f>IFERROR(W65/W444, "NA")</f>
        <v>-2.3484118689507918</v>
      </c>
      <c r="Y65" s="9"/>
      <c r="Z65" s="7">
        <v>3459.71</v>
      </c>
      <c r="AA65" s="8">
        <f>IFERROR(Z65/Z444, "NA")</f>
        <v>2.3666333098451512E-2</v>
      </c>
      <c r="AB65" s="9"/>
      <c r="AC65" s="10">
        <f t="shared" si="19"/>
        <v>674.8100000000004</v>
      </c>
      <c r="AD65" s="8">
        <f>IFERROR(AC65/AC444, "NA")</f>
        <v>0.14585440712402187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-12.25</v>
      </c>
      <c r="R68" s="8">
        <f>IFERROR(Q68/Q444, "NA")</f>
        <v>-8.12261017060863E-5</v>
      </c>
      <c r="S68" s="9"/>
      <c r="T68" s="7">
        <v>0</v>
      </c>
      <c r="U68" s="8">
        <f>IFERROR(T68/T444, "NA")</f>
        <v>0</v>
      </c>
      <c r="V68" s="9"/>
      <c r="W68" s="10">
        <f t="shared" si="18"/>
        <v>-12.25</v>
      </c>
      <c r="X68" s="8">
        <f>IFERROR(W68/W444, "NA")</f>
        <v>6.9580133593856591E-3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-12.25</v>
      </c>
      <c r="AD68" s="8">
        <f>IFERROR(AC68/AC444, "NA")</f>
        <v>-2.6477326762633434E-3</v>
      </c>
    </row>
    <row r="69" spans="1:30" ht="16.5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1125</v>
      </c>
      <c r="R69" s="8">
        <f>IFERROR(Q69/Q444, "NA")</f>
        <v>7.4595399525997624E-3</v>
      </c>
      <c r="S69" s="9"/>
      <c r="T69" s="7">
        <v>0</v>
      </c>
      <c r="U69" s="8">
        <f>IFERROR(T69/T444, "NA")</f>
        <v>0</v>
      </c>
      <c r="V69" s="9"/>
      <c r="W69" s="10">
        <f t="shared" si="18"/>
        <v>1125</v>
      </c>
      <c r="X69" s="8">
        <f>IFERROR(W69/W444, "NA")</f>
        <v>-0.6390012268823565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1125</v>
      </c>
      <c r="AD69" s="8">
        <f>IFERROR(AC69/AC444, "NA")</f>
        <v>0.24315912333030704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2210.52</v>
      </c>
      <c r="C73" s="15">
        <f>IFERROR(B73/B444, "NA")</f>
        <v>2.8230610005537515E-2</v>
      </c>
      <c r="D73" s="2"/>
      <c r="E73" s="14">
        <f>IFERROR(E64+E65+E66+E67+E68+E69+E70+E71+E72, "NA")</f>
        <v>6834.69</v>
      </c>
      <c r="F73" s="15">
        <f>IFERROR(E73/E444, "NA")</f>
        <v>8.100000853294094E-2</v>
      </c>
      <c r="G73" s="2"/>
      <c r="H73" s="14">
        <f t="shared" si="16"/>
        <v>-4624.17</v>
      </c>
      <c r="I73" s="15">
        <f>IFERROR(H73/H444, "NA")</f>
        <v>0.76097481502935838</v>
      </c>
      <c r="J73" s="2"/>
      <c r="K73" s="14">
        <f>IFERROR(K64+K65+K66+K67+K68+K69+K70+K71+K72, "NA")</f>
        <v>1349.51</v>
      </c>
      <c r="L73" s="15">
        <f>IFERROR(K73/K444, "NA")</f>
        <v>1.6773140205633818E-2</v>
      </c>
      <c r="M73" s="2"/>
      <c r="N73" s="14">
        <f t="shared" si="17"/>
        <v>861.01</v>
      </c>
      <c r="O73" s="15">
        <f>IFERROR(N73/N444, "NA")</f>
        <v>-0.39965744045823226</v>
      </c>
      <c r="P73" s="2"/>
      <c r="Q73" s="14">
        <f>IFERROR(Q64+Q65+Q66+Q67+Q68+Q69+Q70+Q71+Q72, "NA")</f>
        <v>5247.27</v>
      </c>
      <c r="R73" s="15">
        <f>IFERROR(Q73/Q444, "NA")</f>
        <v>3.4793084628513916E-2</v>
      </c>
      <c r="S73" s="2"/>
      <c r="T73" s="14">
        <f>IFERROR(T64+T65+T66+T67+T68+T69+T70+T71+T72, "NA")</f>
        <v>12358.51</v>
      </c>
      <c r="U73" s="15">
        <f>IFERROR(T73/T444, "NA")</f>
        <v>8.1000025233632311E-2</v>
      </c>
      <c r="V73" s="2"/>
      <c r="W73" s="14">
        <f t="shared" si="18"/>
        <v>-7111.24</v>
      </c>
      <c r="X73" s="15">
        <f>IFERROR(W73/W444, "NA")</f>
        <v>4.0391920752487893</v>
      </c>
      <c r="Y73" s="2"/>
      <c r="Z73" s="14">
        <f>IFERROR(Z64+Z65+Z66+Z67+Z68+Z69+Z70+Z71+Z72, "NA")</f>
        <v>3459.71</v>
      </c>
      <c r="AA73" s="15">
        <f>IFERROR(Z73/Z444, "NA")</f>
        <v>2.3666333098451512E-2</v>
      </c>
      <c r="AB73" s="2"/>
      <c r="AC73" s="14">
        <f t="shared" si="19"/>
        <v>1787.5600000000004</v>
      </c>
      <c r="AD73" s="15">
        <f>IFERROR(AC73/AC444, "NA")</f>
        <v>0.38636579777806557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1265.68</v>
      </c>
      <c r="F75" s="8">
        <f>IFERROR(E75/E444, "NA")</f>
        <v>1.4999962075818024E-2</v>
      </c>
      <c r="G75" s="9"/>
      <c r="H75" s="10">
        <f t="shared" ref="H75:H92" si="20">IFERROR(B75-E75, "NA")</f>
        <v>-1265.68</v>
      </c>
      <c r="I75" s="8">
        <f>IFERROR(H75/H444, "NA")</f>
        <v>0.20828615814002477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2288.61</v>
      </c>
      <c r="U75" s="8">
        <f>IFERROR(T75/T444, "NA")</f>
        <v>1.4999985253072032E-2</v>
      </c>
      <c r="V75" s="9"/>
      <c r="W75" s="10">
        <f t="shared" ref="W75:W92" si="22">IFERROR(Q75-T75, "NA")</f>
        <v>-2288.61</v>
      </c>
      <c r="X75" s="8">
        <f>IFERROR(W75/W444, "NA")</f>
        <v>1.2999329758713154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299.33999999999997</v>
      </c>
      <c r="C77" s="8">
        <f>IFERROR(B77/B444, "NA")</f>
        <v>3.8228791411331268E-3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299.33999999999997</v>
      </c>
      <c r="I77" s="8">
        <f>IFERROR(H77/H444, "NA")</f>
        <v>-4.9260775691829697E-2</v>
      </c>
      <c r="J77" s="9"/>
      <c r="K77" s="7">
        <v>370.4</v>
      </c>
      <c r="L77" s="8">
        <f>IFERROR(K77/K444, "NA")</f>
        <v>4.6037236716784356E-3</v>
      </c>
      <c r="M77" s="9"/>
      <c r="N77" s="10">
        <f t="shared" si="21"/>
        <v>-71.06</v>
      </c>
      <c r="O77" s="8">
        <f>IFERROR(N77/N444, "NA")</f>
        <v>3.298412064779966E-2</v>
      </c>
      <c r="P77" s="9"/>
      <c r="Q77" s="7">
        <v>589.53</v>
      </c>
      <c r="R77" s="8">
        <f>IFERROR(Q77/Q444, "NA")</f>
        <v>3.9089978562276782E-3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589.53</v>
      </c>
      <c r="X77" s="8">
        <f>IFERROR(W77/W444, "NA")</f>
        <v>-0.33485368291907164</v>
      </c>
      <c r="Y77" s="9"/>
      <c r="Z77" s="7">
        <v>462.01</v>
      </c>
      <c r="AA77" s="8">
        <f>IFERROR(Z77/Z444, "NA")</f>
        <v>3.1604043560921531E-3</v>
      </c>
      <c r="AB77" s="9"/>
      <c r="AC77" s="10">
        <f t="shared" si="23"/>
        <v>127.51999999999998</v>
      </c>
      <c r="AD77" s="8">
        <f>IFERROR(AC77/AC444, "NA")</f>
        <v>2.7562356806294E-2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1322.35</v>
      </c>
      <c r="C80" s="8">
        <f>IFERROR(B80/B444, "NA")</f>
        <v>1.6887767195421226E-2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1322.35</v>
      </c>
      <c r="I80" s="8">
        <f>IFERROR(H80/H444, "NA")</f>
        <v>-0.2176120355986203</v>
      </c>
      <c r="J80" s="9"/>
      <c r="K80" s="7">
        <v>1036.23</v>
      </c>
      <c r="L80" s="8">
        <f>IFERROR(K80/K444, "NA")</f>
        <v>1.2879364417665622E-2</v>
      </c>
      <c r="M80" s="9"/>
      <c r="N80" s="10">
        <f t="shared" si="21"/>
        <v>286.11999999999989</v>
      </c>
      <c r="O80" s="8">
        <f>IFERROR(N80/N444, "NA")</f>
        <v>-0.13280912749434892</v>
      </c>
      <c r="P80" s="9"/>
      <c r="Q80" s="7">
        <v>2311.25</v>
      </c>
      <c r="R80" s="8">
        <f>IFERROR(Q80/Q444, "NA")</f>
        <v>1.5325210413729957E-2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2311.25</v>
      </c>
      <c r="X80" s="8">
        <f>IFERROR(W80/W444, "NA")</f>
        <v>-1.3127925205616413</v>
      </c>
      <c r="Y80" s="9"/>
      <c r="Z80" s="7">
        <v>1686.41</v>
      </c>
      <c r="AA80" s="8">
        <f>IFERROR(Z80/Z444, "NA")</f>
        <v>1.1535978680455765E-2</v>
      </c>
      <c r="AB80" s="9"/>
      <c r="AC80" s="10">
        <f t="shared" si="23"/>
        <v>624.83999999999992</v>
      </c>
      <c r="AD80" s="8">
        <f>IFERROR(AC80/AC444, "NA")</f>
        <v>0.13505381921929693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customHeight="1" x14ac:dyDescent="0.45">
      <c r="A83" s="12" t="s">
        <v>79</v>
      </c>
      <c r="B83" s="7">
        <v>113.06</v>
      </c>
      <c r="C83" s="8">
        <f>IFERROR(B83/B444, "NA")</f>
        <v>1.4438922820087905E-3</v>
      </c>
      <c r="D83" s="9"/>
      <c r="E83" s="7">
        <v>0</v>
      </c>
      <c r="F83" s="8">
        <f>IFERROR(E83/E444, "NA")</f>
        <v>0</v>
      </c>
      <c r="G83" s="9"/>
      <c r="H83" s="10">
        <f t="shared" si="20"/>
        <v>113.06</v>
      </c>
      <c r="I83" s="8">
        <f>IFERROR(H83/H444, "NA")</f>
        <v>-1.8605676821401303E-2</v>
      </c>
      <c r="J83" s="9"/>
      <c r="K83" s="7">
        <v>0</v>
      </c>
      <c r="L83" s="8">
        <f>IFERROR(K83/K444, "NA")</f>
        <v>0</v>
      </c>
      <c r="M83" s="9"/>
      <c r="N83" s="10">
        <f t="shared" si="21"/>
        <v>113.06</v>
      </c>
      <c r="O83" s="8">
        <f>IFERROR(N83/N444, "NA")</f>
        <v>-5.2479379122434978E-2</v>
      </c>
      <c r="P83" s="9"/>
      <c r="Q83" s="7">
        <v>234.52</v>
      </c>
      <c r="R83" s="8">
        <f>IFERROR(Q83/Q444, "NA")</f>
        <v>1.5550322752743968E-3</v>
      </c>
      <c r="S83" s="9"/>
      <c r="T83" s="7">
        <v>0</v>
      </c>
      <c r="U83" s="8">
        <f>IFERROR(T83/T444, "NA")</f>
        <v>0</v>
      </c>
      <c r="V83" s="9"/>
      <c r="W83" s="10">
        <f t="shared" si="22"/>
        <v>234.52</v>
      </c>
      <c r="X83" s="8">
        <f>IFERROR(W83/W444, "NA")</f>
        <v>-0.13320761575862244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234.52</v>
      </c>
      <c r="AD83" s="8">
        <f>IFERROR(AC83/AC444, "NA")</f>
        <v>5.068949120304321E-2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1734.7499999999998</v>
      </c>
      <c r="C88" s="15">
        <f>IFERROR(B88/B444, "NA")</f>
        <v>2.2154538618563143E-2</v>
      </c>
      <c r="D88" s="2"/>
      <c r="E88" s="14">
        <f>IFERROR(E75+E76+E77+E78+E79+E80+E81+E82+E83+E84+E85+E86+E87, "NA")</f>
        <v>1265.68</v>
      </c>
      <c r="F88" s="15">
        <f>IFERROR(E88/E444, "NA")</f>
        <v>1.4999962075818024E-2</v>
      </c>
      <c r="G88" s="2"/>
      <c r="H88" s="14">
        <f t="shared" si="20"/>
        <v>469.06999999999971</v>
      </c>
      <c r="I88" s="15">
        <f>IFERROR(H88/H444, "NA")</f>
        <v>-7.7192329971826498E-2</v>
      </c>
      <c r="J88" s="2"/>
      <c r="K88" s="14">
        <f>IFERROR(K75+K76+K77+K78+K79+K80+K81+K82+K83+K84+K85+K86+K87, "NA")</f>
        <v>1406.63</v>
      </c>
      <c r="L88" s="15">
        <f>IFERROR(K88/K444, "NA")</f>
        <v>1.7483088089344057E-2</v>
      </c>
      <c r="M88" s="2"/>
      <c r="N88" s="14">
        <f t="shared" si="21"/>
        <v>328.11999999999966</v>
      </c>
      <c r="O88" s="15">
        <f>IFERROR(N88/N444, "NA")</f>
        <v>-0.15230438596898416</v>
      </c>
      <c r="P88" s="2"/>
      <c r="Q88" s="14">
        <f>IFERROR(Q75+Q76+Q77+Q78+Q79+Q80+Q81+Q82+Q83+Q84+Q85+Q86+Q87, "NA")</f>
        <v>3135.2999999999997</v>
      </c>
      <c r="R88" s="15">
        <f>IFERROR(Q88/Q444, "NA")</f>
        <v>2.078924054523203E-2</v>
      </c>
      <c r="S88" s="2"/>
      <c r="T88" s="14">
        <f>IFERROR(T75+T76+T77+T78+T79+T80+T81+T82+T83+T84+T85+T86+T87, "NA")</f>
        <v>2288.61</v>
      </c>
      <c r="U88" s="15">
        <f>IFERROR(T88/T444, "NA")</f>
        <v>1.4999985253072032E-2</v>
      </c>
      <c r="V88" s="2"/>
      <c r="W88" s="14">
        <f t="shared" si="22"/>
        <v>846.6899999999996</v>
      </c>
      <c r="X88" s="15">
        <f>IFERROR(W88/W444, "NA")</f>
        <v>-0.48092084336801966</v>
      </c>
      <c r="Y88" s="2"/>
      <c r="Z88" s="14">
        <f>IFERROR(Z75+Z76+Z77+Z78+Z79+Z80+Z81+Z82+Z83+Z84+Z85+Z86+Z87, "NA")</f>
        <v>2148.42</v>
      </c>
      <c r="AA88" s="15">
        <f>IFERROR(Z88/Z444, "NA")</f>
        <v>1.4696383036547918E-2</v>
      </c>
      <c r="AB88" s="2"/>
      <c r="AC88" s="14">
        <f t="shared" si="23"/>
        <v>986.87999999999965</v>
      </c>
      <c r="AD88" s="15">
        <f>IFERROR(AC88/AC444, "NA")</f>
        <v>0.21330566722863409</v>
      </c>
    </row>
    <row r="89" spans="1:30" ht="16.5" customHeight="1" x14ac:dyDescent="0.45">
      <c r="A89" s="6" t="s">
        <v>85</v>
      </c>
      <c r="B89" s="7">
        <v>-13.75</v>
      </c>
      <c r="C89" s="8">
        <f>IFERROR(B89/B444, "NA")</f>
        <v>-1.7560161752716141E-4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-13.75</v>
      </c>
      <c r="I89" s="8">
        <f>IFERROR(H89/H444, "NA")</f>
        <v>2.262763632533769E-3</v>
      </c>
      <c r="J89" s="9"/>
      <c r="K89" s="7">
        <v>-13.37</v>
      </c>
      <c r="L89" s="8">
        <f>IFERROR(K89/K444, "NA")</f>
        <v>-1.6617652670178373E-4</v>
      </c>
      <c r="M89" s="9"/>
      <c r="N89" s="10">
        <f t="shared" si="21"/>
        <v>-0.38000000000000078</v>
      </c>
      <c r="O89" s="8">
        <f>IFERROR(N89/N444, "NA")</f>
        <v>1.7638567191336754E-4</v>
      </c>
      <c r="P89" s="9"/>
      <c r="Q89" s="7">
        <v>-26.7</v>
      </c>
      <c r="R89" s="8">
        <f>IFERROR(Q89/Q444, "NA")</f>
        <v>-1.770397482083677E-4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-26.7</v>
      </c>
      <c r="X89" s="8">
        <f>IFERROR(W89/W444, "NA")</f>
        <v>1.5165629118007926E-2</v>
      </c>
      <c r="Y89" s="9"/>
      <c r="Z89" s="7">
        <v>-7.06</v>
      </c>
      <c r="AA89" s="8">
        <f>IFERROR(Z89/Z444, "NA")</f>
        <v>-4.8294311278999588E-5</v>
      </c>
      <c r="AB89" s="9"/>
      <c r="AC89" s="10">
        <f t="shared" si="23"/>
        <v>-19.64</v>
      </c>
      <c r="AD89" s="8">
        <f>IFERROR(AC89/AC444, "NA")</f>
        <v>-4.2450179397397602E-3</v>
      </c>
    </row>
    <row r="90" spans="1:30" ht="16.5" customHeight="1" x14ac:dyDescent="0.45">
      <c r="A90" s="6" t="s">
        <v>86</v>
      </c>
      <c r="B90" s="7">
        <v>-136.06</v>
      </c>
      <c r="C90" s="8">
        <f>IFERROR(B90/B444, "NA")</f>
        <v>-1.7376258967814967E-3</v>
      </c>
      <c r="D90" s="9"/>
      <c r="E90" s="7">
        <v>0</v>
      </c>
      <c r="F90" s="8">
        <f>IFERROR(E90/E444, "NA")</f>
        <v>0</v>
      </c>
      <c r="G90" s="9"/>
      <c r="H90" s="10">
        <f t="shared" si="20"/>
        <v>-136.06</v>
      </c>
      <c r="I90" s="8">
        <f>IFERROR(H90/H444, "NA")</f>
        <v>2.2390663261275971E-2</v>
      </c>
      <c r="J90" s="9"/>
      <c r="K90" s="7">
        <v>0</v>
      </c>
      <c r="L90" s="8">
        <f>IFERROR(K90/K444, "NA")</f>
        <v>0</v>
      </c>
      <c r="M90" s="9"/>
      <c r="N90" s="10">
        <f t="shared" si="21"/>
        <v>-136.06</v>
      </c>
      <c r="O90" s="8">
        <f>IFERROR(N90/N444, "NA")</f>
        <v>6.3155354001401945E-2</v>
      </c>
      <c r="P90" s="9"/>
      <c r="Q90" s="7">
        <v>-237.16</v>
      </c>
      <c r="R90" s="8">
        <f>IFERROR(Q90/Q444, "NA")</f>
        <v>-1.5725373290298309E-3</v>
      </c>
      <c r="S90" s="9"/>
      <c r="T90" s="7">
        <v>0</v>
      </c>
      <c r="U90" s="8">
        <f>IFERROR(T90/T444, "NA")</f>
        <v>0</v>
      </c>
      <c r="V90" s="9"/>
      <c r="W90" s="10">
        <f t="shared" si="22"/>
        <v>-237.16</v>
      </c>
      <c r="X90" s="8">
        <f>IFERROR(W90/W444, "NA")</f>
        <v>0.13470713863770636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-237.16</v>
      </c>
      <c r="AD90" s="8">
        <f>IFERROR(AC90/AC444, "NA")</f>
        <v>-5.1260104612458328E-2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-4472.08</v>
      </c>
      <c r="F94" s="8">
        <f>IFERROR(E94/E444, "NA")</f>
        <v>-5.2999992415163601E-2</v>
      </c>
      <c r="G94" s="9"/>
      <c r="H94" s="10">
        <f t="shared" ref="H94:H124" si="24">IFERROR(B94-E94, "NA")</f>
        <v>4472.08</v>
      </c>
      <c r="I94" s="8">
        <f>IFERROR(H94/H444, "NA")</f>
        <v>-0.73594618078411755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-8086.43</v>
      </c>
      <c r="U94" s="8">
        <f>IFERROR(T94/T444, "NA")</f>
        <v>-5.3000000327709518E-2</v>
      </c>
      <c r="V94" s="9"/>
      <c r="W94" s="10">
        <f t="shared" ref="W94:W124" si="26">IFERROR(Q94-T94, "NA")</f>
        <v>8086.43</v>
      </c>
      <c r="X94" s="8">
        <f>IFERROR(W94/W444, "NA")</f>
        <v>-4.5931010587540388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-1280.4000000000001</v>
      </c>
      <c r="C96" s="8">
        <f>IFERROR(B96/B444, "NA")</f>
        <v>-1.635202262412927E-2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-1280.4000000000001</v>
      </c>
      <c r="I96" s="8">
        <f>IFERROR(H96/H444, "NA")</f>
        <v>0.21070854946154458</v>
      </c>
      <c r="J96" s="9"/>
      <c r="K96" s="7">
        <v>-1627.85</v>
      </c>
      <c r="L96" s="8">
        <f>IFERROR(K96/K444, "NA")</f>
        <v>-2.023264465157058E-2</v>
      </c>
      <c r="M96" s="9"/>
      <c r="N96" s="10">
        <f t="shared" si="25"/>
        <v>347.44999999999982</v>
      </c>
      <c r="O96" s="8">
        <f>IFERROR(N96/N444, "NA")</f>
        <v>-0.16127684659552471</v>
      </c>
      <c r="P96" s="9"/>
      <c r="Q96" s="7">
        <v>-2834.44</v>
      </c>
      <c r="R96" s="8">
        <f>IFERROR(Q96/Q444, "NA")</f>
        <v>-1.8794327487330554E-2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-2834.44</v>
      </c>
      <c r="X96" s="8">
        <f>IFERROR(W96/W444, "NA")</f>
        <v>1.6099650111328236</v>
      </c>
      <c r="Y96" s="9"/>
      <c r="Z96" s="7">
        <v>-3337.05</v>
      </c>
      <c r="AA96" s="8">
        <f>IFERROR(Z96/Z444, "NA")</f>
        <v>-2.2827270744133935E-2</v>
      </c>
      <c r="AB96" s="9"/>
      <c r="AC96" s="10">
        <f t="shared" si="27"/>
        <v>502.61000000000013</v>
      </c>
      <c r="AD96" s="8">
        <f>IFERROR(AC96/AC444, "NA")</f>
        <v>0.10863485064626281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-757.92</v>
      </c>
      <c r="C98" s="8">
        <f>IFERROR(B98/B444, "NA")</f>
        <v>-9.6794165786317204E-3</v>
      </c>
      <c r="D98" s="9"/>
      <c r="E98" s="7">
        <v>0</v>
      </c>
      <c r="F98" s="8">
        <f>IFERROR(E98/E444, "NA")</f>
        <v>0</v>
      </c>
      <c r="G98" s="9"/>
      <c r="H98" s="10">
        <f t="shared" si="24"/>
        <v>-757.92</v>
      </c>
      <c r="I98" s="8">
        <f>IFERROR(H98/H444, "NA")</f>
        <v>0.12472682271781775</v>
      </c>
      <c r="J98" s="9"/>
      <c r="K98" s="7">
        <v>-1008.43</v>
      </c>
      <c r="L98" s="8">
        <f>IFERROR(K98/K444, "NA")</f>
        <v>-1.2533836561097963E-2</v>
      </c>
      <c r="M98" s="9"/>
      <c r="N98" s="10">
        <f t="shared" si="25"/>
        <v>250.51</v>
      </c>
      <c r="O98" s="8">
        <f>IFERROR(N98/N444, "NA")</f>
        <v>-0.11627993334478318</v>
      </c>
      <c r="P98" s="9"/>
      <c r="Q98" s="7">
        <v>-2204.0300000000002</v>
      </c>
      <c r="R98" s="8">
        <f>IFERROR(Q98/Q444, "NA")</f>
        <v>-1.461426652598085E-2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-2204.0300000000002</v>
      </c>
      <c r="X98" s="8">
        <f>IFERROR(W98/W444, "NA")</f>
        <v>1.2518914436315736</v>
      </c>
      <c r="Y98" s="9"/>
      <c r="Z98" s="7">
        <v>-2186.63</v>
      </c>
      <c r="AA98" s="8">
        <f>IFERROR(Z98/Z444, "NA")</f>
        <v>-1.4957760605098992E-2</v>
      </c>
      <c r="AB98" s="9"/>
      <c r="AC98" s="10">
        <f t="shared" si="27"/>
        <v>-17.400000000000091</v>
      </c>
      <c r="AD98" s="8">
        <f>IFERROR(AC98/AC444, "NA")</f>
        <v>-3.7608611075087687E-3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-54.3</v>
      </c>
      <c r="C100" s="8">
        <f>IFERROR(B100/B444, "NA")</f>
        <v>-6.9346675139817188E-4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-54.3</v>
      </c>
      <c r="I100" s="8">
        <f>IFERROR(H100/H444, "NA")</f>
        <v>8.9358592906606284E-3</v>
      </c>
      <c r="J100" s="9"/>
      <c r="K100" s="7">
        <v>-27.5</v>
      </c>
      <c r="L100" s="8">
        <f>IFERROR(K100/K444, "NA")</f>
        <v>-3.417991386910286E-4</v>
      </c>
      <c r="M100" s="9"/>
      <c r="N100" s="10">
        <f t="shared" si="25"/>
        <v>-26.799999999999997</v>
      </c>
      <c r="O100" s="8">
        <f>IFERROR(N100/N444, "NA")</f>
        <v>1.243983159810063E-2</v>
      </c>
      <c r="P100" s="9"/>
      <c r="Q100" s="7">
        <v>-128.94</v>
      </c>
      <c r="R100" s="8">
        <f>IFERROR(Q100/Q444, "NA")</f>
        <v>-8.5496273910063412E-4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-128.94</v>
      </c>
      <c r="X100" s="8">
        <f>IFERROR(W100/W444, "NA")</f>
        <v>7.3238060617076481E-2</v>
      </c>
      <c r="Y100" s="9"/>
      <c r="Z100" s="7">
        <v>-719</v>
      </c>
      <c r="AA100" s="8">
        <f>IFERROR(Z100/Z444, "NA")</f>
        <v>-4.9183583299717715E-3</v>
      </c>
      <c r="AB100" s="9"/>
      <c r="AC100" s="10">
        <f t="shared" si="27"/>
        <v>590.05999999999995</v>
      </c>
      <c r="AD100" s="8">
        <f>IFERROR(AC100/AC444, "NA")</f>
        <v>0.12753641983313863</v>
      </c>
    </row>
    <row r="101" spans="1:30" ht="16.5" customHeight="1" x14ac:dyDescent="0.45">
      <c r="A101" s="12" t="s">
        <v>96</v>
      </c>
      <c r="B101" s="7">
        <v>-37.25</v>
      </c>
      <c r="C101" s="8">
        <f>IFERROR(B101/B444, "NA")</f>
        <v>-4.757207456644918E-4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-37.25</v>
      </c>
      <c r="I101" s="8">
        <f>IFERROR(H101/H444, "NA")</f>
        <v>6.1300323863187553E-3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-37.25</v>
      </c>
      <c r="O101" s="8">
        <f>IFERROR(N101/N444, "NA")</f>
        <v>1.7290437575718229E-2</v>
      </c>
      <c r="P101" s="9"/>
      <c r="Q101" s="7">
        <v>-37.25</v>
      </c>
      <c r="R101" s="8">
        <f>IFERROR(Q101/Q444, "NA")</f>
        <v>-2.4699365620830323E-4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-37.25</v>
      </c>
      <c r="X101" s="8">
        <f>IFERROR(W101/W444, "NA")</f>
        <v>2.1158040623438026E-2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-37.25</v>
      </c>
      <c r="AD101" s="8">
        <f>IFERROR(AC101/AC444, "NA")</f>
        <v>-8.0512687502701675E-3</v>
      </c>
    </row>
    <row r="102" spans="1:30" ht="16.5" customHeight="1" x14ac:dyDescent="0.45">
      <c r="A102" s="12" t="s">
        <v>97</v>
      </c>
      <c r="B102" s="7">
        <v>-626.09</v>
      </c>
      <c r="C102" s="8">
        <f>IFERROR(B102/B444, "NA")</f>
        <v>-7.9958121249149444E-3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-626.09</v>
      </c>
      <c r="I102" s="8">
        <f>IFERROR(H102/H444, "NA")</f>
        <v>0.10303226783222308</v>
      </c>
      <c r="J102" s="9"/>
      <c r="K102" s="7">
        <v>-555.20000000000005</v>
      </c>
      <c r="L102" s="8">
        <f>IFERROR(K102/K444, "NA")</f>
        <v>-6.900613883682149E-3</v>
      </c>
      <c r="M102" s="9"/>
      <c r="N102" s="10">
        <f t="shared" si="25"/>
        <v>-70.889999999999986</v>
      </c>
      <c r="O102" s="8">
        <f>IFERROR(N102/N444, "NA")</f>
        <v>3.290521126825946E-2</v>
      </c>
      <c r="P102" s="9"/>
      <c r="Q102" s="7">
        <v>-1606.43</v>
      </c>
      <c r="R102" s="8">
        <f>IFERROR(Q102/Q444, "NA")</f>
        <v>-1.0651758903159855E-2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-1606.43</v>
      </c>
      <c r="X102" s="8">
        <f>IFERROR(W102/W444, "NA")</f>
        <v>0.91245399191166576</v>
      </c>
      <c r="Y102" s="9"/>
      <c r="Z102" s="7">
        <v>-1307.5999999999999</v>
      </c>
      <c r="AA102" s="8">
        <f>IFERROR(Z102/Z444, "NA")</f>
        <v>-8.9447084176232095E-3</v>
      </c>
      <c r="AB102" s="9"/>
      <c r="AC102" s="10">
        <f t="shared" si="27"/>
        <v>-298.83000000000015</v>
      </c>
      <c r="AD102" s="8">
        <f>IFERROR(AC102/AC444, "NA")</f>
        <v>-6.4589547399818398E-2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-44.68</v>
      </c>
      <c r="C104" s="8">
        <f>IFERROR(B104/B444, "NA")</f>
        <v>-5.7060947426280516E-4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-44.68</v>
      </c>
      <c r="I104" s="8">
        <f>IFERROR(H104/H444, "NA")</f>
        <v>7.3527475710260942E-3</v>
      </c>
      <c r="J104" s="9"/>
      <c r="K104" s="7">
        <v>-383.93</v>
      </c>
      <c r="L104" s="8">
        <f>IFERROR(K104/K444, "NA")</f>
        <v>-4.7718888479144229E-3</v>
      </c>
      <c r="M104" s="9"/>
      <c r="N104" s="10">
        <f t="shared" si="25"/>
        <v>339.25</v>
      </c>
      <c r="O104" s="8">
        <f>IFERROR(N104/N444, "NA")</f>
        <v>-0.15747062946476267</v>
      </c>
      <c r="P104" s="9"/>
      <c r="Q104" s="7">
        <v>-172.12</v>
      </c>
      <c r="R104" s="8">
        <f>IFERROR(Q104/Q444, "NA")</f>
        <v>-1.1412764592368633E-3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-172.12</v>
      </c>
      <c r="X104" s="8">
        <f>IFERROR(W104/W444, "NA")</f>
        <v>9.776434770754773E-2</v>
      </c>
      <c r="Y104" s="9"/>
      <c r="Z104" s="7">
        <v>-782.23</v>
      </c>
      <c r="AA104" s="8">
        <f>IFERROR(Z104/Z444, "NA")</f>
        <v>-5.3508865597410556E-3</v>
      </c>
      <c r="AB104" s="9"/>
      <c r="AC104" s="10">
        <f t="shared" si="27"/>
        <v>610.11</v>
      </c>
      <c r="AD104" s="8">
        <f>IFERROR(AC104/AC444, "NA")</f>
        <v>0.13187005576449212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-50</v>
      </c>
      <c r="C106" s="8">
        <f>IFERROR(B106/B444, "NA")</f>
        <v>-6.3855133646240514E-4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-50</v>
      </c>
      <c r="I106" s="8">
        <f>IFERROR(H106/H444, "NA")</f>
        <v>8.2282313910318865E-3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-50</v>
      </c>
      <c r="O106" s="8">
        <f>IFERROR(N106/N444, "NA")</f>
        <v>2.3208641041232523E-2</v>
      </c>
      <c r="P106" s="9"/>
      <c r="Q106" s="7">
        <v>-50</v>
      </c>
      <c r="R106" s="8">
        <f>IFERROR(Q106/Q444, "NA")</f>
        <v>-3.3153510900443389E-4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-50</v>
      </c>
      <c r="X106" s="8">
        <f>IFERROR(W106/W444, "NA")</f>
        <v>2.8400054528104731E-2</v>
      </c>
      <c r="Y106" s="9"/>
      <c r="Z106" s="7">
        <v>0</v>
      </c>
      <c r="AA106" s="8">
        <f>IFERROR(Z106/Z444, "NA")</f>
        <v>0</v>
      </c>
      <c r="AB106" s="9"/>
      <c r="AC106" s="10">
        <f t="shared" si="27"/>
        <v>-50</v>
      </c>
      <c r="AD106" s="8">
        <f>IFERROR(AC106/AC444, "NA")</f>
        <v>-1.0807072148013647E-2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-2850.6400000000003</v>
      </c>
      <c r="C118" s="15">
        <f>IFERROR(B118/B444, "NA")</f>
        <v>-3.6405599635463817E-2</v>
      </c>
      <c r="D118" s="2"/>
      <c r="E118" s="14">
        <f>IFERROR(E94+E95+E96+E97+E98+E99+E100+E101+E102+E103+E104+E105+E106+E107+E108+E109+E110+E111+E112+E113+E114+E115+E116+E117, "NA")</f>
        <v>-4472.08</v>
      </c>
      <c r="F118" s="15">
        <f>IFERROR(E118/E444, "NA")</f>
        <v>-5.2999992415163601E-2</v>
      </c>
      <c r="G118" s="2"/>
      <c r="H118" s="14">
        <f t="shared" si="24"/>
        <v>1621.4399999999996</v>
      </c>
      <c r="I118" s="15">
        <f>IFERROR(H118/H444, "NA")</f>
        <v>-0.26683167013349479</v>
      </c>
      <c r="J118" s="2"/>
      <c r="K118" s="14">
        <f>IFERROR(K94+K95+K96+K97+K98+K99+K100+K101+K102+K103+K104+K105+K106+K107+K108+K109+K110+K111+K112+K113+K114+K115+K116+K117, "NA")</f>
        <v>-3602.9099999999994</v>
      </c>
      <c r="L118" s="15">
        <f>IFERROR(K118/K444, "NA")</f>
        <v>-4.4780783082956133E-2</v>
      </c>
      <c r="M118" s="2"/>
      <c r="N118" s="14">
        <f t="shared" si="25"/>
        <v>752.26999999999907</v>
      </c>
      <c r="O118" s="15">
        <f>IFERROR(N118/N444, "NA")</f>
        <v>-0.34918328792175934</v>
      </c>
      <c r="P118" s="2"/>
      <c r="Q118" s="14">
        <f>IFERROR(Q94+Q95+Q96+Q97+Q98+Q99+Q100+Q101+Q102+Q103+Q104+Q105+Q106+Q107+Q108+Q109+Q110+Q111+Q112+Q113+Q114+Q115+Q116+Q117, "NA")</f>
        <v>-7033.21</v>
      </c>
      <c r="R118" s="15">
        <f>IFERROR(Q118/Q444, "NA")</f>
        <v>-4.6635120880021488E-2</v>
      </c>
      <c r="S118" s="2"/>
      <c r="T118" s="14">
        <f>IFERROR(T94+T95+T96+T97+T98+T99+T100+T101+T102+T103+T104+T105+T106+T107+T108+T109+T110+T111+T112+T113+T114+T115+T116+T117, "NA")</f>
        <v>-8086.43</v>
      </c>
      <c r="U118" s="15">
        <f>IFERROR(T118/T444, "NA")</f>
        <v>-5.3000000327709518E-2</v>
      </c>
      <c r="V118" s="2"/>
      <c r="W118" s="14">
        <f t="shared" si="26"/>
        <v>1053.2200000000003</v>
      </c>
      <c r="X118" s="15">
        <f>IFERROR(W118/W444, "NA")</f>
        <v>-0.59823010860180947</v>
      </c>
      <c r="Y118" s="2"/>
      <c r="Z118" s="14">
        <f>IFERROR(Z94+Z95+Z96+Z97+Z98+Z99+Z100+Z101+Z102+Z103+Z104+Z105+Z106+Z107+Z108+Z109+Z110+Z111+Z112+Z113+Z114+Z115+Z116+Z117, "NA")</f>
        <v>-8332.51</v>
      </c>
      <c r="AA118" s="15">
        <f>IFERROR(Z118/Z444, "NA")</f>
        <v>-5.6998984656568968E-2</v>
      </c>
      <c r="AB118" s="2"/>
      <c r="AC118" s="14">
        <f t="shared" si="27"/>
        <v>1299.3000000000002</v>
      </c>
      <c r="AD118" s="15">
        <f>IFERROR(AC118/AC444, "NA")</f>
        <v>0.28083257683828267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78302.24000000002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84378.87999999999</v>
      </c>
      <c r="F122" s="15">
        <f>IFERROR(E122/E444, "NA")</f>
        <v>0.99999999999999978</v>
      </c>
      <c r="G122" s="2"/>
      <c r="H122" s="14">
        <f t="shared" si="24"/>
        <v>-6076.6399999999703</v>
      </c>
      <c r="I122" s="15">
        <f>IFERROR(H122/H444, "NA")</f>
        <v>0.99999999999999523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80456.61</v>
      </c>
      <c r="L122" s="15">
        <f>IFERROR(K122/K444, "NA")</f>
        <v>1</v>
      </c>
      <c r="M122" s="2"/>
      <c r="N122" s="14">
        <f t="shared" si="25"/>
        <v>-2154.3699999999808</v>
      </c>
      <c r="O122" s="15">
        <f>IFERROR(N122/N444, "NA")</f>
        <v>0.99999999999999323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150813.59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152574.15</v>
      </c>
      <c r="U122" s="15">
        <f>IFERROR(T122/T444, "NA")</f>
        <v>1</v>
      </c>
      <c r="V122" s="2"/>
      <c r="W122" s="14">
        <f t="shared" si="26"/>
        <v>-1760.5599999999977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146186.98999999996</v>
      </c>
      <c r="AA122" s="15">
        <f>IFERROR(Z122/Z444, "NA")</f>
        <v>0.99999999999999978</v>
      </c>
      <c r="AB122" s="2"/>
      <c r="AC122" s="14">
        <f t="shared" si="27"/>
        <v>4626.6000000000349</v>
      </c>
      <c r="AD122" s="15">
        <f>IFERROR(AC122/AC444, "NA")</f>
        <v>1.0000000000000062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78302.24000000002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84378.87999999999</v>
      </c>
      <c r="F124" s="15">
        <f>IFERROR(E124/E444, "NA")</f>
        <v>0.99999999999999978</v>
      </c>
      <c r="G124" s="2"/>
      <c r="H124" s="14">
        <f t="shared" si="24"/>
        <v>-6076.6399999999703</v>
      </c>
      <c r="I124" s="15">
        <f>IFERROR(H124/H444, "NA")</f>
        <v>0.99999999999999523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80456.61</v>
      </c>
      <c r="L124" s="15">
        <f>IFERROR(K124/K444, "NA")</f>
        <v>1</v>
      </c>
      <c r="M124" s="2"/>
      <c r="N124" s="14">
        <f t="shared" si="25"/>
        <v>-2154.3699999999808</v>
      </c>
      <c r="O124" s="15">
        <f>IFERROR(N124/N444, "NA")</f>
        <v>0.99999999999999323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150813.59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152574.15</v>
      </c>
      <c r="U124" s="15">
        <f>IFERROR(T124/T444, "NA")</f>
        <v>1</v>
      </c>
      <c r="V124" s="2"/>
      <c r="W124" s="14">
        <f t="shared" si="26"/>
        <v>-1760.5599999999977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146186.98999999996</v>
      </c>
      <c r="AA124" s="15">
        <f>IFERROR(Z124/Z444, "NA")</f>
        <v>0.99999999999999978</v>
      </c>
      <c r="AB124" s="2"/>
      <c r="AC124" s="14">
        <f t="shared" si="27"/>
        <v>4626.6000000000349</v>
      </c>
      <c r="AD124" s="15">
        <f>IFERROR(AC124/AC444, "NA")</f>
        <v>1.0000000000000062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17803.939999999999</v>
      </c>
      <c r="F129" s="8">
        <f>IFERROR(E129/E444, "NA")</f>
        <v>0.21099995638719071</v>
      </c>
      <c r="G129" s="9"/>
      <c r="H129" s="10">
        <f t="shared" ref="H129:H141" si="28">IFERROR(-(B129-E129), "NA")</f>
        <v>17803.939999999999</v>
      </c>
      <c r="I129" s="8">
        <f>IFERROR(H129/H444, "NA")</f>
        <v>-2.9298987598409649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32602.31</v>
      </c>
      <c r="U129" s="8">
        <f>IFERROR(T129/T444, "NA")</f>
        <v>0.21368174097643672</v>
      </c>
      <c r="V129" s="9"/>
      <c r="W129" s="10">
        <f t="shared" ref="W129:W141" si="30">IFERROR(-(Q129-T129), "NA")</f>
        <v>32602.31</v>
      </c>
      <c r="X129" s="8">
        <f>IFERROR(W129/W444, "NA")</f>
        <v>-18.518147634843483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3413.06</v>
      </c>
      <c r="C130" s="8">
        <f>IFERROR(B130/B444, "NA")</f>
        <v>4.3588280488527531E-2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-3413.06</v>
      </c>
      <c r="I130" s="8">
        <f>IFERROR(H130/H444, "NA")</f>
        <v>0.56166894862950578</v>
      </c>
      <c r="J130" s="9"/>
      <c r="K130" s="7">
        <v>4410.4799999999996</v>
      </c>
      <c r="L130" s="8">
        <f>IFERROR(K130/K444, "NA")</f>
        <v>5.4818118735054829E-2</v>
      </c>
      <c r="M130" s="9"/>
      <c r="N130" s="10">
        <f t="shared" si="29"/>
        <v>997.41999999999962</v>
      </c>
      <c r="O130" s="8">
        <f>IFERROR(N130/N444, "NA")</f>
        <v>-0.46297525494692265</v>
      </c>
      <c r="P130" s="9"/>
      <c r="Q130" s="7">
        <v>6592.91</v>
      </c>
      <c r="R130" s="8">
        <f>IFERROR(Q130/Q444, "NA")</f>
        <v>4.3715622710128445E-2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-6592.91</v>
      </c>
      <c r="X130" s="8">
        <f>IFERROR(W130/W444, "NA")</f>
        <v>3.7447800699777392</v>
      </c>
      <c r="Y130" s="9"/>
      <c r="Z130" s="7">
        <v>8242.1</v>
      </c>
      <c r="AA130" s="8">
        <f>IFERROR(Z130/Z444, "NA")</f>
        <v>5.6380530168929542E-2</v>
      </c>
      <c r="AB130" s="9"/>
      <c r="AC130" s="10">
        <f t="shared" si="31"/>
        <v>1649.1900000000005</v>
      </c>
      <c r="AD130" s="8">
        <f>IFERROR(AC130/AC444, "NA")</f>
        <v>0.35645830631565262</v>
      </c>
    </row>
    <row r="131" spans="1:30" ht="16.5" customHeight="1" x14ac:dyDescent="0.45">
      <c r="A131" s="12" t="s">
        <v>123</v>
      </c>
      <c r="B131" s="7">
        <v>2000.7</v>
      </c>
      <c r="C131" s="8">
        <f>IFERROR(B131/B444, "NA")</f>
        <v>2.5550993177206677E-2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-2000.7</v>
      </c>
      <c r="I131" s="8">
        <f>IFERROR(H131/H444, "NA")</f>
        <v>0.32924445088074994</v>
      </c>
      <c r="J131" s="9"/>
      <c r="K131" s="7">
        <v>2313.33</v>
      </c>
      <c r="L131" s="8">
        <f>IFERROR(K131/K444, "NA")</f>
        <v>2.8752516418476988E-2</v>
      </c>
      <c r="M131" s="9"/>
      <c r="N131" s="10">
        <f t="shared" si="29"/>
        <v>312.62999999999988</v>
      </c>
      <c r="O131" s="8">
        <f>IFERROR(N131/N444, "NA")</f>
        <v>-0.14511434897441042</v>
      </c>
      <c r="P131" s="9"/>
      <c r="Q131" s="7">
        <v>3925.78</v>
      </c>
      <c r="R131" s="8">
        <f>IFERROR(Q131/Q444, "NA")</f>
        <v>2.603067800454853E-2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-3925.78</v>
      </c>
      <c r="X131" s="8">
        <f>IFERROR(W131/W444, "NA")</f>
        <v>2.2298473213068601</v>
      </c>
      <c r="Y131" s="9"/>
      <c r="Z131" s="7">
        <v>4331.16</v>
      </c>
      <c r="AA131" s="8">
        <f>IFERROR(Z131/Z444, "NA")</f>
        <v>2.9627533886565419E-2</v>
      </c>
      <c r="AB131" s="9"/>
      <c r="AC131" s="10">
        <f t="shared" si="31"/>
        <v>405.37999999999965</v>
      </c>
      <c r="AD131" s="8">
        <f>IFERROR(AC131/AC444, "NA")</f>
        <v>8.7619418147235367E-2</v>
      </c>
    </row>
    <row r="132" spans="1:30" ht="16.5" customHeight="1" x14ac:dyDescent="0.45">
      <c r="A132" s="12" t="s">
        <v>124</v>
      </c>
      <c r="B132" s="7">
        <v>2469.39</v>
      </c>
      <c r="C132" s="8">
        <f>IFERROR(B132/B444, "NA")</f>
        <v>3.153664569493797E-2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-2469.39</v>
      </c>
      <c r="I132" s="8">
        <f>IFERROR(H132/H444, "NA")</f>
        <v>0.40637424629400459</v>
      </c>
      <c r="J132" s="9"/>
      <c r="K132" s="7">
        <v>3060.46</v>
      </c>
      <c r="L132" s="8">
        <f>IFERROR(K132/K444, "NA")</f>
        <v>3.8038639709030743E-2</v>
      </c>
      <c r="M132" s="9"/>
      <c r="N132" s="10">
        <f t="shared" si="29"/>
        <v>591.07000000000016</v>
      </c>
      <c r="O132" s="8">
        <f>IFERROR(N132/N444, "NA")</f>
        <v>-0.27435862920482623</v>
      </c>
      <c r="P132" s="9"/>
      <c r="Q132" s="7">
        <v>4407.09</v>
      </c>
      <c r="R132" s="8">
        <f>IFERROR(Q132/Q444, "NA")</f>
        <v>2.9222101270847012E-2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-4407.09</v>
      </c>
      <c r="X132" s="8">
        <f>IFERROR(W132/W444, "NA")</f>
        <v>2.5032319262053018</v>
      </c>
      <c r="Y132" s="9"/>
      <c r="Z132" s="7">
        <v>5483</v>
      </c>
      <c r="AA132" s="8">
        <f>IFERROR(Z132/Z444, "NA")</f>
        <v>3.7506757612288208E-2</v>
      </c>
      <c r="AB132" s="9"/>
      <c r="AC132" s="10">
        <f t="shared" si="31"/>
        <v>1075.9099999999999</v>
      </c>
      <c r="AD132" s="8">
        <f>IFERROR(AC132/AC444, "NA")</f>
        <v>0.23254873989538721</v>
      </c>
    </row>
    <row r="133" spans="1:30" ht="16.5" customHeight="1" x14ac:dyDescent="0.45">
      <c r="A133" s="12" t="s">
        <v>125</v>
      </c>
      <c r="B133" s="7">
        <v>1614.66</v>
      </c>
      <c r="C133" s="8">
        <f>IFERROR(B133/B444, "NA")</f>
        <v>2.0620866018647741E-2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-1614.66</v>
      </c>
      <c r="I133" s="8">
        <f>IFERROR(H133/H444, "NA")</f>
        <v>0.26571592195687094</v>
      </c>
      <c r="J133" s="9"/>
      <c r="K133" s="7">
        <v>2012.86</v>
      </c>
      <c r="L133" s="8">
        <f>IFERROR(K133/K444, "NA")</f>
        <v>2.5017956883840866E-2</v>
      </c>
      <c r="M133" s="9"/>
      <c r="N133" s="10">
        <f t="shared" si="29"/>
        <v>398.19999999999982</v>
      </c>
      <c r="O133" s="8">
        <f>IFERROR(N133/N444, "NA")</f>
        <v>-0.18483361725237571</v>
      </c>
      <c r="P133" s="9"/>
      <c r="Q133" s="7">
        <v>3290.67</v>
      </c>
      <c r="R133" s="8">
        <f>IFERROR(Q133/Q444, "NA")</f>
        <v>2.1819452742952411E-2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-3290.67</v>
      </c>
      <c r="X133" s="8">
        <f>IFERROR(W133/W444, "NA")</f>
        <v>1.869104148679968</v>
      </c>
      <c r="Y133" s="9"/>
      <c r="Z133" s="7">
        <v>3596.64</v>
      </c>
      <c r="AA133" s="8">
        <f>IFERROR(Z133/Z444, "NA")</f>
        <v>2.4603010158427915E-2</v>
      </c>
      <c r="AB133" s="9"/>
      <c r="AC133" s="10">
        <f t="shared" si="31"/>
        <v>305.9699999999998</v>
      </c>
      <c r="AD133" s="8">
        <f>IFERROR(AC133/AC444, "NA")</f>
        <v>6.6132797302554669E-2</v>
      </c>
    </row>
    <row r="134" spans="1:30" ht="16.5" customHeight="1" x14ac:dyDescent="0.45">
      <c r="A134" s="12" t="s">
        <v>126</v>
      </c>
      <c r="B134" s="7">
        <v>805.02</v>
      </c>
      <c r="C134" s="8">
        <f>IFERROR(B134/B444, "NA")</f>
        <v>1.0280931937579308E-2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-805.02</v>
      </c>
      <c r="I134" s="8">
        <f>IFERROR(H134/H444, "NA")</f>
        <v>0.1324778166881698</v>
      </c>
      <c r="J134" s="9"/>
      <c r="K134" s="7">
        <v>747.5</v>
      </c>
      <c r="L134" s="8">
        <f>IFERROR(K134/K444, "NA")</f>
        <v>9.2907220426015954E-3</v>
      </c>
      <c r="M134" s="9"/>
      <c r="N134" s="10">
        <f t="shared" si="29"/>
        <v>-57.519999999999982</v>
      </c>
      <c r="O134" s="8">
        <f>IFERROR(N134/N444, "NA")</f>
        <v>2.6699220653833886E-2</v>
      </c>
      <c r="P134" s="9"/>
      <c r="Q134" s="7">
        <v>1639.49</v>
      </c>
      <c r="R134" s="8">
        <f>IFERROR(Q134/Q444, "NA")</f>
        <v>1.0870969917233587E-2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-1639.49</v>
      </c>
      <c r="X134" s="8">
        <f>IFERROR(W134/W444, "NA")</f>
        <v>0.93123210796564848</v>
      </c>
      <c r="Y134" s="9"/>
      <c r="Z134" s="7">
        <v>1291.21</v>
      </c>
      <c r="AA134" s="8">
        <f>IFERROR(Z134/Z444, "NA")</f>
        <v>8.8325917374726722E-3</v>
      </c>
      <c r="AB134" s="9"/>
      <c r="AC134" s="10">
        <f t="shared" si="31"/>
        <v>-348.28</v>
      </c>
      <c r="AD134" s="8">
        <f>IFERROR(AC134/AC444, "NA")</f>
        <v>-7.5277741754203847E-2</v>
      </c>
    </row>
    <row r="135" spans="1:30" ht="16.5" customHeight="1" x14ac:dyDescent="0.45">
      <c r="A135" s="12" t="s">
        <v>127</v>
      </c>
      <c r="B135" s="7">
        <v>658.9</v>
      </c>
      <c r="C135" s="8">
        <f>IFERROR(B135/B444, "NA")</f>
        <v>8.4148295119015736E-3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-658.9</v>
      </c>
      <c r="I135" s="8">
        <f>IFERROR(H135/H444, "NA")</f>
        <v>0.10843163327101821</v>
      </c>
      <c r="J135" s="9"/>
      <c r="K135" s="7">
        <v>911.11</v>
      </c>
      <c r="L135" s="8">
        <f>IFERROR(K135/K444, "NA")</f>
        <v>1.1324240481919386E-2</v>
      </c>
      <c r="M135" s="9"/>
      <c r="N135" s="10">
        <f t="shared" si="29"/>
        <v>252.21000000000004</v>
      </c>
      <c r="O135" s="8">
        <f>IFERROR(N135/N444, "NA")</f>
        <v>-0.11706902714018511</v>
      </c>
      <c r="P135" s="9"/>
      <c r="Q135" s="7">
        <v>1223.81</v>
      </c>
      <c r="R135" s="8">
        <f>IFERROR(Q135/Q444, "NA")</f>
        <v>8.1147196350143252E-3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-1223.81</v>
      </c>
      <c r="X135" s="8">
        <f>IFERROR(W135/W444, "NA")</f>
        <v>0.69512541464079702</v>
      </c>
      <c r="Y135" s="9"/>
      <c r="Z135" s="7">
        <v>1423.05</v>
      </c>
      <c r="AA135" s="8">
        <f>IFERROR(Z135/Z444, "NA")</f>
        <v>9.7344503775609586E-3</v>
      </c>
      <c r="AB135" s="9"/>
      <c r="AC135" s="10">
        <f t="shared" si="31"/>
        <v>199.24</v>
      </c>
      <c r="AD135" s="8">
        <f>IFERROR(AC135/AC444, "NA")</f>
        <v>4.3064021095404782E-2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589.51</v>
      </c>
      <c r="L136" s="8">
        <f>IFERROR(K136/K444, "NA")</f>
        <v>7.3270549181726641E-3</v>
      </c>
      <c r="M136" s="9"/>
      <c r="N136" s="10">
        <f t="shared" si="29"/>
        <v>589.51</v>
      </c>
      <c r="O136" s="8">
        <f>IFERROR(N136/N444, "NA")</f>
        <v>-0.27363451960433965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1017.21</v>
      </c>
      <c r="AA136" s="8">
        <f>IFERROR(Z136/Z444, "NA")</f>
        <v>6.9582799399590901E-3</v>
      </c>
      <c r="AB136" s="9"/>
      <c r="AC136" s="10">
        <f t="shared" si="31"/>
        <v>1017.21</v>
      </c>
      <c r="AD136" s="8">
        <f>IFERROR(AC136/AC444, "NA")</f>
        <v>0.21986123719361925</v>
      </c>
    </row>
    <row r="137" spans="1:30" ht="16.5" customHeight="1" x14ac:dyDescent="0.45">
      <c r="A137" s="12" t="s">
        <v>129</v>
      </c>
      <c r="B137" s="7">
        <v>284.49</v>
      </c>
      <c r="C137" s="8">
        <f>IFERROR(B137/B444, "NA")</f>
        <v>3.6332293942037928E-3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-284.49</v>
      </c>
      <c r="I137" s="8">
        <f>IFERROR(H137/H444, "NA")</f>
        <v>4.6816990968693233E-2</v>
      </c>
      <c r="J137" s="9"/>
      <c r="K137" s="7">
        <v>226.02</v>
      </c>
      <c r="L137" s="8">
        <f>IFERROR(K137/K444, "NA")</f>
        <v>2.8092160482525923E-3</v>
      </c>
      <c r="M137" s="9"/>
      <c r="N137" s="10">
        <f t="shared" si="29"/>
        <v>-58.47</v>
      </c>
      <c r="O137" s="8">
        <f>IFERROR(N137/N444, "NA")</f>
        <v>2.7140184833617312E-2</v>
      </c>
      <c r="P137" s="9"/>
      <c r="Q137" s="7">
        <v>876.12</v>
      </c>
      <c r="R137" s="8">
        <f>IFERROR(Q137/Q444, "NA")</f>
        <v>5.8092907940192921E-3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-876.12</v>
      </c>
      <c r="X137" s="8">
        <f>IFERROR(W137/W444, "NA")</f>
        <v>0.49763711546326234</v>
      </c>
      <c r="Y137" s="9"/>
      <c r="Z137" s="7">
        <v>675.85</v>
      </c>
      <c r="AA137" s="8">
        <f>IFERROR(Z137/Z444, "NA")</f>
        <v>4.6231884246334103E-3</v>
      </c>
      <c r="AB137" s="9"/>
      <c r="AC137" s="10">
        <f t="shared" si="31"/>
        <v>-200.26999999999998</v>
      </c>
      <c r="AD137" s="8">
        <f>IFERROR(AC137/AC444, "NA")</f>
        <v>-4.3286646781653858E-2</v>
      </c>
    </row>
    <row r="138" spans="1:30" ht="16.5" customHeight="1" x14ac:dyDescent="0.45">
      <c r="A138" s="12" t="s">
        <v>130</v>
      </c>
      <c r="B138" s="7">
        <v>5624.45</v>
      </c>
      <c r="C138" s="8">
        <f>IFERROR(B138/B444, "NA")</f>
        <v>7.1830001287319492E-2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-5624.45</v>
      </c>
      <c r="I138" s="8">
        <f>IFERROR(H138/H444, "NA")</f>
        <v>0.92558552094578583</v>
      </c>
      <c r="J138" s="9"/>
      <c r="K138" s="7">
        <v>4070.46</v>
      </c>
      <c r="L138" s="8">
        <f>IFERROR(K138/K444, "NA")</f>
        <v>5.0591989893683069E-2</v>
      </c>
      <c r="M138" s="9"/>
      <c r="N138" s="10">
        <f t="shared" si="29"/>
        <v>-1553.9899999999998</v>
      </c>
      <c r="O138" s="8">
        <f>IFERROR(N138/N444, "NA")</f>
        <v>0.72131992183329841</v>
      </c>
      <c r="P138" s="9"/>
      <c r="Q138" s="7">
        <v>10657.12</v>
      </c>
      <c r="R138" s="8">
        <f>IFERROR(Q138/Q444, "NA")</f>
        <v>7.0664188817466653E-2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-10657.12</v>
      </c>
      <c r="X138" s="8">
        <f>IFERROR(W138/W444, "NA")</f>
        <v>6.0532557822511102</v>
      </c>
      <c r="Y138" s="9"/>
      <c r="Z138" s="7">
        <v>7843.58</v>
      </c>
      <c r="AA138" s="8">
        <f>IFERROR(Z138/Z444, "NA")</f>
        <v>5.36544325866481E-2</v>
      </c>
      <c r="AB138" s="9"/>
      <c r="AC138" s="10">
        <f t="shared" si="31"/>
        <v>-2813.5400000000009</v>
      </c>
      <c r="AD138" s="8">
        <f>IFERROR(AC138/AC444, "NA")</f>
        <v>-0.60812259542644653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1.98</v>
      </c>
      <c r="L140" s="8">
        <f>IFERROR(K140/K444, "NA")</f>
        <v>2.4609537985754061E-5</v>
      </c>
      <c r="M140" s="9"/>
      <c r="N140" s="10">
        <f t="shared" si="29"/>
        <v>1.98</v>
      </c>
      <c r="O140" s="8">
        <f>IFERROR(N140/N444, "NA")</f>
        <v>-9.1906218523280783E-4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22.06</v>
      </c>
      <c r="AA140" s="8">
        <f>IFERROR(Z140/Z444, "NA")</f>
        <v>1.509026213618599E-4</v>
      </c>
      <c r="AB140" s="9"/>
      <c r="AC140" s="10">
        <f t="shared" si="31"/>
        <v>22.06</v>
      </c>
      <c r="AD140" s="8">
        <f>IFERROR(AC140/AC444, "NA")</f>
        <v>4.7680802317036208E-3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16870.669999999998</v>
      </c>
      <c r="C141" s="15">
        <f>IFERROR(B141/B444, "NA")</f>
        <v>0.21545577751032405</v>
      </c>
      <c r="D141" s="2"/>
      <c r="E141" s="14">
        <f>IFERROR(E129+E130+E131+E132+E133+E134+E135+E136+E137+E138+E139+E140, "NA")</f>
        <v>17803.939999999999</v>
      </c>
      <c r="F141" s="15">
        <f>IFERROR(E141/E444, "NA")</f>
        <v>0.21099995638719071</v>
      </c>
      <c r="G141" s="2"/>
      <c r="H141" s="14">
        <f t="shared" si="28"/>
        <v>933.27000000000044</v>
      </c>
      <c r="I141" s="15">
        <f>IFERROR(H141/H444, "NA")</f>
        <v>-0.15358323020616665</v>
      </c>
      <c r="J141" s="2"/>
      <c r="K141" s="14">
        <f>IFERROR(K129+K130+K131+K132+K133+K134+K135+K136+K137+K138+K139+K140, "NA")</f>
        <v>18343.710000000003</v>
      </c>
      <c r="L141" s="15">
        <f>IFERROR(K141/K444, "NA")</f>
        <v>0.22799506466901853</v>
      </c>
      <c r="M141" s="2"/>
      <c r="N141" s="14">
        <f t="shared" si="29"/>
        <v>1473.0400000000045</v>
      </c>
      <c r="O141" s="15">
        <f>IFERROR(N141/N444, "NA")</f>
        <v>-0.68374513198754516</v>
      </c>
      <c r="P141" s="2"/>
      <c r="Q141" s="14">
        <f>IFERROR(Q129+Q130+Q131+Q132+Q133+Q134+Q135+Q136+Q137+Q138+Q139+Q140, "NA")</f>
        <v>32612.990000000005</v>
      </c>
      <c r="R141" s="15">
        <f>IFERROR(Q141/Q444, "NA")</f>
        <v>0.21624702389221029</v>
      </c>
      <c r="S141" s="2"/>
      <c r="T141" s="14">
        <f>IFERROR(T129+T130+T131+T132+T133+T134+T135+T136+T137+T138+T139+T140, "NA")</f>
        <v>32602.31</v>
      </c>
      <c r="U141" s="15">
        <f>IFERROR(T141/T444, "NA")</f>
        <v>0.21368174097643672</v>
      </c>
      <c r="V141" s="2"/>
      <c r="W141" s="14">
        <f t="shared" si="30"/>
        <v>-10.680000000003929</v>
      </c>
      <c r="X141" s="15">
        <f>IFERROR(W141/W444, "NA")</f>
        <v>6.0662516472054021E-3</v>
      </c>
      <c r="Y141" s="2"/>
      <c r="Z141" s="14">
        <f>IFERROR(Z129+Z130+Z131+Z132+Z133+Z134+Z135+Z136+Z137+Z138+Z139+Z140, "NA")</f>
        <v>33925.859999999993</v>
      </c>
      <c r="AA141" s="15">
        <f>IFERROR(Z141/Z444, "NA")</f>
        <v>0.23207167751384714</v>
      </c>
      <c r="AB141" s="2"/>
      <c r="AC141" s="14">
        <f t="shared" si="31"/>
        <v>1312.8699999999881</v>
      </c>
      <c r="AD141" s="15">
        <f>IFERROR(AC141/AC444, "NA")</f>
        <v>0.28376561621925095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1012.55</v>
      </c>
      <c r="F143" s="8">
        <f>IFERROR(E143/E444, "NA")</f>
        <v>1.2000040768495623E-2</v>
      </c>
      <c r="G143" s="9"/>
      <c r="H143" s="10">
        <f t="shared" ref="H143:H149" si="32">IFERROR(-(B143-E143), "NA")</f>
        <v>1012.55</v>
      </c>
      <c r="I143" s="8">
        <f>IFERROR(H143/H444, "NA")</f>
        <v>-0.16662991389978674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1830.89</v>
      </c>
      <c r="U143" s="8">
        <f>IFERROR(T143/T444, "NA")</f>
        <v>1.2000001310838043E-2</v>
      </c>
      <c r="V143" s="9"/>
      <c r="W143" s="10">
        <f t="shared" ref="W143:W149" si="34">IFERROR(-(Q143-T143), "NA")</f>
        <v>1830.89</v>
      </c>
      <c r="X143" s="8">
        <f>IFERROR(W143/W444, "NA")</f>
        <v>-1.0399475166992336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1097.72</v>
      </c>
      <c r="C144" s="8">
        <f>IFERROR(B144/B444, "NA")</f>
        <v>1.4019011461230227E-2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-1097.72</v>
      </c>
      <c r="I144" s="8">
        <f>IFERROR(H144/H444, "NA")</f>
        <v>0.18064588325127046</v>
      </c>
      <c r="J144" s="9"/>
      <c r="K144" s="7">
        <v>1141.77</v>
      </c>
      <c r="L144" s="8">
        <f>IFERROR(K144/K444, "NA")</f>
        <v>1.4191127366663845E-2</v>
      </c>
      <c r="M144" s="9"/>
      <c r="N144" s="10">
        <f t="shared" si="33"/>
        <v>44.049999999999955</v>
      </c>
      <c r="O144" s="8">
        <f>IFERROR(N144/N444, "NA")</f>
        <v>-2.0446812757325832E-2</v>
      </c>
      <c r="P144" s="9"/>
      <c r="Q144" s="7">
        <v>2037.46</v>
      </c>
      <c r="R144" s="8">
        <f>IFERROR(Q144/Q444, "NA")</f>
        <v>1.3509790463843478E-2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-2037.46</v>
      </c>
      <c r="X144" s="8">
        <f>IFERROR(W144/W444, "NA")</f>
        <v>1.1572795019766453</v>
      </c>
      <c r="Y144" s="9"/>
      <c r="Z144" s="7">
        <v>1835.45</v>
      </c>
      <c r="AA144" s="8">
        <f>IFERROR(Z144/Z444, "NA")</f>
        <v>1.2555494849439065E-2</v>
      </c>
      <c r="AB144" s="9"/>
      <c r="AC144" s="10">
        <f t="shared" si="35"/>
        <v>-202.01</v>
      </c>
      <c r="AD144" s="8">
        <f>IFERROR(AC144/AC444, "NA")</f>
        <v>-4.3662732892404736E-2</v>
      </c>
    </row>
    <row r="145" spans="1:30" ht="16.5" customHeight="1" x14ac:dyDescent="0.45">
      <c r="A145" s="12" t="s">
        <v>136</v>
      </c>
      <c r="B145" s="7">
        <v>16.97</v>
      </c>
      <c r="C145" s="8">
        <f>IFERROR(B145/B444, "NA")</f>
        <v>2.1672432359534028E-4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-16.97</v>
      </c>
      <c r="I145" s="8">
        <f>IFERROR(H145/H444, "NA")</f>
        <v>2.7926617341162223E-3</v>
      </c>
      <c r="J145" s="9"/>
      <c r="K145" s="7">
        <v>108.6</v>
      </c>
      <c r="L145" s="8">
        <f>IFERROR(K145/K444, "NA")</f>
        <v>1.3497958713398438E-3</v>
      </c>
      <c r="M145" s="9"/>
      <c r="N145" s="10">
        <f t="shared" si="33"/>
        <v>91.63</v>
      </c>
      <c r="O145" s="8">
        <f>IFERROR(N145/N444, "NA")</f>
        <v>-4.2532155572162715E-2</v>
      </c>
      <c r="P145" s="9"/>
      <c r="Q145" s="7">
        <v>36.380000000000003</v>
      </c>
      <c r="R145" s="8">
        <f>IFERROR(Q145/Q444, "NA")</f>
        <v>2.4122494531162613E-4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-36.380000000000003</v>
      </c>
      <c r="X145" s="8">
        <f>IFERROR(W145/W444, "NA")</f>
        <v>2.0663879674649003E-2</v>
      </c>
      <c r="Y145" s="9"/>
      <c r="Z145" s="7">
        <v>116.59</v>
      </c>
      <c r="AA145" s="8">
        <f>IFERROR(Z145/Z444, "NA")</f>
        <v>7.9754019150404571E-4</v>
      </c>
      <c r="AB145" s="9"/>
      <c r="AC145" s="10">
        <f t="shared" si="35"/>
        <v>80.210000000000008</v>
      </c>
      <c r="AD145" s="8">
        <f>IFERROR(AC145/AC444, "NA")</f>
        <v>1.7336705139843492E-2</v>
      </c>
    </row>
    <row r="146" spans="1:30" ht="16.5" customHeight="1" x14ac:dyDescent="0.45">
      <c r="A146" s="12" t="s">
        <v>137</v>
      </c>
      <c r="B146" s="7">
        <v>66.900000000000006</v>
      </c>
      <c r="C146" s="8">
        <f>IFERROR(B146/B444, "NA")</f>
        <v>8.5438168818669814E-4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-66.900000000000006</v>
      </c>
      <c r="I146" s="8">
        <f>IFERROR(H146/H444, "NA")</f>
        <v>1.1009373601200665E-2</v>
      </c>
      <c r="J146" s="9"/>
      <c r="K146" s="7">
        <v>270.33</v>
      </c>
      <c r="L146" s="8">
        <f>IFERROR(K146/K444, "NA")</f>
        <v>3.3599476786307547E-3</v>
      </c>
      <c r="M146" s="9"/>
      <c r="N146" s="10">
        <f t="shared" si="33"/>
        <v>203.42999999999998</v>
      </c>
      <c r="O146" s="8">
        <f>IFERROR(N146/N444, "NA")</f>
        <v>-9.4426676940358625E-2</v>
      </c>
      <c r="P146" s="9"/>
      <c r="Q146" s="7">
        <v>132.28</v>
      </c>
      <c r="R146" s="8">
        <f>IFERROR(Q146/Q444, "NA")</f>
        <v>8.7710928438213031E-4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-132.28</v>
      </c>
      <c r="X146" s="8">
        <f>IFERROR(W146/W444, "NA")</f>
        <v>7.5135184259553872E-2</v>
      </c>
      <c r="Y146" s="9"/>
      <c r="Z146" s="7">
        <v>339.58</v>
      </c>
      <c r="AA146" s="8">
        <f>IFERROR(Z146/Z444, "NA")</f>
        <v>2.3229153291958473E-3</v>
      </c>
      <c r="AB146" s="9"/>
      <c r="AC146" s="10">
        <f t="shared" si="35"/>
        <v>207.29999999999998</v>
      </c>
      <c r="AD146" s="8">
        <f>IFERROR(AC146/AC444, "NA")</f>
        <v>4.4806121125664573E-2</v>
      </c>
    </row>
    <row r="147" spans="1:30" ht="16.5" customHeight="1" x14ac:dyDescent="0.45">
      <c r="A147" s="12" t="s">
        <v>138</v>
      </c>
      <c r="B147" s="7">
        <v>-6.99</v>
      </c>
      <c r="C147" s="8">
        <f>IFERROR(B147/B444, "NA")</f>
        <v>-8.9269476837444233E-5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6.99</v>
      </c>
      <c r="I147" s="8">
        <f>IFERROR(H147/H444, "NA")</f>
        <v>-1.1503067484662577E-3</v>
      </c>
      <c r="J147" s="9"/>
      <c r="K147" s="7">
        <v>5.86</v>
      </c>
      <c r="L147" s="8">
        <f>IFERROR(K147/K444, "NA")</f>
        <v>7.2834289190161009E-5</v>
      </c>
      <c r="M147" s="9"/>
      <c r="N147" s="10">
        <f t="shared" si="33"/>
        <v>12.850000000000001</v>
      </c>
      <c r="O147" s="8">
        <f>IFERROR(N147/N444, "NA")</f>
        <v>-5.9646207475967591E-3</v>
      </c>
      <c r="P147" s="9"/>
      <c r="Q147" s="7">
        <v>6.97</v>
      </c>
      <c r="R147" s="8">
        <f>IFERROR(Q147/Q444, "NA")</f>
        <v>4.6215994195218085E-5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-6.97</v>
      </c>
      <c r="X147" s="8">
        <f>IFERROR(W147/W444, "NA")</f>
        <v>3.9589676012177994E-3</v>
      </c>
      <c r="Y147" s="9"/>
      <c r="Z147" s="7">
        <v>10.63</v>
      </c>
      <c r="AA147" s="8">
        <f>IFERROR(Z147/Z444, "NA")</f>
        <v>7.271508907872035E-5</v>
      </c>
      <c r="AB147" s="9"/>
      <c r="AC147" s="10">
        <f t="shared" si="35"/>
        <v>3.660000000000001</v>
      </c>
      <c r="AD147" s="8">
        <f>IFERROR(AC147/AC444, "NA")</f>
        <v>7.9107768123459917E-4</v>
      </c>
    </row>
    <row r="148" spans="1:30" ht="16.5" customHeight="1" x14ac:dyDescent="0.45">
      <c r="A148" s="13" t="s">
        <v>139</v>
      </c>
      <c r="B148" s="14">
        <f>IFERROR(B143+B144+B145+B146+B147, "NA")</f>
        <v>1174.6000000000001</v>
      </c>
      <c r="C148" s="15">
        <f>IFERROR(B148/B444, "NA")</f>
        <v>1.5000847996174823E-2</v>
      </c>
      <c r="D148" s="2"/>
      <c r="E148" s="14">
        <f>IFERROR(E143+E144+E145+E146+E147, "NA")</f>
        <v>1012.55</v>
      </c>
      <c r="F148" s="15">
        <f>IFERROR(E148/E444, "NA")</f>
        <v>1.2000040768495623E-2</v>
      </c>
      <c r="G148" s="2"/>
      <c r="H148" s="14">
        <f t="shared" si="32"/>
        <v>-162.05000000000018</v>
      </c>
      <c r="I148" s="15">
        <f>IFERROR(H148/H444, "NA")</f>
        <v>2.6667697938334376E-2</v>
      </c>
      <c r="J148" s="2"/>
      <c r="K148" s="14">
        <f>IFERROR(K143+K144+K145+K146+K147, "NA")</f>
        <v>1526.5599999999997</v>
      </c>
      <c r="L148" s="15">
        <f>IFERROR(K148/K444, "NA")</f>
        <v>1.8973705205824601E-2</v>
      </c>
      <c r="M148" s="2"/>
      <c r="N148" s="14">
        <f t="shared" si="33"/>
        <v>351.95999999999958</v>
      </c>
      <c r="O148" s="15">
        <f>IFERROR(N148/N444, "NA")</f>
        <v>-0.16337026601744378</v>
      </c>
      <c r="P148" s="2"/>
      <c r="Q148" s="14">
        <f>IFERROR(Q143+Q144+Q145+Q146+Q147, "NA")</f>
        <v>2213.09</v>
      </c>
      <c r="R148" s="15">
        <f>IFERROR(Q148/Q444, "NA")</f>
        <v>1.4674340687732454E-2</v>
      </c>
      <c r="S148" s="2"/>
      <c r="T148" s="14">
        <f>IFERROR(T143+T144+T145+T146+T147, "NA")</f>
        <v>1830.89</v>
      </c>
      <c r="U148" s="15">
        <f>IFERROR(T148/T444, "NA")</f>
        <v>1.2000001310838043E-2</v>
      </c>
      <c r="V148" s="2"/>
      <c r="W148" s="14">
        <f t="shared" si="34"/>
        <v>-382.20000000000005</v>
      </c>
      <c r="X148" s="15">
        <f>IFERROR(W148/W444, "NA")</f>
        <v>0.2170900168128326</v>
      </c>
      <c r="Y148" s="2"/>
      <c r="Z148" s="14">
        <f>IFERROR(Z143+Z144+Z145+Z146+Z147, "NA")</f>
        <v>2302.25</v>
      </c>
      <c r="AA148" s="15">
        <f>IFERROR(Z148/Z444, "NA")</f>
        <v>1.574866545921768E-2</v>
      </c>
      <c r="AB148" s="2"/>
      <c r="AC148" s="14">
        <f t="shared" si="35"/>
        <v>89.159999999999854</v>
      </c>
      <c r="AD148" s="15">
        <f>IFERROR(AC148/AC444, "NA")</f>
        <v>1.9271171054337902E-2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18045.27</v>
      </c>
      <c r="C149" s="15">
        <f>IFERROR(B149/B444, "NA")</f>
        <v>0.2304566255064989</v>
      </c>
      <c r="D149" s="2"/>
      <c r="E149" s="14">
        <f>IFERROR(E127+E129+E130+E131+E132+E133+E134+E135+E136+E137+E138+E139+E140+E143+E144+E145+E146+E147, "NA")</f>
        <v>18816.489999999998</v>
      </c>
      <c r="F149" s="15">
        <f>IFERROR(E149/E444, "NA")</f>
        <v>0.2229999971556863</v>
      </c>
      <c r="G149" s="2"/>
      <c r="H149" s="14">
        <f t="shared" si="32"/>
        <v>771.21999999999753</v>
      </c>
      <c r="I149" s="15">
        <f>IFERROR(H149/H444, "NA")</f>
        <v>-0.12691553226783184</v>
      </c>
      <c r="J149" s="2"/>
      <c r="K149" s="14">
        <f>IFERROR(K127+K129+K130+K131+K132+K133+K134+K135+K136+K137+K138+K139+K140+K143+K144+K145+K146+K147, "NA")</f>
        <v>19870.270000000004</v>
      </c>
      <c r="L149" s="15">
        <f>IFERROR(K149/K444, "NA")</f>
        <v>0.24696876987484315</v>
      </c>
      <c r="M149" s="2"/>
      <c r="N149" s="14">
        <f t="shared" si="33"/>
        <v>1825.0000000000036</v>
      </c>
      <c r="O149" s="15">
        <f>IFERROR(N149/N444, "NA")</f>
        <v>-0.8471153980049887</v>
      </c>
      <c r="P149" s="2"/>
      <c r="Q149" s="14">
        <f>IFERROR(Q127+Q129+Q130+Q131+Q132+Q133+Q134+Q135+Q136+Q137+Q138+Q139+Q140+Q143+Q144+Q145+Q146+Q147, "NA")</f>
        <v>34826.080000000002</v>
      </c>
      <c r="R149" s="15">
        <f>IFERROR(Q149/Q444, "NA")</f>
        <v>0.23092136457994272</v>
      </c>
      <c r="S149" s="2"/>
      <c r="T149" s="14">
        <f>IFERROR(T127+T129+T130+T131+T132+T133+T134+T135+T136+T137+T138+T139+T140+T143+T144+T145+T146+T147, "NA")</f>
        <v>34433.200000000004</v>
      </c>
      <c r="U149" s="15">
        <f>IFERROR(T149/T444, "NA")</f>
        <v>0.22568174228727478</v>
      </c>
      <c r="V149" s="2"/>
      <c r="W149" s="14">
        <f t="shared" si="34"/>
        <v>-392.87999999999738</v>
      </c>
      <c r="X149" s="15">
        <f>IFERROR(W149/W444, "NA")</f>
        <v>0.22315626846003425</v>
      </c>
      <c r="Y149" s="2"/>
      <c r="Z149" s="14">
        <f>IFERROR(Z127+Z129+Z130+Z131+Z132+Z133+Z134+Z135+Z136+Z137+Z138+Z139+Z140+Z143+Z144+Z145+Z146+Z147, "NA")</f>
        <v>36228.109999999986</v>
      </c>
      <c r="AA149" s="15">
        <f>IFERROR(Z149/Z444, "NA")</f>
        <v>0.24782034297306477</v>
      </c>
      <c r="AB149" s="2"/>
      <c r="AC149" s="14">
        <f t="shared" si="35"/>
        <v>1402.0299999999843</v>
      </c>
      <c r="AD149" s="15">
        <f>IFERROR(AC149/AC444, "NA")</f>
        <v>0.30303678727358807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3459.53</v>
      </c>
      <c r="F153" s="8">
        <f>IFERROR(E153/E444, "NA")</f>
        <v>4.0999951646667983E-2</v>
      </c>
      <c r="G153" s="9"/>
      <c r="H153" s="10">
        <f t="shared" ref="H153:H158" si="36">IFERROR(-(B153-E153), "NA")</f>
        <v>3459.53</v>
      </c>
      <c r="I153" s="8">
        <f>IFERROR(H153/H444, "NA")</f>
        <v>-0.5693162668843309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6255.54</v>
      </c>
      <c r="U153" s="8">
        <f>IFERROR(T153/T444, "NA")</f>
        <v>4.0999999016871472E-2</v>
      </c>
      <c r="V153" s="9"/>
      <c r="W153" s="10">
        <f t="shared" ref="W153:W158" si="38">IFERROR(-(Q153-T153), "NA")</f>
        <v>6255.54</v>
      </c>
      <c r="X153" s="8">
        <f>IFERROR(W153/W444, "NA")</f>
        <v>-3.5531535420548055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2338.35</v>
      </c>
      <c r="C154" s="8">
        <f>IFERROR(B154/B444, "NA")</f>
        <v>2.98631303523373E-2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-2338.35</v>
      </c>
      <c r="I154" s="8">
        <f>IFERROR(H154/H444, "NA")</f>
        <v>0.38480969746438826</v>
      </c>
      <c r="J154" s="9"/>
      <c r="K154" s="7">
        <v>2813.4</v>
      </c>
      <c r="L154" s="8">
        <f>IFERROR(K154/K444, "NA")</f>
        <v>3.4967916247030544E-2</v>
      </c>
      <c r="M154" s="9"/>
      <c r="N154" s="10">
        <f t="shared" si="37"/>
        <v>475.05000000000018</v>
      </c>
      <c r="O154" s="8">
        <f>IFERROR(N154/N444, "NA")</f>
        <v>-0.22050529853275028</v>
      </c>
      <c r="P154" s="9"/>
      <c r="Q154" s="7">
        <v>4603.76</v>
      </c>
      <c r="R154" s="8">
        <f>IFERROR(Q154/Q444, "NA")</f>
        <v>3.0526161468605054E-2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-4603.76</v>
      </c>
      <c r="X154" s="8">
        <f>IFERROR(W154/W444, "NA")</f>
        <v>2.6149407006861489</v>
      </c>
      <c r="Y154" s="9"/>
      <c r="Z154" s="7">
        <v>5073.37</v>
      </c>
      <c r="AA154" s="8">
        <f>IFERROR(Z154/Z444, "NA")</f>
        <v>3.4704661475005401E-2</v>
      </c>
      <c r="AB154" s="9"/>
      <c r="AC154" s="10">
        <f t="shared" si="39"/>
        <v>469.60999999999967</v>
      </c>
      <c r="AD154" s="8">
        <f>IFERROR(AC154/AC444, "NA")</f>
        <v>0.10150218302857369</v>
      </c>
    </row>
    <row r="155" spans="1:30" ht="16.5" customHeight="1" x14ac:dyDescent="0.45">
      <c r="A155" s="12" t="s">
        <v>144</v>
      </c>
      <c r="B155" s="7">
        <v>993.15</v>
      </c>
      <c r="C155" s="8">
        <f>IFERROR(B155/B444, "NA")</f>
        <v>1.2683545196152753E-2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-993.15</v>
      </c>
      <c r="I155" s="8">
        <f>IFERROR(H155/H444, "NA")</f>
        <v>0.16343736012006638</v>
      </c>
      <c r="J155" s="9"/>
      <c r="K155" s="7">
        <v>571.64</v>
      </c>
      <c r="L155" s="8">
        <f>IFERROR(K155/K444, "NA")</f>
        <v>7.1049476233214399E-3</v>
      </c>
      <c r="M155" s="9"/>
      <c r="N155" s="10">
        <f t="shared" si="37"/>
        <v>-421.51</v>
      </c>
      <c r="O155" s="8">
        <f>IFERROR(N155/N444, "NA")</f>
        <v>0.19565348570579841</v>
      </c>
      <c r="P155" s="9"/>
      <c r="Q155" s="7">
        <v>1636.74</v>
      </c>
      <c r="R155" s="8">
        <f>IFERROR(Q155/Q444, "NA")</f>
        <v>1.0852735486238342E-2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-1636.74</v>
      </c>
      <c r="X155" s="8">
        <f>IFERROR(W155/W444, "NA")</f>
        <v>0.92967010496660274</v>
      </c>
      <c r="Y155" s="9"/>
      <c r="Z155" s="7">
        <v>1044.8499999999999</v>
      </c>
      <c r="AA155" s="8">
        <f>IFERROR(Z155/Z444, "NA")</f>
        <v>7.1473528526717735E-3</v>
      </c>
      <c r="AB155" s="9"/>
      <c r="AC155" s="10">
        <f t="shared" si="39"/>
        <v>-591.8900000000001</v>
      </c>
      <c r="AD155" s="8">
        <f>IFERROR(AC155/AC444, "NA")</f>
        <v>-0.12793195867375598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3331.5</v>
      </c>
      <c r="C158" s="15">
        <f>IFERROR(B158/B444, "NA")</f>
        <v>4.2546675548490051E-2</v>
      </c>
      <c r="D158" s="2"/>
      <c r="E158" s="14">
        <f>IFERROR(E153+E154+E155+E156+E157, "NA")</f>
        <v>3459.53</v>
      </c>
      <c r="F158" s="15">
        <f>IFERROR(E158/E444, "NA")</f>
        <v>4.0999951646667983E-2</v>
      </c>
      <c r="G158" s="2"/>
      <c r="H158" s="14">
        <f t="shared" si="36"/>
        <v>128.0300000000002</v>
      </c>
      <c r="I158" s="15">
        <f>IFERROR(H158/H444, "NA")</f>
        <v>-2.1069209299876282E-2</v>
      </c>
      <c r="J158" s="2"/>
      <c r="K158" s="14">
        <f>IFERROR(K153+K154+K155+K156+K157, "NA")</f>
        <v>3385.04</v>
      </c>
      <c r="L158" s="15">
        <f>IFERROR(K158/K444, "NA")</f>
        <v>4.207286387035198E-2</v>
      </c>
      <c r="M158" s="2"/>
      <c r="N158" s="14">
        <f t="shared" si="37"/>
        <v>53.539999999999964</v>
      </c>
      <c r="O158" s="15">
        <f>IFERROR(N158/N444, "NA")</f>
        <v>-2.4851812826951768E-2</v>
      </c>
      <c r="P158" s="2"/>
      <c r="Q158" s="14">
        <f>IFERROR(Q153+Q154+Q155+Q156+Q157, "NA")</f>
        <v>6240.5</v>
      </c>
      <c r="R158" s="15">
        <f>IFERROR(Q158/Q444, "NA")</f>
        <v>4.1378896954843397E-2</v>
      </c>
      <c r="S158" s="2"/>
      <c r="T158" s="14">
        <f>IFERROR(T153+T154+T155+T156+T157, "NA")</f>
        <v>6255.54</v>
      </c>
      <c r="U158" s="15">
        <f>IFERROR(T158/T444, "NA")</f>
        <v>4.0999999016871472E-2</v>
      </c>
      <c r="V158" s="2"/>
      <c r="W158" s="14">
        <f t="shared" si="38"/>
        <v>15.039999999999964</v>
      </c>
      <c r="X158" s="15">
        <f>IFERROR(W158/W444, "NA")</f>
        <v>-8.5427364020538819E-3</v>
      </c>
      <c r="Y158" s="2"/>
      <c r="Z158" s="14">
        <f>IFERROR(Z153+Z154+Z155+Z156+Z157, "NA")</f>
        <v>6118.2199999999993</v>
      </c>
      <c r="AA158" s="15">
        <f>IFERROR(Z158/Z444, "NA")</f>
        <v>4.1852014327677177E-2</v>
      </c>
      <c r="AB158" s="2"/>
      <c r="AC158" s="14">
        <f t="shared" si="39"/>
        <v>-122.28000000000065</v>
      </c>
      <c r="AD158" s="15">
        <f>IFERROR(AC158/AC444, "NA")</f>
        <v>-2.6429775645182316E-2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238.8</v>
      </c>
      <c r="C161" s="8">
        <f>IFERROR(B161/B444, "NA")</f>
        <v>3.0497211829444469E-3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-238.8</v>
      </c>
      <c r="I161" s="8">
        <f>IFERROR(H161/H444, "NA")</f>
        <v>3.9298033123568291E-2</v>
      </c>
      <c r="J161" s="9"/>
      <c r="K161" s="7">
        <v>274.02</v>
      </c>
      <c r="L161" s="8">
        <f>IFERROR(K161/K444, "NA")</f>
        <v>3.4058109085132967E-3</v>
      </c>
      <c r="M161" s="9"/>
      <c r="N161" s="10">
        <f t="shared" si="41"/>
        <v>35.21999999999997</v>
      </c>
      <c r="O161" s="8">
        <f>IFERROR(N161/N444, "NA")</f>
        <v>-1.6348166749444174E-2</v>
      </c>
      <c r="P161" s="9"/>
      <c r="Q161" s="7">
        <v>433.71</v>
      </c>
      <c r="R161" s="8">
        <f>IFERROR(Q161/Q444, "NA")</f>
        <v>2.8758018425262604E-3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-433.71</v>
      </c>
      <c r="X161" s="8">
        <f>IFERROR(W161/W444, "NA")</f>
        <v>0.24634775298768605</v>
      </c>
      <c r="Y161" s="9"/>
      <c r="Z161" s="7">
        <v>534.72</v>
      </c>
      <c r="AA161" s="8">
        <f>IFERROR(Z161/Z444, "NA")</f>
        <v>3.6577810378338048E-3</v>
      </c>
      <c r="AB161" s="9"/>
      <c r="AC161" s="10">
        <f t="shared" si="43"/>
        <v>101.01000000000005</v>
      </c>
      <c r="AD161" s="8">
        <f>IFERROR(AC161/AC444, "NA")</f>
        <v>2.183244715341718E-2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238.8</v>
      </c>
      <c r="C166" s="15">
        <f>IFERROR(B166/B444, "NA")</f>
        <v>3.0497211829444469E-3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-238.8</v>
      </c>
      <c r="I166" s="15">
        <f>IFERROR(H166/H444, "NA")</f>
        <v>3.9298033123568291E-2</v>
      </c>
      <c r="J166" s="2"/>
      <c r="K166" s="14">
        <f>IFERROR(K160+K161+K162+K163+K164+K165, "NA")</f>
        <v>274.02</v>
      </c>
      <c r="L166" s="15">
        <f>IFERROR(K166/K444, "NA")</f>
        <v>3.4058109085132967E-3</v>
      </c>
      <c r="M166" s="2"/>
      <c r="N166" s="14">
        <f t="shared" si="41"/>
        <v>35.21999999999997</v>
      </c>
      <c r="O166" s="15">
        <f>IFERROR(N166/N444, "NA")</f>
        <v>-1.6348166749444174E-2</v>
      </c>
      <c r="P166" s="2"/>
      <c r="Q166" s="14">
        <f>IFERROR(Q160+Q161+Q162+Q163+Q164+Q165, "NA")</f>
        <v>433.71</v>
      </c>
      <c r="R166" s="15">
        <f>IFERROR(Q166/Q444, "NA")</f>
        <v>2.8758018425262604E-3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-433.71</v>
      </c>
      <c r="X166" s="15">
        <f>IFERROR(W166/W444, "NA")</f>
        <v>0.24634775298768605</v>
      </c>
      <c r="Y166" s="2"/>
      <c r="Z166" s="14">
        <f>IFERROR(Z160+Z161+Z162+Z163+Z164+Z165, "NA")</f>
        <v>534.72</v>
      </c>
      <c r="AA166" s="15">
        <f>IFERROR(Z166/Z444, "NA")</f>
        <v>3.6577810378338048E-3</v>
      </c>
      <c r="AB166" s="2"/>
      <c r="AC166" s="14">
        <f t="shared" si="43"/>
        <v>101.01000000000005</v>
      </c>
      <c r="AD166" s="15">
        <f>IFERROR(AC166/AC444, "NA")</f>
        <v>2.183244715341718E-2</v>
      </c>
    </row>
    <row r="167" spans="1:30" ht="16.5" customHeight="1" x14ac:dyDescent="0.45">
      <c r="A167" s="6" t="s">
        <v>155</v>
      </c>
      <c r="B167" s="7">
        <v>253.92</v>
      </c>
      <c r="C167" s="8">
        <f>IFERROR(B167/B444, "NA")</f>
        <v>3.242819107090678E-3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-253.92</v>
      </c>
      <c r="I167" s="8">
        <f>IFERROR(H167/H444, "NA")</f>
        <v>4.1786250296216333E-2</v>
      </c>
      <c r="J167" s="9"/>
      <c r="K167" s="7">
        <v>255.19</v>
      </c>
      <c r="L167" s="8">
        <f>IFERROR(K167/K444, "NA")</f>
        <v>3.1717717164568577E-3</v>
      </c>
      <c r="M167" s="9"/>
      <c r="N167" s="10">
        <f t="shared" si="41"/>
        <v>1.2700000000000102</v>
      </c>
      <c r="O167" s="8">
        <f>IFERROR(N167/N444, "NA")</f>
        <v>-5.8949948244731078E-4</v>
      </c>
      <c r="P167" s="9"/>
      <c r="Q167" s="7">
        <v>506.5</v>
      </c>
      <c r="R167" s="8">
        <f>IFERROR(Q167/Q444, "NA")</f>
        <v>3.3584506542149151E-3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-506.5</v>
      </c>
      <c r="X167" s="8">
        <f>IFERROR(W167/W444, "NA")</f>
        <v>0.28769255236970093</v>
      </c>
      <c r="Y167" s="9"/>
      <c r="Z167" s="7">
        <v>521.75</v>
      </c>
      <c r="AA167" s="8">
        <f>IFERROR(Z167/Z444, "NA")</f>
        <v>3.5690590523821584E-3</v>
      </c>
      <c r="AB167" s="9"/>
      <c r="AC167" s="10">
        <f t="shared" si="43"/>
        <v>15.25</v>
      </c>
      <c r="AD167" s="8">
        <f>IFERROR(AC167/AC444, "NA")</f>
        <v>3.2961570051441621E-3</v>
      </c>
    </row>
    <row r="168" spans="1:30" ht="16.5" customHeight="1" x14ac:dyDescent="0.45">
      <c r="A168" s="6" t="s">
        <v>156</v>
      </c>
      <c r="B168" s="7">
        <v>18</v>
      </c>
      <c r="C168" s="8">
        <f>IFERROR(B168/B444, "NA")</f>
        <v>2.2987848112646585E-4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-18</v>
      </c>
      <c r="I168" s="8">
        <f>IFERROR(H168/H444, "NA")</f>
        <v>2.9621633007714792E-3</v>
      </c>
      <c r="J168" s="9"/>
      <c r="K168" s="7">
        <v>35.6</v>
      </c>
      <c r="L168" s="8">
        <f>IFERROR(K168/K444, "NA")</f>
        <v>4.4247452136002253E-4</v>
      </c>
      <c r="M168" s="9"/>
      <c r="N168" s="10">
        <f t="shared" si="41"/>
        <v>17.600000000000001</v>
      </c>
      <c r="O168" s="8">
        <f>IFERROR(N168/N444, "NA")</f>
        <v>-8.1694416465138489E-3</v>
      </c>
      <c r="P168" s="9"/>
      <c r="Q168" s="7">
        <v>48.31</v>
      </c>
      <c r="R168" s="8">
        <f>IFERROR(Q168/Q444, "NA")</f>
        <v>3.2032922232008406E-4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-48.31</v>
      </c>
      <c r="X168" s="8">
        <f>IFERROR(W168/W444, "NA")</f>
        <v>2.7440132685054793E-2</v>
      </c>
      <c r="Y168" s="9"/>
      <c r="Z168" s="7">
        <v>65.400000000000006</v>
      </c>
      <c r="AA168" s="8">
        <f>IFERROR(Z168/Z444, "NA")</f>
        <v>4.4737223196127102E-4</v>
      </c>
      <c r="AB168" s="9"/>
      <c r="AC168" s="10">
        <f t="shared" si="43"/>
        <v>17.090000000000003</v>
      </c>
      <c r="AD168" s="8">
        <f>IFERROR(AC168/AC444, "NA")</f>
        <v>3.6938572601910649E-3</v>
      </c>
    </row>
    <row r="169" spans="1:30" ht="16.5" customHeight="1" x14ac:dyDescent="0.45">
      <c r="A169" s="6" t="s">
        <v>157</v>
      </c>
      <c r="B169" s="7">
        <v>-689.78</v>
      </c>
      <c r="C169" s="8">
        <f>IFERROR(B169/B444, "NA")</f>
        <v>-8.8091988173007556E-3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689.78</v>
      </c>
      <c r="I169" s="8">
        <f>IFERROR(H169/H444, "NA")</f>
        <v>-0.11351338897811949</v>
      </c>
      <c r="J169" s="9"/>
      <c r="K169" s="7">
        <v>-1257.69</v>
      </c>
      <c r="L169" s="8">
        <f>IFERROR(K169/K444, "NA")</f>
        <v>-1.5631903954193446E-2</v>
      </c>
      <c r="M169" s="9"/>
      <c r="N169" s="10">
        <f t="shared" si="41"/>
        <v>-567.91000000000008</v>
      </c>
      <c r="O169" s="8">
        <f>IFERROR(N169/N444, "NA")</f>
        <v>0.2636083866745273</v>
      </c>
      <c r="P169" s="9"/>
      <c r="Q169" s="7">
        <v>-1718.02</v>
      </c>
      <c r="R169" s="8">
        <f>IFERROR(Q169/Q444, "NA")</f>
        <v>-1.139167895943595E-2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1718.02</v>
      </c>
      <c r="X169" s="8">
        <f>IFERROR(W169/W444, "NA")</f>
        <v>-0.97583723360748975</v>
      </c>
      <c r="Y169" s="9"/>
      <c r="Z169" s="7">
        <v>-3564.87</v>
      </c>
      <c r="AA169" s="8">
        <f>IFERROR(Z169/Z444, "NA")</f>
        <v>-2.4385685757672419E-2</v>
      </c>
      <c r="AB169" s="9"/>
      <c r="AC169" s="10">
        <f t="shared" si="43"/>
        <v>-1846.85</v>
      </c>
      <c r="AD169" s="8">
        <f>IFERROR(AC169/AC444, "NA")</f>
        <v>-0.39918082393118004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3152.4400000000005</v>
      </c>
      <c r="C170" s="15">
        <f>IFERROR(B170/B444, "NA")</f>
        <v>4.0259895502350894E-2</v>
      </c>
      <c r="D170" s="2"/>
      <c r="E170" s="14">
        <f>IFERROR(E151+E153+E154+E155+E156+E157+E160+E161+E162+E163+E164+E165+E167+E168+E169, "NA")</f>
        <v>3459.53</v>
      </c>
      <c r="F170" s="15">
        <f>IFERROR(E170/E444, "NA")</f>
        <v>4.0999951646667983E-2</v>
      </c>
      <c r="G170" s="2"/>
      <c r="H170" s="14">
        <f t="shared" si="40"/>
        <v>307.08999999999969</v>
      </c>
      <c r="I170" s="15">
        <f>IFERROR(H170/H444, "NA")</f>
        <v>-5.0536151557439589E-2</v>
      </c>
      <c r="J170" s="2"/>
      <c r="K170" s="14">
        <f>IFERROR(K151+K153+K154+K155+K156+K157+K160+K161+K162+K163+K164+K165+K167+K168+K169, "NA")</f>
        <v>2692.16</v>
      </c>
      <c r="L170" s="15">
        <f>IFERROR(K170/K444, "NA")</f>
        <v>3.3461017062488711E-2</v>
      </c>
      <c r="M170" s="2"/>
      <c r="N170" s="14">
        <f t="shared" si="41"/>
        <v>-460.28000000000065</v>
      </c>
      <c r="O170" s="15">
        <f>IFERROR(N170/N444, "NA")</f>
        <v>0.21364946596917039</v>
      </c>
      <c r="P170" s="2"/>
      <c r="Q170" s="14">
        <f>IFERROR(Q151+Q153+Q154+Q155+Q156+Q157+Q160+Q161+Q162+Q163+Q164+Q165+Q167+Q168+Q169, "NA")</f>
        <v>5511</v>
      </c>
      <c r="R170" s="15">
        <f>IFERROR(Q170/Q444, "NA")</f>
        <v>3.6541799714468706E-2</v>
      </c>
      <c r="S170" s="2"/>
      <c r="T170" s="14">
        <f>IFERROR(T151+T153+T154+T155+T156+T157+T160+T161+T162+T163+T164+T165+T167+T168+T169, "NA")</f>
        <v>6255.54</v>
      </c>
      <c r="U170" s="15">
        <f>IFERROR(T170/T444, "NA")</f>
        <v>4.0999999016871472E-2</v>
      </c>
      <c r="V170" s="2"/>
      <c r="W170" s="14">
        <f t="shared" si="42"/>
        <v>744.54</v>
      </c>
      <c r="X170" s="15">
        <f>IFERROR(W170/W444, "NA")</f>
        <v>-0.42289953196710189</v>
      </c>
      <c r="Y170" s="2"/>
      <c r="Z170" s="14">
        <f>IFERROR(Z151+Z153+Z154+Z155+Z156+Z157+Z160+Z161+Z162+Z163+Z164+Z165+Z167+Z168+Z169, "NA")</f>
        <v>3675.2199999999993</v>
      </c>
      <c r="AA170" s="15">
        <f>IFERROR(Z170/Z444, "NA")</f>
        <v>2.5140540892181991E-2</v>
      </c>
      <c r="AB170" s="2"/>
      <c r="AC170" s="14">
        <f t="shared" si="43"/>
        <v>-1835.7800000000007</v>
      </c>
      <c r="AD170" s="15">
        <f>IFERROR(AC170/AC444, "NA")</f>
        <v>-0.39678813815760999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21197.71</v>
      </c>
      <c r="C171" s="15">
        <f>IFERROR(B171/B444, "NA")</f>
        <v>0.2707165210088498</v>
      </c>
      <c r="D171" s="2"/>
      <c r="E171" s="14">
        <f>IFERROR(E127+E129+E130+E131+E132+E133+E134+E135+E136+E137+E138+E139+E140+E143+E144+E145+E146+E147+E151+E153+E154+E155+E156+E157+E160+E161+E162+E163+E164+E165+E167+E168+E169, "NA")</f>
        <v>22276.019999999997</v>
      </c>
      <c r="F171" s="15">
        <f>IFERROR(E171/E444, "NA")</f>
        <v>0.26399994880235428</v>
      </c>
      <c r="G171" s="2"/>
      <c r="H171" s="14">
        <f t="shared" si="40"/>
        <v>1078.3099999999977</v>
      </c>
      <c r="I171" s="15">
        <f>IFERROR(H171/H444, "NA")</f>
        <v>-0.17745168382527149</v>
      </c>
      <c r="J171" s="2"/>
      <c r="K171" s="14">
        <f>IFERROR(K127+K129+K130+K131+K132+K133+K134+K135+K136+K137+K138+K139+K140+K143+K144+K145+K146+K147+K151+K153+K154+K155+K156+K157+K160+K161+K162+K163+K164+K165+K167+K168+K169, "NA")</f>
        <v>22562.430000000004</v>
      </c>
      <c r="L171" s="15">
        <f>IFERROR(K171/K444, "NA")</f>
        <v>0.28042978693733184</v>
      </c>
      <c r="M171" s="2"/>
      <c r="N171" s="14">
        <f t="shared" si="41"/>
        <v>1364.7200000000048</v>
      </c>
      <c r="O171" s="15">
        <f>IFERROR(N171/N444, "NA")</f>
        <v>-0.63346593203581913</v>
      </c>
      <c r="P171" s="2"/>
      <c r="Q171" s="14">
        <f>IFERROR(Q127+Q129+Q130+Q131+Q132+Q133+Q134+Q135+Q136+Q137+Q138+Q139+Q140+Q143+Q144+Q145+Q146+Q147+Q151+Q153+Q154+Q155+Q156+Q157+Q160+Q161+Q162+Q163+Q164+Q165+Q167+Q168+Q169, "NA")</f>
        <v>40337.08</v>
      </c>
      <c r="R171" s="15">
        <f>IFERROR(Q171/Q444, "NA")</f>
        <v>0.26746316429441142</v>
      </c>
      <c r="S171" s="2"/>
      <c r="T171" s="14">
        <f>IFERROR(T127+T129+T130+T131+T132+T133+T134+T135+T136+T137+T138+T139+T140+T143+T144+T145+T146+T147+T151+T153+T154+T155+T156+T157+T160+T161+T162+T163+T164+T165+T167+T168+T169, "NA")</f>
        <v>40688.740000000005</v>
      </c>
      <c r="U171" s="15">
        <f>IFERROR(T171/T444, "NA")</f>
        <v>0.26668174130414624</v>
      </c>
      <c r="V171" s="2"/>
      <c r="W171" s="14">
        <f t="shared" si="42"/>
        <v>351.66000000000349</v>
      </c>
      <c r="X171" s="15">
        <f>IFERROR(W171/W444, "NA")</f>
        <v>-0.19974326350706817</v>
      </c>
      <c r="Y171" s="2"/>
      <c r="Z171" s="14">
        <f>IFERROR(Z127+Z129+Z130+Z131+Z132+Z133+Z134+Z135+Z136+Z137+Z138+Z139+Z140+Z143+Z144+Z145+Z146+Z147+Z151+Z153+Z154+Z155+Z156+Z157+Z160+Z161+Z162+Z163+Z164+Z165+Z167+Z168+Z169, "NA")</f>
        <v>39903.329999999987</v>
      </c>
      <c r="AA171" s="15">
        <f>IFERROR(Z171/Z444, "NA")</f>
        <v>0.27296088386524675</v>
      </c>
      <c r="AB171" s="2"/>
      <c r="AC171" s="14">
        <f t="shared" si="43"/>
        <v>-433.75000000001455</v>
      </c>
      <c r="AD171" s="15">
        <f>IFERROR(AC171/AC444, "NA")</f>
        <v>-9.3751350884021534E-2</v>
      </c>
    </row>
    <row r="172" spans="1:30" ht="16.5" customHeight="1" x14ac:dyDescent="0.45">
      <c r="A172" s="22" t="s">
        <v>160</v>
      </c>
      <c r="B172" s="23">
        <f>IFERROR(B124-B171, "NA")</f>
        <v>57104.530000000021</v>
      </c>
      <c r="C172" s="24">
        <f>IFERROR(B172/B444, "NA")</f>
        <v>0.72928347899115042</v>
      </c>
      <c r="D172" s="25"/>
      <c r="E172" s="23">
        <f>IFERROR(E124-E171, "NA")</f>
        <v>62102.859999999993</v>
      </c>
      <c r="F172" s="24">
        <f>IFERROR(E172/E444, "NA")</f>
        <v>0.73600005119764556</v>
      </c>
      <c r="G172" s="25"/>
      <c r="H172" s="23">
        <f>IFERROR(B172-E172, "NA")</f>
        <v>-4998.3299999999726</v>
      </c>
      <c r="I172" s="24">
        <f>IFERROR(H172/H444, "NA")</f>
        <v>0.82254831617472368</v>
      </c>
      <c r="J172" s="25"/>
      <c r="K172" s="23">
        <f>IFERROR(K124-K171, "NA")</f>
        <v>57894.179999999993</v>
      </c>
      <c r="L172" s="24">
        <f>IFERROR(K172/K444, "NA")</f>
        <v>0.71957021306266811</v>
      </c>
      <c r="M172" s="25"/>
      <c r="N172" s="23">
        <f>IFERROR(B172-K172, "NA")</f>
        <v>-789.64999999997235</v>
      </c>
      <c r="O172" s="24">
        <f>IFERROR(N172/N444, "NA")</f>
        <v>0.36653406796417237</v>
      </c>
      <c r="P172" s="25"/>
      <c r="Q172" s="23">
        <f>IFERROR(Q124-Q171, "NA")</f>
        <v>110476.51</v>
      </c>
      <c r="R172" s="24">
        <f>IFERROR(Q172/Q444, "NA")</f>
        <v>0.73253683570558858</v>
      </c>
      <c r="S172" s="25"/>
      <c r="T172" s="23">
        <f>IFERROR(T124-T171, "NA")</f>
        <v>111885.40999999999</v>
      </c>
      <c r="U172" s="24">
        <f>IFERROR(T172/T444, "NA")</f>
        <v>0.73331825869585376</v>
      </c>
      <c r="V172" s="25"/>
      <c r="W172" s="23">
        <f>IFERROR(Q172-T172, "NA")</f>
        <v>-1408.8999999999942</v>
      </c>
      <c r="X172" s="24">
        <f>IFERROR(W172/W444, "NA")</f>
        <v>0.80025673649293183</v>
      </c>
      <c r="Y172" s="25"/>
      <c r="Z172" s="23">
        <f>IFERROR(Z124-Z171, "NA")</f>
        <v>106283.65999999997</v>
      </c>
      <c r="AA172" s="24">
        <f>IFERROR(Z172/Z444, "NA")</f>
        <v>0.72703911613475303</v>
      </c>
      <c r="AB172" s="25"/>
      <c r="AC172" s="23">
        <f>IFERROR(Q172-Z172, "NA")</f>
        <v>4192.8500000000204</v>
      </c>
      <c r="AD172" s="24">
        <f>IFERROR(AC172/AC444, "NA")</f>
        <v>0.90624864911598479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5640</v>
      </c>
      <c r="C178" s="8">
        <f>IFERROR(B178/B444, "NA")</f>
        <v>7.2028590752959296E-2</v>
      </c>
      <c r="D178" s="9"/>
      <c r="E178" s="7">
        <v>5640</v>
      </c>
      <c r="F178" s="8">
        <f>IFERROR(E178/E444, "NA")</f>
        <v>6.6841370731633321E-2</v>
      </c>
      <c r="G178" s="9"/>
      <c r="H178" s="10">
        <f t="shared" si="44"/>
        <v>0</v>
      </c>
      <c r="I178" s="8">
        <f>IFERROR(H178/H444, "NA")</f>
        <v>0</v>
      </c>
      <c r="J178" s="9"/>
      <c r="K178" s="7">
        <v>5640</v>
      </c>
      <c r="L178" s="8">
        <f>IFERROR(K178/K444, "NA")</f>
        <v>7.0099896080632773E-2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11280</v>
      </c>
      <c r="R178" s="8">
        <f>IFERROR(Q178/Q444, "NA")</f>
        <v>7.4794320591400287E-2</v>
      </c>
      <c r="S178" s="9"/>
      <c r="T178" s="7">
        <v>11280</v>
      </c>
      <c r="U178" s="8">
        <f>IFERROR(T178/T444, "NA")</f>
        <v>7.3931265551864453E-2</v>
      </c>
      <c r="V178" s="9"/>
      <c r="W178" s="10">
        <f t="shared" si="46"/>
        <v>0</v>
      </c>
      <c r="X178" s="8">
        <f>IFERROR(W178/W444, "NA")</f>
        <v>0</v>
      </c>
      <c r="Y178" s="9"/>
      <c r="Z178" s="7">
        <v>11280</v>
      </c>
      <c r="AA178" s="8">
        <f>IFERROR(Z178/Z444, "NA")</f>
        <v>7.7161449182310965E-2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13687.1</v>
      </c>
      <c r="C180" s="8">
        <f>IFERROR(B180/B444, "NA")</f>
        <v>0.17479831994589171</v>
      </c>
      <c r="D180" s="9"/>
      <c r="E180" s="7">
        <v>17382.05</v>
      </c>
      <c r="F180" s="8">
        <f>IFERROR(E180/E444, "NA")</f>
        <v>0.20600000853294093</v>
      </c>
      <c r="G180" s="9"/>
      <c r="H180" s="10">
        <f t="shared" si="44"/>
        <v>3694.9499999999989</v>
      </c>
      <c r="I180" s="8">
        <f>IFERROR(H180/H444, "NA")</f>
        <v>-0.60805807156586522</v>
      </c>
      <c r="J180" s="9"/>
      <c r="K180" s="7">
        <v>16499.47</v>
      </c>
      <c r="L180" s="8">
        <f>IFERROR(K180/K444, "NA")</f>
        <v>0.20507289581303514</v>
      </c>
      <c r="M180" s="9"/>
      <c r="N180" s="10">
        <f t="shared" si="45"/>
        <v>2812.3700000000008</v>
      </c>
      <c r="O180" s="8">
        <f>IFERROR(N180/N444, "NA")</f>
        <v>-1.3054257161026226</v>
      </c>
      <c r="P180" s="9"/>
      <c r="Q180" s="7">
        <v>27146.93</v>
      </c>
      <c r="R180" s="8">
        <f>IFERROR(Q180/Q444, "NA")</f>
        <v>0.18000320793371474</v>
      </c>
      <c r="S180" s="9"/>
      <c r="T180" s="7">
        <v>31975.84</v>
      </c>
      <c r="U180" s="8">
        <f>IFERROR(T180/T444, "NA")</f>
        <v>0.20957573743651858</v>
      </c>
      <c r="V180" s="9"/>
      <c r="W180" s="10">
        <f t="shared" si="46"/>
        <v>4828.91</v>
      </c>
      <c r="X180" s="8">
        <f>IFERROR(W180/W444, "NA")</f>
        <v>-2.7428261462262045</v>
      </c>
      <c r="Y180" s="9"/>
      <c r="Z180" s="7">
        <v>30687.03</v>
      </c>
      <c r="AA180" s="8">
        <f>IFERROR(Z180/Z444, "NA")</f>
        <v>0.20991628598413581</v>
      </c>
      <c r="AB180" s="9"/>
      <c r="AC180" s="10">
        <f t="shared" si="47"/>
        <v>3540.0999999999985</v>
      </c>
      <c r="AD180" s="8">
        <f>IFERROR(AC180/AC444, "NA")</f>
        <v>0.76516232222366187</v>
      </c>
    </row>
    <row r="181" spans="1:30" ht="16.5" hidden="1" customHeight="1" x14ac:dyDescent="0.45">
      <c r="A181" s="12" t="s">
        <v>166</v>
      </c>
      <c r="B181" s="7">
        <v>0</v>
      </c>
      <c r="C181" s="8">
        <f>IFERROR(B181/B444, "NA")</f>
        <v>0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0</v>
      </c>
      <c r="I181" s="8">
        <f>IFERROR(H181/H444, "NA")</f>
        <v>0</v>
      </c>
      <c r="J181" s="9"/>
      <c r="K181" s="7">
        <v>0</v>
      </c>
      <c r="L181" s="8">
        <f>IFERROR(K181/K444, "NA")</f>
        <v>0</v>
      </c>
      <c r="M181" s="9"/>
      <c r="N181" s="10">
        <f t="shared" si="45"/>
        <v>0</v>
      </c>
      <c r="O181" s="8">
        <f>IFERROR(N181/N444, "NA")</f>
        <v>0</v>
      </c>
      <c r="P181" s="9"/>
      <c r="Q181" s="7">
        <v>0</v>
      </c>
      <c r="R181" s="8">
        <f>IFERROR(Q181/Q444, "NA")</f>
        <v>0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0</v>
      </c>
      <c r="X181" s="8">
        <f>IFERROR(W181/W444, "NA")</f>
        <v>0</v>
      </c>
      <c r="Y181" s="9"/>
      <c r="Z181" s="7">
        <v>0</v>
      </c>
      <c r="AA181" s="8">
        <f>IFERROR(Z181/Z444, "NA")</f>
        <v>0</v>
      </c>
      <c r="AB181" s="9"/>
      <c r="AC181" s="10">
        <f t="shared" si="47"/>
        <v>0</v>
      </c>
      <c r="AD181" s="8">
        <f>IFERROR(AC181/AC444, "NA")</f>
        <v>0</v>
      </c>
    </row>
    <row r="182" spans="1:30" ht="16.5" customHeight="1" x14ac:dyDescent="0.45">
      <c r="A182" s="13" t="s">
        <v>167</v>
      </c>
      <c r="B182" s="14">
        <f>IFERROR(B177+B178+B179+B180+B181, "NA")</f>
        <v>19327.099999999999</v>
      </c>
      <c r="C182" s="15">
        <f>IFERROR(B182/B444, "NA")</f>
        <v>0.24682691069885099</v>
      </c>
      <c r="D182" s="2"/>
      <c r="E182" s="14">
        <f>IFERROR(E177+E178+E179+E180+E181, "NA")</f>
        <v>23022.05</v>
      </c>
      <c r="F182" s="15">
        <f>IFERROR(E182/E444, "NA")</f>
        <v>0.27284137926457425</v>
      </c>
      <c r="G182" s="2"/>
      <c r="H182" s="14">
        <f t="shared" si="44"/>
        <v>3694.9500000000007</v>
      </c>
      <c r="I182" s="15">
        <f>IFERROR(H182/H444, "NA")</f>
        <v>-0.60805807156586555</v>
      </c>
      <c r="J182" s="2"/>
      <c r="K182" s="14">
        <f>IFERROR(K177+K178+K179+K180+K181, "NA")</f>
        <v>22139.47</v>
      </c>
      <c r="L182" s="15">
        <f>IFERROR(K182/K444, "NA")</f>
        <v>0.27517279189366789</v>
      </c>
      <c r="M182" s="2"/>
      <c r="N182" s="14">
        <f t="shared" si="45"/>
        <v>2812.3700000000026</v>
      </c>
      <c r="O182" s="15">
        <f>IFERROR(N182/N444, "NA")</f>
        <v>-1.3054257161026233</v>
      </c>
      <c r="P182" s="2"/>
      <c r="Q182" s="14">
        <f>IFERROR(Q177+Q178+Q179+Q180+Q181, "NA")</f>
        <v>38426.93</v>
      </c>
      <c r="R182" s="15">
        <f>IFERROR(Q182/Q444, "NA")</f>
        <v>0.254797528525115</v>
      </c>
      <c r="S182" s="2"/>
      <c r="T182" s="14">
        <f>IFERROR(T177+T178+T179+T180+T181, "NA")</f>
        <v>43255.839999999997</v>
      </c>
      <c r="U182" s="15">
        <f>IFERROR(T182/T444, "NA")</f>
        <v>0.28350700298838299</v>
      </c>
      <c r="V182" s="2"/>
      <c r="W182" s="14">
        <f t="shared" si="46"/>
        <v>4828.9099999999962</v>
      </c>
      <c r="X182" s="15">
        <f>IFERROR(W182/W444, "NA")</f>
        <v>-2.7428261462262022</v>
      </c>
      <c r="Y182" s="2"/>
      <c r="Z182" s="14">
        <f>IFERROR(Z177+Z178+Z179+Z180+Z181, "NA")</f>
        <v>41967.03</v>
      </c>
      <c r="AA182" s="15">
        <f>IFERROR(Z182/Z444, "NA")</f>
        <v>0.28707773516644675</v>
      </c>
      <c r="AB182" s="2"/>
      <c r="AC182" s="14">
        <f t="shared" si="47"/>
        <v>3540.0999999999985</v>
      </c>
      <c r="AD182" s="15">
        <f>IFERROR(AC182/AC444, "NA")</f>
        <v>0.76516232222366187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293</v>
      </c>
      <c r="C184" s="8">
        <f>IFERROR(B184/B444, "NA")</f>
        <v>3.7419108316696938E-3</v>
      </c>
      <c r="D184" s="9"/>
      <c r="E184" s="7">
        <v>292.5</v>
      </c>
      <c r="F184" s="8">
        <f>IFERROR(E184/E444, "NA")</f>
        <v>3.4665072586884298E-3</v>
      </c>
      <c r="G184" s="9"/>
      <c r="H184" s="10">
        <f t="shared" si="44"/>
        <v>-0.5</v>
      </c>
      <c r="I184" s="8">
        <f>IFERROR(H184/H444, "NA")</f>
        <v>8.2282313910318864E-5</v>
      </c>
      <c r="J184" s="9"/>
      <c r="K184" s="7">
        <v>500</v>
      </c>
      <c r="L184" s="8">
        <f>IFERROR(K184/K444, "NA")</f>
        <v>6.2145297943823384E-3</v>
      </c>
      <c r="M184" s="9"/>
      <c r="N184" s="10">
        <f t="shared" si="45"/>
        <v>207</v>
      </c>
      <c r="O184" s="8">
        <f>IFERROR(N184/N444, "NA")</f>
        <v>-9.6083773910702636E-2</v>
      </c>
      <c r="P184" s="9"/>
      <c r="Q184" s="7">
        <v>586</v>
      </c>
      <c r="R184" s="8">
        <f>IFERROR(Q184/Q444, "NA")</f>
        <v>3.8855914775319652E-3</v>
      </c>
      <c r="S184" s="9"/>
      <c r="T184" s="7">
        <v>585</v>
      </c>
      <c r="U184" s="8">
        <f>IFERROR(T184/T444, "NA")</f>
        <v>3.8342012719716941E-3</v>
      </c>
      <c r="V184" s="9"/>
      <c r="W184" s="10">
        <f t="shared" si="46"/>
        <v>-1</v>
      </c>
      <c r="X184" s="8">
        <f>IFERROR(W184/W444, "NA")</f>
        <v>5.6800109056209466E-4</v>
      </c>
      <c r="Y184" s="9"/>
      <c r="Z184" s="7">
        <v>1000</v>
      </c>
      <c r="AA184" s="8">
        <f>IFERROR(Z184/Z444, "NA")</f>
        <v>6.8405540055240218E-3</v>
      </c>
      <c r="AB184" s="9"/>
      <c r="AC184" s="10">
        <f t="shared" si="47"/>
        <v>414</v>
      </c>
      <c r="AD184" s="8">
        <f>IFERROR(AC184/AC444, "NA")</f>
        <v>8.9482557385552997E-2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1761.86</v>
      </c>
      <c r="C186" s="8">
        <f>IFERROR(B186/B444, "NA")</f>
        <v>2.250076115319306E-2</v>
      </c>
      <c r="D186" s="9"/>
      <c r="E186" s="7">
        <v>2166.41</v>
      </c>
      <c r="F186" s="8">
        <f>IFERROR(E186/E444, "NA")</f>
        <v>2.5674789710410942E-2</v>
      </c>
      <c r="G186" s="9"/>
      <c r="H186" s="10">
        <f t="shared" ref="H186:H197" si="48">IFERROR(-(B186-E186), "NA")</f>
        <v>404.54999999999995</v>
      </c>
      <c r="I186" s="8">
        <f>IFERROR(H186/H444, "NA")</f>
        <v>-6.6574620184838992E-2</v>
      </c>
      <c r="J186" s="9"/>
      <c r="K186" s="7">
        <v>2065.71</v>
      </c>
      <c r="L186" s="8">
        <f>IFERROR(K186/K444, "NA")</f>
        <v>2.5674832683107083E-2</v>
      </c>
      <c r="M186" s="9"/>
      <c r="N186" s="10">
        <f t="shared" ref="N186:N197" si="49">IFERROR(-(B186-K186), "NA")</f>
        <v>303.85000000000014</v>
      </c>
      <c r="O186" s="8">
        <f>IFERROR(N186/N444, "NA")</f>
        <v>-0.14103891160757009</v>
      </c>
      <c r="P186" s="9"/>
      <c r="Q186" s="7">
        <v>3545.39</v>
      </c>
      <c r="R186" s="8">
        <f>IFERROR(Q186/Q444, "NA")</f>
        <v>2.3508425202264597E-2</v>
      </c>
      <c r="S186" s="9"/>
      <c r="T186" s="7">
        <v>4057.05</v>
      </c>
      <c r="U186" s="8">
        <f>IFERROR(T186/T444, "NA")</f>
        <v>2.6590677385389335E-2</v>
      </c>
      <c r="V186" s="9"/>
      <c r="W186" s="10">
        <f t="shared" ref="W186:W197" si="50">IFERROR(-(Q186-T186), "NA")</f>
        <v>511.66000000000031</v>
      </c>
      <c r="X186" s="8">
        <f>IFERROR(W186/W444, "NA")</f>
        <v>-0.29062343799700152</v>
      </c>
      <c r="Y186" s="9"/>
      <c r="Z186" s="7">
        <v>3888.01</v>
      </c>
      <c r="AA186" s="8">
        <f>IFERROR(Z186/Z444, "NA")</f>
        <v>2.6596142379017453E-2</v>
      </c>
      <c r="AB186" s="9"/>
      <c r="AC186" s="10">
        <f t="shared" ref="AC186:AC197" si="51">IFERROR(-(Q186-Z186), "NA")</f>
        <v>342.62000000000035</v>
      </c>
      <c r="AD186" s="8">
        <f>IFERROR(AC186/AC444, "NA")</f>
        <v>7.4054381187048782E-2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1761.86</v>
      </c>
      <c r="C193" s="15">
        <f>IFERROR(B193/B444, "NA")</f>
        <v>2.250076115319306E-2</v>
      </c>
      <c r="D193" s="2"/>
      <c r="E193" s="14">
        <f>IFERROR(E186+E187+E188+E189+E190+E191+E192, "NA")</f>
        <v>2166.41</v>
      </c>
      <c r="F193" s="15">
        <f>IFERROR(E193/E444, "NA")</f>
        <v>2.5674789710410942E-2</v>
      </c>
      <c r="G193" s="2"/>
      <c r="H193" s="14">
        <f t="shared" si="48"/>
        <v>404.54999999999995</v>
      </c>
      <c r="I193" s="15">
        <f>IFERROR(H193/H444, "NA")</f>
        <v>-6.6574620184838992E-2</v>
      </c>
      <c r="J193" s="2"/>
      <c r="K193" s="14">
        <f>IFERROR(K186+K187+K188+K189+K190+K191+K192, "NA")</f>
        <v>2065.71</v>
      </c>
      <c r="L193" s="15">
        <f>IFERROR(K193/K444, "NA")</f>
        <v>2.5674832683107083E-2</v>
      </c>
      <c r="M193" s="2"/>
      <c r="N193" s="14">
        <f t="shared" si="49"/>
        <v>303.85000000000014</v>
      </c>
      <c r="O193" s="15">
        <f>IFERROR(N193/N444, "NA")</f>
        <v>-0.14103891160757009</v>
      </c>
      <c r="P193" s="2"/>
      <c r="Q193" s="14">
        <f>IFERROR(Q186+Q187+Q188+Q189+Q190+Q191+Q192, "NA")</f>
        <v>3545.39</v>
      </c>
      <c r="R193" s="15">
        <f>IFERROR(Q193/Q444, "NA")</f>
        <v>2.3508425202264597E-2</v>
      </c>
      <c r="S193" s="2"/>
      <c r="T193" s="14">
        <f>IFERROR(T186+T187+T188+T189+T190+T191+T192, "NA")</f>
        <v>4057.05</v>
      </c>
      <c r="U193" s="15">
        <f>IFERROR(T193/T444, "NA")</f>
        <v>2.6590677385389335E-2</v>
      </c>
      <c r="V193" s="2"/>
      <c r="W193" s="14">
        <f t="shared" si="50"/>
        <v>511.66000000000031</v>
      </c>
      <c r="X193" s="15">
        <f>IFERROR(W193/W444, "NA")</f>
        <v>-0.29062343799700152</v>
      </c>
      <c r="Y193" s="2"/>
      <c r="Z193" s="14">
        <f>IFERROR(Z186+Z187+Z188+Z189+Z190+Z191+Z192, "NA")</f>
        <v>3888.01</v>
      </c>
      <c r="AA193" s="15">
        <f>IFERROR(Z193/Z444, "NA")</f>
        <v>2.6596142379017453E-2</v>
      </c>
      <c r="AB193" s="2"/>
      <c r="AC193" s="14">
        <f t="shared" si="51"/>
        <v>342.62000000000035</v>
      </c>
      <c r="AD193" s="15">
        <f>IFERROR(AC193/AC444, "NA")</f>
        <v>7.4054381187048782E-2</v>
      </c>
    </row>
    <row r="194" spans="1:30" ht="16.5" customHeight="1" x14ac:dyDescent="0.45">
      <c r="A194" s="6" t="s">
        <v>178</v>
      </c>
      <c r="B194" s="7">
        <v>373</v>
      </c>
      <c r="C194" s="8">
        <f>IFERROR(B194/B444, "NA")</f>
        <v>4.763592970009542E-3</v>
      </c>
      <c r="D194" s="9"/>
      <c r="E194" s="7">
        <v>186.52</v>
      </c>
      <c r="F194" s="8">
        <f>IFERROR(E194/E444, "NA")</f>
        <v>2.2105057568908236E-3</v>
      </c>
      <c r="G194" s="9"/>
      <c r="H194" s="10">
        <f t="shared" si="48"/>
        <v>-186.48</v>
      </c>
      <c r="I194" s="8">
        <f>IFERROR(H194/H444, "NA")</f>
        <v>3.0688011795992523E-2</v>
      </c>
      <c r="J194" s="9"/>
      <c r="K194" s="7">
        <v>358</v>
      </c>
      <c r="L194" s="8">
        <f>IFERROR(K194/K444, "NA")</f>
        <v>4.449603332777754E-3</v>
      </c>
      <c r="M194" s="9"/>
      <c r="N194" s="10">
        <f t="shared" si="49"/>
        <v>-15</v>
      </c>
      <c r="O194" s="8">
        <f>IFERROR(N194/N444, "NA")</f>
        <v>6.9625923123697569E-3</v>
      </c>
      <c r="P194" s="9"/>
      <c r="Q194" s="7">
        <v>621</v>
      </c>
      <c r="R194" s="8">
        <f>IFERROR(Q194/Q444, "NA")</f>
        <v>4.1176660538350691E-3</v>
      </c>
      <c r="S194" s="9"/>
      <c r="T194" s="7">
        <v>350.73</v>
      </c>
      <c r="U194" s="8">
        <f>IFERROR(T194/T444, "NA")</f>
        <v>2.2987511318267218E-3</v>
      </c>
      <c r="V194" s="9"/>
      <c r="W194" s="10">
        <f t="shared" si="50"/>
        <v>-270.27</v>
      </c>
      <c r="X194" s="8">
        <f>IFERROR(W194/W444, "NA")</f>
        <v>0.15351365474621731</v>
      </c>
      <c r="Y194" s="9"/>
      <c r="Z194" s="7">
        <v>606</v>
      </c>
      <c r="AA194" s="8">
        <f>IFERROR(Z194/Z444, "NA")</f>
        <v>4.1453757273475569E-3</v>
      </c>
      <c r="AB194" s="9"/>
      <c r="AC194" s="10">
        <f t="shared" si="51"/>
        <v>-15</v>
      </c>
      <c r="AD194" s="8">
        <f>IFERROR(AC194/AC444, "NA")</f>
        <v>-3.242121644404094E-3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21754.959999999999</v>
      </c>
      <c r="C196" s="15">
        <f>IFERROR(B196/B444, "NA")</f>
        <v>0.27783317565372329</v>
      </c>
      <c r="D196" s="2"/>
      <c r="E196" s="14">
        <f>IFERROR(E175+E177+E178+E179+E180+E181+E183+E184+E186+E187+E188+E189+E190+E191+E192+E194+E195, "NA")</f>
        <v>25667.48</v>
      </c>
      <c r="F196" s="15">
        <f>IFERROR(E196/E444, "NA")</f>
        <v>0.30419318199056444</v>
      </c>
      <c r="G196" s="2"/>
      <c r="H196" s="14">
        <f t="shared" si="48"/>
        <v>3912.5200000000004</v>
      </c>
      <c r="I196" s="15">
        <f>IFERROR(H196/H444, "NA")</f>
        <v>-0.64386239764080166</v>
      </c>
      <c r="J196" s="2"/>
      <c r="K196" s="14">
        <f>IFERROR(K175+K177+K178+K179+K180+K181+K183+K184+K186+K187+K188+K189+K190+K191+K192+K194+K195, "NA")</f>
        <v>25063.18</v>
      </c>
      <c r="L196" s="15">
        <f>IFERROR(K196/K444, "NA")</f>
        <v>0.31151175770393508</v>
      </c>
      <c r="M196" s="2"/>
      <c r="N196" s="14">
        <f t="shared" si="49"/>
        <v>3308.2200000000012</v>
      </c>
      <c r="O196" s="15">
        <f>IFERROR(N196/N444, "NA")</f>
        <v>-1.5355858093085255</v>
      </c>
      <c r="P196" s="2"/>
      <c r="Q196" s="14">
        <f>IFERROR(Q175+Q177+Q178+Q179+Q180+Q181+Q183+Q184+Q186+Q187+Q188+Q189+Q190+Q191+Q192+Q194+Q195, "NA")</f>
        <v>43179.32</v>
      </c>
      <c r="R196" s="15">
        <f>IFERROR(Q196/Q444, "NA")</f>
        <v>0.28630921125874664</v>
      </c>
      <c r="S196" s="2"/>
      <c r="T196" s="14">
        <f>IFERROR(T175+T177+T178+T179+T180+T181+T183+T184+T186+T187+T188+T189+T190+T191+T192+T194+T195, "NA")</f>
        <v>48248.62</v>
      </c>
      <c r="U196" s="15">
        <f>IFERROR(T196/T444, "NA")</f>
        <v>0.3162306327775708</v>
      </c>
      <c r="V196" s="2"/>
      <c r="W196" s="14">
        <f t="shared" si="50"/>
        <v>5069.3000000000029</v>
      </c>
      <c r="X196" s="15">
        <f>IFERROR(W196/W444, "NA")</f>
        <v>-2.879367928386428</v>
      </c>
      <c r="Y196" s="2"/>
      <c r="Z196" s="14">
        <f>IFERROR(Z175+Z177+Z178+Z179+Z180+Z181+Z183+Z184+Z186+Z187+Z188+Z189+Z190+Z191+Z192+Z194+Z195, "NA")</f>
        <v>47461.04</v>
      </c>
      <c r="AA196" s="15">
        <f>IFERROR(Z196/Z444, "NA")</f>
        <v>0.32465980727833582</v>
      </c>
      <c r="AB196" s="2"/>
      <c r="AC196" s="14">
        <f t="shared" si="51"/>
        <v>4281.7200000000012</v>
      </c>
      <c r="AD196" s="15">
        <f>IFERROR(AC196/AC444, "NA")</f>
        <v>0.92545713915186012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21754.959999999999</v>
      </c>
      <c r="C197" s="15">
        <f>IFERROR(B197/B444, "NA")</f>
        <v>0.27783317565372329</v>
      </c>
      <c r="D197" s="2"/>
      <c r="E197" s="14">
        <f>IFERROR(E175+E177+E178+E179+E180+E181+E183+E184+E186+E187+E188+E189+E190+E191+E192+E194+E195, "NA")</f>
        <v>25667.48</v>
      </c>
      <c r="F197" s="15">
        <f>IFERROR(E197/E444, "NA")</f>
        <v>0.30419318199056444</v>
      </c>
      <c r="G197" s="2"/>
      <c r="H197" s="14">
        <f t="shared" si="48"/>
        <v>3912.5200000000004</v>
      </c>
      <c r="I197" s="15">
        <f>IFERROR(H197/H444, "NA")</f>
        <v>-0.64386239764080166</v>
      </c>
      <c r="J197" s="2"/>
      <c r="K197" s="14">
        <f>IFERROR(K175+K177+K178+K179+K180+K181+K183+K184+K186+K187+K188+K189+K190+K191+K192+K194+K195, "NA")</f>
        <v>25063.18</v>
      </c>
      <c r="L197" s="15">
        <f>IFERROR(K197/K444, "NA")</f>
        <v>0.31151175770393508</v>
      </c>
      <c r="M197" s="2"/>
      <c r="N197" s="14">
        <f t="shared" si="49"/>
        <v>3308.2200000000012</v>
      </c>
      <c r="O197" s="15">
        <f>IFERROR(N197/N444, "NA")</f>
        <v>-1.5355858093085255</v>
      </c>
      <c r="P197" s="2"/>
      <c r="Q197" s="14">
        <f>IFERROR(Q175+Q177+Q178+Q179+Q180+Q181+Q183+Q184+Q186+Q187+Q188+Q189+Q190+Q191+Q192+Q194+Q195, "NA")</f>
        <v>43179.32</v>
      </c>
      <c r="R197" s="15">
        <f>IFERROR(Q197/Q444, "NA")</f>
        <v>0.28630921125874664</v>
      </c>
      <c r="S197" s="2"/>
      <c r="T197" s="14">
        <f>IFERROR(T175+T177+T178+T179+T180+T181+T183+T184+T186+T187+T188+T189+T190+T191+T192+T194+T195, "NA")</f>
        <v>48248.62</v>
      </c>
      <c r="U197" s="15">
        <f>IFERROR(T197/T444, "NA")</f>
        <v>0.3162306327775708</v>
      </c>
      <c r="V197" s="2"/>
      <c r="W197" s="14">
        <f t="shared" si="50"/>
        <v>5069.3000000000029</v>
      </c>
      <c r="X197" s="15">
        <f>IFERROR(W197/W444, "NA")</f>
        <v>-2.879367928386428</v>
      </c>
      <c r="Y197" s="2"/>
      <c r="Z197" s="14">
        <f>IFERROR(Z175+Z177+Z178+Z179+Z180+Z181+Z183+Z184+Z186+Z187+Z188+Z189+Z190+Z191+Z192+Z194+Z195, "NA")</f>
        <v>47461.04</v>
      </c>
      <c r="AA197" s="15">
        <f>IFERROR(Z197/Z444, "NA")</f>
        <v>0.32465980727833582</v>
      </c>
      <c r="AB197" s="2"/>
      <c r="AC197" s="14">
        <f t="shared" si="51"/>
        <v>4281.7200000000012</v>
      </c>
      <c r="AD197" s="15">
        <f>IFERROR(AC197/AC444, "NA")</f>
        <v>0.92545713915186012</v>
      </c>
    </row>
    <row r="198" spans="1:30" ht="16.5" customHeight="1" x14ac:dyDescent="0.45">
      <c r="A198" s="22" t="s">
        <v>181</v>
      </c>
      <c r="B198" s="23">
        <f>IFERROR(B172-B197, "NA")</f>
        <v>35349.570000000022</v>
      </c>
      <c r="C198" s="24">
        <f>IFERROR(B198/B444, "NA")</f>
        <v>0.45145030333742714</v>
      </c>
      <c r="D198" s="25"/>
      <c r="E198" s="23">
        <f>IFERROR(E172-E197, "NA")</f>
        <v>36435.37999999999</v>
      </c>
      <c r="F198" s="24">
        <f>IFERROR(E198/E444, "NA")</f>
        <v>0.43180686920708106</v>
      </c>
      <c r="G198" s="25"/>
      <c r="H198" s="23">
        <f>IFERROR(B198-E198, "NA")</f>
        <v>-1085.8099999999686</v>
      </c>
      <c r="I198" s="24">
        <f>IFERROR(H198/H444, "NA")</f>
        <v>0.17868591853392149</v>
      </c>
      <c r="J198" s="25"/>
      <c r="K198" s="23">
        <f>IFERROR(K172-K197, "NA")</f>
        <v>32830.999999999993</v>
      </c>
      <c r="L198" s="24">
        <f>IFERROR(K198/K444, "NA")</f>
        <v>0.40805845535873303</v>
      </c>
      <c r="M198" s="25"/>
      <c r="N198" s="23">
        <f>IFERROR(B198-K198, "NA")</f>
        <v>2518.5700000000288</v>
      </c>
      <c r="O198" s="24">
        <f>IFERROR(N198/N444, "NA")</f>
        <v>-1.1690517413443533</v>
      </c>
      <c r="P198" s="25"/>
      <c r="Q198" s="23">
        <f>IFERROR(Q172-Q197, "NA")</f>
        <v>67297.19</v>
      </c>
      <c r="R198" s="24">
        <f>IFERROR(Q198/Q444, "NA")</f>
        <v>0.446227624446842</v>
      </c>
      <c r="S198" s="25"/>
      <c r="T198" s="23">
        <f>IFERROR(T172-T197, "NA")</f>
        <v>63636.789999999986</v>
      </c>
      <c r="U198" s="24">
        <f>IFERROR(T198/T444, "NA")</f>
        <v>0.41708762591828291</v>
      </c>
      <c r="V198" s="25"/>
      <c r="W198" s="23">
        <f>IFERROR(Q198-T198, "NA")</f>
        <v>3660.400000000016</v>
      </c>
      <c r="X198" s="24">
        <f>IFERROR(W198/W444, "NA")</f>
        <v>-2.0791111918935004</v>
      </c>
      <c r="Y198" s="25"/>
      <c r="Z198" s="23">
        <f>IFERROR(Z172-Z197, "NA")</f>
        <v>58822.619999999974</v>
      </c>
      <c r="AA198" s="24">
        <f>IFERROR(Z198/Z444, "NA")</f>
        <v>0.40237930885641721</v>
      </c>
      <c r="AB198" s="25"/>
      <c r="AC198" s="23">
        <f>IFERROR(Q198-Z198, "NA")</f>
        <v>8474.5700000000288</v>
      </c>
      <c r="AD198" s="24">
        <f>IFERROR(AC198/AC444, "NA")</f>
        <v>1.8317057882678465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860.77</v>
      </c>
      <c r="C202" s="8">
        <f>IFERROR(B202/B444, "NA")</f>
        <v>1.0992916677734889E-2</v>
      </c>
      <c r="D202" s="9"/>
      <c r="E202" s="7">
        <v>759.41</v>
      </c>
      <c r="F202" s="8">
        <f>IFERROR(E202/E444, "NA")</f>
        <v>9.0000009481045491E-3</v>
      </c>
      <c r="G202" s="9"/>
      <c r="H202" s="10">
        <f t="shared" si="52"/>
        <v>-101.36000000000001</v>
      </c>
      <c r="I202" s="8">
        <f>IFERROR(H202/H444, "NA")</f>
        <v>1.6680270675899844E-2</v>
      </c>
      <c r="J202" s="9"/>
      <c r="K202" s="7">
        <v>978.63</v>
      </c>
      <c r="L202" s="8">
        <f>IFERROR(K202/K444, "NA")</f>
        <v>1.2163450585352776E-2</v>
      </c>
      <c r="M202" s="9"/>
      <c r="N202" s="10">
        <f t="shared" si="53"/>
        <v>117.86000000000001</v>
      </c>
      <c r="O202" s="8">
        <f>IFERROR(N202/N444, "NA")</f>
        <v>-5.4707408662393306E-2</v>
      </c>
      <c r="P202" s="9"/>
      <c r="Q202" s="7">
        <v>1632.45</v>
      </c>
      <c r="R202" s="8">
        <f>IFERROR(Q202/Q444, "NA")</f>
        <v>1.0824289773885762E-2</v>
      </c>
      <c r="S202" s="9"/>
      <c r="T202" s="7">
        <v>1373.17</v>
      </c>
      <c r="U202" s="8">
        <f>IFERROR(T202/T444, "NA")</f>
        <v>9.0000173686040526E-3</v>
      </c>
      <c r="V202" s="9"/>
      <c r="W202" s="10">
        <f t="shared" si="54"/>
        <v>-259.27999999999997</v>
      </c>
      <c r="X202" s="8">
        <f>IFERROR(W202/W444, "NA")</f>
        <v>0.14727132276093988</v>
      </c>
      <c r="Y202" s="9"/>
      <c r="Z202" s="7">
        <v>1798.81</v>
      </c>
      <c r="AA202" s="8">
        <f>IFERROR(Z202/Z444, "NA")</f>
        <v>1.2304856950676665E-2</v>
      </c>
      <c r="AB202" s="9"/>
      <c r="AC202" s="10">
        <f t="shared" si="55"/>
        <v>166.3599999999999</v>
      </c>
      <c r="AD202" s="8">
        <f>IFERROR(AC202/AC444, "NA")</f>
        <v>3.5957290450870982E-2</v>
      </c>
    </row>
    <row r="203" spans="1:30" ht="16.5" customHeight="1" x14ac:dyDescent="0.45">
      <c r="A203" s="6" t="s">
        <v>185</v>
      </c>
      <c r="B203" s="7">
        <v>263.91000000000003</v>
      </c>
      <c r="C203" s="8">
        <f>IFERROR(B203/B444, "NA")</f>
        <v>3.3704016641158672E-3</v>
      </c>
      <c r="D203" s="9"/>
      <c r="E203" s="7">
        <v>506.27</v>
      </c>
      <c r="F203" s="8">
        <f>IFERROR(E203/E444, "NA")</f>
        <v>5.999961127713475E-3</v>
      </c>
      <c r="G203" s="9"/>
      <c r="H203" s="10">
        <f t="shared" si="52"/>
        <v>242.35999999999996</v>
      </c>
      <c r="I203" s="8">
        <f>IFERROR(H203/H444, "NA")</f>
        <v>-3.9883883198609756E-2</v>
      </c>
      <c r="J203" s="9"/>
      <c r="K203" s="7">
        <v>517.41</v>
      </c>
      <c r="L203" s="8">
        <f>IFERROR(K203/K444, "NA")</f>
        <v>6.4309197218227311E-3</v>
      </c>
      <c r="M203" s="9"/>
      <c r="N203" s="10">
        <f t="shared" si="53"/>
        <v>253.49999999999994</v>
      </c>
      <c r="O203" s="8">
        <f>IFERROR(N203/N444, "NA")</f>
        <v>-0.11766781007904886</v>
      </c>
      <c r="P203" s="9"/>
      <c r="Q203" s="7">
        <v>903.36</v>
      </c>
      <c r="R203" s="8">
        <f>IFERROR(Q203/Q444, "NA")</f>
        <v>5.9899111214049084E-3</v>
      </c>
      <c r="S203" s="9"/>
      <c r="T203" s="7">
        <v>915.44</v>
      </c>
      <c r="U203" s="8">
        <f>IFERROR(T203/T444, "NA")</f>
        <v>5.999967884467979E-3</v>
      </c>
      <c r="V203" s="9"/>
      <c r="W203" s="10">
        <f t="shared" si="54"/>
        <v>12.080000000000041</v>
      </c>
      <c r="X203" s="8">
        <f>IFERROR(W203/W444, "NA")</f>
        <v>-6.8614531739901261E-3</v>
      </c>
      <c r="Y203" s="9"/>
      <c r="Z203" s="7">
        <v>913.87</v>
      </c>
      <c r="AA203" s="8">
        <f>IFERROR(Z203/Z444, "NA")</f>
        <v>6.2513770890282377E-3</v>
      </c>
      <c r="AB203" s="9"/>
      <c r="AC203" s="10">
        <f t="shared" si="55"/>
        <v>10.509999999999991</v>
      </c>
      <c r="AD203" s="8">
        <f>IFERROR(AC203/AC444, "NA")</f>
        <v>2.2716465655124667E-3</v>
      </c>
    </row>
    <row r="204" spans="1:30" ht="16.5" customHeight="1" x14ac:dyDescent="0.45">
      <c r="A204" s="6" t="s">
        <v>186</v>
      </c>
      <c r="B204" s="7">
        <v>22.63</v>
      </c>
      <c r="C204" s="8">
        <f>IFERROR(B204/B444, "NA")</f>
        <v>2.8900833488288455E-4</v>
      </c>
      <c r="D204" s="9"/>
      <c r="E204" s="7">
        <v>168.76</v>
      </c>
      <c r="F204" s="8">
        <f>IFERROR(E204/E444, "NA")</f>
        <v>2.0000265469273825E-3</v>
      </c>
      <c r="G204" s="9"/>
      <c r="H204" s="10">
        <f t="shared" si="52"/>
        <v>146.13</v>
      </c>
      <c r="I204" s="8">
        <f>IFERROR(H204/H444, "NA")</f>
        <v>-2.4047829063429792E-2</v>
      </c>
      <c r="J204" s="9"/>
      <c r="K204" s="7">
        <v>232.01</v>
      </c>
      <c r="L204" s="8">
        <f>IFERROR(K204/K444, "NA")</f>
        <v>2.8836661151892926E-3</v>
      </c>
      <c r="M204" s="9"/>
      <c r="N204" s="10">
        <f t="shared" si="53"/>
        <v>209.38</v>
      </c>
      <c r="O204" s="8">
        <f>IFERROR(N204/N444, "NA")</f>
        <v>-9.7188505224265309E-2</v>
      </c>
      <c r="P204" s="9"/>
      <c r="Q204" s="7">
        <v>45.43</v>
      </c>
      <c r="R204" s="8">
        <f>IFERROR(Q204/Q444, "NA")</f>
        <v>3.0123280004142863E-4</v>
      </c>
      <c r="S204" s="9"/>
      <c r="T204" s="7">
        <v>305.14999999999998</v>
      </c>
      <c r="U204" s="8">
        <f>IFERROR(T204/T444, "NA")</f>
        <v>2.0000111421233542E-3</v>
      </c>
      <c r="V204" s="9"/>
      <c r="W204" s="10">
        <f t="shared" si="54"/>
        <v>259.71999999999997</v>
      </c>
      <c r="X204" s="8">
        <f>IFERROR(W204/W444, "NA")</f>
        <v>-0.14752124324078719</v>
      </c>
      <c r="Y204" s="9"/>
      <c r="Z204" s="7">
        <v>240.44</v>
      </c>
      <c r="AA204" s="8">
        <f>IFERROR(Z204/Z444, "NA")</f>
        <v>1.6447428050881958E-3</v>
      </c>
      <c r="AB204" s="9"/>
      <c r="AC204" s="10">
        <f t="shared" si="55"/>
        <v>195.01</v>
      </c>
      <c r="AD204" s="8">
        <f>IFERROR(AC204/AC444, "NA")</f>
        <v>4.214974279168282E-2</v>
      </c>
    </row>
    <row r="205" spans="1:30" ht="16.5" customHeight="1" x14ac:dyDescent="0.45">
      <c r="A205" s="6" t="s">
        <v>187</v>
      </c>
      <c r="B205" s="7">
        <v>357.06</v>
      </c>
      <c r="C205" s="8">
        <f>IFERROR(B205/B444, "NA")</f>
        <v>4.5600228039453274E-3</v>
      </c>
      <c r="D205" s="9"/>
      <c r="E205" s="7">
        <v>253.14</v>
      </c>
      <c r="F205" s="8">
        <f>IFERROR(E205/E444, "NA")</f>
        <v>3.000039820391074E-3</v>
      </c>
      <c r="G205" s="9"/>
      <c r="H205" s="10">
        <f t="shared" si="52"/>
        <v>-103.92000000000002</v>
      </c>
      <c r="I205" s="8">
        <f>IFERROR(H205/H444, "NA")</f>
        <v>1.7101556123120677E-2</v>
      </c>
      <c r="J205" s="9"/>
      <c r="K205" s="7">
        <v>261.72000000000003</v>
      </c>
      <c r="L205" s="8">
        <f>IFERROR(K205/K444, "NA")</f>
        <v>3.2529334755714914E-3</v>
      </c>
      <c r="M205" s="9"/>
      <c r="N205" s="10">
        <f t="shared" si="53"/>
        <v>-95.339999999999975</v>
      </c>
      <c r="O205" s="8">
        <f>IFERROR(N205/N444, "NA")</f>
        <v>4.425423673742216E-2</v>
      </c>
      <c r="P205" s="9"/>
      <c r="Q205" s="7">
        <v>811.58</v>
      </c>
      <c r="R205" s="8">
        <f>IFERROR(Q205/Q444, "NA")</f>
        <v>5.3813452753163696E-3</v>
      </c>
      <c r="S205" s="9"/>
      <c r="T205" s="7">
        <v>457.73</v>
      </c>
      <c r="U205" s="8">
        <f>IFERROR(T205/T444, "NA")</f>
        <v>3.0000494841360744E-3</v>
      </c>
      <c r="V205" s="9"/>
      <c r="W205" s="10">
        <f t="shared" si="54"/>
        <v>-353.85</v>
      </c>
      <c r="X205" s="8">
        <f>IFERROR(W205/W444, "NA")</f>
        <v>0.20098718589539719</v>
      </c>
      <c r="Y205" s="9"/>
      <c r="Z205" s="7">
        <v>605.74</v>
      </c>
      <c r="AA205" s="8">
        <f>IFERROR(Z205/Z444, "NA")</f>
        <v>4.1435971833061209E-3</v>
      </c>
      <c r="AB205" s="9"/>
      <c r="AC205" s="10">
        <f t="shared" si="55"/>
        <v>-205.84000000000003</v>
      </c>
      <c r="AD205" s="8">
        <f>IFERROR(AC205/AC444, "NA")</f>
        <v>-4.4490554618942586E-2</v>
      </c>
    </row>
    <row r="206" spans="1:30" ht="16.5" customHeight="1" x14ac:dyDescent="0.45">
      <c r="A206" s="6" t="s">
        <v>188</v>
      </c>
      <c r="B206" s="7">
        <v>16.739999999999998</v>
      </c>
      <c r="C206" s="8">
        <f>IFERROR(B206/B444, "NA")</f>
        <v>2.1378698744761322E-4</v>
      </c>
      <c r="D206" s="9"/>
      <c r="E206" s="7">
        <v>84.38</v>
      </c>
      <c r="F206" s="8">
        <f>IFERROR(E206/E444, "NA")</f>
        <v>1.0000132734636913E-3</v>
      </c>
      <c r="G206" s="9"/>
      <c r="H206" s="10">
        <f t="shared" si="52"/>
        <v>67.64</v>
      </c>
      <c r="I206" s="8">
        <f>IFERROR(H206/H444, "NA")</f>
        <v>-1.1131151425787937E-2</v>
      </c>
      <c r="J206" s="9"/>
      <c r="K206" s="7">
        <v>10.8</v>
      </c>
      <c r="L206" s="8">
        <f>IFERROR(K206/K444, "NA")</f>
        <v>1.3423384355865851E-4</v>
      </c>
      <c r="M206" s="9"/>
      <c r="N206" s="10">
        <f t="shared" si="53"/>
        <v>-5.9399999999999977</v>
      </c>
      <c r="O206" s="8">
        <f>IFERROR(N206/N444, "NA")</f>
        <v>2.7571865556984226E-3</v>
      </c>
      <c r="P206" s="9"/>
      <c r="Q206" s="7">
        <v>82.42</v>
      </c>
      <c r="R206" s="8">
        <f>IFERROR(Q206/Q444, "NA")</f>
        <v>5.4650247368290879E-4</v>
      </c>
      <c r="S206" s="9"/>
      <c r="T206" s="7">
        <v>152.58000000000001</v>
      </c>
      <c r="U206" s="8">
        <f>IFERROR(T206/T444, "NA")</f>
        <v>1.0000383420127198E-3</v>
      </c>
      <c r="V206" s="9"/>
      <c r="W206" s="10">
        <f t="shared" si="54"/>
        <v>70.160000000000011</v>
      </c>
      <c r="X206" s="8">
        <f>IFERROR(W206/W444, "NA")</f>
        <v>-3.9850956513836563E-2</v>
      </c>
      <c r="Y206" s="9"/>
      <c r="Z206" s="7">
        <v>10.8</v>
      </c>
      <c r="AA206" s="8">
        <f>IFERROR(Z206/Z444, "NA")</f>
        <v>7.3877983259659441E-5</v>
      </c>
      <c r="AB206" s="9"/>
      <c r="AC206" s="10">
        <f t="shared" si="55"/>
        <v>-71.62</v>
      </c>
      <c r="AD206" s="8">
        <f>IFERROR(AC206/AC444, "NA")</f>
        <v>-1.5480050144814749E-2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100</v>
      </c>
      <c r="F207" s="8">
        <f>IFERROR(E207/E444, "NA")</f>
        <v>1.1851306867310871E-3</v>
      </c>
      <c r="G207" s="9"/>
      <c r="H207" s="10">
        <f t="shared" si="52"/>
        <v>100</v>
      </c>
      <c r="I207" s="8">
        <f>IFERROR(H207/H444, "NA")</f>
        <v>-1.6456462782063773E-2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145.07</v>
      </c>
      <c r="R207" s="8">
        <f>IFERROR(Q207/Q444, "NA")</f>
        <v>9.6191596526546449E-4</v>
      </c>
      <c r="S207" s="9"/>
      <c r="T207" s="7">
        <v>200</v>
      </c>
      <c r="U207" s="8">
        <f>IFERROR(T207/T444, "NA")</f>
        <v>1.3108380416997243E-3</v>
      </c>
      <c r="V207" s="9"/>
      <c r="W207" s="10">
        <f t="shared" si="54"/>
        <v>54.930000000000007</v>
      </c>
      <c r="X207" s="8">
        <f>IFERROR(W207/W444, "NA")</f>
        <v>-3.1200299904575863E-2</v>
      </c>
      <c r="Y207" s="9"/>
      <c r="Z207" s="7">
        <v>99.6</v>
      </c>
      <c r="AA207" s="8">
        <f>IFERROR(Z207/Z444, "NA")</f>
        <v>6.8131917895019245E-4</v>
      </c>
      <c r="AB207" s="9"/>
      <c r="AC207" s="10">
        <f t="shared" si="55"/>
        <v>-45.47</v>
      </c>
      <c r="AD207" s="8">
        <f>IFERROR(AC207/AC444, "NA")</f>
        <v>-9.8279514114036105E-3</v>
      </c>
    </row>
    <row r="208" spans="1:30" ht="16.5" customHeight="1" x14ac:dyDescent="0.45">
      <c r="A208" s="6" t="s">
        <v>190</v>
      </c>
      <c r="B208" s="7">
        <v>26.45</v>
      </c>
      <c r="C208" s="8">
        <f>IFERROR(B208/B444, "NA")</f>
        <v>3.377936569886123E-4</v>
      </c>
      <c r="D208" s="9"/>
      <c r="E208" s="7">
        <v>100</v>
      </c>
      <c r="F208" s="8">
        <f>IFERROR(E208/E444, "NA")</f>
        <v>1.1851306867310871E-3</v>
      </c>
      <c r="G208" s="9"/>
      <c r="H208" s="10">
        <f t="shared" si="52"/>
        <v>73.55</v>
      </c>
      <c r="I208" s="8">
        <f>IFERROR(H208/H444, "NA")</f>
        <v>-1.2103728376207904E-2</v>
      </c>
      <c r="J208" s="9"/>
      <c r="K208" s="7">
        <v>282.18</v>
      </c>
      <c r="L208" s="8">
        <f>IFERROR(K208/K444, "NA")</f>
        <v>3.5072320347576168E-3</v>
      </c>
      <c r="M208" s="9"/>
      <c r="N208" s="10">
        <f t="shared" si="53"/>
        <v>255.73000000000002</v>
      </c>
      <c r="O208" s="8">
        <f>IFERROR(N208/N444, "NA")</f>
        <v>-0.11870291546948787</v>
      </c>
      <c r="P208" s="9"/>
      <c r="Q208" s="7">
        <v>33.26</v>
      </c>
      <c r="R208" s="8">
        <f>IFERROR(Q208/Q444, "NA")</f>
        <v>2.205371545097494E-4</v>
      </c>
      <c r="S208" s="9"/>
      <c r="T208" s="7">
        <v>200</v>
      </c>
      <c r="U208" s="8">
        <f>IFERROR(T208/T444, "NA")</f>
        <v>1.3108380416997243E-3</v>
      </c>
      <c r="V208" s="9"/>
      <c r="W208" s="10">
        <f t="shared" si="54"/>
        <v>166.74</v>
      </c>
      <c r="X208" s="8">
        <f>IFERROR(W208/W444, "NA")</f>
        <v>-9.4708501840323658E-2</v>
      </c>
      <c r="Y208" s="9"/>
      <c r="Z208" s="7">
        <v>391.94</v>
      </c>
      <c r="AA208" s="8">
        <f>IFERROR(Z208/Z444, "NA")</f>
        <v>2.6810867369250848E-3</v>
      </c>
      <c r="AB208" s="9"/>
      <c r="AC208" s="10">
        <f t="shared" si="55"/>
        <v>358.68</v>
      </c>
      <c r="AD208" s="8">
        <f>IFERROR(AC208/AC444, "NA")</f>
        <v>7.7525612760990695E-2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1547.5600000000002</v>
      </c>
      <c r="C209" s="15">
        <f>IFERROR(B209/B444, "NA")</f>
        <v>1.9763930125115195E-2</v>
      </c>
      <c r="D209" s="2"/>
      <c r="E209" s="14">
        <f>IFERROR(E201+E202+E203+E204+E205+E206+E207+E208, "NA")</f>
        <v>1971.96</v>
      </c>
      <c r="F209" s="15">
        <f>IFERROR(E209/E444, "NA")</f>
        <v>2.3370303090062345E-2</v>
      </c>
      <c r="G209" s="2"/>
      <c r="H209" s="14">
        <f t="shared" si="52"/>
        <v>424.39999999999986</v>
      </c>
      <c r="I209" s="15">
        <f>IFERROR(H209/H444, "NA")</f>
        <v>-6.9841228047078638E-2</v>
      </c>
      <c r="J209" s="2"/>
      <c r="K209" s="14">
        <f>IFERROR(K201+K202+K203+K204+K205+K206+K207+K208, "NA")</f>
        <v>2282.75</v>
      </c>
      <c r="L209" s="15">
        <f>IFERROR(K209/K444, "NA")</f>
        <v>2.8372435776252567E-2</v>
      </c>
      <c r="M209" s="2"/>
      <c r="N209" s="14">
        <f t="shared" si="53"/>
        <v>735.18999999999983</v>
      </c>
      <c r="O209" s="15">
        <f>IFERROR(N209/N444, "NA")</f>
        <v>-0.34125521614207466</v>
      </c>
      <c r="P209" s="2"/>
      <c r="Q209" s="14">
        <f>IFERROR(Q201+Q202+Q203+Q204+Q205+Q206+Q207+Q208, "NA")</f>
        <v>3653.57</v>
      </c>
      <c r="R209" s="15">
        <f>IFERROR(Q209/Q444, "NA")</f>
        <v>2.422573456410659E-2</v>
      </c>
      <c r="S209" s="2"/>
      <c r="T209" s="14">
        <f>IFERROR(T201+T202+T203+T204+T205+T206+T207+T208, "NA")</f>
        <v>3604.07</v>
      </c>
      <c r="U209" s="15">
        <f>IFERROR(T209/T444, "NA")</f>
        <v>2.3621760304743628E-2</v>
      </c>
      <c r="V209" s="2"/>
      <c r="W209" s="14">
        <f t="shared" si="54"/>
        <v>-49.5</v>
      </c>
      <c r="X209" s="15">
        <f>IFERROR(W209/W444, "NA")</f>
        <v>2.8116053982823686E-2</v>
      </c>
      <c r="Y209" s="2"/>
      <c r="Z209" s="14">
        <f>IFERROR(Z201+Z202+Z203+Z204+Z205+Z206+Z207+Z208, "NA")</f>
        <v>4061.2</v>
      </c>
      <c r="AA209" s="15">
        <f>IFERROR(Z209/Z444, "NA")</f>
        <v>2.7780857927234153E-2</v>
      </c>
      <c r="AB209" s="2"/>
      <c r="AC209" s="14">
        <f t="shared" si="55"/>
        <v>407.62999999999965</v>
      </c>
      <c r="AD209" s="15">
        <f>IFERROR(AC209/AC444, "NA")</f>
        <v>8.8105736393895975E-2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3459.53</v>
      </c>
      <c r="F213" s="8">
        <f>IFERROR(E213/E444, "NA")</f>
        <v>4.0999951646667983E-2</v>
      </c>
      <c r="G213" s="9"/>
      <c r="H213" s="10">
        <f t="shared" ref="H213:H227" si="56">IFERROR(-(B213-E213), "NA")</f>
        <v>3459.53</v>
      </c>
      <c r="I213" s="8">
        <f>IFERROR(H213/H444, "NA")</f>
        <v>-0.5693162668843309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6255.54</v>
      </c>
      <c r="U213" s="8">
        <f>IFERROR(T213/T444, "NA")</f>
        <v>4.0999999016871472E-2</v>
      </c>
      <c r="V213" s="9"/>
      <c r="W213" s="10">
        <f t="shared" ref="W213:W227" si="58">IFERROR(-(Q213-T213), "NA")</f>
        <v>6255.54</v>
      </c>
      <c r="X213" s="8">
        <f>IFERROR(W213/W444, "NA")</f>
        <v>-3.5531535420548055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1796.02</v>
      </c>
      <c r="C214" s="8">
        <f>IFERROR(B214/B444, "NA")</f>
        <v>2.2937019426264176E-2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-1796.02</v>
      </c>
      <c r="I214" s="8">
        <f>IFERROR(H214/H444, "NA")</f>
        <v>0.29556136285842177</v>
      </c>
      <c r="J214" s="9"/>
      <c r="K214" s="7">
        <v>3477.37</v>
      </c>
      <c r="L214" s="8">
        <f>IFERROR(K214/K444, "NA")</f>
        <v>4.3220438942182623E-2</v>
      </c>
      <c r="M214" s="9"/>
      <c r="N214" s="10">
        <f t="shared" si="57"/>
        <v>1681.35</v>
      </c>
      <c r="O214" s="8">
        <f>IFERROR(N214/N444, "NA")</f>
        <v>-0.78043697229352593</v>
      </c>
      <c r="P214" s="9"/>
      <c r="Q214" s="7">
        <v>3355.53</v>
      </c>
      <c r="R214" s="8">
        <f>IFERROR(Q214/Q444, "NA")</f>
        <v>2.2249520086352961E-2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-3355.53</v>
      </c>
      <c r="X214" s="8">
        <f>IFERROR(W214/W444, "NA")</f>
        <v>1.9059446994138256</v>
      </c>
      <c r="Y214" s="9"/>
      <c r="Z214" s="7">
        <v>6004.48</v>
      </c>
      <c r="AA214" s="8">
        <f>IFERROR(Z214/Z444, "NA")</f>
        <v>4.1073969715088872E-2</v>
      </c>
      <c r="AB214" s="9"/>
      <c r="AC214" s="10">
        <f t="shared" si="59"/>
        <v>2648.9499999999994</v>
      </c>
      <c r="AD214" s="8">
        <f>IFERROR(AC214/AC444, "NA")</f>
        <v>0.57254787532961482</v>
      </c>
    </row>
    <row r="215" spans="1:30" ht="16.5" customHeight="1" x14ac:dyDescent="0.45">
      <c r="A215" s="12" t="s">
        <v>195</v>
      </c>
      <c r="B215" s="7">
        <v>661.2</v>
      </c>
      <c r="C215" s="8">
        <f>IFERROR(B215/B444, "NA")</f>
        <v>8.4442028733788463E-3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-661.2</v>
      </c>
      <c r="I215" s="8">
        <f>IFERROR(H215/H444, "NA")</f>
        <v>0.10881013191500567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-661.2</v>
      </c>
      <c r="O215" s="8">
        <f>IFERROR(N215/N444, "NA")</f>
        <v>0.30691106912925886</v>
      </c>
      <c r="P215" s="9"/>
      <c r="Q215" s="7">
        <v>1163.93</v>
      </c>
      <c r="R215" s="8">
        <f>IFERROR(Q215/Q444, "NA")</f>
        <v>7.7176731884706154E-3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-1163.93</v>
      </c>
      <c r="X215" s="8">
        <f>IFERROR(W215/W444, "NA")</f>
        <v>0.66111350933793889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-1163.93</v>
      </c>
      <c r="AD215" s="8">
        <f>IFERROR(AC215/AC444, "NA")</f>
        <v>-0.25157350970475051</v>
      </c>
    </row>
    <row r="216" spans="1:30" ht="16.5" customHeight="1" x14ac:dyDescent="0.45">
      <c r="A216" s="12" t="s">
        <v>196</v>
      </c>
      <c r="B216" s="7">
        <v>50</v>
      </c>
      <c r="C216" s="8">
        <f>IFERROR(B216/B444, "NA")</f>
        <v>6.3855133646240514E-4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-50</v>
      </c>
      <c r="I216" s="8">
        <f>IFERROR(H216/H444, "NA")</f>
        <v>8.2282313910318865E-3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-50</v>
      </c>
      <c r="O216" s="8">
        <f>IFERROR(N216/N444, "NA")</f>
        <v>2.3208641041232523E-2</v>
      </c>
      <c r="P216" s="9"/>
      <c r="Q216" s="7">
        <v>50</v>
      </c>
      <c r="R216" s="8">
        <f>IFERROR(Q216/Q444, "NA")</f>
        <v>3.3153510900443389E-4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-50</v>
      </c>
      <c r="X216" s="8">
        <f>IFERROR(W216/W444, "NA")</f>
        <v>2.8400054528104731E-2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-50</v>
      </c>
      <c r="AD216" s="8">
        <f>IFERROR(AC216/AC444, "NA")</f>
        <v>-1.0807072148013647E-2</v>
      </c>
    </row>
    <row r="217" spans="1:30" ht="16.5" customHeight="1" x14ac:dyDescent="0.45">
      <c r="A217" s="12" t="s">
        <v>197</v>
      </c>
      <c r="B217" s="7">
        <v>2901.28</v>
      </c>
      <c r="C217" s="8">
        <f>IFERROR(B217/B444, "NA")</f>
        <v>3.7052324429032939E-2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-2901.28</v>
      </c>
      <c r="I217" s="8">
        <f>IFERROR(H217/H444, "NA")</f>
        <v>0.47744806340345991</v>
      </c>
      <c r="J217" s="9"/>
      <c r="K217" s="7">
        <v>3587.13</v>
      </c>
      <c r="L217" s="8">
        <f>IFERROR(K217/K444, "NA")</f>
        <v>4.4584652522645436E-2</v>
      </c>
      <c r="M217" s="9"/>
      <c r="N217" s="10">
        <f t="shared" si="57"/>
        <v>685.84999999999991</v>
      </c>
      <c r="O217" s="8">
        <f>IFERROR(N217/N444, "NA")</f>
        <v>-0.31835292916258645</v>
      </c>
      <c r="P217" s="9"/>
      <c r="Q217" s="7">
        <v>3755.59</v>
      </c>
      <c r="R217" s="8">
        <f>IFERROR(Q217/Q444, "NA")</f>
        <v>2.4902198800519238E-2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-3755.59</v>
      </c>
      <c r="X217" s="8">
        <f>IFERROR(W217/W444, "NA")</f>
        <v>2.133179215704097</v>
      </c>
      <c r="Y217" s="9"/>
      <c r="Z217" s="7">
        <v>6275.13</v>
      </c>
      <c r="AA217" s="8">
        <f>IFERROR(Z217/Z444, "NA")</f>
        <v>4.292536565668395E-2</v>
      </c>
      <c r="AB217" s="9"/>
      <c r="AC217" s="10">
        <f t="shared" si="59"/>
        <v>2519.54</v>
      </c>
      <c r="AD217" s="8">
        <f>IFERROR(AC217/AC444, "NA")</f>
        <v>0.544577011196126</v>
      </c>
    </row>
    <row r="218" spans="1:30" ht="16.5" customHeight="1" x14ac:dyDescent="0.45">
      <c r="A218" s="13" t="s">
        <v>198</v>
      </c>
      <c r="B218" s="14">
        <f>IFERROR(B213+B214+B215+B216+B217, "NA")</f>
        <v>5408.5</v>
      </c>
      <c r="C218" s="15">
        <f>IFERROR(B218/B444, "NA")</f>
        <v>6.9072098065138365E-2</v>
      </c>
      <c r="D218" s="2"/>
      <c r="E218" s="14">
        <f>IFERROR(E213+E214+E215+E216+E217, "NA")</f>
        <v>3459.53</v>
      </c>
      <c r="F218" s="15">
        <f>IFERROR(E218/E444, "NA")</f>
        <v>4.0999951646667983E-2</v>
      </c>
      <c r="G218" s="2"/>
      <c r="H218" s="14">
        <f t="shared" si="56"/>
        <v>-1948.9699999999998</v>
      </c>
      <c r="I218" s="15">
        <f>IFERROR(H218/H444, "NA")</f>
        <v>0.32073152268358829</v>
      </c>
      <c r="J218" s="2"/>
      <c r="K218" s="14">
        <f>IFERROR(K213+K214+K215+K216+K217, "NA")</f>
        <v>7064.5</v>
      </c>
      <c r="L218" s="15">
        <f>IFERROR(K218/K444, "NA")</f>
        <v>8.7805091464828067E-2</v>
      </c>
      <c r="M218" s="2"/>
      <c r="N218" s="14">
        <f t="shared" si="57"/>
        <v>1656</v>
      </c>
      <c r="O218" s="15">
        <f>IFERROR(N218/N444, "NA")</f>
        <v>-0.76867019128562108</v>
      </c>
      <c r="P218" s="2"/>
      <c r="Q218" s="14">
        <f>IFERROR(Q213+Q214+Q215+Q216+Q217, "NA")</f>
        <v>8325.0499999999993</v>
      </c>
      <c r="R218" s="15">
        <f>IFERROR(Q218/Q444, "NA")</f>
        <v>5.5200927184347243E-2</v>
      </c>
      <c r="S218" s="2"/>
      <c r="T218" s="14">
        <f>IFERROR(T213+T214+T215+T216+T217, "NA")</f>
        <v>6255.54</v>
      </c>
      <c r="U218" s="15">
        <f>IFERROR(T218/T444, "NA")</f>
        <v>4.0999999016871472E-2</v>
      </c>
      <c r="V218" s="2"/>
      <c r="W218" s="14">
        <f t="shared" si="58"/>
        <v>-2069.5099999999993</v>
      </c>
      <c r="X218" s="15">
        <f>IFERROR(W218/W444, "NA")</f>
        <v>1.1754839369291601</v>
      </c>
      <c r="Y218" s="2"/>
      <c r="Z218" s="14">
        <f>IFERROR(Z213+Z214+Z215+Z216+Z217, "NA")</f>
        <v>12279.61</v>
      </c>
      <c r="AA218" s="15">
        <f>IFERROR(Z218/Z444, "NA")</f>
        <v>8.3999335371772829E-2</v>
      </c>
      <c r="AB218" s="2"/>
      <c r="AC218" s="14">
        <f t="shared" si="59"/>
        <v>3954.5600000000013</v>
      </c>
      <c r="AD218" s="15">
        <f>IFERROR(AC218/AC444, "NA")</f>
        <v>0.85474430467297724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88.79</v>
      </c>
      <c r="C222" s="8">
        <f>IFERROR(B222/B444, "NA")</f>
        <v>1.133939463289939E-3</v>
      </c>
      <c r="D222" s="9"/>
      <c r="E222" s="7">
        <v>100</v>
      </c>
      <c r="F222" s="8">
        <f>IFERROR(E222/E444, "NA")</f>
        <v>1.1851306867310871E-3</v>
      </c>
      <c r="G222" s="9"/>
      <c r="H222" s="10">
        <f t="shared" si="56"/>
        <v>11.209999999999994</v>
      </c>
      <c r="I222" s="8">
        <f>IFERROR(H222/H444, "NA")</f>
        <v>-1.8447694778693481E-3</v>
      </c>
      <c r="J222" s="9"/>
      <c r="K222" s="7">
        <v>131.18</v>
      </c>
      <c r="L222" s="8">
        <f>IFERROR(K222/K444, "NA")</f>
        <v>1.6304440368541504E-3</v>
      </c>
      <c r="M222" s="9"/>
      <c r="N222" s="10">
        <f t="shared" si="57"/>
        <v>42.39</v>
      </c>
      <c r="O222" s="8">
        <f>IFERROR(N222/N444, "NA")</f>
        <v>-1.9676285874756932E-2</v>
      </c>
      <c r="P222" s="9"/>
      <c r="Q222" s="7">
        <v>88.79</v>
      </c>
      <c r="R222" s="8">
        <f>IFERROR(Q222/Q444, "NA")</f>
        <v>5.8874004657007378E-4</v>
      </c>
      <c r="S222" s="9"/>
      <c r="T222" s="7">
        <v>200</v>
      </c>
      <c r="U222" s="8">
        <f>IFERROR(T222/T444, "NA")</f>
        <v>1.3108380416997243E-3</v>
      </c>
      <c r="V222" s="9"/>
      <c r="W222" s="10">
        <f t="shared" si="58"/>
        <v>111.21</v>
      </c>
      <c r="X222" s="8">
        <f>IFERROR(W222/W444, "NA")</f>
        <v>-6.3167401281410546E-2</v>
      </c>
      <c r="Y222" s="9"/>
      <c r="Z222" s="7">
        <v>131.18</v>
      </c>
      <c r="AA222" s="8">
        <f>IFERROR(Z222/Z444, "NA")</f>
        <v>8.9734387444464114E-4</v>
      </c>
      <c r="AB222" s="9"/>
      <c r="AC222" s="10">
        <f t="shared" si="59"/>
        <v>42.39</v>
      </c>
      <c r="AD222" s="8">
        <f>IFERROR(AC222/AC444, "NA")</f>
        <v>9.1622357670859689E-3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5497.29</v>
      </c>
      <c r="C227" s="15">
        <f>IFERROR(B227/B444, "NA")</f>
        <v>7.02060375284283E-2</v>
      </c>
      <c r="D227" s="2"/>
      <c r="E227" s="14">
        <f>IFERROR(E211+E213+E214+E215+E216+E217+E219+E220+E221+E222+E223+E224+E225+E226, "NA")</f>
        <v>3559.53</v>
      </c>
      <c r="F227" s="15">
        <f>IFERROR(E227/E444, "NA")</f>
        <v>4.2185082333399071E-2</v>
      </c>
      <c r="G227" s="2"/>
      <c r="H227" s="14">
        <f t="shared" si="56"/>
        <v>-1937.7599999999998</v>
      </c>
      <c r="I227" s="15">
        <f>IFERROR(H227/H444, "NA")</f>
        <v>0.31888675320571896</v>
      </c>
      <c r="J227" s="2"/>
      <c r="K227" s="14">
        <f>IFERROR(K211+K213+K214+K215+K216+K217+K219+K220+K221+K222+K223+K224+K225+K226, "NA")</f>
        <v>7195.68</v>
      </c>
      <c r="L227" s="15">
        <f>IFERROR(K227/K444, "NA")</f>
        <v>8.943553550168222E-2</v>
      </c>
      <c r="M227" s="2"/>
      <c r="N227" s="14">
        <f t="shared" si="57"/>
        <v>1698.3900000000003</v>
      </c>
      <c r="O227" s="15">
        <f>IFERROR(N227/N444, "NA")</f>
        <v>-0.7883464771603782</v>
      </c>
      <c r="P227" s="2"/>
      <c r="Q227" s="14">
        <f>IFERROR(Q211+Q213+Q214+Q215+Q216+Q217+Q219+Q220+Q221+Q222+Q223+Q224+Q225+Q226, "NA")</f>
        <v>8413.84</v>
      </c>
      <c r="R227" s="15">
        <f>IFERROR(Q227/Q444, "NA")</f>
        <v>5.5789667230917321E-2</v>
      </c>
      <c r="S227" s="2"/>
      <c r="T227" s="14">
        <f>IFERROR(T211+T213+T214+T215+T216+T217+T219+T220+T221+T222+T223+T224+T225+T226, "NA")</f>
        <v>6455.54</v>
      </c>
      <c r="U227" s="15">
        <f>IFERROR(T227/T444, "NA")</f>
        <v>4.2310837058571193E-2</v>
      </c>
      <c r="V227" s="2"/>
      <c r="W227" s="14">
        <f t="shared" si="58"/>
        <v>-1958.3000000000002</v>
      </c>
      <c r="X227" s="15">
        <f>IFERROR(W227/W444, "NA")</f>
        <v>1.11231653564775</v>
      </c>
      <c r="Y227" s="2"/>
      <c r="Z227" s="14">
        <f>IFERROR(Z211+Z213+Z214+Z215+Z216+Z217+Z219+Z220+Z221+Z222+Z223+Z224+Z225+Z226, "NA")</f>
        <v>12410.79</v>
      </c>
      <c r="AA227" s="15">
        <f>IFERROR(Z227/Z444, "NA")</f>
        <v>8.489667924621748E-2</v>
      </c>
      <c r="AB227" s="2"/>
      <c r="AC227" s="14">
        <f t="shared" si="59"/>
        <v>3996.9500000000007</v>
      </c>
      <c r="AD227" s="15">
        <f>IFERROR(AC227/AC444, "NA")</f>
        <v>0.8639065404400631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1265.68</v>
      </c>
      <c r="F229" s="8">
        <f>IFERROR(E229/E444, "NA")</f>
        <v>1.4999962075818024E-2</v>
      </c>
      <c r="G229" s="9"/>
      <c r="H229" s="10">
        <f t="shared" ref="H229:H236" si="60">IFERROR(-(B229-E229), "NA")</f>
        <v>1265.68</v>
      </c>
      <c r="I229" s="8">
        <f>IFERROR(H229/H444, "NA")</f>
        <v>-0.20828615814002477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2288.61</v>
      </c>
      <c r="U229" s="8">
        <f>IFERROR(T229/T444, "NA")</f>
        <v>1.4999985253072032E-2</v>
      </c>
      <c r="V229" s="9"/>
      <c r="W229" s="10">
        <f t="shared" ref="W229:W236" si="62">IFERROR(-(Q229-T229), "NA")</f>
        <v>2288.61</v>
      </c>
      <c r="X229" s="8">
        <f>IFERROR(W229/W444, "NA")</f>
        <v>-1.2999329758713154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219.29</v>
      </c>
      <c r="L231" s="8">
        <f>IFERROR(K231/K444, "NA")</f>
        <v>2.7255684772202059E-3</v>
      </c>
      <c r="M231" s="9"/>
      <c r="N231" s="10">
        <f t="shared" si="61"/>
        <v>219.29</v>
      </c>
      <c r="O231" s="8">
        <f>IFERROR(N231/N444, "NA")</f>
        <v>-0.10178845787863759</v>
      </c>
      <c r="P231" s="9"/>
      <c r="Q231" s="7">
        <v>217</v>
      </c>
      <c r="R231" s="8">
        <f>IFERROR(Q231/Q444, "NA")</f>
        <v>1.438862373079243E-3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-217</v>
      </c>
      <c r="X231" s="8">
        <f>IFERROR(W231/W444, "NA")</f>
        <v>0.12325623665197454</v>
      </c>
      <c r="Y231" s="9"/>
      <c r="Z231" s="7">
        <v>403.54</v>
      </c>
      <c r="AA231" s="8">
        <f>IFERROR(Z231/Z444, "NA")</f>
        <v>2.7604371633891639E-3</v>
      </c>
      <c r="AB231" s="9"/>
      <c r="AC231" s="10">
        <f t="shared" si="63"/>
        <v>186.54000000000002</v>
      </c>
      <c r="AD231" s="8">
        <f>IFERROR(AC231/AC444, "NA")</f>
        <v>4.0319024769809315E-2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1550.33</v>
      </c>
      <c r="C234" s="8">
        <f>IFERROR(B234/B444, "NA")</f>
        <v>1.9799305869155209E-2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-1550.33</v>
      </c>
      <c r="I234" s="8">
        <f>IFERROR(H234/H444, "NA")</f>
        <v>0.25512947944916931</v>
      </c>
      <c r="J234" s="9"/>
      <c r="K234" s="7">
        <v>1072.52</v>
      </c>
      <c r="L234" s="8">
        <f>IFERROR(K234/K444, "NA")</f>
        <v>1.3330414990141891E-2</v>
      </c>
      <c r="M234" s="9"/>
      <c r="N234" s="10">
        <f t="shared" si="61"/>
        <v>-477.80999999999995</v>
      </c>
      <c r="O234" s="8">
        <f>IFERROR(N234/N444, "NA")</f>
        <v>0.2217864155182262</v>
      </c>
      <c r="P234" s="9"/>
      <c r="Q234" s="7">
        <v>2906.54</v>
      </c>
      <c r="R234" s="8">
        <f>IFERROR(Q234/Q444, "NA")</f>
        <v>1.9272401114514944E-2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-2906.54</v>
      </c>
      <c r="X234" s="8">
        <f>IFERROR(W234/W444, "NA")</f>
        <v>1.6509178897623504</v>
      </c>
      <c r="Y234" s="9"/>
      <c r="Z234" s="7">
        <v>1786.26</v>
      </c>
      <c r="AA234" s="8">
        <f>IFERROR(Z234/Z444, "NA")</f>
        <v>1.2219007997907339E-2</v>
      </c>
      <c r="AB234" s="9"/>
      <c r="AC234" s="10">
        <f t="shared" si="63"/>
        <v>-1120.28</v>
      </c>
      <c r="AD234" s="8">
        <f>IFERROR(AC234/AC444, "NA")</f>
        <v>-0.24213893571953454</v>
      </c>
    </row>
    <row r="235" spans="1:30" ht="16.5" customHeight="1" x14ac:dyDescent="0.45">
      <c r="A235" s="6" t="s">
        <v>214</v>
      </c>
      <c r="B235" s="7">
        <v>22.35</v>
      </c>
      <c r="C235" s="8">
        <f>IFERROR(B235/B444, "NA")</f>
        <v>2.8543244739869509E-4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-22.35</v>
      </c>
      <c r="I235" s="8">
        <f>IFERROR(H235/H444, "NA")</f>
        <v>3.6780194317912536E-3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-22.35</v>
      </c>
      <c r="O235" s="8">
        <f>IFERROR(N235/N444, "NA")</f>
        <v>1.0374262545430939E-2</v>
      </c>
      <c r="P235" s="9"/>
      <c r="Q235" s="7">
        <v>25.33</v>
      </c>
      <c r="R235" s="8">
        <f>IFERROR(Q235/Q444, "NA")</f>
        <v>1.679556862216462E-4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-25.33</v>
      </c>
      <c r="X235" s="8">
        <f>IFERROR(W235/W444, "NA")</f>
        <v>1.4387467623937856E-2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-25.33</v>
      </c>
      <c r="AD235" s="8">
        <f>IFERROR(AC235/AC444, "NA")</f>
        <v>-5.4748627501837134E-3</v>
      </c>
    </row>
    <row r="236" spans="1:30" ht="16.5" customHeight="1" x14ac:dyDescent="0.45">
      <c r="A236" s="19" t="s">
        <v>215</v>
      </c>
      <c r="B236" s="14">
        <f>IFERROR(B229+B230+B231+B232+B233+B234+B235, "NA")</f>
        <v>1572.6799999999998</v>
      </c>
      <c r="C236" s="15">
        <f>IFERROR(B236/B444, "NA")</f>
        <v>2.0084738316553902E-2</v>
      </c>
      <c r="D236" s="2"/>
      <c r="E236" s="14">
        <f>IFERROR(E229+E230+E231+E232+E233+E234+E235, "NA")</f>
        <v>1265.68</v>
      </c>
      <c r="F236" s="15">
        <f>IFERROR(E236/E444, "NA")</f>
        <v>1.4999962075818024E-2</v>
      </c>
      <c r="G236" s="2"/>
      <c r="H236" s="14">
        <f t="shared" si="60"/>
        <v>-306.99999999999977</v>
      </c>
      <c r="I236" s="15">
        <f>IFERROR(H236/H444, "NA")</f>
        <v>5.0521340740935748E-2</v>
      </c>
      <c r="J236" s="2"/>
      <c r="K236" s="14">
        <f>IFERROR(K229+K230+K231+K232+K233+K234+K235, "NA")</f>
        <v>1291.81</v>
      </c>
      <c r="L236" s="15">
        <f>IFERROR(K236/K444, "NA")</f>
        <v>1.6055983467362096E-2</v>
      </c>
      <c r="M236" s="2"/>
      <c r="N236" s="14">
        <f t="shared" si="61"/>
        <v>-280.86999999999989</v>
      </c>
      <c r="O236" s="15">
        <f>IFERROR(N236/N444, "NA")</f>
        <v>0.13037222018501951</v>
      </c>
      <c r="P236" s="2"/>
      <c r="Q236" s="14">
        <f>IFERROR(Q229+Q230+Q231+Q232+Q233+Q234+Q235, "NA")</f>
        <v>3148.87</v>
      </c>
      <c r="R236" s="15">
        <f>IFERROR(Q236/Q444, "NA")</f>
        <v>2.0879219173815834E-2</v>
      </c>
      <c r="S236" s="2"/>
      <c r="T236" s="14">
        <f>IFERROR(T229+T230+T231+T232+T233+T234+T235, "NA")</f>
        <v>2288.61</v>
      </c>
      <c r="U236" s="15">
        <f>IFERROR(T236/T444, "NA")</f>
        <v>1.4999985253072032E-2</v>
      </c>
      <c r="V236" s="2"/>
      <c r="W236" s="14">
        <f t="shared" si="62"/>
        <v>-860.25999999999976</v>
      </c>
      <c r="X236" s="15">
        <f>IFERROR(W236/W444, "NA")</f>
        <v>0.48862861816694741</v>
      </c>
      <c r="Y236" s="2"/>
      <c r="Z236" s="14">
        <f>IFERROR(Z229+Z230+Z231+Z232+Z233+Z234+Z235, "NA")</f>
        <v>2189.8000000000002</v>
      </c>
      <c r="AA236" s="15">
        <f>IFERROR(Z236/Z444, "NA")</f>
        <v>1.4979445161296503E-2</v>
      </c>
      <c r="AB236" s="2"/>
      <c r="AC236" s="14">
        <f t="shared" si="63"/>
        <v>-959.06999999999971</v>
      </c>
      <c r="AD236" s="15">
        <f>IFERROR(AC236/AC444, "NA")</f>
        <v>-0.2072947736999089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5484.63</v>
      </c>
      <c r="F240" s="8">
        <f>IFERROR(E240/E444, "NA")</f>
        <v>6.5000033183659225E-2</v>
      </c>
      <c r="G240" s="9"/>
      <c r="H240" s="10">
        <f t="shared" ref="H240:H263" si="64">IFERROR(-(B240-E240), "NA")</f>
        <v>5484.63</v>
      </c>
      <c r="I240" s="8">
        <f>IFERROR(H240/H444, "NA")</f>
        <v>-0.90257609468390432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9917.32</v>
      </c>
      <c r="U240" s="8">
        <f>IFERROR(T240/T444, "NA")</f>
        <v>6.500000163854755E-2</v>
      </c>
      <c r="V240" s="9"/>
      <c r="W240" s="10">
        <f t="shared" ref="W240:W263" si="66">IFERROR(-(Q240-T240), "NA")</f>
        <v>9917.32</v>
      </c>
      <c r="X240" s="8">
        <f>IFERROR(W240/W444, "NA")</f>
        <v>-5.6330485754532722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1717.79</v>
      </c>
      <c r="C242" s="8">
        <f>IFERROR(B242/B444, "NA")</f>
        <v>2.1937942005235099E-2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-1717.79</v>
      </c>
      <c r="I242" s="8">
        <f>IFERROR(H242/H444, "NA")</f>
        <v>0.28268747202401329</v>
      </c>
      <c r="J242" s="9"/>
      <c r="K242" s="7">
        <v>1410.74</v>
      </c>
      <c r="L242" s="8">
        <f>IFERROR(K242/K444, "NA")</f>
        <v>1.7534171524253881E-2</v>
      </c>
      <c r="M242" s="9"/>
      <c r="N242" s="10">
        <f t="shared" si="65"/>
        <v>-307.04999999999995</v>
      </c>
      <c r="O242" s="8">
        <f>IFERROR(N242/N444, "NA")</f>
        <v>0.14252426463420889</v>
      </c>
      <c r="P242" s="9"/>
      <c r="Q242" s="7">
        <v>3456.29</v>
      </c>
      <c r="R242" s="8">
        <f>IFERROR(Q242/Q444, "NA")</f>
        <v>2.2917629638018695E-2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-3456.29</v>
      </c>
      <c r="X242" s="8">
        <f>IFERROR(W242/W444, "NA")</f>
        <v>1.9631764892988621</v>
      </c>
      <c r="Y242" s="9"/>
      <c r="Z242" s="7">
        <v>2446.7399999999998</v>
      </c>
      <c r="AA242" s="8">
        <f>IFERROR(Z242/Z444, "NA")</f>
        <v>1.6737057107475844E-2</v>
      </c>
      <c r="AB242" s="9"/>
      <c r="AC242" s="10">
        <f t="shared" si="67"/>
        <v>-1009.5500000000002</v>
      </c>
      <c r="AD242" s="8">
        <f>IFERROR(AC242/AC444, "NA")</f>
        <v>-0.21820559374054357</v>
      </c>
    </row>
    <row r="243" spans="1:30" ht="16.5" customHeight="1" x14ac:dyDescent="0.45">
      <c r="A243" s="12" t="s">
        <v>220</v>
      </c>
      <c r="B243" s="7">
        <v>2181.83</v>
      </c>
      <c r="C243" s="8">
        <f>IFERROR(B243/B444, "NA")</f>
        <v>2.7864209248675387E-2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-2181.83</v>
      </c>
      <c r="I243" s="8">
        <f>IFERROR(H243/H444, "NA")</f>
        <v>0.35905204191790202</v>
      </c>
      <c r="J243" s="9"/>
      <c r="K243" s="7">
        <v>1670.93</v>
      </c>
      <c r="L243" s="8">
        <f>IFERROR(K243/K444, "NA")</f>
        <v>2.0768088538654562E-2</v>
      </c>
      <c r="M243" s="9"/>
      <c r="N243" s="10">
        <f t="shared" si="65"/>
        <v>-510.89999999999986</v>
      </c>
      <c r="O243" s="8">
        <f>IFERROR(N243/N444, "NA")</f>
        <v>0.23714589415931384</v>
      </c>
      <c r="P243" s="9"/>
      <c r="Q243" s="7">
        <v>3838.21</v>
      </c>
      <c r="R243" s="8">
        <f>IFERROR(Q243/Q444, "NA")</f>
        <v>2.5450027414638164E-2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-3838.21</v>
      </c>
      <c r="X243" s="8">
        <f>IFERROR(W243/W444, "NA")</f>
        <v>2.1801074658063371</v>
      </c>
      <c r="Y243" s="9"/>
      <c r="Z243" s="7">
        <v>2743.71</v>
      </c>
      <c r="AA243" s="8">
        <f>IFERROR(Z243/Z444, "NA")</f>
        <v>1.8768496430496315E-2</v>
      </c>
      <c r="AB243" s="9"/>
      <c r="AC243" s="10">
        <f t="shared" si="67"/>
        <v>-1094.5</v>
      </c>
      <c r="AD243" s="8">
        <f>IFERROR(AC243/AC444, "NA")</f>
        <v>-0.23656680932001872</v>
      </c>
    </row>
    <row r="244" spans="1:30" ht="16.5" customHeight="1" x14ac:dyDescent="0.45">
      <c r="A244" s="12" t="s">
        <v>221</v>
      </c>
      <c r="B244" s="7">
        <v>623.66999999999996</v>
      </c>
      <c r="C244" s="8">
        <f>IFERROR(B244/B444, "NA")</f>
        <v>7.9649062402301629E-3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-623.66999999999996</v>
      </c>
      <c r="I244" s="8">
        <f>IFERROR(H244/H444, "NA")</f>
        <v>0.10263402143289713</v>
      </c>
      <c r="J244" s="9"/>
      <c r="K244" s="7">
        <v>340.62</v>
      </c>
      <c r="L244" s="8">
        <f>IFERROR(K244/K444, "NA")</f>
        <v>4.2335862771250244E-3</v>
      </c>
      <c r="M244" s="9"/>
      <c r="N244" s="10">
        <f t="shared" si="65"/>
        <v>-283.04999999999995</v>
      </c>
      <c r="O244" s="8">
        <f>IFERROR(N244/N444, "NA")</f>
        <v>0.13138411693441729</v>
      </c>
      <c r="P244" s="9"/>
      <c r="Q244" s="7">
        <v>1179</v>
      </c>
      <c r="R244" s="8">
        <f>IFERROR(Q244/Q444, "NA")</f>
        <v>7.8175978703245511E-3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-1179</v>
      </c>
      <c r="X244" s="8">
        <f>IFERROR(W244/W444, "NA")</f>
        <v>0.66967328577270957</v>
      </c>
      <c r="Y244" s="9"/>
      <c r="Z244" s="7">
        <v>737.25</v>
      </c>
      <c r="AA244" s="8">
        <f>IFERROR(Z244/Z444, "NA")</f>
        <v>5.043198440572585E-3</v>
      </c>
      <c r="AB244" s="9"/>
      <c r="AC244" s="10">
        <f t="shared" si="67"/>
        <v>-441.75</v>
      </c>
      <c r="AD244" s="8">
        <f>IFERROR(AC244/AC444, "NA")</f>
        <v>-9.5480482427700561E-2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134.06</v>
      </c>
      <c r="C246" s="8">
        <f>IFERROR(B246/B444, "NA")</f>
        <v>1.7120838433230007E-3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-134.06</v>
      </c>
      <c r="I246" s="8">
        <f>IFERROR(H246/H444, "NA")</f>
        <v>2.2061534005634695E-2</v>
      </c>
      <c r="J246" s="9"/>
      <c r="K246" s="7">
        <v>509.12</v>
      </c>
      <c r="L246" s="8">
        <f>IFERROR(K246/K444, "NA")</f>
        <v>6.3278828178318725E-3</v>
      </c>
      <c r="M246" s="9"/>
      <c r="N246" s="10">
        <f t="shared" si="65"/>
        <v>375.06</v>
      </c>
      <c r="O246" s="8">
        <f>IFERROR(N246/N444, "NA")</f>
        <v>-0.1740926581784934</v>
      </c>
      <c r="P246" s="9"/>
      <c r="Q246" s="7">
        <v>275.56</v>
      </c>
      <c r="R246" s="8">
        <f>IFERROR(Q246/Q444, "NA")</f>
        <v>1.8271562927452362E-3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-275.56</v>
      </c>
      <c r="X246" s="8">
        <f>IFERROR(W246/W444, "NA")</f>
        <v>0.15651838051529079</v>
      </c>
      <c r="Y246" s="9"/>
      <c r="Z246" s="7">
        <v>821.42</v>
      </c>
      <c r="AA246" s="8">
        <f>IFERROR(Z246/Z444, "NA")</f>
        <v>5.6189678712175416E-3</v>
      </c>
      <c r="AB246" s="9"/>
      <c r="AC246" s="10">
        <f t="shared" si="67"/>
        <v>545.8599999999999</v>
      </c>
      <c r="AD246" s="8">
        <f>IFERROR(AC246/AC444, "NA")</f>
        <v>0.11798296805429456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200.48</v>
      </c>
      <c r="C248" s="8">
        <f>IFERROR(B248/B444, "NA")</f>
        <v>2.5603354386796594E-3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-200.48</v>
      </c>
      <c r="I248" s="8">
        <f>IFERROR(H248/H444, "NA")</f>
        <v>3.2991916585481451E-2</v>
      </c>
      <c r="J248" s="9"/>
      <c r="K248" s="7">
        <v>234.49</v>
      </c>
      <c r="L248" s="8">
        <f>IFERROR(K248/K444, "NA")</f>
        <v>2.9144901829694292E-3</v>
      </c>
      <c r="M248" s="9"/>
      <c r="N248" s="10">
        <f t="shared" si="65"/>
        <v>34.010000000000019</v>
      </c>
      <c r="O248" s="8">
        <f>IFERROR(N248/N444, "NA")</f>
        <v>-1.5786517636246371E-2</v>
      </c>
      <c r="P248" s="9"/>
      <c r="Q248" s="7">
        <v>436.76</v>
      </c>
      <c r="R248" s="8">
        <f>IFERROR(Q248/Q444, "NA")</f>
        <v>2.8960254841755308E-3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-436.76</v>
      </c>
      <c r="X248" s="8">
        <f>IFERROR(W248/W444, "NA")</f>
        <v>0.24808015631390046</v>
      </c>
      <c r="Y248" s="9"/>
      <c r="Z248" s="7">
        <v>474.35</v>
      </c>
      <c r="AA248" s="8">
        <f>IFERROR(Z248/Z444, "NA")</f>
        <v>3.2448167925203195E-3</v>
      </c>
      <c r="AB248" s="9"/>
      <c r="AC248" s="10">
        <f t="shared" si="67"/>
        <v>37.590000000000032</v>
      </c>
      <c r="AD248" s="8">
        <f>IFERROR(AC248/AC444, "NA")</f>
        <v>8.1247568408766655E-3</v>
      </c>
    </row>
    <row r="249" spans="1:30" ht="16.5" customHeight="1" x14ac:dyDescent="0.45">
      <c r="A249" s="12" t="s">
        <v>226</v>
      </c>
      <c r="B249" s="7">
        <v>2100.25</v>
      </c>
      <c r="C249" s="8">
        <f>IFERROR(B249/B444, "NA")</f>
        <v>2.6822348888103326E-2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-2100.25</v>
      </c>
      <c r="I249" s="8">
        <f>IFERROR(H249/H444, "NA")</f>
        <v>0.34562685958029443</v>
      </c>
      <c r="J249" s="9"/>
      <c r="K249" s="7">
        <v>1942.73</v>
      </c>
      <c r="L249" s="8">
        <f>IFERROR(K249/K444, "NA")</f>
        <v>2.4146306934880801E-2</v>
      </c>
      <c r="M249" s="9"/>
      <c r="N249" s="10">
        <f t="shared" si="65"/>
        <v>-157.51999999999998</v>
      </c>
      <c r="O249" s="8">
        <f>IFERROR(N249/N444, "NA")</f>
        <v>7.3116502736298924E-2</v>
      </c>
      <c r="P249" s="9"/>
      <c r="Q249" s="7">
        <v>3479.09</v>
      </c>
      <c r="R249" s="8">
        <f>IFERROR(Q249/Q444, "NA")</f>
        <v>2.306880964772472E-2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-3479.09</v>
      </c>
      <c r="X249" s="8">
        <f>IFERROR(W249/W444, "NA")</f>
        <v>1.9761269141636779</v>
      </c>
      <c r="Y249" s="9"/>
      <c r="Z249" s="7">
        <v>3399.93</v>
      </c>
      <c r="AA249" s="8">
        <f>IFERROR(Z249/Z444, "NA")</f>
        <v>2.3257404780001285E-2</v>
      </c>
      <c r="AB249" s="9"/>
      <c r="AC249" s="10">
        <f t="shared" si="67"/>
        <v>-79.160000000000309</v>
      </c>
      <c r="AD249" s="8">
        <f>IFERROR(AC249/AC444, "NA")</f>
        <v>-1.7109756624735271E-2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customHeight="1" x14ac:dyDescent="0.45">
      <c r="A251" s="12" t="s">
        <v>228</v>
      </c>
      <c r="B251" s="7">
        <v>16.100000000000001</v>
      </c>
      <c r="C251" s="8">
        <f>IFERROR(B251/B444, "NA")</f>
        <v>2.0561353034089446E-4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-16.100000000000001</v>
      </c>
      <c r="I251" s="8">
        <f>IFERROR(H251/H444, "NA")</f>
        <v>2.6494905079122678E-3</v>
      </c>
      <c r="J251" s="9"/>
      <c r="K251" s="7">
        <v>29.22</v>
      </c>
      <c r="L251" s="8">
        <f>IFERROR(K251/K444, "NA")</f>
        <v>3.6317712118370387E-4</v>
      </c>
      <c r="M251" s="9"/>
      <c r="N251" s="10">
        <f t="shared" si="65"/>
        <v>13.119999999999997</v>
      </c>
      <c r="O251" s="8">
        <f>IFERROR(N251/N444, "NA")</f>
        <v>-6.0899474092194128E-3</v>
      </c>
      <c r="P251" s="9"/>
      <c r="Q251" s="7">
        <v>49.39</v>
      </c>
      <c r="R251" s="8">
        <f>IFERROR(Q251/Q444, "NA")</f>
        <v>3.274903806745798E-4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-49.39</v>
      </c>
      <c r="X251" s="8">
        <f>IFERROR(W251/W444, "NA")</f>
        <v>2.8053573862861853E-2</v>
      </c>
      <c r="Y251" s="9"/>
      <c r="Z251" s="7">
        <v>66.19</v>
      </c>
      <c r="AA251" s="8">
        <f>IFERROR(Z251/Z444, "NA")</f>
        <v>4.5277626962563497E-4</v>
      </c>
      <c r="AB251" s="9"/>
      <c r="AC251" s="10">
        <f t="shared" si="67"/>
        <v>16.799999999999997</v>
      </c>
      <c r="AD251" s="8">
        <f>IFERROR(AC251/AC444, "NA")</f>
        <v>3.6311762417325848E-3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6974.18</v>
      </c>
      <c r="C262" s="15">
        <f>IFERROR(B262/B444, "NA")</f>
        <v>8.9067439194587539E-2</v>
      </c>
      <c r="D262" s="2"/>
      <c r="E262" s="14">
        <f>IFERROR(E240+E241+E242+E243+E244+E245+E246+E247+E248+E249+E250+E251+E252+E253+E254+E255+E256+E257+E258+E259+E260+E261, "NA")</f>
        <v>5484.63</v>
      </c>
      <c r="F262" s="15">
        <f>IFERROR(E262/E444, "NA")</f>
        <v>6.5000033183659225E-2</v>
      </c>
      <c r="G262" s="2"/>
      <c r="H262" s="14">
        <f t="shared" si="64"/>
        <v>-1489.5500000000002</v>
      </c>
      <c r="I262" s="15">
        <f>IFERROR(H262/H444, "NA")</f>
        <v>0.24512724137023098</v>
      </c>
      <c r="J262" s="2"/>
      <c r="K262" s="14">
        <f>IFERROR(K240+K241+K242+K243+K244+K245+K246+K247+K248+K249+K250+K251+K252+K253+K254+K255+K256+K257+K258+K259+K260+K261, "NA")</f>
        <v>6137.8499999999995</v>
      </c>
      <c r="L262" s="15">
        <f>IFERROR(K262/K444, "NA")</f>
        <v>7.6287703396899262E-2</v>
      </c>
      <c r="M262" s="2"/>
      <c r="N262" s="14">
        <f t="shared" si="65"/>
        <v>-836.33000000000084</v>
      </c>
      <c r="O262" s="15">
        <f>IFERROR(N262/N444, "NA")</f>
        <v>0.38820165524028027</v>
      </c>
      <c r="P262" s="2"/>
      <c r="Q262" s="14">
        <f>IFERROR(Q240+Q241+Q242+Q243+Q244+Q245+Q246+Q247+Q248+Q249+Q250+Q251+Q252+Q253+Q254+Q255+Q256+Q257+Q258+Q259+Q260+Q261, "NA")</f>
        <v>12714.3</v>
      </c>
      <c r="R262" s="15">
        <f>IFERROR(Q262/Q444, "NA")</f>
        <v>8.4304736728301466E-2</v>
      </c>
      <c r="S262" s="2"/>
      <c r="T262" s="14">
        <f>IFERROR(T240+T241+T242+T243+T244+T245+T246+T247+T248+T249+T250+T251+T252+T253+T254+T255+T256+T257+T258+T259+T260+T261, "NA")</f>
        <v>9917.32</v>
      </c>
      <c r="U262" s="15">
        <f>IFERROR(T262/T444, "NA")</f>
        <v>6.500000163854755E-2</v>
      </c>
      <c r="V262" s="2"/>
      <c r="W262" s="14">
        <f t="shared" si="66"/>
        <v>-2796.9799999999996</v>
      </c>
      <c r="X262" s="15">
        <f>IFERROR(W262/W444, "NA")</f>
        <v>1.5886876902803673</v>
      </c>
      <c r="Y262" s="2"/>
      <c r="Z262" s="14">
        <f>IFERROR(Z240+Z241+Z242+Z243+Z244+Z245+Z246+Z247+Z248+Z249+Z250+Z251+Z252+Z253+Z254+Z255+Z256+Z257+Z258+Z259+Z260+Z261, "NA")</f>
        <v>10689.59</v>
      </c>
      <c r="AA262" s="15">
        <f>IFERROR(Z262/Z444, "NA")</f>
        <v>7.312271769190952E-2</v>
      </c>
      <c r="AB262" s="2"/>
      <c r="AC262" s="14">
        <f t="shared" si="67"/>
        <v>-2024.7099999999991</v>
      </c>
      <c r="AD262" s="15">
        <f>IFERROR(AC262/AC444, "NA")</f>
        <v>-0.43762374097609402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6974.18</v>
      </c>
      <c r="C263" s="15">
        <f>IFERROR(B263/B444, "NA")</f>
        <v>8.9067439194587539E-2</v>
      </c>
      <c r="D263" s="2"/>
      <c r="E263" s="14">
        <f>IFERROR(E238+E240+E241+E242+E243+E244+E245+E246+E247+E248+E249+E250+E251+E252+E253+E254+E255+E256+E257+E258+E259+E260+E261, "NA")</f>
        <v>5484.63</v>
      </c>
      <c r="F263" s="15">
        <f>IFERROR(E263/E444, "NA")</f>
        <v>6.5000033183659225E-2</v>
      </c>
      <c r="G263" s="2"/>
      <c r="H263" s="14">
        <f t="shared" si="64"/>
        <v>-1489.5500000000002</v>
      </c>
      <c r="I263" s="15">
        <f>IFERROR(H263/H444, "NA")</f>
        <v>0.24512724137023098</v>
      </c>
      <c r="J263" s="2"/>
      <c r="K263" s="14">
        <f>IFERROR(K238+K240+K241+K242+K243+K244+K245+K246+K247+K248+K249+K250+K251+K252+K253+K254+K255+K256+K257+K258+K259+K260+K261, "NA")</f>
        <v>6137.8499999999995</v>
      </c>
      <c r="L263" s="15">
        <f>IFERROR(K263/K444, "NA")</f>
        <v>7.6287703396899262E-2</v>
      </c>
      <c r="M263" s="2"/>
      <c r="N263" s="14">
        <f t="shared" si="65"/>
        <v>-836.33000000000084</v>
      </c>
      <c r="O263" s="15">
        <f>IFERROR(N263/N444, "NA")</f>
        <v>0.38820165524028027</v>
      </c>
      <c r="P263" s="2"/>
      <c r="Q263" s="14">
        <f>IFERROR(Q238+Q240+Q241+Q242+Q243+Q244+Q245+Q246+Q247+Q248+Q249+Q250+Q251+Q252+Q253+Q254+Q255+Q256+Q257+Q258+Q259+Q260+Q261, "NA")</f>
        <v>12714.3</v>
      </c>
      <c r="R263" s="15">
        <f>IFERROR(Q263/Q444, "NA")</f>
        <v>8.4304736728301466E-2</v>
      </c>
      <c r="S263" s="2"/>
      <c r="T263" s="14">
        <f>IFERROR(T238+T240+T241+T242+T243+T244+T245+T246+T247+T248+T249+T250+T251+T252+T253+T254+T255+T256+T257+T258+T259+T260+T261, "NA")</f>
        <v>9917.32</v>
      </c>
      <c r="U263" s="15">
        <f>IFERROR(T263/T444, "NA")</f>
        <v>6.500000163854755E-2</v>
      </c>
      <c r="V263" s="2"/>
      <c r="W263" s="14">
        <f t="shared" si="66"/>
        <v>-2796.9799999999996</v>
      </c>
      <c r="X263" s="15">
        <f>IFERROR(W263/W444, "NA")</f>
        <v>1.5886876902803673</v>
      </c>
      <c r="Y263" s="2"/>
      <c r="Z263" s="14">
        <f>IFERROR(Z238+Z240+Z241+Z242+Z243+Z244+Z245+Z246+Z247+Z248+Z249+Z250+Z251+Z252+Z253+Z254+Z255+Z256+Z257+Z258+Z259+Z260+Z261, "NA")</f>
        <v>10689.59</v>
      </c>
      <c r="AA263" s="15">
        <f>IFERROR(Z263/Z444, "NA")</f>
        <v>7.312271769190952E-2</v>
      </c>
      <c r="AB263" s="2"/>
      <c r="AC263" s="14">
        <f t="shared" si="67"/>
        <v>-2024.7099999999991</v>
      </c>
      <c r="AD263" s="15">
        <f>IFERROR(AC263/AC444, "NA")</f>
        <v>-0.43762374097609402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1989.09</v>
      </c>
      <c r="C265" s="8">
        <f>IFERROR(B265/B444, "NA")</f>
        <v>2.5402721556880108E-2</v>
      </c>
      <c r="D265" s="9"/>
      <c r="E265" s="7">
        <v>2025.09</v>
      </c>
      <c r="F265" s="8">
        <f>IFERROR(E265/E444, "NA")</f>
        <v>2.3999963023922571E-2</v>
      </c>
      <c r="G265" s="9"/>
      <c r="H265" s="10">
        <f>IFERROR(-(B265-E265), "NA")</f>
        <v>36</v>
      </c>
      <c r="I265" s="8">
        <f>IFERROR(H265/H444, "NA")</f>
        <v>-5.9243266015429584E-3</v>
      </c>
      <c r="J265" s="9"/>
      <c r="K265" s="7">
        <v>1724.25</v>
      </c>
      <c r="L265" s="8">
        <f>IFERROR(K265/K444, "NA")</f>
        <v>2.1430805995927494E-2</v>
      </c>
      <c r="M265" s="9"/>
      <c r="N265" s="10">
        <f>IFERROR(-(B265-K265), "NA")</f>
        <v>-264.83999999999992</v>
      </c>
      <c r="O265" s="8">
        <f>IFERROR(N265/N444, "NA")</f>
        <v>0.12293152986720038</v>
      </c>
      <c r="P265" s="9"/>
      <c r="Q265" s="7">
        <v>3728.69</v>
      </c>
      <c r="R265" s="8">
        <f>IFERROR(Q265/Q444, "NA")</f>
        <v>2.4723832911874851E-2</v>
      </c>
      <c r="S265" s="9"/>
      <c r="T265" s="7">
        <v>3661.78</v>
      </c>
      <c r="U265" s="8">
        <f>IFERROR(T265/T444, "NA")</f>
        <v>2.4000002621676085E-2</v>
      </c>
      <c r="V265" s="9"/>
      <c r="W265" s="10">
        <f>IFERROR(-(Q265-T265), "NA")</f>
        <v>-66.909999999999854</v>
      </c>
      <c r="X265" s="8">
        <f>IFERROR(W265/W444, "NA")</f>
        <v>3.8004952969509669E-2</v>
      </c>
      <c r="Y265" s="9"/>
      <c r="Z265" s="7">
        <v>3204.44</v>
      </c>
      <c r="AA265" s="8">
        <f>IFERROR(Z265/Z444, "NA")</f>
        <v>2.1920144877461394E-2</v>
      </c>
      <c r="AB265" s="9"/>
      <c r="AC265" s="10">
        <f>IFERROR(-(Q265-Z265), "NA")</f>
        <v>-524.25</v>
      </c>
      <c r="AD265" s="8">
        <f>IFERROR(AC265/AC444, "NA")</f>
        <v>-0.11331215147192308</v>
      </c>
    </row>
    <row r="266" spans="1:30" ht="16.5" customHeight="1" x14ac:dyDescent="0.45">
      <c r="A266" s="6" t="s">
        <v>242</v>
      </c>
      <c r="B266" s="7">
        <v>30.54</v>
      </c>
      <c r="C266" s="8">
        <f>IFERROR(B266/B444, "NA")</f>
        <v>3.9002715631123705E-4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-30.54</v>
      </c>
      <c r="I266" s="8">
        <f>IFERROR(H266/H444, "NA")</f>
        <v>5.025803733642276E-3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-30.54</v>
      </c>
      <c r="O266" s="8">
        <f>IFERROR(N266/N444, "NA")</f>
        <v>1.4175837947984824E-2</v>
      </c>
      <c r="P266" s="9"/>
      <c r="Q266" s="7">
        <v>30.54</v>
      </c>
      <c r="R266" s="8">
        <f>IFERROR(Q266/Q444, "NA")</f>
        <v>2.0250164457990823E-4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-30.54</v>
      </c>
      <c r="X266" s="8">
        <f>IFERROR(W266/W444, "NA")</f>
        <v>1.734675330576637E-2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-30.54</v>
      </c>
      <c r="AD266" s="8">
        <f>IFERROR(AC266/AC444, "NA")</f>
        <v>-6.600959668006735E-3</v>
      </c>
    </row>
    <row r="267" spans="1:30" ht="16.5" customHeight="1" x14ac:dyDescent="0.45">
      <c r="A267" s="19" t="s">
        <v>243</v>
      </c>
      <c r="B267" s="14">
        <f>IFERROR(B265+B266, "NA")</f>
        <v>2019.6299999999999</v>
      </c>
      <c r="C267" s="15">
        <f>IFERROR(B267/B444, "NA")</f>
        <v>2.5792748713191344E-2</v>
      </c>
      <c r="D267" s="2"/>
      <c r="E267" s="14">
        <f>IFERROR(E265+E266, "NA")</f>
        <v>2025.09</v>
      </c>
      <c r="F267" s="15">
        <f>IFERROR(E267/E444, "NA")</f>
        <v>2.3999963023922571E-2</v>
      </c>
      <c r="G267" s="2"/>
      <c r="H267" s="14">
        <f>IFERROR(-(B267-E267), "NA")</f>
        <v>5.4600000000000364</v>
      </c>
      <c r="I267" s="15">
        <f>IFERROR(H267/H444, "NA")</f>
        <v>-8.9852286790068807E-4</v>
      </c>
      <c r="J267" s="2"/>
      <c r="K267" s="14">
        <f>IFERROR(K265+K266, "NA")</f>
        <v>1724.25</v>
      </c>
      <c r="L267" s="15">
        <f>IFERROR(K267/K444, "NA")</f>
        <v>2.1430805995927494E-2</v>
      </c>
      <c r="M267" s="2"/>
      <c r="N267" s="14">
        <f>IFERROR(-(B267-K267), "NA")</f>
        <v>-295.37999999999988</v>
      </c>
      <c r="O267" s="15">
        <f>IFERROR(N267/N444, "NA")</f>
        <v>0.1371073678151852</v>
      </c>
      <c r="P267" s="2"/>
      <c r="Q267" s="14">
        <f>IFERROR(Q265+Q266, "NA")</f>
        <v>3759.23</v>
      </c>
      <c r="R267" s="15">
        <f>IFERROR(Q267/Q444, "NA")</f>
        <v>2.4926334556454762E-2</v>
      </c>
      <c r="S267" s="2"/>
      <c r="T267" s="14">
        <f>IFERROR(T265+T266, "NA")</f>
        <v>3661.78</v>
      </c>
      <c r="U267" s="15">
        <f>IFERROR(T267/T444, "NA")</f>
        <v>2.4000002621676085E-2</v>
      </c>
      <c r="V267" s="2"/>
      <c r="W267" s="14">
        <f>IFERROR(-(Q267-T267), "NA")</f>
        <v>-97.449999999999818</v>
      </c>
      <c r="X267" s="15">
        <f>IFERROR(W267/W444, "NA")</f>
        <v>5.5351706275276018E-2</v>
      </c>
      <c r="Y267" s="2"/>
      <c r="Z267" s="14">
        <f>IFERROR(Z265+Z266, "NA")</f>
        <v>3204.44</v>
      </c>
      <c r="AA267" s="15">
        <f>IFERROR(Z267/Z444, "NA")</f>
        <v>2.1920144877461394E-2</v>
      </c>
      <c r="AB267" s="2"/>
      <c r="AC267" s="14">
        <f>IFERROR(-(Q267-Z267), "NA")</f>
        <v>-554.79</v>
      </c>
      <c r="AD267" s="15">
        <f>IFERROR(AC267/AC444, "NA")</f>
        <v>-0.11991311113992981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307.92</v>
      </c>
      <c r="C270" s="8">
        <f>IFERROR(B270/B444, "NA")</f>
        <v>3.9324545504700759E-3</v>
      </c>
      <c r="D270" s="9"/>
      <c r="E270" s="7">
        <v>354.13</v>
      </c>
      <c r="F270" s="8">
        <f>IFERROR(E270/E444, "NA")</f>
        <v>4.1969033009207988E-3</v>
      </c>
      <c r="G270" s="9"/>
      <c r="H270" s="10">
        <f>IFERROR(-(B270-E270), "NA")</f>
        <v>46.20999999999998</v>
      </c>
      <c r="I270" s="8">
        <f>IFERROR(H270/H444, "NA")</f>
        <v>-7.6045314515916663E-3</v>
      </c>
      <c r="J270" s="9"/>
      <c r="K270" s="7">
        <v>342.25</v>
      </c>
      <c r="L270" s="8">
        <f>IFERROR(K270/K444, "NA")</f>
        <v>4.2538456442547104E-3</v>
      </c>
      <c r="M270" s="9"/>
      <c r="N270" s="10">
        <f>IFERROR(-(B270-K270), "NA")</f>
        <v>34.329999999999984</v>
      </c>
      <c r="O270" s="8">
        <f>IFERROR(N270/N444, "NA")</f>
        <v>-1.5935052938910243E-2</v>
      </c>
      <c r="P270" s="9"/>
      <c r="Q270" s="7">
        <v>615.84</v>
      </c>
      <c r="R270" s="8">
        <f>IFERROR(Q270/Q444, "NA")</f>
        <v>4.083451630585812E-3</v>
      </c>
      <c r="S270" s="9"/>
      <c r="T270" s="7">
        <v>708.26</v>
      </c>
      <c r="U270" s="8">
        <f>IFERROR(T270/T444, "NA")</f>
        <v>4.6420707570712337E-3</v>
      </c>
      <c r="V270" s="9"/>
      <c r="W270" s="10">
        <f>IFERROR(-(Q270-T270), "NA")</f>
        <v>92.419999999999959</v>
      </c>
      <c r="X270" s="8">
        <f>IFERROR(W270/W444, "NA")</f>
        <v>-5.2494660789748765E-2</v>
      </c>
      <c r="Y270" s="9"/>
      <c r="Z270" s="7">
        <v>684.5</v>
      </c>
      <c r="AA270" s="8">
        <f>IFERROR(Z270/Z444, "NA")</f>
        <v>4.6823592167811925E-3</v>
      </c>
      <c r="AB270" s="9"/>
      <c r="AC270" s="10">
        <f>IFERROR(-(Q270-Z270), "NA")</f>
        <v>68.659999999999968</v>
      </c>
      <c r="AD270" s="8">
        <f>IFERROR(AC270/AC444, "NA")</f>
        <v>1.4840271473652333E-2</v>
      </c>
    </row>
    <row r="271" spans="1:30" ht="16.5" customHeight="1" x14ac:dyDescent="0.45">
      <c r="A271" s="6" t="s">
        <v>246</v>
      </c>
      <c r="B271" s="7">
        <v>795.91</v>
      </c>
      <c r="C271" s="8">
        <f>IFERROR(B271/B444, "NA")</f>
        <v>1.0164587884075857E-2</v>
      </c>
      <c r="D271" s="9"/>
      <c r="E271" s="7">
        <v>905.41</v>
      </c>
      <c r="F271" s="8">
        <f>IFERROR(E271/E444, "NA")</f>
        <v>1.0730291750731936E-2</v>
      </c>
      <c r="G271" s="9"/>
      <c r="H271" s="10">
        <f>IFERROR(-(B271-E271), "NA")</f>
        <v>109.5</v>
      </c>
      <c r="I271" s="8">
        <f>IFERROR(H271/H444, "NA")</f>
        <v>-1.8019826746359831E-2</v>
      </c>
      <c r="J271" s="9"/>
      <c r="K271" s="7">
        <v>952.74</v>
      </c>
      <c r="L271" s="8">
        <f>IFERROR(K271/K444, "NA")</f>
        <v>1.1841662232599658E-2</v>
      </c>
      <c r="M271" s="9"/>
      <c r="N271" s="10">
        <f>IFERROR(-(B271-K271), "NA")</f>
        <v>156.83000000000004</v>
      </c>
      <c r="O271" s="8">
        <f>IFERROR(N271/N444, "NA")</f>
        <v>-7.2796223489929951E-2</v>
      </c>
      <c r="P271" s="9"/>
      <c r="Q271" s="7">
        <v>1591.82</v>
      </c>
      <c r="R271" s="8">
        <f>IFERROR(Q271/Q444, "NA")</f>
        <v>1.0554884344308759E-2</v>
      </c>
      <c r="S271" s="9"/>
      <c r="T271" s="7">
        <v>1810.82</v>
      </c>
      <c r="U271" s="8">
        <f>IFERROR(T271/T444, "NA")</f>
        <v>1.1868458713353474E-2</v>
      </c>
      <c r="V271" s="9"/>
      <c r="W271" s="10">
        <f>IFERROR(-(Q271-T271), "NA")</f>
        <v>219</v>
      </c>
      <c r="X271" s="8">
        <f>IFERROR(W271/W444, "NA")</f>
        <v>-0.12439223883309872</v>
      </c>
      <c r="Y271" s="9"/>
      <c r="Z271" s="7">
        <v>1905.48</v>
      </c>
      <c r="AA271" s="8">
        <f>IFERROR(Z271/Z444, "NA")</f>
        <v>1.3034538846445912E-2</v>
      </c>
      <c r="AB271" s="9"/>
      <c r="AC271" s="10">
        <f>IFERROR(-(Q271-Z271), "NA")</f>
        <v>313.66000000000008</v>
      </c>
      <c r="AD271" s="8">
        <f>IFERROR(AC271/AC444, "NA")</f>
        <v>6.7794924998919232E-2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1103.83</v>
      </c>
      <c r="C273" s="15">
        <f>IFERROR(B273/B444, "NA")</f>
        <v>1.4097042434545931E-2</v>
      </c>
      <c r="D273" s="2"/>
      <c r="E273" s="14">
        <f>IFERROR(E269+E270+E271+E272, "NA")</f>
        <v>1259.54</v>
      </c>
      <c r="F273" s="15">
        <f>IFERROR(E273/E444, "NA")</f>
        <v>1.4927195051652735E-2</v>
      </c>
      <c r="G273" s="2"/>
      <c r="H273" s="14">
        <f>IFERROR(-(B273-E273), "NA")</f>
        <v>155.71000000000004</v>
      </c>
      <c r="I273" s="15">
        <f>IFERROR(H273/H444, "NA")</f>
        <v>-2.5624358197951509E-2</v>
      </c>
      <c r="J273" s="2"/>
      <c r="K273" s="14">
        <f>IFERROR(K269+K270+K271+K272, "NA")</f>
        <v>1294.99</v>
      </c>
      <c r="L273" s="15">
        <f>IFERROR(K273/K444, "NA")</f>
        <v>1.6095507876854369E-2</v>
      </c>
      <c r="M273" s="2"/>
      <c r="N273" s="14">
        <f>IFERROR(-(B273-K273), "NA")</f>
        <v>191.16000000000008</v>
      </c>
      <c r="O273" s="15">
        <f>IFERROR(N273/N444, "NA")</f>
        <v>-8.8731276428840211E-2</v>
      </c>
      <c r="P273" s="2"/>
      <c r="Q273" s="14">
        <f>IFERROR(Q269+Q270+Q271+Q272, "NA")</f>
        <v>2207.66</v>
      </c>
      <c r="R273" s="15">
        <f>IFERROR(Q273/Q444, "NA")</f>
        <v>1.463833597489457E-2</v>
      </c>
      <c r="S273" s="2"/>
      <c r="T273" s="14">
        <f>IFERROR(T269+T270+T271+T272, "NA")</f>
        <v>2519.08</v>
      </c>
      <c r="U273" s="15">
        <f>IFERROR(T273/T444, "NA")</f>
        <v>1.6510529470424709E-2</v>
      </c>
      <c r="V273" s="2"/>
      <c r="W273" s="14">
        <f>IFERROR(-(Q273-T273), "NA")</f>
        <v>311.42000000000007</v>
      </c>
      <c r="X273" s="15">
        <f>IFERROR(W273/W444, "NA")</f>
        <v>-0.17688689962284754</v>
      </c>
      <c r="Y273" s="2"/>
      <c r="Z273" s="14">
        <f>IFERROR(Z269+Z270+Z271+Z272, "NA")</f>
        <v>2589.98</v>
      </c>
      <c r="AA273" s="15">
        <f>IFERROR(Z273/Z444, "NA")</f>
        <v>1.7716898063227106E-2</v>
      </c>
      <c r="AB273" s="2"/>
      <c r="AC273" s="14">
        <f>IFERROR(-(Q273-Z273), "NA")</f>
        <v>382.32000000000016</v>
      </c>
      <c r="AD273" s="15">
        <f>IFERROR(AC273/AC444, "NA")</f>
        <v>8.2635196472571587E-2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hidden="1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0</v>
      </c>
      <c r="F287" s="8">
        <f>IFERROR(E287/E444, "NA")</f>
        <v>0</v>
      </c>
      <c r="G287" s="9"/>
      <c r="H287" s="10">
        <f t="shared" si="72"/>
        <v>0</v>
      </c>
      <c r="I287" s="8">
        <f>IFERROR(H287/H444, "NA")</f>
        <v>0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0</v>
      </c>
      <c r="U287" s="8">
        <f>IFERROR(T287/T444, "NA")</f>
        <v>0</v>
      </c>
      <c r="V287" s="9"/>
      <c r="W287" s="10">
        <f t="shared" si="74"/>
        <v>0</v>
      </c>
      <c r="X287" s="8">
        <f>IFERROR(W287/W444, "NA")</f>
        <v>0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1.7560161752716141E-3</v>
      </c>
      <c r="D288" s="9"/>
      <c r="E288" s="7">
        <v>138</v>
      </c>
      <c r="F288" s="8">
        <f>IFERROR(E288/E444, "NA")</f>
        <v>1.6354803476889002E-3</v>
      </c>
      <c r="G288" s="9"/>
      <c r="H288" s="10">
        <f t="shared" si="72"/>
        <v>0.5</v>
      </c>
      <c r="I288" s="8">
        <f>IFERROR(H288/H444, "NA")</f>
        <v>-8.2282313910318864E-5</v>
      </c>
      <c r="J288" s="9"/>
      <c r="K288" s="7">
        <v>137.5</v>
      </c>
      <c r="L288" s="8">
        <f>IFERROR(K288/K444, "NA")</f>
        <v>1.7089956934551432E-3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275</v>
      </c>
      <c r="R288" s="8">
        <f>IFERROR(Q288/Q444, "NA")</f>
        <v>1.8234430995243865E-3</v>
      </c>
      <c r="S288" s="9"/>
      <c r="T288" s="7">
        <v>276</v>
      </c>
      <c r="U288" s="8">
        <f>IFERROR(T288/T444, "NA")</f>
        <v>1.8089564975456197E-3</v>
      </c>
      <c r="V288" s="9"/>
      <c r="W288" s="10">
        <f t="shared" si="74"/>
        <v>1</v>
      </c>
      <c r="X288" s="8">
        <f>IFERROR(W288/W444, "NA")</f>
        <v>-5.6800109056209466E-4</v>
      </c>
      <c r="Y288" s="9"/>
      <c r="Z288" s="7">
        <v>275</v>
      </c>
      <c r="AA288" s="8">
        <f>IFERROR(Z288/Z444, "NA")</f>
        <v>1.8811523515191058E-3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247.84</v>
      </c>
      <c r="C289" s="8">
        <f>IFERROR(B289/B444, "NA")</f>
        <v>3.1651712645768496E-3</v>
      </c>
      <c r="D289" s="9"/>
      <c r="E289" s="7">
        <v>234</v>
      </c>
      <c r="F289" s="8">
        <f>IFERROR(E289/E444, "NA")</f>
        <v>2.773205806950744E-3</v>
      </c>
      <c r="G289" s="9"/>
      <c r="H289" s="10">
        <f t="shared" si="72"/>
        <v>-13.840000000000003</v>
      </c>
      <c r="I289" s="8">
        <f>IFERROR(H289/H444, "NA")</f>
        <v>2.2775744490376271E-3</v>
      </c>
      <c r="J289" s="9"/>
      <c r="K289" s="7">
        <v>220.88</v>
      </c>
      <c r="L289" s="8">
        <f>IFERROR(K289/K444, "NA")</f>
        <v>2.7453306819663417E-3</v>
      </c>
      <c r="M289" s="9"/>
      <c r="N289" s="10">
        <f t="shared" si="73"/>
        <v>-26.960000000000008</v>
      </c>
      <c r="O289" s="8">
        <f>IFERROR(N289/N444, "NA")</f>
        <v>1.251409924943258E-2</v>
      </c>
      <c r="P289" s="9"/>
      <c r="Q289" s="7">
        <v>495.68</v>
      </c>
      <c r="R289" s="8">
        <f>IFERROR(Q289/Q444, "NA")</f>
        <v>3.286706456626356E-3</v>
      </c>
      <c r="S289" s="9"/>
      <c r="T289" s="7">
        <v>468</v>
      </c>
      <c r="U289" s="8">
        <f>IFERROR(T289/T444, "NA")</f>
        <v>3.0673610175773552E-3</v>
      </c>
      <c r="V289" s="9"/>
      <c r="W289" s="10">
        <f t="shared" si="74"/>
        <v>-27.680000000000007</v>
      </c>
      <c r="X289" s="8">
        <f>IFERROR(W289/W444, "NA")</f>
        <v>1.5722270186758782E-2</v>
      </c>
      <c r="Y289" s="9"/>
      <c r="Z289" s="7">
        <v>438.85</v>
      </c>
      <c r="AA289" s="8">
        <f>IFERROR(Z289/Z444, "NA")</f>
        <v>3.001977125324217E-3</v>
      </c>
      <c r="AB289" s="9"/>
      <c r="AC289" s="10">
        <f t="shared" si="75"/>
        <v>-56.829999999999984</v>
      </c>
      <c r="AD289" s="8">
        <f>IFERROR(AC289/AC444, "NA")</f>
        <v>-1.2283318203432307E-2</v>
      </c>
    </row>
    <row r="290" spans="1:30" ht="16.5" customHeight="1" x14ac:dyDescent="0.45">
      <c r="A290" s="6" t="s">
        <v>263</v>
      </c>
      <c r="B290" s="7">
        <v>370.62</v>
      </c>
      <c r="C290" s="8">
        <f>IFERROR(B290/B444, "NA")</f>
        <v>4.7331979263939318E-3</v>
      </c>
      <c r="D290" s="9"/>
      <c r="E290" s="7">
        <v>590.65</v>
      </c>
      <c r="F290" s="8">
        <f>IFERROR(E290/E444, "NA")</f>
        <v>6.9999744011771661E-3</v>
      </c>
      <c r="G290" s="9"/>
      <c r="H290" s="10">
        <f t="shared" si="72"/>
        <v>220.02999999999997</v>
      </c>
      <c r="I290" s="8">
        <f>IFERROR(H290/H444, "NA")</f>
        <v>-3.6209155059374915E-2</v>
      </c>
      <c r="J290" s="9"/>
      <c r="K290" s="7">
        <v>1147.8900000000001</v>
      </c>
      <c r="L290" s="8">
        <f>IFERROR(K290/K444, "NA")</f>
        <v>1.4267193211347087E-2</v>
      </c>
      <c r="M290" s="9"/>
      <c r="N290" s="10">
        <f t="shared" si="73"/>
        <v>777.2700000000001</v>
      </c>
      <c r="O290" s="8">
        <f>IFERROR(N290/N444, "NA")</f>
        <v>-0.36078760844237606</v>
      </c>
      <c r="P290" s="9"/>
      <c r="Q290" s="7">
        <v>1968.7</v>
      </c>
      <c r="R290" s="8">
        <f>IFERROR(Q290/Q444, "NA")</f>
        <v>1.305386338194058E-2</v>
      </c>
      <c r="S290" s="9"/>
      <c r="T290" s="7">
        <v>1068.02</v>
      </c>
      <c r="U290" s="8">
        <f>IFERROR(T290/T444, "NA")</f>
        <v>7.0000062264806984E-3</v>
      </c>
      <c r="V290" s="9"/>
      <c r="W290" s="10">
        <f t="shared" si="74"/>
        <v>-900.68000000000006</v>
      </c>
      <c r="X290" s="8">
        <f>IFERROR(W290/W444, "NA")</f>
        <v>0.51158722224746744</v>
      </c>
      <c r="Y290" s="9"/>
      <c r="Z290" s="7">
        <v>1625.32</v>
      </c>
      <c r="AA290" s="8">
        <f>IFERROR(Z290/Z444, "NA")</f>
        <v>1.1118089236258302E-2</v>
      </c>
      <c r="AB290" s="9"/>
      <c r="AC290" s="10">
        <f t="shared" si="75"/>
        <v>-343.38000000000011</v>
      </c>
      <c r="AD290" s="8">
        <f>IFERROR(AC290/AC444, "NA")</f>
        <v>-7.421864868369854E-2</v>
      </c>
    </row>
    <row r="291" spans="1:30" ht="16.5" customHeight="1" x14ac:dyDescent="0.45">
      <c r="A291" s="6" t="s">
        <v>264</v>
      </c>
      <c r="B291" s="7">
        <v>2157.0100000000002</v>
      </c>
      <c r="C291" s="8">
        <f>IFERROR(B291/B444, "NA")</f>
        <v>2.7547232365255452E-2</v>
      </c>
      <c r="D291" s="9"/>
      <c r="E291" s="7">
        <v>843.79</v>
      </c>
      <c r="F291" s="8">
        <f>IFERROR(E291/E444, "NA")</f>
        <v>1.0000014221568239E-2</v>
      </c>
      <c r="G291" s="9"/>
      <c r="H291" s="10">
        <f t="shared" si="72"/>
        <v>-1313.2200000000003</v>
      </c>
      <c r="I291" s="8">
        <f>IFERROR(H291/H444, "NA")</f>
        <v>0.21610956054661792</v>
      </c>
      <c r="J291" s="9"/>
      <c r="K291" s="7">
        <v>2823.71</v>
      </c>
      <c r="L291" s="8">
        <f>IFERROR(K291/K444, "NA")</f>
        <v>3.5096059851390707E-2</v>
      </c>
      <c r="M291" s="9"/>
      <c r="N291" s="10">
        <f t="shared" si="73"/>
        <v>666.69999999999982</v>
      </c>
      <c r="O291" s="8">
        <f>IFERROR(N291/N444, "NA")</f>
        <v>-0.30946401964379439</v>
      </c>
      <c r="P291" s="9"/>
      <c r="Q291" s="7">
        <v>3483.67</v>
      </c>
      <c r="R291" s="8">
        <f>IFERROR(Q291/Q444, "NA")</f>
        <v>2.3099178263709524E-2</v>
      </c>
      <c r="S291" s="9"/>
      <c r="T291" s="7">
        <v>1525.74</v>
      </c>
      <c r="U291" s="8">
        <f>IFERROR(T291/T444, "NA")</f>
        <v>9.9999901687146883E-3</v>
      </c>
      <c r="V291" s="9"/>
      <c r="W291" s="10">
        <f t="shared" si="74"/>
        <v>-1957.93</v>
      </c>
      <c r="X291" s="8">
        <f>IFERROR(W291/W444, "NA")</f>
        <v>1.1121063752442419</v>
      </c>
      <c r="Y291" s="9"/>
      <c r="Z291" s="7">
        <v>4568.5</v>
      </c>
      <c r="AA291" s="8">
        <f>IFERROR(Z291/Z444, "NA")</f>
        <v>3.1251070974236489E-2</v>
      </c>
      <c r="AB291" s="9"/>
      <c r="AC291" s="10">
        <f t="shared" si="75"/>
        <v>1084.83</v>
      </c>
      <c r="AD291" s="8">
        <f>IFERROR(AC291/AC444, "NA")</f>
        <v>0.23447672156659286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168.76</v>
      </c>
      <c r="F292" s="8">
        <f>IFERROR(E292/E444, "NA")</f>
        <v>2.0000265469273825E-3</v>
      </c>
      <c r="G292" s="9"/>
      <c r="H292" s="10">
        <f t="shared" si="72"/>
        <v>168.76</v>
      </c>
      <c r="I292" s="8">
        <f>IFERROR(H292/H444, "NA")</f>
        <v>-2.7771926591010822E-2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305.14999999999998</v>
      </c>
      <c r="U292" s="8">
        <f>IFERROR(T292/T444, "NA")</f>
        <v>2.0000111421233542E-3</v>
      </c>
      <c r="V292" s="9"/>
      <c r="W292" s="10">
        <f t="shared" si="74"/>
        <v>305.14999999999998</v>
      </c>
      <c r="X292" s="8">
        <f>IFERROR(W292/W444, "NA")</f>
        <v>-0.17332553278502316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168.76</v>
      </c>
      <c r="F293" s="8">
        <f>IFERROR(E293/E444, "NA")</f>
        <v>2.0000265469273825E-3</v>
      </c>
      <c r="G293" s="9"/>
      <c r="H293" s="10">
        <f t="shared" si="72"/>
        <v>168.76</v>
      </c>
      <c r="I293" s="8">
        <f>IFERROR(H293/H444, "NA")</f>
        <v>-2.7771926591010822E-2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305.14999999999998</v>
      </c>
      <c r="U293" s="8">
        <f>IFERROR(T293/T444, "NA")</f>
        <v>2.0000111421233542E-3</v>
      </c>
      <c r="V293" s="9"/>
      <c r="W293" s="10">
        <f t="shared" si="74"/>
        <v>305.14999999999998</v>
      </c>
      <c r="X293" s="8">
        <f>IFERROR(W293/W444, "NA")</f>
        <v>-0.17332553278502316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380.49</v>
      </c>
      <c r="C294" s="8">
        <f>IFERROR(B294/B444, "NA")</f>
        <v>4.8592479602116104E-3</v>
      </c>
      <c r="D294" s="9"/>
      <c r="E294" s="7">
        <v>365</v>
      </c>
      <c r="F294" s="8">
        <f>IFERROR(E294/E444, "NA")</f>
        <v>4.3257270065684677E-3</v>
      </c>
      <c r="G294" s="9"/>
      <c r="H294" s="10">
        <f t="shared" si="72"/>
        <v>-15.490000000000009</v>
      </c>
      <c r="I294" s="8">
        <f>IFERROR(H294/H444, "NA")</f>
        <v>2.5491060849416802E-3</v>
      </c>
      <c r="J294" s="9"/>
      <c r="K294" s="7">
        <v>325</v>
      </c>
      <c r="L294" s="8">
        <f>IFERROR(K294/K444, "NA")</f>
        <v>4.0394443663485198E-3</v>
      </c>
      <c r="M294" s="9"/>
      <c r="N294" s="10">
        <f t="shared" si="73"/>
        <v>-55.490000000000009</v>
      </c>
      <c r="O294" s="8">
        <f>IFERROR(N294/N444, "NA")</f>
        <v>2.5756949827559859E-2</v>
      </c>
      <c r="P294" s="9"/>
      <c r="Q294" s="7">
        <v>760.97</v>
      </c>
      <c r="R294" s="8">
        <f>IFERROR(Q294/Q444, "NA")</f>
        <v>5.045765437982081E-3</v>
      </c>
      <c r="S294" s="9"/>
      <c r="T294" s="7">
        <v>730</v>
      </c>
      <c r="U294" s="8">
        <f>IFERROR(T294/T444, "NA")</f>
        <v>4.7845588522039944E-3</v>
      </c>
      <c r="V294" s="9"/>
      <c r="W294" s="10">
        <f t="shared" si="74"/>
        <v>-30.970000000000027</v>
      </c>
      <c r="X294" s="8">
        <f>IFERROR(W294/W444, "NA")</f>
        <v>1.7590993774708085E-2</v>
      </c>
      <c r="Y294" s="9"/>
      <c r="Z294" s="7">
        <v>649.99</v>
      </c>
      <c r="AA294" s="8">
        <f>IFERROR(Z294/Z444, "NA")</f>
        <v>4.446291698050559E-3</v>
      </c>
      <c r="AB294" s="9"/>
      <c r="AC294" s="10">
        <f t="shared" si="75"/>
        <v>-110.98000000000002</v>
      </c>
      <c r="AD294" s="8">
        <f>IFERROR(AC294/AC444, "NA")</f>
        <v>-2.3987377339731095E-2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3293.46</v>
      </c>
      <c r="C295" s="15">
        <f>IFERROR(B295/B444, "NA")</f>
        <v>4.2060865691709456E-2</v>
      </c>
      <c r="D295" s="2"/>
      <c r="E295" s="14">
        <f>IFERROR(E286+E287+E288+E289+E290+E291+E292+E293+E294, "NA")</f>
        <v>2508.96</v>
      </c>
      <c r="F295" s="15">
        <f>IFERROR(E295/E444, "NA")</f>
        <v>2.9734454877808285E-2</v>
      </c>
      <c r="G295" s="2"/>
      <c r="H295" s="14">
        <f t="shared" si="72"/>
        <v>-784.5</v>
      </c>
      <c r="I295" s="15">
        <f>IFERROR(H295/H444, "NA")</f>
        <v>0.1291009505252903</v>
      </c>
      <c r="J295" s="2"/>
      <c r="K295" s="14">
        <f>IFERROR(K286+K287+K288+K289+K290+K291+K292+K293+K294, "NA")</f>
        <v>4654.9799999999996</v>
      </c>
      <c r="L295" s="15">
        <f>IFERROR(K295/K444, "NA")</f>
        <v>5.7857023804507787E-2</v>
      </c>
      <c r="M295" s="2"/>
      <c r="N295" s="14">
        <f t="shared" si="73"/>
        <v>1361.5199999999995</v>
      </c>
      <c r="O295" s="15">
        <f>IFERROR(N295/N444, "NA")</f>
        <v>-0.63198057900917781</v>
      </c>
      <c r="P295" s="2"/>
      <c r="Q295" s="14">
        <f>IFERROR(Q286+Q287+Q288+Q289+Q290+Q291+Q292+Q293+Q294, "NA")</f>
        <v>6984.02</v>
      </c>
      <c r="R295" s="15">
        <f>IFERROR(Q295/Q444, "NA")</f>
        <v>4.6308956639782933E-2</v>
      </c>
      <c r="S295" s="2"/>
      <c r="T295" s="14">
        <f>IFERROR(T286+T287+T288+T289+T290+T291+T292+T293+T294, "NA")</f>
        <v>4678.0600000000004</v>
      </c>
      <c r="U295" s="15">
        <f>IFERROR(T295/T444, "NA")</f>
        <v>3.0660895046769068E-2</v>
      </c>
      <c r="V295" s="2"/>
      <c r="W295" s="14">
        <f t="shared" si="74"/>
        <v>-2305.96</v>
      </c>
      <c r="X295" s="15">
        <f>IFERROR(W295/W444, "NA")</f>
        <v>1.3097877947925678</v>
      </c>
      <c r="Y295" s="2"/>
      <c r="Z295" s="14">
        <f>IFERROR(Z286+Z287+Z288+Z289+Z290+Z291+Z292+Z293+Z294, "NA")</f>
        <v>7557.66</v>
      </c>
      <c r="AA295" s="15">
        <f>IFERROR(Z295/Z444, "NA")</f>
        <v>5.1698581385388673E-2</v>
      </c>
      <c r="AB295" s="2"/>
      <c r="AC295" s="14">
        <f t="shared" si="75"/>
        <v>573.63999999999942</v>
      </c>
      <c r="AD295" s="15">
        <f>IFERROR(AC295/AC444, "NA")</f>
        <v>0.12398737733973084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159</v>
      </c>
      <c r="C299" s="8">
        <f>IFERROR(B299/B444, "NA")</f>
        <v>2.0305932499504482E-3</v>
      </c>
      <c r="D299" s="9"/>
      <c r="E299" s="7">
        <v>159</v>
      </c>
      <c r="F299" s="8">
        <f>IFERROR(E299/E444, "NA")</f>
        <v>1.8843577919024285E-3</v>
      </c>
      <c r="G299" s="9"/>
      <c r="H299" s="10">
        <f t="shared" si="76"/>
        <v>0</v>
      </c>
      <c r="I299" s="8">
        <f>IFERROR(H299/H444, "NA")</f>
        <v>0</v>
      </c>
      <c r="J299" s="9"/>
      <c r="K299" s="7">
        <v>0</v>
      </c>
      <c r="L299" s="8">
        <f>IFERROR(K299/K444, "NA")</f>
        <v>0</v>
      </c>
      <c r="M299" s="9"/>
      <c r="N299" s="10">
        <f t="shared" si="77"/>
        <v>-159</v>
      </c>
      <c r="O299" s="8">
        <f>IFERROR(N299/N444, "NA")</f>
        <v>7.3803478511119416E-2</v>
      </c>
      <c r="P299" s="9"/>
      <c r="Q299" s="7">
        <v>318</v>
      </c>
      <c r="R299" s="8">
        <f>IFERROR(Q299/Q444, "NA")</f>
        <v>2.1085632932681996E-3</v>
      </c>
      <c r="S299" s="9"/>
      <c r="T299" s="7">
        <v>318</v>
      </c>
      <c r="U299" s="8">
        <f>IFERROR(T299/T444, "NA")</f>
        <v>2.0842324863025617E-3</v>
      </c>
      <c r="V299" s="9"/>
      <c r="W299" s="10">
        <f t="shared" si="78"/>
        <v>0</v>
      </c>
      <c r="X299" s="8">
        <f>IFERROR(W299/W444, "NA")</f>
        <v>0</v>
      </c>
      <c r="Y299" s="9"/>
      <c r="Z299" s="7">
        <v>0</v>
      </c>
      <c r="AA299" s="8">
        <f>IFERROR(Z299/Z444, "NA")</f>
        <v>0</v>
      </c>
      <c r="AB299" s="9"/>
      <c r="AC299" s="10">
        <f t="shared" si="79"/>
        <v>-318</v>
      </c>
      <c r="AD299" s="8">
        <f>IFERROR(AC299/AC444, "NA")</f>
        <v>-6.8732978861366797E-2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5.59</v>
      </c>
      <c r="L305" s="8">
        <f>IFERROR(K305/K444, "NA")</f>
        <v>6.9478443101194545E-5</v>
      </c>
      <c r="M305" s="9"/>
      <c r="N305" s="10">
        <f t="shared" si="77"/>
        <v>5.59</v>
      </c>
      <c r="O305" s="8">
        <f>IFERROR(N305/N444, "NA")</f>
        <v>-2.5947260684097959E-3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5.59</v>
      </c>
      <c r="AA305" s="8">
        <f>IFERROR(Z305/Z444, "NA")</f>
        <v>3.8238696890879282E-5</v>
      </c>
      <c r="AB305" s="9"/>
      <c r="AC305" s="10">
        <f t="shared" si="79"/>
        <v>5.59</v>
      </c>
      <c r="AD305" s="8">
        <f>IFERROR(AC305/AC444, "NA")</f>
        <v>1.2082306661479257E-3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113.69</v>
      </c>
      <c r="C310" s="8">
        <f>IFERROR(B310/B444, "NA")</f>
        <v>1.4519380288482166E-3</v>
      </c>
      <c r="D310" s="9"/>
      <c r="E310" s="7">
        <v>55</v>
      </c>
      <c r="F310" s="8">
        <f>IFERROR(E310/E444, "NA")</f>
        <v>6.5182187770209798E-4</v>
      </c>
      <c r="G310" s="9"/>
      <c r="H310" s="10">
        <f t="shared" si="76"/>
        <v>-58.69</v>
      </c>
      <c r="I310" s="8">
        <f>IFERROR(H310/H444, "NA")</f>
        <v>9.6582980067932284E-3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-113.69</v>
      </c>
      <c r="O310" s="8">
        <f>IFERROR(N310/N444, "NA")</f>
        <v>5.2771807999554506E-2</v>
      </c>
      <c r="P310" s="9"/>
      <c r="Q310" s="7">
        <v>242.63</v>
      </c>
      <c r="R310" s="8">
        <f>IFERROR(Q310/Q444, "NA")</f>
        <v>1.6088072699549159E-3</v>
      </c>
      <c r="S310" s="9"/>
      <c r="T310" s="7">
        <v>110</v>
      </c>
      <c r="U310" s="8">
        <f>IFERROR(T310/T444, "NA")</f>
        <v>7.2096092293484843E-4</v>
      </c>
      <c r="V310" s="9"/>
      <c r="W310" s="10">
        <f t="shared" si="78"/>
        <v>-132.63</v>
      </c>
      <c r="X310" s="8">
        <f>IFERROR(W310/W444, "NA")</f>
        <v>7.5333984641250615E-2</v>
      </c>
      <c r="Y310" s="9"/>
      <c r="Z310" s="7">
        <v>0</v>
      </c>
      <c r="AA310" s="8">
        <f>IFERROR(Z310/Z444, "NA")</f>
        <v>0</v>
      </c>
      <c r="AB310" s="9"/>
      <c r="AC310" s="10">
        <f t="shared" si="79"/>
        <v>-242.63</v>
      </c>
      <c r="AD310" s="8">
        <f>IFERROR(AC310/AC444, "NA")</f>
        <v>-5.244239830545102E-2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60.62</v>
      </c>
      <c r="L311" s="8">
        <f>IFERROR(K311/K444, "NA")</f>
        <v>7.5344959227091471E-4</v>
      </c>
      <c r="M311" s="9"/>
      <c r="N311" s="10">
        <f t="shared" si="77"/>
        <v>60.62</v>
      </c>
      <c r="O311" s="8">
        <f>IFERROR(N311/N444, "NA")</f>
        <v>-2.8138156398390308E-2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60.62</v>
      </c>
      <c r="AA311" s="8">
        <f>IFERROR(Z311/Z444, "NA")</f>
        <v>4.1467438381486614E-4</v>
      </c>
      <c r="AB311" s="9"/>
      <c r="AC311" s="10">
        <f t="shared" si="79"/>
        <v>60.62</v>
      </c>
      <c r="AD311" s="8">
        <f>IFERROR(AC311/AC444, "NA")</f>
        <v>1.3102494272251745E-2</v>
      </c>
    </row>
    <row r="312" spans="1:30" ht="16.5" customHeight="1" x14ac:dyDescent="0.45">
      <c r="A312" s="6" t="s">
        <v>284</v>
      </c>
      <c r="B312" s="7">
        <v>48.16</v>
      </c>
      <c r="C312" s="8">
        <f>IFERROR(B312/B444, "NA")</f>
        <v>6.1505264728058855E-4</v>
      </c>
      <c r="D312" s="9"/>
      <c r="E312" s="7">
        <v>35</v>
      </c>
      <c r="F312" s="8">
        <f>IFERROR(E312/E444, "NA")</f>
        <v>4.1479574035588053E-4</v>
      </c>
      <c r="G312" s="9"/>
      <c r="H312" s="10">
        <f t="shared" si="76"/>
        <v>-13.159999999999997</v>
      </c>
      <c r="I312" s="8">
        <f>IFERROR(H312/H444, "NA")</f>
        <v>2.1656705021195922E-3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-48.16</v>
      </c>
      <c r="O312" s="8">
        <f>IFERROR(N312/N444, "NA")</f>
        <v>2.2354563050915162E-2</v>
      </c>
      <c r="P312" s="9"/>
      <c r="Q312" s="7">
        <v>69.16</v>
      </c>
      <c r="R312" s="8">
        <f>IFERROR(Q312/Q444, "NA")</f>
        <v>4.5857936277493295E-4</v>
      </c>
      <c r="S312" s="9"/>
      <c r="T312" s="7">
        <v>70</v>
      </c>
      <c r="U312" s="8">
        <f>IFERROR(T312/T444, "NA")</f>
        <v>4.5879331459490355E-4</v>
      </c>
      <c r="V312" s="9"/>
      <c r="W312" s="10">
        <f t="shared" si="78"/>
        <v>0.84000000000000341</v>
      </c>
      <c r="X312" s="8">
        <f>IFERROR(W312/W444, "NA")</f>
        <v>-4.7712091607216142E-4</v>
      </c>
      <c r="Y312" s="9"/>
      <c r="Z312" s="7">
        <v>0</v>
      </c>
      <c r="AA312" s="8">
        <f>IFERROR(Z312/Z444, "NA")</f>
        <v>0</v>
      </c>
      <c r="AB312" s="9"/>
      <c r="AC312" s="10">
        <f t="shared" si="79"/>
        <v>-69.16</v>
      </c>
      <c r="AD312" s="8">
        <f>IFERROR(AC312/AC444, "NA")</f>
        <v>-1.4948342195132474E-2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15</v>
      </c>
      <c r="F313" s="8">
        <f>IFERROR(E313/E444, "NA")</f>
        <v>1.7776960300966308E-4</v>
      </c>
      <c r="G313" s="9"/>
      <c r="H313" s="10">
        <f t="shared" si="76"/>
        <v>15</v>
      </c>
      <c r="I313" s="8">
        <f>IFERROR(H313/H444, "NA")</f>
        <v>-2.4684694173095659E-3</v>
      </c>
      <c r="J313" s="9"/>
      <c r="K313" s="7">
        <v>24</v>
      </c>
      <c r="L313" s="8">
        <f>IFERROR(K313/K444, "NA")</f>
        <v>2.9829743013035223E-4</v>
      </c>
      <c r="M313" s="9"/>
      <c r="N313" s="10">
        <f t="shared" si="77"/>
        <v>24</v>
      </c>
      <c r="O313" s="8">
        <f>IFERROR(N313/N444, "NA")</f>
        <v>-1.114014769979161E-2</v>
      </c>
      <c r="P313" s="9"/>
      <c r="Q313" s="7">
        <v>0</v>
      </c>
      <c r="R313" s="8">
        <f>IFERROR(Q313/Q444, "NA")</f>
        <v>0</v>
      </c>
      <c r="S313" s="9"/>
      <c r="T313" s="7">
        <v>30</v>
      </c>
      <c r="U313" s="8">
        <f>IFERROR(T313/T444, "NA")</f>
        <v>1.9662570625495867E-4</v>
      </c>
      <c r="V313" s="9"/>
      <c r="W313" s="10">
        <f t="shared" si="78"/>
        <v>30</v>
      </c>
      <c r="X313" s="8">
        <f>IFERROR(W313/W444, "NA")</f>
        <v>-1.704003271686284E-2</v>
      </c>
      <c r="Y313" s="9"/>
      <c r="Z313" s="7">
        <v>24</v>
      </c>
      <c r="AA313" s="8">
        <f>IFERROR(Z313/Z444, "NA")</f>
        <v>1.6417329613257651E-4</v>
      </c>
      <c r="AB313" s="9"/>
      <c r="AC313" s="10">
        <f t="shared" si="79"/>
        <v>24</v>
      </c>
      <c r="AD313" s="8">
        <f>IFERROR(AC313/AC444, "NA")</f>
        <v>5.1873946310465506E-3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408.07</v>
      </c>
      <c r="C315" s="8">
        <f>IFERROR(B315/B444, "NA")</f>
        <v>5.2114728774042733E-3</v>
      </c>
      <c r="D315" s="9"/>
      <c r="E315" s="7">
        <v>337.52</v>
      </c>
      <c r="F315" s="8">
        <f>IFERROR(E315/E444, "NA")</f>
        <v>4.000053093854765E-3</v>
      </c>
      <c r="G315" s="9"/>
      <c r="H315" s="10">
        <f t="shared" si="76"/>
        <v>-70.550000000000011</v>
      </c>
      <c r="I315" s="8">
        <f>IFERROR(H315/H444, "NA")</f>
        <v>1.1610034492745995E-2</v>
      </c>
      <c r="J315" s="9"/>
      <c r="K315" s="7">
        <v>455.52</v>
      </c>
      <c r="L315" s="8">
        <f>IFERROR(K315/K444, "NA")</f>
        <v>5.6616852238740856E-3</v>
      </c>
      <c r="M315" s="9"/>
      <c r="N315" s="10">
        <f t="shared" si="77"/>
        <v>47.449999999999989</v>
      </c>
      <c r="O315" s="8">
        <f>IFERROR(N315/N444, "NA")</f>
        <v>-2.2025000348129656E-2</v>
      </c>
      <c r="P315" s="9"/>
      <c r="Q315" s="7">
        <v>816.14</v>
      </c>
      <c r="R315" s="8">
        <f>IFERROR(Q315/Q444, "NA")</f>
        <v>5.4115812772575732E-3</v>
      </c>
      <c r="S315" s="9"/>
      <c r="T315" s="7">
        <v>610.29999999999995</v>
      </c>
      <c r="U315" s="8">
        <f>IFERROR(T315/T444, "NA")</f>
        <v>4.0000222842467084E-3</v>
      </c>
      <c r="V315" s="9"/>
      <c r="W315" s="10">
        <f t="shared" si="78"/>
        <v>-205.84000000000003</v>
      </c>
      <c r="X315" s="8">
        <f>IFERROR(W315/W444, "NA")</f>
        <v>0.11691734448130157</v>
      </c>
      <c r="Y315" s="9"/>
      <c r="Z315" s="7">
        <v>911.04</v>
      </c>
      <c r="AA315" s="8">
        <f>IFERROR(Z315/Z444, "NA")</f>
        <v>6.2320183211926044E-3</v>
      </c>
      <c r="AB315" s="9"/>
      <c r="AC315" s="10">
        <f t="shared" si="79"/>
        <v>94.899999999999977</v>
      </c>
      <c r="AD315" s="8">
        <f>IFERROR(AC315/AC444, "NA")</f>
        <v>2.0511822936929897E-2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5.2946122614116785E-3</v>
      </c>
      <c r="D318" s="9"/>
      <c r="E318" s="7">
        <v>415</v>
      </c>
      <c r="F318" s="8">
        <f>IFERROR(E318/E444, "NA")</f>
        <v>4.9182923499340118E-3</v>
      </c>
      <c r="G318" s="9"/>
      <c r="H318" s="10">
        <f t="shared" si="76"/>
        <v>0.42000000000001592</v>
      </c>
      <c r="I318" s="8">
        <f>IFERROR(H318/H444, "NA")</f>
        <v>-6.9117143684670467E-5</v>
      </c>
      <c r="J318" s="9"/>
      <c r="K318" s="7">
        <v>414.58</v>
      </c>
      <c r="L318" s="8">
        <f>IFERROR(K318/K444, "NA")</f>
        <v>5.15283952431006E-3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829.16</v>
      </c>
      <c r="R318" s="8">
        <f>IFERROR(Q318/Q444, "NA")</f>
        <v>5.4979130196423278E-3</v>
      </c>
      <c r="S318" s="9"/>
      <c r="T318" s="7">
        <v>830</v>
      </c>
      <c r="U318" s="8">
        <f>IFERROR(T318/T444, "NA")</f>
        <v>5.4399778730538561E-3</v>
      </c>
      <c r="V318" s="9"/>
      <c r="W318" s="10">
        <f t="shared" si="78"/>
        <v>0.84000000000003183</v>
      </c>
      <c r="X318" s="8">
        <f>IFERROR(W318/W444, "NA")</f>
        <v>-4.7712091607217757E-4</v>
      </c>
      <c r="Y318" s="9"/>
      <c r="Z318" s="7">
        <v>829.16</v>
      </c>
      <c r="AA318" s="8">
        <f>IFERROR(Z318/Z444, "NA")</f>
        <v>5.6719137592202975E-3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318.51</v>
      </c>
      <c r="C319" s="8">
        <f>IFERROR(B319/B444, "NA")</f>
        <v>4.0676997235328128E-3</v>
      </c>
      <c r="D319" s="9"/>
      <c r="E319" s="7">
        <v>309</v>
      </c>
      <c r="F319" s="8">
        <f>IFERROR(E319/E444, "NA")</f>
        <v>3.6620538219990593E-3</v>
      </c>
      <c r="G319" s="9"/>
      <c r="H319" s="10">
        <f t="shared" si="76"/>
        <v>-9.5099999999999909</v>
      </c>
      <c r="I319" s="8">
        <f>IFERROR(H319/H444, "NA")</f>
        <v>1.5650096105742635E-3</v>
      </c>
      <c r="J319" s="9"/>
      <c r="K319" s="7">
        <v>268.01</v>
      </c>
      <c r="L319" s="8">
        <f>IFERROR(K319/K444, "NA")</f>
        <v>3.3311122603848211E-3</v>
      </c>
      <c r="M319" s="9"/>
      <c r="N319" s="10">
        <f t="shared" si="77"/>
        <v>-50.5</v>
      </c>
      <c r="O319" s="8">
        <f>IFERROR(N319/N444, "NA")</f>
        <v>2.3440727451644848E-2</v>
      </c>
      <c r="P319" s="9"/>
      <c r="Q319" s="7">
        <v>637.07000000000005</v>
      </c>
      <c r="R319" s="8">
        <f>IFERROR(Q319/Q444, "NA")</f>
        <v>4.2242214378690945E-3</v>
      </c>
      <c r="S319" s="9"/>
      <c r="T319" s="7">
        <v>618</v>
      </c>
      <c r="U319" s="8">
        <f>IFERROR(T319/T444, "NA")</f>
        <v>4.0504895488521486E-3</v>
      </c>
      <c r="V319" s="9"/>
      <c r="W319" s="10">
        <f t="shared" si="78"/>
        <v>-19.07000000000005</v>
      </c>
      <c r="X319" s="8">
        <f>IFERROR(W319/W444, "NA")</f>
        <v>1.0831780797019174E-2</v>
      </c>
      <c r="Y319" s="9"/>
      <c r="Z319" s="7">
        <v>517.14</v>
      </c>
      <c r="AA319" s="8">
        <f>IFERROR(Z319/Z444, "NA")</f>
        <v>3.5375240984166926E-3</v>
      </c>
      <c r="AB319" s="9"/>
      <c r="AC319" s="10">
        <f t="shared" si="79"/>
        <v>-119.93000000000006</v>
      </c>
      <c r="AD319" s="8">
        <f>IFERROR(AC319/AC444, "NA")</f>
        <v>-2.5921843254225547E-2</v>
      </c>
    </row>
    <row r="320" spans="1:30" ht="16.5" customHeight="1" x14ac:dyDescent="0.45">
      <c r="A320" s="6" t="s">
        <v>292</v>
      </c>
      <c r="B320" s="7">
        <v>1153.56</v>
      </c>
      <c r="C320" s="8">
        <f>IFERROR(B320/B444, "NA")</f>
        <v>1.473214559379144E-2</v>
      </c>
      <c r="D320" s="9"/>
      <c r="E320" s="7">
        <v>1133</v>
      </c>
      <c r="F320" s="8">
        <f>IFERROR(E320/E444, "NA")</f>
        <v>1.3427530680663217E-2</v>
      </c>
      <c r="G320" s="9"/>
      <c r="H320" s="10">
        <f t="shared" si="76"/>
        <v>-20.559999999999945</v>
      </c>
      <c r="I320" s="8">
        <f>IFERROR(H320/H444, "NA")</f>
        <v>3.3834487479923029E-3</v>
      </c>
      <c r="J320" s="9"/>
      <c r="K320" s="7">
        <v>1056.07</v>
      </c>
      <c r="L320" s="8">
        <f>IFERROR(K320/K444, "NA")</f>
        <v>1.3125956959906711E-2</v>
      </c>
      <c r="M320" s="9"/>
      <c r="N320" s="10">
        <f t="shared" si="77"/>
        <v>-97.490000000000009</v>
      </c>
      <c r="O320" s="8">
        <f>IFERROR(N320/N444, "NA")</f>
        <v>4.5252208302195174E-2</v>
      </c>
      <c r="P320" s="9"/>
      <c r="Q320" s="7">
        <v>2286.83</v>
      </c>
      <c r="R320" s="8">
        <f>IFERROR(Q320/Q444, "NA")</f>
        <v>1.516328866649219E-2</v>
      </c>
      <c r="S320" s="9"/>
      <c r="T320" s="7">
        <v>2266</v>
      </c>
      <c r="U320" s="8">
        <f>IFERROR(T320/T444, "NA")</f>
        <v>1.4851795012457878E-2</v>
      </c>
      <c r="V320" s="9"/>
      <c r="W320" s="10">
        <f t="shared" si="78"/>
        <v>-20.829999999999927</v>
      </c>
      <c r="X320" s="8">
        <f>IFERROR(W320/W444, "NA")</f>
        <v>1.183146271640839E-2</v>
      </c>
      <c r="Y320" s="9"/>
      <c r="Z320" s="7">
        <v>2112.14</v>
      </c>
      <c r="AA320" s="8">
        <f>IFERROR(Z320/Z444, "NA")</f>
        <v>1.4448207737227506E-2</v>
      </c>
      <c r="AB320" s="9"/>
      <c r="AC320" s="10">
        <f t="shared" si="79"/>
        <v>-174.69000000000005</v>
      </c>
      <c r="AD320" s="8">
        <f>IFERROR(AC320/AC444, "NA")</f>
        <v>-3.775774867073009E-2</v>
      </c>
    </row>
    <row r="321" spans="1:30" ht="16.5" customHeight="1" x14ac:dyDescent="0.45">
      <c r="A321" s="6" t="s">
        <v>293</v>
      </c>
      <c r="B321" s="7">
        <v>689.78</v>
      </c>
      <c r="C321" s="8">
        <f>IFERROR(B321/B444, "NA")</f>
        <v>8.8091988173007556E-3</v>
      </c>
      <c r="D321" s="9"/>
      <c r="E321" s="7">
        <v>1012.55</v>
      </c>
      <c r="F321" s="8">
        <f>IFERROR(E321/E444, "NA")</f>
        <v>1.2000040768495623E-2</v>
      </c>
      <c r="G321" s="9"/>
      <c r="H321" s="10">
        <f t="shared" si="76"/>
        <v>322.77</v>
      </c>
      <c r="I321" s="8">
        <f>IFERROR(H321/H444, "NA")</f>
        <v>-5.3116524921667241E-2</v>
      </c>
      <c r="J321" s="9"/>
      <c r="K321" s="7">
        <v>1257.69</v>
      </c>
      <c r="L321" s="8">
        <f>IFERROR(K321/K444, "NA")</f>
        <v>1.5631903954193446E-2</v>
      </c>
      <c r="M321" s="9"/>
      <c r="N321" s="10">
        <f t="shared" si="77"/>
        <v>567.91000000000008</v>
      </c>
      <c r="O321" s="8">
        <f>IFERROR(N321/N444, "NA")</f>
        <v>-0.2636083866745273</v>
      </c>
      <c r="P321" s="9"/>
      <c r="Q321" s="7">
        <v>1718.02</v>
      </c>
      <c r="R321" s="8">
        <f>IFERROR(Q321/Q444, "NA")</f>
        <v>1.139167895943595E-2</v>
      </c>
      <c r="S321" s="9"/>
      <c r="T321" s="7">
        <v>1762.7</v>
      </c>
      <c r="U321" s="8">
        <f>IFERROR(T321/T444, "NA")</f>
        <v>1.1553071080520521E-2</v>
      </c>
      <c r="V321" s="9"/>
      <c r="W321" s="10">
        <f t="shared" si="78"/>
        <v>44.680000000000064</v>
      </c>
      <c r="X321" s="8">
        <f>IFERROR(W321/W444, "NA")</f>
        <v>-2.5378288726314424E-2</v>
      </c>
      <c r="Y321" s="9"/>
      <c r="Z321" s="7">
        <v>3564.87</v>
      </c>
      <c r="AA321" s="8">
        <f>IFERROR(Z321/Z444, "NA")</f>
        <v>2.4385685757672419E-2</v>
      </c>
      <c r="AB321" s="9"/>
      <c r="AC321" s="10">
        <f t="shared" si="79"/>
        <v>1846.85</v>
      </c>
      <c r="AD321" s="8">
        <f>IFERROR(AC321/AC444, "NA")</f>
        <v>0.39918082393118004</v>
      </c>
    </row>
    <row r="322" spans="1:30" ht="16.5" customHeight="1" x14ac:dyDescent="0.45">
      <c r="A322" s="6" t="s">
        <v>294</v>
      </c>
      <c r="B322" s="7">
        <v>296.87</v>
      </c>
      <c r="C322" s="8">
        <f>IFERROR(B322/B444, "NA")</f>
        <v>3.7913347051118842E-3</v>
      </c>
      <c r="D322" s="9"/>
      <c r="E322" s="7">
        <v>354</v>
      </c>
      <c r="F322" s="8">
        <f>IFERROR(E322/E444, "NA")</f>
        <v>4.1953626310280486E-3</v>
      </c>
      <c r="G322" s="9"/>
      <c r="H322" s="10">
        <f t="shared" si="76"/>
        <v>57.129999999999995</v>
      </c>
      <c r="I322" s="8">
        <f>IFERROR(H322/H444, "NA")</f>
        <v>-9.4015771873930329E-3</v>
      </c>
      <c r="J322" s="9"/>
      <c r="K322" s="7">
        <v>537.07000000000005</v>
      </c>
      <c r="L322" s="8">
        <f>IFERROR(K322/K444, "NA")</f>
        <v>6.675275033337846E-3</v>
      </c>
      <c r="M322" s="9"/>
      <c r="N322" s="10">
        <f t="shared" si="77"/>
        <v>240.20000000000005</v>
      </c>
      <c r="O322" s="8">
        <f>IFERROR(N322/N444, "NA")</f>
        <v>-0.11149431156208106</v>
      </c>
      <c r="P322" s="9"/>
      <c r="Q322" s="7">
        <v>943.74</v>
      </c>
      <c r="R322" s="8">
        <f>IFERROR(Q322/Q444, "NA")</f>
        <v>6.2576588754368889E-3</v>
      </c>
      <c r="S322" s="9"/>
      <c r="T322" s="7">
        <v>708</v>
      </c>
      <c r="U322" s="8">
        <f>IFERROR(T322/T444, "NA")</f>
        <v>4.6403666676170241E-3</v>
      </c>
      <c r="V322" s="9"/>
      <c r="W322" s="10">
        <f t="shared" si="78"/>
        <v>-235.74</v>
      </c>
      <c r="X322" s="8">
        <f>IFERROR(W322/W444, "NA")</f>
        <v>0.13390057708910819</v>
      </c>
      <c r="Y322" s="9"/>
      <c r="Z322" s="7">
        <v>836.64</v>
      </c>
      <c r="AA322" s="8">
        <f>IFERROR(Z322/Z444, "NA")</f>
        <v>5.7230811031816174E-3</v>
      </c>
      <c r="AB322" s="9"/>
      <c r="AC322" s="10">
        <f t="shared" si="79"/>
        <v>-107.10000000000002</v>
      </c>
      <c r="AD322" s="8">
        <f>IFERROR(AC322/AC444, "NA")</f>
        <v>-2.3148748541045237E-2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3602.2199999999993</v>
      </c>
      <c r="C324" s="15">
        <f>IFERROR(B324/B444, "NA")</f>
        <v>4.6004047904632091E-2</v>
      </c>
      <c r="D324" s="2"/>
      <c r="E324" s="14">
        <f>IFERROR(E297+E298+E299+E300+E301+E302+E303+E304+E305+E306+E307+E308+E309+E310+E311+E312+E313+E314+E315+E316+E317+E318+E319+E320+E321+E322+E323, "NA")</f>
        <v>3825.0699999999997</v>
      </c>
      <c r="F324" s="15">
        <f>IFERROR(E324/E444, "NA")</f>
        <v>4.5332078358944788E-2</v>
      </c>
      <c r="G324" s="2"/>
      <c r="H324" s="14">
        <f t="shared" si="76"/>
        <v>222.85000000000036</v>
      </c>
      <c r="I324" s="15">
        <f>IFERROR(H324/H444, "NA")</f>
        <v>-3.6673227309829179E-2</v>
      </c>
      <c r="J324" s="2"/>
      <c r="K324" s="14">
        <f>IFERROR(K297+K298+K299+K300+K301+K302+K303+K304+K305+K306+K307+K308+K309+K310+K311+K312+K313+K314+K315+K316+K317+K318+K319+K320+K321+K322+K323, "NA")</f>
        <v>4079.15</v>
      </c>
      <c r="L324" s="15">
        <f>IFERROR(K324/K444, "NA")</f>
        <v>5.0699998421509435E-2</v>
      </c>
      <c r="M324" s="2"/>
      <c r="N324" s="14">
        <f t="shared" si="77"/>
        <v>476.93000000000075</v>
      </c>
      <c r="O324" s="15">
        <f>IFERROR(N324/N444, "NA")</f>
        <v>-0.22137794343590089</v>
      </c>
      <c r="P324" s="2"/>
      <c r="Q324" s="14">
        <f>IFERROR(Q297+Q298+Q299+Q300+Q301+Q302+Q303+Q304+Q305+Q306+Q307+Q308+Q309+Q310+Q311+Q312+Q313+Q314+Q315+Q316+Q317+Q318+Q319+Q320+Q321+Q322+Q323, "NA")</f>
        <v>7860.75</v>
      </c>
      <c r="R324" s="15">
        <f>IFERROR(Q324/Q444, "NA")</f>
        <v>5.2122292162132072E-2</v>
      </c>
      <c r="S324" s="2"/>
      <c r="T324" s="14">
        <f>IFERROR(T297+T298+T299+T300+T301+T302+T303+T304+T305+T306+T307+T308+T309+T310+T311+T312+T313+T314+T315+T316+T317+T318+T319+T320+T321+T322+T323, "NA")</f>
        <v>7323</v>
      </c>
      <c r="U324" s="15">
        <f>IFERROR(T324/T444, "NA")</f>
        <v>4.7996334896835406E-2</v>
      </c>
      <c r="V324" s="2"/>
      <c r="W324" s="14">
        <f t="shared" si="78"/>
        <v>-537.75</v>
      </c>
      <c r="X324" s="15">
        <f>IFERROR(W324/W444, "NA")</f>
        <v>0.30544258644976641</v>
      </c>
      <c r="Y324" s="2"/>
      <c r="Z324" s="14">
        <f>IFERROR(Z297+Z298+Z299+Z300+Z301+Z302+Z303+Z304+Z305+Z306+Z307+Z308+Z309+Z310+Z311+Z312+Z313+Z314+Z315+Z316+Z317+Z318+Z319+Z320+Z321+Z322+Z323, "NA")</f>
        <v>8861.1999999999989</v>
      </c>
      <c r="AA324" s="15">
        <f>IFERROR(Z324/Z444, "NA")</f>
        <v>6.0615517153749451E-2</v>
      </c>
      <c r="AB324" s="2"/>
      <c r="AC324" s="14">
        <f t="shared" si="79"/>
        <v>1000.4499999999989</v>
      </c>
      <c r="AD324" s="15">
        <f>IFERROR(AC324/AC444, "NA")</f>
        <v>0.21623870660960481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25610.85</v>
      </c>
      <c r="C325" s="15">
        <f>IFERROR(B325/B444, "NA")</f>
        <v>0.32707684990876373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21900.459999999995</v>
      </c>
      <c r="F325" s="15">
        <f>IFERROR(E325/E444, "NA")</f>
        <v>0.259549071995267</v>
      </c>
      <c r="G325" s="2"/>
      <c r="H325" s="14">
        <f t="shared" si="76"/>
        <v>-3710.3900000000031</v>
      </c>
      <c r="I325" s="15">
        <f>IFERROR(H325/H444, "NA")</f>
        <v>0.6105989494194165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28661.460000000003</v>
      </c>
      <c r="L325" s="15">
        <f>IFERROR(K325/K444, "NA")</f>
        <v>0.35623499424099525</v>
      </c>
      <c r="M325" s="2"/>
      <c r="N325" s="14">
        <f t="shared" si="77"/>
        <v>3050.6100000000042</v>
      </c>
      <c r="O325" s="15">
        <f>IFERROR(N325/N444, "NA")</f>
        <v>-1.4160102489358888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48742.239999999998</v>
      </c>
      <c r="R325" s="15">
        <f>IFERROR(Q325/Q444, "NA")</f>
        <v>0.32319527703040557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40447.460000000006</v>
      </c>
      <c r="U325" s="15">
        <f>IFERROR(T325/T444, "NA")</f>
        <v>0.26510034629063972</v>
      </c>
      <c r="V325" s="2"/>
      <c r="W325" s="14">
        <f t="shared" si="78"/>
        <v>-8294.7799999999916</v>
      </c>
      <c r="X325" s="15">
        <f>IFERROR(W325/W444, "NA")</f>
        <v>4.7114440859726461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51564.659999999996</v>
      </c>
      <c r="AA325" s="15">
        <f>IFERROR(Z325/Z444, "NA")</f>
        <v>0.35273084150648426</v>
      </c>
      <c r="AB325" s="2"/>
      <c r="AC325" s="14">
        <f t="shared" si="79"/>
        <v>2822.4199999999983</v>
      </c>
      <c r="AD325" s="15">
        <f>IFERROR(AC325/AC444, "NA")</f>
        <v>0.61004193143993313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11441.92</v>
      </c>
      <c r="C329" s="8">
        <f>IFERROR(B329/B444, "NA")</f>
        <v>0.14612506615391846</v>
      </c>
      <c r="D329" s="9"/>
      <c r="E329" s="7">
        <v>11441.92</v>
      </c>
      <c r="F329" s="8">
        <f>IFERROR(E329/E444, "NA")</f>
        <v>0.1356017050712216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5393.13</v>
      </c>
      <c r="L329" s="8">
        <f>IFERROR(K329/K444, "NA")</f>
        <v>6.7031534139954441E-2</v>
      </c>
      <c r="M329" s="9"/>
      <c r="N329" s="10">
        <f t="shared" si="81"/>
        <v>-6048.79</v>
      </c>
      <c r="O329" s="8">
        <f>IFERROR(N329/N444, "NA")</f>
        <v>2.8076839168759373</v>
      </c>
      <c r="P329" s="9"/>
      <c r="Q329" s="7">
        <v>22883.84</v>
      </c>
      <c r="R329" s="8">
        <f>IFERROR(Q329/Q444, "NA")</f>
        <v>0.15173592777680048</v>
      </c>
      <c r="S329" s="9"/>
      <c r="T329" s="7">
        <v>22883.84</v>
      </c>
      <c r="U329" s="8">
        <f>IFERROR(T329/T444, "NA")</f>
        <v>0.14998504006084912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10786.26</v>
      </c>
      <c r="AA329" s="8">
        <f>IFERROR(Z329/Z444, "NA")</f>
        <v>7.3783994047623536E-2</v>
      </c>
      <c r="AB329" s="9"/>
      <c r="AC329" s="10">
        <f t="shared" si="83"/>
        <v>-12097.58</v>
      </c>
      <c r="AD329" s="8">
        <f>IFERROR(AC329/AC444, "NA")</f>
        <v>-2.6147883975273385</v>
      </c>
    </row>
    <row r="330" spans="1:30" ht="16.5" customHeight="1" x14ac:dyDescent="0.45">
      <c r="A330" s="6" t="s">
        <v>301</v>
      </c>
      <c r="B330" s="7">
        <v>1183.3699999999999</v>
      </c>
      <c r="C330" s="8">
        <f>IFERROR(B330/B444, "NA")</f>
        <v>1.5112849900590326E-2</v>
      </c>
      <c r="D330" s="9"/>
      <c r="E330" s="7">
        <v>1183.3699999999999</v>
      </c>
      <c r="F330" s="8">
        <f>IFERROR(E330/E444, "NA")</f>
        <v>1.4024481007569665E-2</v>
      </c>
      <c r="G330" s="9"/>
      <c r="H330" s="10">
        <f t="shared" si="80"/>
        <v>0</v>
      </c>
      <c r="I330" s="8">
        <f>IFERROR(H330/H444, "NA")</f>
        <v>0</v>
      </c>
      <c r="J330" s="9"/>
      <c r="K330" s="7">
        <v>1026.43</v>
      </c>
      <c r="L330" s="8">
        <f>IFERROR(K330/K444, "NA")</f>
        <v>1.2757559633695728E-2</v>
      </c>
      <c r="M330" s="9"/>
      <c r="N330" s="10">
        <f t="shared" si="81"/>
        <v>-156.93999999999983</v>
      </c>
      <c r="O330" s="8">
        <f>IFERROR(N330/N444, "NA")</f>
        <v>7.2847282500220559E-2</v>
      </c>
      <c r="P330" s="9"/>
      <c r="Q330" s="7">
        <v>2366.7399999999998</v>
      </c>
      <c r="R330" s="8">
        <f>IFERROR(Q330/Q444, "NA")</f>
        <v>1.5693148077703077E-2</v>
      </c>
      <c r="S330" s="9"/>
      <c r="T330" s="7">
        <v>2366.7399999999998</v>
      </c>
      <c r="U330" s="8">
        <f>IFERROR(T330/T444, "NA")</f>
        <v>1.5512064134062028E-2</v>
      </c>
      <c r="V330" s="9"/>
      <c r="W330" s="10">
        <f t="shared" si="82"/>
        <v>0</v>
      </c>
      <c r="X330" s="8">
        <f>IFERROR(W330/W444, "NA")</f>
        <v>0</v>
      </c>
      <c r="Y330" s="9"/>
      <c r="Z330" s="7">
        <v>2052.86</v>
      </c>
      <c r="AA330" s="8">
        <f>IFERROR(Z330/Z444, "NA")</f>
        <v>1.4042699695780043E-2</v>
      </c>
      <c r="AB330" s="9"/>
      <c r="AC330" s="10">
        <f t="shared" si="83"/>
        <v>-313.87999999999965</v>
      </c>
      <c r="AD330" s="8">
        <f>IFERROR(AC330/AC444, "NA")</f>
        <v>-6.7842476116370398E-2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781.76</v>
      </c>
      <c r="C333" s="8">
        <f>IFERROR(B333/B444, "NA")</f>
        <v>9.9838778558569968E-3</v>
      </c>
      <c r="D333" s="9"/>
      <c r="E333" s="7">
        <v>860</v>
      </c>
      <c r="F333" s="8">
        <f>IFERROR(E333/E444, "NA")</f>
        <v>1.0192123905887349E-2</v>
      </c>
      <c r="G333" s="9"/>
      <c r="H333" s="10">
        <f t="shared" si="80"/>
        <v>78.240000000000009</v>
      </c>
      <c r="I333" s="8">
        <f>IFERROR(H333/H444, "NA")</f>
        <v>-1.2875536480686699E-2</v>
      </c>
      <c r="J333" s="9"/>
      <c r="K333" s="7">
        <v>860.16</v>
      </c>
      <c r="L333" s="8">
        <f>IFERROR(K333/K444, "NA")</f>
        <v>1.0690979895871824E-2</v>
      </c>
      <c r="M333" s="9"/>
      <c r="N333" s="10">
        <f t="shared" si="81"/>
        <v>78.399999999999977</v>
      </c>
      <c r="O333" s="8">
        <f>IFERROR(N333/N444, "NA")</f>
        <v>-3.6391149152652583E-2</v>
      </c>
      <c r="P333" s="9"/>
      <c r="Q333" s="7">
        <v>1563.52</v>
      </c>
      <c r="R333" s="8">
        <f>IFERROR(Q333/Q444, "NA")</f>
        <v>1.0367235472612249E-2</v>
      </c>
      <c r="S333" s="9"/>
      <c r="T333" s="7">
        <v>1720</v>
      </c>
      <c r="U333" s="8">
        <f>IFERROR(T333/T444, "NA")</f>
        <v>1.127320715861763E-2</v>
      </c>
      <c r="V333" s="9"/>
      <c r="W333" s="10">
        <f t="shared" si="82"/>
        <v>156.48000000000002</v>
      </c>
      <c r="X333" s="8">
        <f>IFERROR(W333/W444, "NA")</f>
        <v>-8.8880810651156578E-2</v>
      </c>
      <c r="Y333" s="9"/>
      <c r="Z333" s="7">
        <v>1720.32</v>
      </c>
      <c r="AA333" s="8">
        <f>IFERROR(Z333/Z444, "NA")</f>
        <v>1.1767941866783083E-2</v>
      </c>
      <c r="AB333" s="9"/>
      <c r="AC333" s="10">
        <f t="shared" si="83"/>
        <v>156.79999999999995</v>
      </c>
      <c r="AD333" s="8">
        <f>IFERROR(AC333/AC444, "NA")</f>
        <v>3.3890978256170788E-2</v>
      </c>
    </row>
    <row r="334" spans="1:30" ht="16.5" customHeight="1" x14ac:dyDescent="0.45">
      <c r="A334" s="6" t="s">
        <v>305</v>
      </c>
      <c r="B334" s="7">
        <v>-881.03</v>
      </c>
      <c r="C334" s="8">
        <f>IFERROR(B334/B444, "NA")</f>
        <v>-1.1251657679269455E-2</v>
      </c>
      <c r="D334" s="9"/>
      <c r="E334" s="7">
        <v>-881.03</v>
      </c>
      <c r="F334" s="8">
        <f>IFERROR(E334/E444, "NA")</f>
        <v>-1.0441356889306896E-2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-415.27</v>
      </c>
      <c r="L334" s="8">
        <f>IFERROR(K334/K444, "NA")</f>
        <v>-5.1614155754263072E-3</v>
      </c>
      <c r="M334" s="9"/>
      <c r="N334" s="10">
        <f t="shared" si="81"/>
        <v>465.76</v>
      </c>
      <c r="O334" s="8">
        <f>IFERROR(N334/N444, "NA")</f>
        <v>-0.21619313302728918</v>
      </c>
      <c r="P334" s="9"/>
      <c r="Q334" s="7">
        <v>-1762.06</v>
      </c>
      <c r="R334" s="8">
        <f>IFERROR(Q334/Q444, "NA")</f>
        <v>-1.1683695083447056E-2</v>
      </c>
      <c r="S334" s="9"/>
      <c r="T334" s="7">
        <v>-1762.06</v>
      </c>
      <c r="U334" s="8">
        <f>IFERROR(T334/T444, "NA")</f>
        <v>-1.1548876398787081E-2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-830.54</v>
      </c>
      <c r="AA334" s="8">
        <f>IFERROR(Z334/Z444, "NA")</f>
        <v>-5.6813537237479202E-3</v>
      </c>
      <c r="AB334" s="9"/>
      <c r="AC334" s="10">
        <f t="shared" si="83"/>
        <v>931.52</v>
      </c>
      <c r="AD334" s="8">
        <f>IFERROR(AC334/AC444, "NA")</f>
        <v>0.20134007694635345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1023.67</v>
      </c>
      <c r="C338" s="8">
        <f>IFERROR(B338/B444, "NA")</f>
        <v>1.3073316931929405E-2</v>
      </c>
      <c r="D338" s="9"/>
      <c r="E338" s="7">
        <v>1012.55</v>
      </c>
      <c r="F338" s="8">
        <f>IFERROR(E338/E444, "NA")</f>
        <v>1.2000040768495623E-2</v>
      </c>
      <c r="G338" s="9"/>
      <c r="H338" s="10">
        <f t="shared" si="84"/>
        <v>-11.120000000000005</v>
      </c>
      <c r="I338" s="8">
        <f>IFERROR(H338/H444, "NA")</f>
        <v>1.8299586613654923E-3</v>
      </c>
      <c r="J338" s="9"/>
      <c r="K338" s="7">
        <v>962.9</v>
      </c>
      <c r="L338" s="8">
        <f>IFERROR(K338/K444, "NA")</f>
        <v>1.1967941478021507E-2</v>
      </c>
      <c r="M338" s="9"/>
      <c r="N338" s="10">
        <f t="shared" si="85"/>
        <v>-60.769999999999982</v>
      </c>
      <c r="O338" s="8">
        <f>IFERROR(N338/N444, "NA")</f>
        <v>2.8207782321514E-2</v>
      </c>
      <c r="P338" s="9"/>
      <c r="Q338" s="7">
        <v>2024.83</v>
      </c>
      <c r="R338" s="8">
        <f>IFERROR(Q338/Q444, "NA")</f>
        <v>1.3426044695308958E-2</v>
      </c>
      <c r="S338" s="9"/>
      <c r="T338" s="7">
        <v>1830.89</v>
      </c>
      <c r="U338" s="8">
        <f>IFERROR(T338/T444, "NA")</f>
        <v>1.2000001310838043E-2</v>
      </c>
      <c r="V338" s="9"/>
      <c r="W338" s="10">
        <f t="shared" si="86"/>
        <v>-193.93999999999983</v>
      </c>
      <c r="X338" s="8">
        <f>IFERROR(W338/W444, "NA")</f>
        <v>0.11015813150361253</v>
      </c>
      <c r="Y338" s="9"/>
      <c r="Z338" s="7">
        <v>1831.12</v>
      </c>
      <c r="AA338" s="8">
        <f>IFERROR(Z338/Z444, "NA")</f>
        <v>1.2525875250595146E-2</v>
      </c>
      <c r="AB338" s="9"/>
      <c r="AC338" s="10">
        <f t="shared" si="87"/>
        <v>-193.71000000000004</v>
      </c>
      <c r="AD338" s="8">
        <f>IFERROR(AC338/AC444, "NA")</f>
        <v>-4.1868758915834477E-2</v>
      </c>
    </row>
    <row r="339" spans="1:30" ht="16.5" customHeight="1" x14ac:dyDescent="0.45">
      <c r="A339" s="12" t="s">
        <v>309</v>
      </c>
      <c r="B339" s="7">
        <v>690.3</v>
      </c>
      <c r="C339" s="8">
        <f>IFERROR(B339/B444, "NA")</f>
        <v>8.815839751199964E-3</v>
      </c>
      <c r="D339" s="9"/>
      <c r="E339" s="7">
        <v>421.89</v>
      </c>
      <c r="F339" s="8">
        <f>IFERROR(E339/E444, "NA")</f>
        <v>4.9999478542497831E-3</v>
      </c>
      <c r="G339" s="9"/>
      <c r="H339" s="10">
        <f t="shared" si="84"/>
        <v>-268.40999999999997</v>
      </c>
      <c r="I339" s="8">
        <f>IFERROR(H339/H444, "NA")</f>
        <v>4.4170791753337373E-2</v>
      </c>
      <c r="J339" s="9"/>
      <c r="K339" s="7">
        <v>733.71</v>
      </c>
      <c r="L339" s="8">
        <f>IFERROR(K339/K444, "NA")</f>
        <v>9.1193253108725319E-3</v>
      </c>
      <c r="M339" s="9"/>
      <c r="N339" s="10">
        <f t="shared" si="85"/>
        <v>43.410000000000082</v>
      </c>
      <c r="O339" s="8">
        <f>IFERROR(N339/N444, "NA")</f>
        <v>-2.0149742151998114E-2</v>
      </c>
      <c r="P339" s="9"/>
      <c r="Q339" s="7">
        <v>1413.31</v>
      </c>
      <c r="R339" s="8">
        <f>IFERROR(Q339/Q444, "NA")</f>
        <v>9.3712376981411293E-3</v>
      </c>
      <c r="S339" s="9"/>
      <c r="T339" s="7">
        <v>762.87</v>
      </c>
      <c r="U339" s="8">
        <f>IFERROR(T339/T444, "NA")</f>
        <v>4.9999950843573442E-3</v>
      </c>
      <c r="V339" s="9"/>
      <c r="W339" s="10">
        <f t="shared" si="86"/>
        <v>-650.43999999999994</v>
      </c>
      <c r="X339" s="8">
        <f>IFERROR(W339/W444, "NA")</f>
        <v>0.36945062934520878</v>
      </c>
      <c r="Y339" s="9"/>
      <c r="Z339" s="7">
        <v>1644.98</v>
      </c>
      <c r="AA339" s="8">
        <f>IFERROR(Z339/Z444, "NA")</f>
        <v>1.1252574528006905E-2</v>
      </c>
      <c r="AB339" s="9"/>
      <c r="AC339" s="10">
        <f t="shared" si="87"/>
        <v>231.67000000000007</v>
      </c>
      <c r="AD339" s="8">
        <f>IFERROR(AC339/AC444, "NA")</f>
        <v>5.0073488090606445E-2</v>
      </c>
    </row>
    <row r="340" spans="1:30" ht="16.5" customHeight="1" x14ac:dyDescent="0.45">
      <c r="A340" s="12" t="s">
        <v>310</v>
      </c>
      <c r="B340" s="7">
        <v>766.94</v>
      </c>
      <c r="C340" s="8">
        <f>IFERROR(B340/B444, "NA")</f>
        <v>9.79461123972954E-3</v>
      </c>
      <c r="D340" s="9"/>
      <c r="E340" s="7">
        <v>337.52</v>
      </c>
      <c r="F340" s="8">
        <f>IFERROR(E340/E444, "NA")</f>
        <v>4.000053093854765E-3</v>
      </c>
      <c r="G340" s="9"/>
      <c r="H340" s="10">
        <f t="shared" si="84"/>
        <v>-429.42000000000007</v>
      </c>
      <c r="I340" s="8">
        <f>IFERROR(H340/H444, "NA")</f>
        <v>7.0667342478738265E-2</v>
      </c>
      <c r="J340" s="9"/>
      <c r="K340" s="7">
        <v>325</v>
      </c>
      <c r="L340" s="8">
        <f>IFERROR(K340/K444, "NA")</f>
        <v>4.0394443663485198E-3</v>
      </c>
      <c r="M340" s="9"/>
      <c r="N340" s="10">
        <f t="shared" si="85"/>
        <v>-441.94000000000005</v>
      </c>
      <c r="O340" s="8">
        <f>IFERROR(N340/N444, "NA")</f>
        <v>0.20513653643524604</v>
      </c>
      <c r="P340" s="9"/>
      <c r="Q340" s="7">
        <v>1114.76</v>
      </c>
      <c r="R340" s="8">
        <f>IFERROR(Q340/Q444, "NA")</f>
        <v>7.3916415622756549E-3</v>
      </c>
      <c r="S340" s="9"/>
      <c r="T340" s="7">
        <v>610.29999999999995</v>
      </c>
      <c r="U340" s="8">
        <f>IFERROR(T340/T444, "NA")</f>
        <v>4.0000222842467084E-3</v>
      </c>
      <c r="V340" s="9"/>
      <c r="W340" s="10">
        <f t="shared" si="86"/>
        <v>-504.46000000000004</v>
      </c>
      <c r="X340" s="8">
        <f>IFERROR(W340/W444, "NA")</f>
        <v>0.28653383014495426</v>
      </c>
      <c r="Y340" s="9"/>
      <c r="Z340" s="7">
        <v>775</v>
      </c>
      <c r="AA340" s="8">
        <f>IFERROR(Z340/Z444, "NA")</f>
        <v>5.3014293542811165E-3</v>
      </c>
      <c r="AB340" s="9"/>
      <c r="AC340" s="10">
        <f t="shared" si="87"/>
        <v>-339.76</v>
      </c>
      <c r="AD340" s="8">
        <f>IFERROR(AC340/AC444, "NA")</f>
        <v>-7.3436216660182324E-2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2480.91</v>
      </c>
      <c r="C342" s="15">
        <f>IFERROR(B342/B444, "NA")</f>
        <v>3.1683767922858909E-2</v>
      </c>
      <c r="D342" s="2"/>
      <c r="E342" s="14">
        <f>IFERROR(E337+E338+E339+E340+E341, "NA")</f>
        <v>1771.96</v>
      </c>
      <c r="F342" s="15">
        <f>IFERROR(E342/E444, "NA")</f>
        <v>2.1000041716600172E-2</v>
      </c>
      <c r="G342" s="2"/>
      <c r="H342" s="14">
        <f t="shared" si="84"/>
        <v>-708.94999999999982</v>
      </c>
      <c r="I342" s="15">
        <f>IFERROR(H342/H444, "NA")</f>
        <v>0.1166680928934411</v>
      </c>
      <c r="J342" s="2"/>
      <c r="K342" s="14">
        <f>IFERROR(K337+K338+K339+K340+K341, "NA")</f>
        <v>2021.6100000000001</v>
      </c>
      <c r="L342" s="15">
        <f>IFERROR(K342/K444, "NA")</f>
        <v>2.5126711155242561E-2</v>
      </c>
      <c r="M342" s="2"/>
      <c r="N342" s="14">
        <f t="shared" si="85"/>
        <v>-459.29999999999973</v>
      </c>
      <c r="O342" s="15">
        <f>IFERROR(N342/N444, "NA")</f>
        <v>0.21319457660476182</v>
      </c>
      <c r="P342" s="2"/>
      <c r="Q342" s="14">
        <f>IFERROR(Q337+Q338+Q339+Q340+Q341, "NA")</f>
        <v>4552.8999999999996</v>
      </c>
      <c r="R342" s="15">
        <f>IFERROR(Q342/Q444, "NA")</f>
        <v>3.0188923955725738E-2</v>
      </c>
      <c r="S342" s="2"/>
      <c r="T342" s="14">
        <f>IFERROR(T337+T338+T339+T340+T341, "NA")</f>
        <v>3204.0600000000004</v>
      </c>
      <c r="U342" s="15">
        <f>IFERROR(T342/T444, "NA")</f>
        <v>2.1000018679442099E-2</v>
      </c>
      <c r="V342" s="2"/>
      <c r="W342" s="14">
        <f t="shared" si="86"/>
        <v>-1348.8399999999992</v>
      </c>
      <c r="X342" s="15">
        <f>IFERROR(W342/W444, "NA")</f>
        <v>0.76614259099377524</v>
      </c>
      <c r="Y342" s="2"/>
      <c r="Z342" s="14">
        <f>IFERROR(Z337+Z338+Z339+Z340+Z341, "NA")</f>
        <v>4251.1000000000004</v>
      </c>
      <c r="AA342" s="15">
        <f>IFERROR(Z342/Z444, "NA")</f>
        <v>2.9079879132883169E-2</v>
      </c>
      <c r="AB342" s="2"/>
      <c r="AC342" s="14">
        <f t="shared" si="87"/>
        <v>-301.79999999999927</v>
      </c>
      <c r="AD342" s="15">
        <f>IFERROR(AC342/AC444, "NA")</f>
        <v>-6.5231487485410217E-2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15006.93</v>
      </c>
      <c r="C343" s="15">
        <f>IFERROR(B343/B444, "NA")</f>
        <v>0.19165390415395522</v>
      </c>
      <c r="D343" s="2"/>
      <c r="E343" s="14">
        <f>IFERROR(E328+E329+E330+E331+E332+E333+E334+E335+E337+E338+E339+E340+E341, "NA")</f>
        <v>14376.22</v>
      </c>
      <c r="F343" s="15">
        <f>IFERROR(E343/E444, "NA")</f>
        <v>0.17037699481197188</v>
      </c>
      <c r="G343" s="2"/>
      <c r="H343" s="14">
        <f t="shared" si="84"/>
        <v>-630.71000000000095</v>
      </c>
      <c r="I343" s="15">
        <f>IFERROR(H343/H444, "NA")</f>
        <v>0.10379255641275459</v>
      </c>
      <c r="J343" s="2"/>
      <c r="K343" s="14">
        <f>IFERROR(K328+K329+K330+K331+K332+K333+K334+K335+K337+K338+K339+K340+K341, "NA")</f>
        <v>8886.0600000000013</v>
      </c>
      <c r="L343" s="15">
        <f>IFERROR(K343/K444, "NA")</f>
        <v>0.11044536924933826</v>
      </c>
      <c r="M343" s="2"/>
      <c r="N343" s="14">
        <f t="shared" si="85"/>
        <v>-6120.869999999999</v>
      </c>
      <c r="O343" s="15">
        <f>IFERROR(N343/N444, "NA")</f>
        <v>2.8411414938009778</v>
      </c>
      <c r="P343" s="2"/>
      <c r="Q343" s="14">
        <f>IFERROR(Q328+Q329+Q330+Q331+Q332+Q333+Q334+Q335+Q337+Q338+Q339+Q340+Q341, "NA")</f>
        <v>29604.940000000002</v>
      </c>
      <c r="R343" s="15">
        <f>IFERROR(Q343/Q444, "NA")</f>
        <v>0.19630154019939453</v>
      </c>
      <c r="S343" s="2"/>
      <c r="T343" s="14">
        <f>IFERROR(T328+T329+T330+T331+T332+T333+T334+T335+T337+T338+T339+T340+T341, "NA")</f>
        <v>28412.579999999998</v>
      </c>
      <c r="U343" s="15">
        <f>IFERROR(T343/T444, "NA")</f>
        <v>0.18622145363418377</v>
      </c>
      <c r="V343" s="2"/>
      <c r="W343" s="14">
        <f t="shared" si="86"/>
        <v>-1192.3600000000042</v>
      </c>
      <c r="X343" s="15">
        <f>IFERROR(W343/W444, "NA")</f>
        <v>0.67726178034262152</v>
      </c>
      <c r="Y343" s="2"/>
      <c r="Z343" s="14">
        <f>IFERROR(Z328+Z329+Z330+Z331+Z332+Z333+Z334+Z335+Z337+Z338+Z339+Z340+Z341, "NA")</f>
        <v>17980</v>
      </c>
      <c r="AA343" s="15">
        <f>IFERROR(Z343/Z444, "NA")</f>
        <v>0.12299316101932191</v>
      </c>
      <c r="AB343" s="2"/>
      <c r="AC343" s="14">
        <f t="shared" si="87"/>
        <v>-11624.940000000002</v>
      </c>
      <c r="AD343" s="15">
        <f>IFERROR(AC343/AC444, "NA")</f>
        <v>-2.5126313059265959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15006.93</v>
      </c>
      <c r="C344" s="15">
        <f>IFERROR(B344/B444, "NA")</f>
        <v>0.19165390415395522</v>
      </c>
      <c r="D344" s="2"/>
      <c r="E344" s="14">
        <f>IFERROR(E328+E329+E330+E331+E332+E333+E334+E335+E337+E338+E339+E340+E341, "NA")</f>
        <v>14376.22</v>
      </c>
      <c r="F344" s="15">
        <f>IFERROR(E344/E444, "NA")</f>
        <v>0.17037699481197188</v>
      </c>
      <c r="G344" s="2"/>
      <c r="H344" s="14">
        <f t="shared" si="84"/>
        <v>-630.71000000000095</v>
      </c>
      <c r="I344" s="15">
        <f>IFERROR(H344/H444, "NA")</f>
        <v>0.10379255641275459</v>
      </c>
      <c r="J344" s="2"/>
      <c r="K344" s="14">
        <f>IFERROR(K328+K329+K330+K331+K332+K333+K334+K335+K337+K338+K339+K340+K341, "NA")</f>
        <v>8886.0600000000013</v>
      </c>
      <c r="L344" s="15">
        <f>IFERROR(K344/K444, "NA")</f>
        <v>0.11044536924933826</v>
      </c>
      <c r="M344" s="2"/>
      <c r="N344" s="14">
        <f t="shared" si="85"/>
        <v>-6120.869999999999</v>
      </c>
      <c r="O344" s="15">
        <f>IFERROR(N344/N444, "NA")</f>
        <v>2.8411414938009778</v>
      </c>
      <c r="P344" s="2"/>
      <c r="Q344" s="14">
        <f>IFERROR(Q328+Q329+Q330+Q331+Q332+Q333+Q334+Q335+Q337+Q338+Q339+Q340+Q341, "NA")</f>
        <v>29604.940000000002</v>
      </c>
      <c r="R344" s="15">
        <f>IFERROR(Q344/Q444, "NA")</f>
        <v>0.19630154019939453</v>
      </c>
      <c r="S344" s="2"/>
      <c r="T344" s="14">
        <f>IFERROR(T328+T329+T330+T331+T332+T333+T334+T335+T337+T338+T339+T340+T341, "NA")</f>
        <v>28412.579999999998</v>
      </c>
      <c r="U344" s="15">
        <f>IFERROR(T344/T444, "NA")</f>
        <v>0.18622145363418377</v>
      </c>
      <c r="V344" s="2"/>
      <c r="W344" s="14">
        <f t="shared" si="86"/>
        <v>-1192.3600000000042</v>
      </c>
      <c r="X344" s="15">
        <f>IFERROR(W344/W444, "NA")</f>
        <v>0.67726178034262152</v>
      </c>
      <c r="Y344" s="2"/>
      <c r="Z344" s="14">
        <f>IFERROR(Z328+Z329+Z330+Z331+Z332+Z333+Z334+Z335+Z337+Z338+Z339+Z340+Z341, "NA")</f>
        <v>17980</v>
      </c>
      <c r="AA344" s="15">
        <f>IFERROR(Z344/Z444, "NA")</f>
        <v>0.12299316101932191</v>
      </c>
      <c r="AB344" s="2"/>
      <c r="AC344" s="14">
        <f t="shared" si="87"/>
        <v>-11624.940000000002</v>
      </c>
      <c r="AD344" s="15">
        <f>IFERROR(AC344/AC444, "NA")</f>
        <v>-2.5126313059265959</v>
      </c>
    </row>
    <row r="345" spans="1:30" ht="16.5" customHeight="1" x14ac:dyDescent="0.45">
      <c r="A345" s="22" t="s">
        <v>315</v>
      </c>
      <c r="B345" s="23">
        <f>IFERROR(B198-B325-B344, "NA")</f>
        <v>-5268.2099999999773</v>
      </c>
      <c r="C345" s="24">
        <f>IFERROR(B345/B444, "NA")</f>
        <v>-6.728045072529186E-2</v>
      </c>
      <c r="D345" s="25"/>
      <c r="E345" s="23">
        <f>IFERROR(E198-E325-E344, "NA")</f>
        <v>158.69999999999527</v>
      </c>
      <c r="F345" s="24">
        <f>IFERROR(E345/E444, "NA")</f>
        <v>1.8808023998421793E-3</v>
      </c>
      <c r="G345" s="25"/>
      <c r="H345" s="23">
        <f>IFERROR(B345-E345, "NA")</f>
        <v>-5426.9099999999726</v>
      </c>
      <c r="I345" s="24">
        <f>IFERROR(H345/H444, "NA")</f>
        <v>0.89307742436609261</v>
      </c>
      <c r="J345" s="25"/>
      <c r="K345" s="23">
        <f>IFERROR(K198-K325-K344, "NA")</f>
        <v>-4716.5200000000114</v>
      </c>
      <c r="L345" s="24">
        <f>IFERROR(K345/K444, "NA")</f>
        <v>-5.8621908131600516E-2</v>
      </c>
      <c r="M345" s="25"/>
      <c r="N345" s="23">
        <f>IFERROR(B345-K345, "NA")</f>
        <v>-551.68999999996595</v>
      </c>
      <c r="O345" s="24">
        <f>IFERROR(N345/N444, "NA")</f>
        <v>0.25607950352073561</v>
      </c>
      <c r="P345" s="25"/>
      <c r="Q345" s="23">
        <f>IFERROR(Q198-Q325-Q344, "NA")</f>
        <v>-11049.989999999998</v>
      </c>
      <c r="R345" s="24">
        <f>IFERROR(Q345/Q444, "NA")</f>
        <v>-7.326919278295807E-2</v>
      </c>
      <c r="S345" s="25"/>
      <c r="T345" s="23">
        <f>IFERROR(T198-T325-T344, "NA")</f>
        <v>-5223.2500000000182</v>
      </c>
      <c r="U345" s="24">
        <f>IFERROR(T345/T444, "NA")</f>
        <v>-3.4234174006540545E-2</v>
      </c>
      <c r="V345" s="25"/>
      <c r="W345" s="23">
        <f>IFERROR(Q345-T345, "NA")</f>
        <v>-5826.7399999999798</v>
      </c>
      <c r="X345" s="24">
        <f>IFERROR(W345/W444, "NA")</f>
        <v>3.3095946744217679</v>
      </c>
      <c r="Y345" s="25"/>
      <c r="Z345" s="23">
        <f>IFERROR(Z198-Z325-Z344, "NA")</f>
        <v>-10722.040000000023</v>
      </c>
      <c r="AA345" s="24">
        <f>IFERROR(Z345/Z444, "NA")</f>
        <v>-7.3344693669388936E-2</v>
      </c>
      <c r="AB345" s="25"/>
      <c r="AC345" s="23">
        <f>IFERROR(Q345-Z345, "NA")</f>
        <v>-327.94999999997526</v>
      </c>
      <c r="AD345" s="24">
        <f>IFERROR(AC345/AC444, "NA")</f>
        <v>-7.0883586218816158E-2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-5268.2099999999773</v>
      </c>
      <c r="C404" s="24">
        <f>IFERROR(B404/B444, "NA")</f>
        <v>-6.728045072529186E-2</v>
      </c>
      <c r="D404" s="25"/>
      <c r="E404" s="23">
        <f>IFERROR(E345-E403, "NA")</f>
        <v>158.69999999999527</v>
      </c>
      <c r="F404" s="24">
        <f>IFERROR(E404/E444, "NA")</f>
        <v>1.8808023998421793E-3</v>
      </c>
      <c r="G404" s="25"/>
      <c r="H404" s="23">
        <f>IFERROR(B404-E404, "NA")</f>
        <v>-5426.9099999999726</v>
      </c>
      <c r="I404" s="24">
        <f>IFERROR(H404/H444, "NA")</f>
        <v>0.89307742436609261</v>
      </c>
      <c r="J404" s="25"/>
      <c r="K404" s="23">
        <f>IFERROR(K345-K403, "NA")</f>
        <v>-4716.5200000000114</v>
      </c>
      <c r="L404" s="24">
        <f>IFERROR(K404/K444, "NA")</f>
        <v>-5.8621908131600516E-2</v>
      </c>
      <c r="M404" s="25"/>
      <c r="N404" s="23">
        <f>IFERROR(B404-K404, "NA")</f>
        <v>-551.68999999996595</v>
      </c>
      <c r="O404" s="24">
        <f>IFERROR(N404/N444, "NA")</f>
        <v>0.25607950352073561</v>
      </c>
      <c r="P404" s="25"/>
      <c r="Q404" s="23">
        <f>IFERROR(Q345-Q403, "NA")</f>
        <v>-11049.989999999998</v>
      </c>
      <c r="R404" s="24">
        <f>IFERROR(Q404/Q444, "NA")</f>
        <v>-7.326919278295807E-2</v>
      </c>
      <c r="S404" s="25"/>
      <c r="T404" s="23">
        <f>IFERROR(T345-T403, "NA")</f>
        <v>-5223.2500000000182</v>
      </c>
      <c r="U404" s="24">
        <f>IFERROR(T404/T444, "NA")</f>
        <v>-3.4234174006540545E-2</v>
      </c>
      <c r="V404" s="25"/>
      <c r="W404" s="23">
        <f>IFERROR(Q404-T404, "NA")</f>
        <v>-5826.7399999999798</v>
      </c>
      <c r="X404" s="24">
        <f>IFERROR(W404/W444, "NA")</f>
        <v>3.3095946744217679</v>
      </c>
      <c r="Y404" s="25"/>
      <c r="Z404" s="23">
        <f>IFERROR(Z345-Z403, "NA")</f>
        <v>-10722.040000000023</v>
      </c>
      <c r="AA404" s="24">
        <f>IFERROR(Z404/Z444, "NA")</f>
        <v>-7.3344693669388936E-2</v>
      </c>
      <c r="AB404" s="25"/>
      <c r="AC404" s="23">
        <f>IFERROR(Q404-Z404, "NA")</f>
        <v>-327.94999999997526</v>
      </c>
      <c r="AD404" s="24">
        <f>IFERROR(AC404/AC444, "NA")</f>
        <v>-7.0883586218816158E-2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3294.51</v>
      </c>
      <c r="F407" s="8">
        <f>IFERROR(E407/E444, "NA")</f>
        <v>3.904424898742434E-2</v>
      </c>
      <c r="G407" s="9"/>
      <c r="H407" s="10">
        <f t="shared" ref="H407:H429" si="100">IFERROR(-(B407-E407), "NA")</f>
        <v>3294.51</v>
      </c>
      <c r="I407" s="8">
        <f>IFERROR(H407/H444, "NA")</f>
        <v>-0.54215981200136931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6401.79</v>
      </c>
      <c r="U407" s="8">
        <f>IFERROR(T407/T444, "NA")</f>
        <v>4.1958549334864391E-2</v>
      </c>
      <c r="V407" s="9"/>
      <c r="W407" s="10">
        <f t="shared" ref="W407:W429" si="102">IFERROR(-(Q407-T407), "NA")</f>
        <v>6401.79</v>
      </c>
      <c r="X407" s="8">
        <f>IFERROR(W407/W444, "NA")</f>
        <v>-3.6362237015495116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3333.25</v>
      </c>
      <c r="C410" s="8">
        <f>IFERROR(B410/B444, "NA")</f>
        <v>4.2569024845266236E-2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-3333.25</v>
      </c>
      <c r="I410" s="8">
        <f>IFERROR(H410/H444, "NA")</f>
        <v>0.54853504568314071</v>
      </c>
      <c r="J410" s="9"/>
      <c r="K410" s="7">
        <v>3217.04</v>
      </c>
      <c r="L410" s="8">
        <f>IFERROR(K410/K444, "NA")</f>
        <v>3.9984781859439517E-2</v>
      </c>
      <c r="M410" s="9"/>
      <c r="N410" s="10">
        <f t="shared" si="101"/>
        <v>-116.21000000000004</v>
      </c>
      <c r="O410" s="8">
        <f>IFERROR(N410/N444, "NA")</f>
        <v>5.3941523508032642E-2</v>
      </c>
      <c r="P410" s="9"/>
      <c r="Q410" s="7">
        <v>6666.5</v>
      </c>
      <c r="R410" s="8">
        <f>IFERROR(Q410/Q444, "NA")</f>
        <v>4.4203576083561173E-2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-6666.5</v>
      </c>
      <c r="X410" s="8">
        <f>IFERROR(W410/W444, "NA")</f>
        <v>3.7865792702322039</v>
      </c>
      <c r="Y410" s="9"/>
      <c r="Z410" s="7">
        <v>6226.42</v>
      </c>
      <c r="AA410" s="8">
        <f>IFERROR(Z410/Z444, "NA")</f>
        <v>4.2592162271074881E-2</v>
      </c>
      <c r="AB410" s="9"/>
      <c r="AC410" s="10">
        <f t="shared" si="103"/>
        <v>-440.07999999999993</v>
      </c>
      <c r="AD410" s="8">
        <f>IFERROR(AC410/AC444, "NA")</f>
        <v>-9.5119526217956898E-2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-27.51</v>
      </c>
      <c r="C416" s="8">
        <f>IFERROR(B416/B444, "NA")</f>
        <v>-3.5133094532161532E-4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27.51</v>
      </c>
      <c r="I416" s="8">
        <f>IFERROR(H416/H444, "NA")</f>
        <v>-4.527172911345744E-3</v>
      </c>
      <c r="J416" s="9"/>
      <c r="K416" s="7">
        <v>-27.32</v>
      </c>
      <c r="L416" s="8">
        <f>IFERROR(K416/K444, "NA")</f>
        <v>-3.3956190796505096E-4</v>
      </c>
      <c r="M416" s="9"/>
      <c r="N416" s="10">
        <f t="shared" si="101"/>
        <v>0.19000000000000128</v>
      </c>
      <c r="O416" s="8">
        <f>IFERROR(N416/N444, "NA")</f>
        <v>-8.8192835956684177E-5</v>
      </c>
      <c r="P416" s="9"/>
      <c r="Q416" s="7">
        <v>-54.12</v>
      </c>
      <c r="R416" s="8">
        <f>IFERROR(Q416/Q444, "NA")</f>
        <v>-3.5885360198639922E-4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54.12</v>
      </c>
      <c r="X416" s="8">
        <f>IFERROR(W416/W444, "NA")</f>
        <v>-3.0740219021220559E-2</v>
      </c>
      <c r="Y416" s="9"/>
      <c r="Z416" s="7">
        <v>-55.98</v>
      </c>
      <c r="AA416" s="8">
        <f>IFERROR(Z416/Z444, "NA")</f>
        <v>-3.829342132292347E-4</v>
      </c>
      <c r="AB416" s="9"/>
      <c r="AC416" s="10">
        <f t="shared" si="103"/>
        <v>-1.8599999999999994</v>
      </c>
      <c r="AD416" s="8">
        <f>IFERROR(AC416/AC444, "NA")</f>
        <v>-4.0202308390610754E-4</v>
      </c>
    </row>
    <row r="417" spans="1:30" ht="16.5" customHeight="1" x14ac:dyDescent="0.45">
      <c r="A417" s="6" t="s">
        <v>382</v>
      </c>
      <c r="B417" s="7">
        <v>23.49</v>
      </c>
      <c r="C417" s="8">
        <f>IFERROR(B417/B444, "NA")</f>
        <v>2.9999141787003788E-4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-23.49</v>
      </c>
      <c r="I417" s="8">
        <f>IFERROR(H417/H444, "NA")</f>
        <v>3.8656231075067803E-3</v>
      </c>
      <c r="J417" s="9"/>
      <c r="K417" s="7">
        <v>-48.35</v>
      </c>
      <c r="L417" s="8">
        <f>IFERROR(K417/K444, "NA")</f>
        <v>-6.0094503111677211E-4</v>
      </c>
      <c r="M417" s="9"/>
      <c r="N417" s="10">
        <f t="shared" si="101"/>
        <v>-71.84</v>
      </c>
      <c r="O417" s="8">
        <f>IFERROR(N417/N444, "NA")</f>
        <v>3.3346175448042886E-2</v>
      </c>
      <c r="P417" s="9"/>
      <c r="Q417" s="7">
        <v>121.27</v>
      </c>
      <c r="R417" s="8">
        <f>IFERROR(Q417/Q444, "NA")</f>
        <v>8.041052533793539E-4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-121.27</v>
      </c>
      <c r="X417" s="8">
        <f>IFERROR(W417/W444, "NA")</f>
        <v>6.8881492252465218E-2</v>
      </c>
      <c r="Y417" s="9"/>
      <c r="Z417" s="7">
        <v>-34.1</v>
      </c>
      <c r="AA417" s="8">
        <f>IFERROR(Z417/Z444, "NA")</f>
        <v>-2.3326289158836914E-4</v>
      </c>
      <c r="AB417" s="9"/>
      <c r="AC417" s="10">
        <f t="shared" si="103"/>
        <v>-155.37</v>
      </c>
      <c r="AD417" s="8">
        <f>IFERROR(AC417/AC444, "NA")</f>
        <v>-3.3581895992737608E-2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3329.2299999999996</v>
      </c>
      <c r="C428" s="15">
        <f>IFERROR(B428/B444, "NA")</f>
        <v>4.2517685317814656E-2</v>
      </c>
      <c r="D428" s="2"/>
      <c r="E428" s="14">
        <f>IFERROR(E407+E408+E409+E410+E411+E412+E413+E414+E415+E416+E417+E418+E419+E420+E421+E422+E423+E424+E425+E426+E427, "NA")</f>
        <v>3294.51</v>
      </c>
      <c r="F428" s="15">
        <f>IFERROR(E428/E444, "NA")</f>
        <v>3.904424898742434E-2</v>
      </c>
      <c r="G428" s="2"/>
      <c r="H428" s="14">
        <f t="shared" si="100"/>
        <v>-34.719999999999345</v>
      </c>
      <c r="I428" s="15">
        <f>IFERROR(H428/H444, "NA")</f>
        <v>5.7136838779324349E-3</v>
      </c>
      <c r="J428" s="2"/>
      <c r="K428" s="14">
        <f>IFERROR(K407+K408+K409+K410+K411+K412+K413+K414+K415+K416+K417+K418+K419+K420+K421+K422+K423+K424+K425+K426+K427, "NA")</f>
        <v>3141.37</v>
      </c>
      <c r="L428" s="15">
        <f>IFERROR(K428/K444, "NA")</f>
        <v>3.904427492035769E-2</v>
      </c>
      <c r="M428" s="2"/>
      <c r="N428" s="14">
        <f t="shared" si="101"/>
        <v>-187.85999999999967</v>
      </c>
      <c r="O428" s="15">
        <f>IFERROR(N428/N444, "NA")</f>
        <v>8.7199506120118675E-2</v>
      </c>
      <c r="P428" s="2"/>
      <c r="Q428" s="14">
        <f>IFERROR(Q407+Q408+Q409+Q410+Q411+Q412+Q413+Q414+Q415+Q416+Q417+Q418+Q419+Q420+Q421+Q422+Q423+Q424+Q425+Q426+Q427, "NA")</f>
        <v>6733.6500000000005</v>
      </c>
      <c r="R428" s="15">
        <f>IFERROR(Q428/Q444, "NA")</f>
        <v>4.4648827734954127E-2</v>
      </c>
      <c r="S428" s="2"/>
      <c r="T428" s="14">
        <f>IFERROR(T407+T408+T409+T410+T411+T412+T413+T414+T415+T416+T417+T418+T419+T420+T421+T422+T423+T424+T425+T426+T427, "NA")</f>
        <v>6401.79</v>
      </c>
      <c r="U428" s="15">
        <f>IFERROR(T428/T444, "NA")</f>
        <v>4.1958549334864391E-2</v>
      </c>
      <c r="V428" s="2"/>
      <c r="W428" s="14">
        <f t="shared" si="102"/>
        <v>-331.86000000000058</v>
      </c>
      <c r="X428" s="15">
        <f>IFERROR(W428/W444, "NA")</f>
        <v>0.18849684191393706</v>
      </c>
      <c r="Y428" s="2"/>
      <c r="Z428" s="14">
        <f>IFERROR(Z407+Z408+Z409+Z410+Z411+Z412+Z413+Z414+Z415+Z416+Z417+Z418+Z419+Z420+Z421+Z422+Z423+Z424+Z425+Z426+Z427, "NA")</f>
        <v>6136.34</v>
      </c>
      <c r="AA428" s="15">
        <f>IFERROR(Z428/Z444, "NA")</f>
        <v>4.1975965166257276E-2</v>
      </c>
      <c r="AB428" s="2"/>
      <c r="AC428" s="14">
        <f t="shared" si="103"/>
        <v>-597.3100000000004</v>
      </c>
      <c r="AD428" s="15">
        <f>IFERROR(AC428/AC444, "NA")</f>
        <v>-0.12910344529460072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3329.2299999999996</v>
      </c>
      <c r="C429" s="15">
        <f>IFERROR(B429/B444, "NA")</f>
        <v>4.2517685317814656E-2</v>
      </c>
      <c r="D429" s="2"/>
      <c r="E429" s="14">
        <f>IFERROR(E407+E408+E409+E410+E411+E412+E413+E414+E415+E416+E417+E418+E419+E420+E421+E422+E423+E424+E425+E426+E427, "NA")</f>
        <v>3294.51</v>
      </c>
      <c r="F429" s="15">
        <f>IFERROR(E429/E444, "NA")</f>
        <v>3.904424898742434E-2</v>
      </c>
      <c r="G429" s="2"/>
      <c r="H429" s="14">
        <f t="shared" si="100"/>
        <v>-34.719999999999345</v>
      </c>
      <c r="I429" s="15">
        <f>IFERROR(H429/H444, "NA")</f>
        <v>5.7136838779324349E-3</v>
      </c>
      <c r="J429" s="2"/>
      <c r="K429" s="14">
        <f>IFERROR(K407+K408+K409+K410+K411+K412+K413+K414+K415+K416+K417+K418+K419+K420+K421+K422+K423+K424+K425+K426+K427, "NA")</f>
        <v>3141.37</v>
      </c>
      <c r="L429" s="15">
        <f>IFERROR(K429/K444, "NA")</f>
        <v>3.904427492035769E-2</v>
      </c>
      <c r="M429" s="2"/>
      <c r="N429" s="14">
        <f t="shared" si="101"/>
        <v>-187.85999999999967</v>
      </c>
      <c r="O429" s="15">
        <f>IFERROR(N429/N444, "NA")</f>
        <v>8.7199506120118675E-2</v>
      </c>
      <c r="P429" s="2"/>
      <c r="Q429" s="14">
        <f>IFERROR(Q407+Q408+Q409+Q410+Q411+Q412+Q413+Q414+Q415+Q416+Q417+Q418+Q419+Q420+Q421+Q422+Q423+Q424+Q425+Q426+Q427, "NA")</f>
        <v>6733.6500000000005</v>
      </c>
      <c r="R429" s="15">
        <f>IFERROR(Q429/Q444, "NA")</f>
        <v>4.4648827734954127E-2</v>
      </c>
      <c r="S429" s="2"/>
      <c r="T429" s="14">
        <f>IFERROR(T407+T408+T409+T410+T411+T412+T413+T414+T415+T416+T417+T418+T419+T420+T421+T422+T423+T424+T425+T426+T427, "NA")</f>
        <v>6401.79</v>
      </c>
      <c r="U429" s="15">
        <f>IFERROR(T429/T444, "NA")</f>
        <v>4.1958549334864391E-2</v>
      </c>
      <c r="V429" s="2"/>
      <c r="W429" s="14">
        <f t="shared" si="102"/>
        <v>-331.86000000000058</v>
      </c>
      <c r="X429" s="15">
        <f>IFERROR(W429/W444, "NA")</f>
        <v>0.18849684191393706</v>
      </c>
      <c r="Y429" s="2"/>
      <c r="Z429" s="14">
        <f>IFERROR(Z407+Z408+Z409+Z410+Z411+Z412+Z413+Z414+Z415+Z416+Z417+Z418+Z419+Z420+Z421+Z422+Z423+Z424+Z425+Z426+Z427, "NA")</f>
        <v>6136.34</v>
      </c>
      <c r="AA429" s="15">
        <f>IFERROR(Z429/Z444, "NA")</f>
        <v>4.1975965166257276E-2</v>
      </c>
      <c r="AB429" s="2"/>
      <c r="AC429" s="14">
        <f t="shared" si="103"/>
        <v>-597.3100000000004</v>
      </c>
      <c r="AD429" s="15">
        <f>IFERROR(AC429/AC444, "NA")</f>
        <v>-0.12910344529460072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-8597.4399999999769</v>
      </c>
      <c r="C443" s="24">
        <f>IFERROR(B443/B444, "NA")</f>
        <v>-0.10979813604310651</v>
      </c>
      <c r="D443" s="25"/>
      <c r="E443" s="23">
        <f>IFERROR(E404-E429-E442, "NA")</f>
        <v>-3135.8100000000049</v>
      </c>
      <c r="F443" s="24">
        <f>IFERROR(E443/E444, "NA")</f>
        <v>-3.7163446587582159E-2</v>
      </c>
      <c r="G443" s="25"/>
      <c r="H443" s="23">
        <f>IFERROR(B443-E443, "NA")</f>
        <v>-5461.6299999999719</v>
      </c>
      <c r="I443" s="24">
        <f>IFERROR(H443/H444, "NA")</f>
        <v>0.89879110824402508</v>
      </c>
      <c r="J443" s="25"/>
      <c r="K443" s="23">
        <f>IFERROR(K404-K429-K442, "NA")</f>
        <v>-7857.8900000000112</v>
      </c>
      <c r="L443" s="24">
        <f>IFERROR(K443/K444, "NA")</f>
        <v>-9.7666183051958205E-2</v>
      </c>
      <c r="M443" s="25"/>
      <c r="N443" s="23">
        <f>IFERROR(B443-K443, "NA")</f>
        <v>-739.54999999996562</v>
      </c>
      <c r="O443" s="24">
        <f>IFERROR(N443/N444, "NA")</f>
        <v>0.34327900964085428</v>
      </c>
      <c r="P443" s="25"/>
      <c r="Q443" s="23">
        <f>IFERROR(Q404-Q429-Q442, "NA")</f>
        <v>-17783.64</v>
      </c>
      <c r="R443" s="24">
        <f>IFERROR(Q443/Q444, "NA")</f>
        <v>-0.11791802051791221</v>
      </c>
      <c r="S443" s="25"/>
      <c r="T443" s="23">
        <f>IFERROR(T404-T429-T442, "NA")</f>
        <v>-11625.040000000019</v>
      </c>
      <c r="U443" s="24">
        <f>IFERROR(T443/T444, "NA")</f>
        <v>-7.619272334140495E-2</v>
      </c>
      <c r="V443" s="25"/>
      <c r="W443" s="23">
        <f>IFERROR(Q443-T443, "NA")</f>
        <v>-6158.5999999999804</v>
      </c>
      <c r="X443" s="24">
        <f>IFERROR(W443/W444, "NA")</f>
        <v>3.4980915163357049</v>
      </c>
      <c r="Y443" s="25"/>
      <c r="Z443" s="23">
        <f>IFERROR(Z404-Z429-Z442, "NA")</f>
        <v>-16858.380000000023</v>
      </c>
      <c r="AA443" s="24">
        <f>IFERROR(Z443/Z444, "NA")</f>
        <v>-0.11532065883564621</v>
      </c>
      <c r="AB443" s="25"/>
      <c r="AC443" s="23">
        <f>IFERROR(Q443-Z443, "NA")</f>
        <v>-925.25999999997657</v>
      </c>
      <c r="AD443" s="24">
        <f>IFERROR(AC443/AC444, "NA")</f>
        <v>-0.19998703151341707</v>
      </c>
    </row>
    <row r="444" spans="1:30" ht="15.75" hidden="1" x14ac:dyDescent="0.45">
      <c r="A444" s="26" t="s">
        <v>117</v>
      </c>
      <c r="B444" s="7">
        <v>78302.240000000005</v>
      </c>
      <c r="C444" s="27"/>
      <c r="D444" s="9"/>
      <c r="E444" s="7">
        <v>84378.880000000005</v>
      </c>
      <c r="F444" s="27"/>
      <c r="G444" s="9"/>
      <c r="H444" s="10">
        <f>IFERROR(B444-E444, "NA")</f>
        <v>-6076.6399999999994</v>
      </c>
      <c r="I444" s="27"/>
      <c r="J444" s="9"/>
      <c r="K444" s="7">
        <v>80456.61</v>
      </c>
      <c r="L444" s="27"/>
      <c r="M444" s="9"/>
      <c r="N444" s="10">
        <f>IFERROR(B444-K444, "NA")</f>
        <v>-2154.3699999999953</v>
      </c>
      <c r="O444" s="27"/>
      <c r="P444" s="9"/>
      <c r="Q444" s="7">
        <v>150813.59</v>
      </c>
      <c r="R444" s="27"/>
      <c r="S444" s="9"/>
      <c r="T444" s="7">
        <v>152574.15</v>
      </c>
      <c r="U444" s="27"/>
      <c r="V444" s="9"/>
      <c r="W444" s="10">
        <f>IFERROR(Q444-T444, "NA")</f>
        <v>-1760.5599999999977</v>
      </c>
      <c r="X444" s="27"/>
      <c r="Y444" s="9"/>
      <c r="Z444" s="7">
        <v>146186.99</v>
      </c>
      <c r="AA444" s="27"/>
      <c r="AB444" s="9"/>
      <c r="AC444" s="10">
        <f>IFERROR(Q444-Z444, "NA")</f>
        <v>4626.6000000000058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44679.23</v>
      </c>
      <c r="F10" s="8">
        <f>IFERROR(E10/E444, "NA")</f>
        <v>0.55199995947647562</v>
      </c>
      <c r="G10" s="9"/>
      <c r="H10" s="10">
        <f t="shared" ref="H10:H19" si="0">IFERROR(B10-E10, "NA")</f>
        <v>-44679.23</v>
      </c>
      <c r="I10" s="8">
        <f>IFERROR(H10/H444, "NA")</f>
        <v>8.9131353311761536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86440.5</v>
      </c>
      <c r="U10" s="8">
        <f>IFERROR(T10/T444, "NA")</f>
        <v>0.55200003065230008</v>
      </c>
      <c r="V10" s="9"/>
      <c r="W10" s="10">
        <f t="shared" ref="W10:W19" si="2">IFERROR(Q10-T10, "NA")</f>
        <v>-86440.5</v>
      </c>
      <c r="X10" s="8">
        <f>IFERROR(W10/W444, "NA")</f>
        <v>10.781209074921721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31971.34</v>
      </c>
      <c r="C11" s="8">
        <f>IFERROR(B11/B444, "NA")</f>
        <v>0.4210749935135833</v>
      </c>
      <c r="D11" s="9"/>
      <c r="E11" s="7">
        <v>0</v>
      </c>
      <c r="F11" s="8">
        <f>IFERROR(E11/E444, "NA")</f>
        <v>0</v>
      </c>
      <c r="G11" s="9"/>
      <c r="H11" s="10">
        <f t="shared" si="0"/>
        <v>31971.34</v>
      </c>
      <c r="I11" s="8">
        <f>IFERROR(H11/H444, "NA")</f>
        <v>-6.3780168131600616</v>
      </c>
      <c r="J11" s="9"/>
      <c r="K11" s="7">
        <v>38772.1</v>
      </c>
      <c r="L11" s="8">
        <f>IFERROR(K11/K444, "NA")</f>
        <v>0.50416751134315452</v>
      </c>
      <c r="M11" s="9"/>
      <c r="N11" s="10">
        <f t="shared" si="1"/>
        <v>-6800.7599999999984</v>
      </c>
      <c r="O11" s="8">
        <f>IFERROR(N11/N444, "NA")</f>
        <v>6.9729214301093121</v>
      </c>
      <c r="P11" s="9"/>
      <c r="Q11" s="7">
        <v>69720.55</v>
      </c>
      <c r="R11" s="8">
        <f>IFERROR(Q11/Q444, "NA")</f>
        <v>0.46925407228824845</v>
      </c>
      <c r="S11" s="9"/>
      <c r="T11" s="7">
        <v>0</v>
      </c>
      <c r="U11" s="8">
        <f>IFERROR(T11/T444, "NA")</f>
        <v>0</v>
      </c>
      <c r="V11" s="9"/>
      <c r="W11" s="10">
        <f t="shared" si="2"/>
        <v>69720.55</v>
      </c>
      <c r="X11" s="8">
        <f>IFERROR(W11/W444, "NA")</f>
        <v>-8.6958292278334071</v>
      </c>
      <c r="Y11" s="9"/>
      <c r="Z11" s="7">
        <v>72667.600000000006</v>
      </c>
      <c r="AA11" s="8">
        <f>IFERROR(Z11/Z444, "NA")</f>
        <v>0.48502237871186699</v>
      </c>
      <c r="AB11" s="9"/>
      <c r="AC11" s="10">
        <f t="shared" si="3"/>
        <v>-2947.0500000000029</v>
      </c>
      <c r="AD11" s="8">
        <f>IFERROR(AC11/AC444, "NA")</f>
        <v>2.3656073656073526</v>
      </c>
    </row>
    <row r="12" spans="1:30" ht="16.5" customHeight="1" x14ac:dyDescent="0.45">
      <c r="A12" s="12" t="s">
        <v>14</v>
      </c>
      <c r="B12" s="7">
        <v>3163.6</v>
      </c>
      <c r="C12" s="8">
        <f>IFERROR(B12/B444, "NA")</f>
        <v>4.1665843517336841E-2</v>
      </c>
      <c r="D12" s="9"/>
      <c r="E12" s="7">
        <v>0</v>
      </c>
      <c r="F12" s="8">
        <f>IFERROR(E12/E444, "NA")</f>
        <v>0</v>
      </c>
      <c r="G12" s="9"/>
      <c r="H12" s="10">
        <f t="shared" si="0"/>
        <v>3163.6</v>
      </c>
      <c r="I12" s="8">
        <f>IFERROR(H12/H444, "NA")</f>
        <v>-0.63111192681048622</v>
      </c>
      <c r="J12" s="9"/>
      <c r="K12" s="7">
        <v>4347.6000000000004</v>
      </c>
      <c r="L12" s="8">
        <f>IFERROR(K12/K444, "NA")</f>
        <v>5.653340088144565E-2</v>
      </c>
      <c r="M12" s="9"/>
      <c r="N12" s="10">
        <f t="shared" si="1"/>
        <v>-1184.0000000000005</v>
      </c>
      <c r="O12" s="8">
        <f>IFERROR(N12/N444, "NA")</f>
        <v>1.2139729932021466</v>
      </c>
      <c r="P12" s="9"/>
      <c r="Q12" s="7">
        <v>6753.45</v>
      </c>
      <c r="R12" s="8">
        <f>IFERROR(Q12/Q444, "NA")</f>
        <v>4.5454086556905693E-2</v>
      </c>
      <c r="S12" s="9"/>
      <c r="T12" s="7">
        <v>0</v>
      </c>
      <c r="U12" s="8">
        <f>IFERROR(T12/T444, "NA")</f>
        <v>0</v>
      </c>
      <c r="V12" s="9"/>
      <c r="W12" s="10">
        <f t="shared" si="2"/>
        <v>6753.45</v>
      </c>
      <c r="X12" s="8">
        <f>IFERROR(W12/W444, "NA")</f>
        <v>-0.8423176222607468</v>
      </c>
      <c r="Y12" s="9"/>
      <c r="Z12" s="7">
        <v>8305.15</v>
      </c>
      <c r="AA12" s="8">
        <f>IFERROR(Z12/Z444, "NA")</f>
        <v>5.5433007400256258E-2</v>
      </c>
      <c r="AB12" s="9"/>
      <c r="AC12" s="10">
        <f t="shared" si="3"/>
        <v>-1551.6999999999998</v>
      </c>
      <c r="AD12" s="8">
        <f>IFERROR(AC12/AC444, "NA")</f>
        <v>1.2455550293388049</v>
      </c>
    </row>
    <row r="13" spans="1:30" ht="16.5" customHeight="1" x14ac:dyDescent="0.45">
      <c r="A13" s="12" t="s">
        <v>15</v>
      </c>
      <c r="B13" s="7">
        <v>46.5</v>
      </c>
      <c r="C13" s="8">
        <f>IFERROR(B13/B444, "NA")</f>
        <v>6.1242310138960782E-4</v>
      </c>
      <c r="D13" s="9"/>
      <c r="E13" s="7">
        <v>0</v>
      </c>
      <c r="F13" s="8">
        <f>IFERROR(E13/E444, "NA")</f>
        <v>0</v>
      </c>
      <c r="G13" s="9"/>
      <c r="H13" s="10">
        <f t="shared" si="0"/>
        <v>46.5</v>
      </c>
      <c r="I13" s="8">
        <f>IFERROR(H13/H444, "NA")</f>
        <v>-9.2763638249739565E-3</v>
      </c>
      <c r="J13" s="9"/>
      <c r="K13" s="7">
        <v>114</v>
      </c>
      <c r="L13" s="8">
        <f>IFERROR(K13/K444, "NA")</f>
        <v>1.4823828550199658E-3</v>
      </c>
      <c r="M13" s="9"/>
      <c r="N13" s="10">
        <f t="shared" si="1"/>
        <v>-67.5</v>
      </c>
      <c r="O13" s="8">
        <f>IFERROR(N13/N444, "NA")</f>
        <v>6.9208764392858835E-2</v>
      </c>
      <c r="P13" s="9"/>
      <c r="Q13" s="7">
        <v>94.5</v>
      </c>
      <c r="R13" s="8">
        <f>IFERROR(Q13/Q444, "NA")</f>
        <v>6.3603212870867309E-4</v>
      </c>
      <c r="S13" s="9"/>
      <c r="T13" s="7">
        <v>0</v>
      </c>
      <c r="U13" s="8">
        <f>IFERROR(T13/T444, "NA")</f>
        <v>0</v>
      </c>
      <c r="V13" s="9"/>
      <c r="W13" s="10">
        <f t="shared" si="2"/>
        <v>94.5</v>
      </c>
      <c r="X13" s="8">
        <f>IFERROR(W13/W444, "NA")</f>
        <v>-1.1786422540129946E-2</v>
      </c>
      <c r="Y13" s="9"/>
      <c r="Z13" s="7">
        <v>222</v>
      </c>
      <c r="AA13" s="8">
        <f>IFERROR(Z13/Z444, "NA")</f>
        <v>1.4817465840902199E-3</v>
      </c>
      <c r="AB13" s="9"/>
      <c r="AC13" s="10">
        <f t="shared" si="3"/>
        <v>-127.5</v>
      </c>
      <c r="AD13" s="8">
        <f>IFERROR(AC13/AC444, "NA")</f>
        <v>0.10234469693929087</v>
      </c>
    </row>
    <row r="14" spans="1:30" ht="16.5" customHeight="1" x14ac:dyDescent="0.45">
      <c r="A14" s="12" t="s">
        <v>16</v>
      </c>
      <c r="B14" s="7">
        <v>0</v>
      </c>
      <c r="C14" s="8">
        <f>IFERROR(B14/B444, "NA")</f>
        <v>0</v>
      </c>
      <c r="D14" s="9"/>
      <c r="E14" s="7">
        <v>0</v>
      </c>
      <c r="F14" s="8">
        <f>IFERROR(E14/E444, "NA")</f>
        <v>0</v>
      </c>
      <c r="G14" s="9"/>
      <c r="H14" s="10">
        <f t="shared" si="0"/>
        <v>0</v>
      </c>
      <c r="I14" s="8">
        <f>IFERROR(H14/H444, "NA")</f>
        <v>0</v>
      </c>
      <c r="J14" s="9"/>
      <c r="K14" s="7">
        <v>235</v>
      </c>
      <c r="L14" s="8">
        <f>IFERROR(K14/K444, "NA")</f>
        <v>3.0557892186815088E-3</v>
      </c>
      <c r="M14" s="9"/>
      <c r="N14" s="10">
        <f t="shared" si="1"/>
        <v>-235</v>
      </c>
      <c r="O14" s="8">
        <f>IFERROR(N14/N444, "NA")</f>
        <v>0.24094903158995298</v>
      </c>
      <c r="P14" s="9"/>
      <c r="Q14" s="7">
        <v>0</v>
      </c>
      <c r="R14" s="8">
        <f>IFERROR(Q14/Q444, "NA")</f>
        <v>0</v>
      </c>
      <c r="S14" s="9"/>
      <c r="T14" s="7">
        <v>0</v>
      </c>
      <c r="U14" s="8">
        <f>IFERROR(T14/T444, "NA")</f>
        <v>0</v>
      </c>
      <c r="V14" s="9"/>
      <c r="W14" s="10">
        <f t="shared" si="2"/>
        <v>0</v>
      </c>
      <c r="X14" s="8">
        <f>IFERROR(W14/W444, "NA")</f>
        <v>0</v>
      </c>
      <c r="Y14" s="9"/>
      <c r="Z14" s="7">
        <v>520</v>
      </c>
      <c r="AA14" s="8">
        <f>IFERROR(Z14/Z444, "NA")</f>
        <v>3.4707577645356502E-3</v>
      </c>
      <c r="AB14" s="9"/>
      <c r="AC14" s="10">
        <f t="shared" si="3"/>
        <v>-520</v>
      </c>
      <c r="AD14" s="8">
        <f>IFERROR(AC14/AC444, "NA")</f>
        <v>0.41740582281122551</v>
      </c>
    </row>
    <row r="15" spans="1:30" ht="16.5" customHeight="1" x14ac:dyDescent="0.45">
      <c r="A15" s="12" t="s">
        <v>17</v>
      </c>
      <c r="B15" s="7">
        <v>24</v>
      </c>
      <c r="C15" s="8">
        <f>IFERROR(B15/B444, "NA")</f>
        <v>3.1608934265270078E-4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24</v>
      </c>
      <c r="I15" s="8">
        <f>IFERROR(H15/H444, "NA")</f>
        <v>-4.7878006838575262E-3</v>
      </c>
      <c r="J15" s="9"/>
      <c r="K15" s="7">
        <v>21</v>
      </c>
      <c r="L15" s="8">
        <f>IFERROR(K15/K444, "NA")</f>
        <v>2.7307052592473056E-4</v>
      </c>
      <c r="M15" s="9"/>
      <c r="N15" s="10">
        <f t="shared" si="1"/>
        <v>3</v>
      </c>
      <c r="O15" s="8">
        <f>IFERROR(N15/N444, "NA")</f>
        <v>-3.0759450841270596E-3</v>
      </c>
      <c r="P15" s="9"/>
      <c r="Q15" s="7">
        <v>32</v>
      </c>
      <c r="R15" s="8">
        <f>IFERROR(Q15/Q444, "NA")</f>
        <v>2.1537595892780464E-4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32</v>
      </c>
      <c r="X15" s="8">
        <f>IFERROR(W15/W444, "NA")</f>
        <v>-3.9911695373985E-3</v>
      </c>
      <c r="Y15" s="9"/>
      <c r="Z15" s="7">
        <v>42</v>
      </c>
      <c r="AA15" s="8">
        <f>IFERROR(Z15/Z444, "NA")</f>
        <v>2.8033043482787945E-4</v>
      </c>
      <c r="AB15" s="9"/>
      <c r="AC15" s="10">
        <f t="shared" si="3"/>
        <v>-10</v>
      </c>
      <c r="AD15" s="8">
        <f>IFERROR(AC15/AC444, "NA")</f>
        <v>8.0270350540620292E-3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35205.440000000002</v>
      </c>
      <c r="C18" s="15">
        <f>IFERROR(B18/B444, "NA")</f>
        <v>0.46366934947496252</v>
      </c>
      <c r="D18" s="2"/>
      <c r="E18" s="14">
        <f>IFERROR(E10+E11+E12+E13+E14+E15+E16+E17, "NA")</f>
        <v>44679.23</v>
      </c>
      <c r="F18" s="15">
        <f>IFERROR(E18/E444, "NA")</f>
        <v>0.55199995947647562</v>
      </c>
      <c r="G18" s="2"/>
      <c r="H18" s="14">
        <f t="shared" si="0"/>
        <v>-9473.7900000000009</v>
      </c>
      <c r="I18" s="15">
        <f>IFERROR(H18/H444, "NA")</f>
        <v>1.8899424266967748</v>
      </c>
      <c r="J18" s="2"/>
      <c r="K18" s="14">
        <f>IFERROR(K10+K11+K12+K13+K14+K15+K16+K17, "NA")</f>
        <v>43489.7</v>
      </c>
      <c r="L18" s="15">
        <f>IFERROR(K18/K444, "NA")</f>
        <v>0.56551215482422634</v>
      </c>
      <c r="M18" s="2"/>
      <c r="N18" s="14">
        <f t="shared" si="1"/>
        <v>-8284.2599999999948</v>
      </c>
      <c r="O18" s="15">
        <f>IFERROR(N18/N444, "NA")</f>
        <v>8.493976274210139</v>
      </c>
      <c r="P18" s="2"/>
      <c r="Q18" s="14">
        <f>IFERROR(Q10+Q11+Q12+Q13+Q14+Q15+Q16+Q17, "NA")</f>
        <v>76600.5</v>
      </c>
      <c r="R18" s="15">
        <f>IFERROR(Q18/Q444, "NA")</f>
        <v>0.51555956693279059</v>
      </c>
      <c r="S18" s="2"/>
      <c r="T18" s="14">
        <f>IFERROR(T10+T11+T12+T13+T14+T15+T16+T17, "NA")</f>
        <v>86440.5</v>
      </c>
      <c r="U18" s="15">
        <f>IFERROR(T18/T444, "NA")</f>
        <v>0.55200003065230008</v>
      </c>
      <c r="V18" s="2"/>
      <c r="W18" s="14">
        <f t="shared" si="2"/>
        <v>-9840</v>
      </c>
      <c r="X18" s="15">
        <f>IFERROR(W18/W444, "NA")</f>
        <v>1.2272846327500389</v>
      </c>
      <c r="Y18" s="2"/>
      <c r="Z18" s="14">
        <f>IFERROR(Z10+Z11+Z12+Z13+Z14+Z15+Z16+Z17, "NA")</f>
        <v>81756.75</v>
      </c>
      <c r="AA18" s="15">
        <f>IFERROR(Z18/Z444, "NA")</f>
        <v>0.545688220895577</v>
      </c>
      <c r="AB18" s="2"/>
      <c r="AC18" s="14">
        <f t="shared" si="3"/>
        <v>-5156.25</v>
      </c>
      <c r="AD18" s="15">
        <f>IFERROR(AC18/AC444, "NA")</f>
        <v>4.1389399497507338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7446.54</v>
      </c>
      <c r="F21" s="8">
        <f>IFERROR(E21/E444, "NA")</f>
        <v>9.2000013837301012E-2</v>
      </c>
      <c r="G21" s="9"/>
      <c r="H21" s="10">
        <f t="shared" ref="H21:H29" si="4">IFERROR(B21-E21, "NA")</f>
        <v>-7446.54</v>
      </c>
      <c r="I21" s="8">
        <f>IFERROR(H21/H444, "NA")</f>
        <v>1.4855228876821842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14406.75</v>
      </c>
      <c r="U21" s="8">
        <f>IFERROR(T21/T444, "NA")</f>
        <v>9.2000005108716684E-2</v>
      </c>
      <c r="V21" s="9"/>
      <c r="W21" s="10">
        <f t="shared" ref="W21:W29" si="6">IFERROR(Q21-T21, "NA")</f>
        <v>-14406.75</v>
      </c>
      <c r="X21" s="8">
        <f>IFERROR(W21/W444, "NA")</f>
        <v>1.7968681791536201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14.85</v>
      </c>
      <c r="C22" s="8">
        <f>IFERROR(B22/B444, "NA")</f>
        <v>1.9558028076635862E-4</v>
      </c>
      <c r="D22" s="9"/>
      <c r="E22" s="7">
        <v>0</v>
      </c>
      <c r="F22" s="8">
        <f>IFERROR(E22/E444, "NA")</f>
        <v>0</v>
      </c>
      <c r="G22" s="9"/>
      <c r="H22" s="10">
        <f t="shared" si="4"/>
        <v>14.85</v>
      </c>
      <c r="I22" s="8">
        <f>IFERROR(H22/H444, "NA")</f>
        <v>-2.9624516731368441E-3</v>
      </c>
      <c r="J22" s="9"/>
      <c r="K22" s="7">
        <v>6866.1</v>
      </c>
      <c r="L22" s="8">
        <f>IFERROR(K22/K444, "NA")</f>
        <v>8.9282358954847263E-2</v>
      </c>
      <c r="M22" s="9"/>
      <c r="N22" s="10">
        <f t="shared" si="5"/>
        <v>-6851.25</v>
      </c>
      <c r="O22" s="8">
        <f>IFERROR(N22/N444, "NA")</f>
        <v>7.0246895858751719</v>
      </c>
      <c r="P22" s="9"/>
      <c r="Q22" s="7">
        <v>2793.44</v>
      </c>
      <c r="R22" s="8">
        <f>IFERROR(Q22/Q444, "NA")</f>
        <v>1.8801244334602705E-2</v>
      </c>
      <c r="S22" s="9"/>
      <c r="T22" s="7">
        <v>0</v>
      </c>
      <c r="U22" s="8">
        <f>IFERROR(T22/T444, "NA")</f>
        <v>0</v>
      </c>
      <c r="V22" s="9"/>
      <c r="W22" s="10">
        <f t="shared" si="6"/>
        <v>2793.44</v>
      </c>
      <c r="X22" s="8">
        <f>IFERROR(W22/W444, "NA")</f>
        <v>-0.34840914476720208</v>
      </c>
      <c r="Y22" s="9"/>
      <c r="Z22" s="7">
        <v>12142.15</v>
      </c>
      <c r="AA22" s="8">
        <f>IFERROR(Z22/Z444, "NA")</f>
        <v>8.1043194982031816E-2</v>
      </c>
      <c r="AB22" s="9"/>
      <c r="AC22" s="10">
        <f t="shared" si="7"/>
        <v>-9348.7099999999991</v>
      </c>
      <c r="AD22" s="8">
        <f>IFERROR(AC22/AC444, "NA")</f>
        <v>7.5042422880260222</v>
      </c>
    </row>
    <row r="23" spans="1:30" ht="16.5" customHeight="1" x14ac:dyDescent="0.45">
      <c r="A23" s="12" t="s">
        <v>24</v>
      </c>
      <c r="B23" s="7">
        <v>3992.94</v>
      </c>
      <c r="C23" s="8">
        <f>IFERROR(B23/B444, "NA")</f>
        <v>5.2588574160486463E-2</v>
      </c>
      <c r="D23" s="9"/>
      <c r="E23" s="7">
        <v>0</v>
      </c>
      <c r="F23" s="8">
        <f>IFERROR(E23/E444, "NA")</f>
        <v>0</v>
      </c>
      <c r="G23" s="9"/>
      <c r="H23" s="10">
        <f t="shared" si="4"/>
        <v>3992.94</v>
      </c>
      <c r="I23" s="8">
        <f>IFERROR(H23/H444, "NA")</f>
        <v>-0.79655836927508628</v>
      </c>
      <c r="J23" s="9"/>
      <c r="K23" s="7">
        <v>0</v>
      </c>
      <c r="L23" s="8">
        <f>IFERROR(K23/K444, "NA")</f>
        <v>0</v>
      </c>
      <c r="M23" s="9"/>
      <c r="N23" s="10">
        <f t="shared" si="5"/>
        <v>3992.94</v>
      </c>
      <c r="O23" s="8">
        <f>IFERROR(N23/N444, "NA")</f>
        <v>-4.0940213880714333</v>
      </c>
      <c r="P23" s="9"/>
      <c r="Q23" s="7">
        <v>6769.34</v>
      </c>
      <c r="R23" s="8">
        <f>IFERROR(Q23/Q444, "NA")</f>
        <v>4.5561034181510786E-2</v>
      </c>
      <c r="S23" s="9"/>
      <c r="T23" s="7">
        <v>0</v>
      </c>
      <c r="U23" s="8">
        <f>IFERROR(T23/T444, "NA")</f>
        <v>0</v>
      </c>
      <c r="V23" s="9"/>
      <c r="W23" s="10">
        <f t="shared" si="6"/>
        <v>6769.34</v>
      </c>
      <c r="X23" s="8">
        <f>IFERROR(W23/W444, "NA")</f>
        <v>-0.84429948738416138</v>
      </c>
      <c r="Y23" s="9"/>
      <c r="Z23" s="7">
        <v>0</v>
      </c>
      <c r="AA23" s="8">
        <f>IFERROR(Z23/Z444, "NA")</f>
        <v>0</v>
      </c>
      <c r="AB23" s="9"/>
      <c r="AC23" s="10">
        <f t="shared" si="7"/>
        <v>6769.34</v>
      </c>
      <c r="AD23" s="8">
        <f>IFERROR(AC23/AC444, "NA")</f>
        <v>-5.4337729472864256</v>
      </c>
    </row>
    <row r="24" spans="1:30" ht="16.5" customHeight="1" x14ac:dyDescent="0.45">
      <c r="A24" s="12" t="s">
        <v>25</v>
      </c>
      <c r="B24" s="7">
        <v>448.75</v>
      </c>
      <c r="C24" s="8">
        <f>IFERROR(B24/B444, "NA")</f>
        <v>5.9102121881416452E-3</v>
      </c>
      <c r="D24" s="9"/>
      <c r="E24" s="7">
        <v>0</v>
      </c>
      <c r="F24" s="8">
        <f>IFERROR(E24/E444, "NA")</f>
        <v>0</v>
      </c>
      <c r="G24" s="9"/>
      <c r="H24" s="10">
        <f t="shared" si="4"/>
        <v>448.75</v>
      </c>
      <c r="I24" s="8">
        <f>IFERROR(H24/H444, "NA")</f>
        <v>-8.9521898203377706E-2</v>
      </c>
      <c r="J24" s="9"/>
      <c r="K24" s="7">
        <v>1307.31</v>
      </c>
      <c r="L24" s="8">
        <f>IFERROR(K24/K444, "NA")</f>
        <v>1.6999420440317117E-2</v>
      </c>
      <c r="M24" s="9"/>
      <c r="N24" s="10">
        <f t="shared" si="5"/>
        <v>-858.56</v>
      </c>
      <c r="O24" s="8">
        <f>IFERROR(N24/N444, "NA")</f>
        <v>0.8802944704760427</v>
      </c>
      <c r="P24" s="9"/>
      <c r="Q24" s="7">
        <v>1111.73</v>
      </c>
      <c r="R24" s="8">
        <f>IFERROR(Q24/Q444, "NA")</f>
        <v>7.4824973380877577E-3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1111.73</v>
      </c>
      <c r="X24" s="8">
        <f>IFERROR(W24/W444, "NA")</f>
        <v>-0.13865946593162609</v>
      </c>
      <c r="Y24" s="9"/>
      <c r="Z24" s="7">
        <v>1952.95</v>
      </c>
      <c r="AA24" s="8">
        <f>IFERROR(Z24/Z444, "NA")</f>
        <v>1.3035031492788266E-2</v>
      </c>
      <c r="AB24" s="9"/>
      <c r="AC24" s="10">
        <f t="shared" si="7"/>
        <v>-841.22</v>
      </c>
      <c r="AD24" s="8">
        <f>IFERROR(AC24/AC444, "NA")</f>
        <v>0.67525024281780599</v>
      </c>
    </row>
    <row r="25" spans="1:30" ht="16.5" customHeight="1" x14ac:dyDescent="0.45">
      <c r="A25" s="12" t="s">
        <v>26</v>
      </c>
      <c r="B25" s="7">
        <v>82.5</v>
      </c>
      <c r="C25" s="8">
        <f>IFERROR(B25/B444, "NA")</f>
        <v>1.086557115368659E-3</v>
      </c>
      <c r="D25" s="9"/>
      <c r="E25" s="7">
        <v>0</v>
      </c>
      <c r="F25" s="8">
        <f>IFERROR(E25/E444, "NA")</f>
        <v>0</v>
      </c>
      <c r="G25" s="9"/>
      <c r="H25" s="10">
        <f t="shared" si="4"/>
        <v>82.5</v>
      </c>
      <c r="I25" s="8">
        <f>IFERROR(H25/H444, "NA")</f>
        <v>-1.6458064850760245E-2</v>
      </c>
      <c r="J25" s="9"/>
      <c r="K25" s="7">
        <v>0</v>
      </c>
      <c r="L25" s="8">
        <f>IFERROR(K25/K444, "NA")</f>
        <v>0</v>
      </c>
      <c r="M25" s="9"/>
      <c r="N25" s="10">
        <f t="shared" si="5"/>
        <v>82.5</v>
      </c>
      <c r="O25" s="8">
        <f>IFERROR(N25/N444, "NA")</f>
        <v>-8.4588489813494136E-2</v>
      </c>
      <c r="P25" s="9"/>
      <c r="Q25" s="7">
        <v>158.31</v>
      </c>
      <c r="R25" s="8">
        <f>IFERROR(Q25/Q444, "NA")</f>
        <v>1.0655052518081486E-3</v>
      </c>
      <c r="S25" s="9"/>
      <c r="T25" s="7">
        <v>0</v>
      </c>
      <c r="U25" s="8">
        <f>IFERROR(T25/T444, "NA")</f>
        <v>0</v>
      </c>
      <c r="V25" s="9"/>
      <c r="W25" s="10">
        <f t="shared" si="6"/>
        <v>158.31</v>
      </c>
      <c r="X25" s="8">
        <f>IFERROR(W25/W444, "NA")</f>
        <v>-1.9745064045798642E-2</v>
      </c>
      <c r="Y25" s="9"/>
      <c r="Z25" s="7">
        <v>0</v>
      </c>
      <c r="AA25" s="8">
        <f>IFERROR(Z25/Z444, "NA")</f>
        <v>0</v>
      </c>
      <c r="AB25" s="9"/>
      <c r="AC25" s="10">
        <f t="shared" si="7"/>
        <v>158.31</v>
      </c>
      <c r="AD25" s="8">
        <f>IFERROR(AC25/AC444, "NA")</f>
        <v>-0.12707599194085598</v>
      </c>
    </row>
    <row r="26" spans="1:30" ht="16.5" customHeight="1" x14ac:dyDescent="0.45">
      <c r="A26" s="12" t="s">
        <v>27</v>
      </c>
      <c r="B26" s="7">
        <v>439.59</v>
      </c>
      <c r="C26" s="8">
        <f>IFERROR(B26/B444, "NA")</f>
        <v>5.7895714223625307E-3</v>
      </c>
      <c r="D26" s="9"/>
      <c r="E26" s="7">
        <v>0</v>
      </c>
      <c r="F26" s="8">
        <f>IFERROR(E26/E444, "NA")</f>
        <v>0</v>
      </c>
      <c r="G26" s="9"/>
      <c r="H26" s="10">
        <f t="shared" si="4"/>
        <v>439.59</v>
      </c>
      <c r="I26" s="8">
        <f>IFERROR(H26/H444, "NA")</f>
        <v>-8.7694554275705411E-2</v>
      </c>
      <c r="J26" s="9"/>
      <c r="K26" s="7">
        <v>0</v>
      </c>
      <c r="L26" s="8">
        <f>IFERROR(K26/K444, "NA")</f>
        <v>0</v>
      </c>
      <c r="M26" s="9"/>
      <c r="N26" s="10">
        <f t="shared" si="5"/>
        <v>439.59</v>
      </c>
      <c r="O26" s="8">
        <f>IFERROR(N26/N444, "NA")</f>
        <v>-0.45071823317713799</v>
      </c>
      <c r="P26" s="9"/>
      <c r="Q26" s="7">
        <v>791.82</v>
      </c>
      <c r="R26" s="8">
        <f>IFERROR(Q26/Q444, "NA")</f>
        <v>5.329343493694196E-3</v>
      </c>
      <c r="S26" s="9"/>
      <c r="T26" s="7">
        <v>0</v>
      </c>
      <c r="U26" s="8">
        <f>IFERROR(T26/T444, "NA")</f>
        <v>0</v>
      </c>
      <c r="V26" s="9"/>
      <c r="W26" s="10">
        <f t="shared" si="6"/>
        <v>791.82</v>
      </c>
      <c r="X26" s="8">
        <f>IFERROR(W26/W444, "NA")</f>
        <v>-9.8758995721965018E-2</v>
      </c>
      <c r="Y26" s="9"/>
      <c r="Z26" s="7">
        <v>0</v>
      </c>
      <c r="AA26" s="8">
        <f>IFERROR(Z26/Z444, "NA")</f>
        <v>0</v>
      </c>
      <c r="AB26" s="9"/>
      <c r="AC26" s="10">
        <f t="shared" si="7"/>
        <v>791.82</v>
      </c>
      <c r="AD26" s="8">
        <f>IFERROR(AC26/AC444, "NA")</f>
        <v>-0.63559668965073957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652.91</v>
      </c>
      <c r="C28" s="8">
        <f>IFERROR(B28/B444, "NA")</f>
        <v>8.5990788629739523E-3</v>
      </c>
      <c r="D28" s="9"/>
      <c r="E28" s="7">
        <v>0</v>
      </c>
      <c r="F28" s="8">
        <f>IFERROR(E28/E444, "NA")</f>
        <v>0</v>
      </c>
      <c r="G28" s="9"/>
      <c r="H28" s="10">
        <f t="shared" si="4"/>
        <v>652.91</v>
      </c>
      <c r="I28" s="8">
        <f>IFERROR(H28/H444, "NA")</f>
        <v>-0.13025012268739239</v>
      </c>
      <c r="J28" s="9"/>
      <c r="K28" s="7">
        <v>802.66</v>
      </c>
      <c r="L28" s="8">
        <f>IFERROR(K28/K444, "NA")</f>
        <v>1.0437275635178296E-2</v>
      </c>
      <c r="M28" s="9"/>
      <c r="N28" s="10">
        <f t="shared" si="5"/>
        <v>-149.75</v>
      </c>
      <c r="O28" s="8">
        <f>IFERROR(N28/N444, "NA")</f>
        <v>0.15354092544934239</v>
      </c>
      <c r="P28" s="9"/>
      <c r="Q28" s="7">
        <v>1491.51</v>
      </c>
      <c r="R28" s="8">
        <f>IFERROR(Q28/Q444, "NA")</f>
        <v>1.0038606140637809E-2</v>
      </c>
      <c r="S28" s="9"/>
      <c r="T28" s="7">
        <v>0</v>
      </c>
      <c r="U28" s="8">
        <f>IFERROR(T28/T444, "NA")</f>
        <v>0</v>
      </c>
      <c r="V28" s="9"/>
      <c r="W28" s="10">
        <f t="shared" si="6"/>
        <v>1491.51</v>
      </c>
      <c r="X28" s="8">
        <f>IFERROR(W28/W444, "NA")</f>
        <v>-0.18602716489766366</v>
      </c>
      <c r="Y28" s="9"/>
      <c r="Z28" s="7">
        <v>1683.19</v>
      </c>
      <c r="AA28" s="8">
        <f>IFERROR(Z28/Z444, "NA")</f>
        <v>1.1234509157093772E-2</v>
      </c>
      <c r="AB28" s="9"/>
      <c r="AC28" s="10">
        <f t="shared" si="7"/>
        <v>-191.68000000000006</v>
      </c>
      <c r="AD28" s="8">
        <f>IFERROR(AC28/AC444, "NA")</f>
        <v>0.15386220791626101</v>
      </c>
    </row>
    <row r="29" spans="1:30" ht="16.5" customHeight="1" x14ac:dyDescent="0.45">
      <c r="A29" s="13" t="s">
        <v>30</v>
      </c>
      <c r="B29" s="14">
        <f>IFERROR(B21+B22+B23+B24+B25+B26+B27+B28, "NA")</f>
        <v>5631.54</v>
      </c>
      <c r="C29" s="15">
        <f>IFERROR(B29/B444, "NA")</f>
        <v>7.4169574030099619E-2</v>
      </c>
      <c r="D29" s="2"/>
      <c r="E29" s="14">
        <f>IFERROR(E21+E22+E23+E24+E25+E26+E27+E28, "NA")</f>
        <v>7446.54</v>
      </c>
      <c r="F29" s="15">
        <f>IFERROR(E29/E444, "NA")</f>
        <v>9.2000013837301012E-2</v>
      </c>
      <c r="G29" s="2"/>
      <c r="H29" s="14">
        <f t="shared" si="4"/>
        <v>-1815</v>
      </c>
      <c r="I29" s="15">
        <f>IFERROR(H29/H444, "NA")</f>
        <v>0.36207742671672538</v>
      </c>
      <c r="J29" s="2"/>
      <c r="K29" s="14">
        <f>IFERROR(K21+K22+K23+K24+K25+K26+K27+K28, "NA")</f>
        <v>8976.07</v>
      </c>
      <c r="L29" s="15">
        <f>IFERROR(K29/K444, "NA")</f>
        <v>0.11671905503034267</v>
      </c>
      <c r="M29" s="2"/>
      <c r="N29" s="14">
        <f t="shared" si="5"/>
        <v>-3344.5299999999997</v>
      </c>
      <c r="O29" s="15">
        <f>IFERROR(N29/N444, "NA")</f>
        <v>3.4291968707384912</v>
      </c>
      <c r="P29" s="2"/>
      <c r="Q29" s="14">
        <f>IFERROR(Q21+Q22+Q23+Q24+Q25+Q26+Q27+Q28, "NA")</f>
        <v>13116.15</v>
      </c>
      <c r="R29" s="15">
        <f>IFERROR(Q29/Q444, "NA")</f>
        <v>8.8278230740341398E-2</v>
      </c>
      <c r="S29" s="2"/>
      <c r="T29" s="14">
        <f>IFERROR(T21+T22+T23+T24+T25+T26+T27+T28, "NA")</f>
        <v>14406.75</v>
      </c>
      <c r="U29" s="15">
        <f>IFERROR(T29/T444, "NA")</f>
        <v>9.2000005108716684E-2</v>
      </c>
      <c r="V29" s="2"/>
      <c r="W29" s="14">
        <f t="shared" si="6"/>
        <v>-1290.6000000000004</v>
      </c>
      <c r="X29" s="15">
        <f>IFERROR(W29/W444, "NA")</f>
        <v>0.16096885640520331</v>
      </c>
      <c r="Y29" s="2"/>
      <c r="Z29" s="14">
        <f>IFERROR(Z21+Z22+Z23+Z24+Z25+Z26+Z27+Z28, "NA")</f>
        <v>15778.29</v>
      </c>
      <c r="AA29" s="15">
        <f>IFERROR(Z29/Z444, "NA")</f>
        <v>0.10531273563191386</v>
      </c>
      <c r="AB29" s="2"/>
      <c r="AC29" s="14">
        <f t="shared" si="7"/>
        <v>-2662.1400000000012</v>
      </c>
      <c r="AD29" s="15">
        <f>IFERROR(AC29/AC444, "NA")</f>
        <v>2.1369091098820698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14002.73</v>
      </c>
      <c r="F31" s="8">
        <f>IFERROR(E31/E444, "NA")</f>
        <v>0.17299999110459219</v>
      </c>
      <c r="G31" s="9"/>
      <c r="H31" s="10">
        <f t="shared" ref="H31:H40" si="8">IFERROR(B31-E31, "NA")</f>
        <v>-14002.73</v>
      </c>
      <c r="I31" s="8">
        <f>IFERROR(H31/H444, "NA")</f>
        <v>2.7934283445780124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27090.95</v>
      </c>
      <c r="U31" s="8">
        <f>IFERROR(T31/T444, "NA")</f>
        <v>0.17299998531243954</v>
      </c>
      <c r="V31" s="9"/>
      <c r="W31" s="10">
        <f t="shared" ref="W31:W40" si="10">IFERROR(Q31-T31, "NA")</f>
        <v>-27090.95</v>
      </c>
      <c r="X31" s="8">
        <f>IFERROR(W31/W444, "NA")</f>
        <v>3.3788929493495594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10374.35</v>
      </c>
      <c r="C33" s="8">
        <f>IFERROR(B33/B444, "NA")</f>
        <v>0.13663422799787694</v>
      </c>
      <c r="D33" s="9"/>
      <c r="E33" s="7">
        <v>0</v>
      </c>
      <c r="F33" s="8">
        <f>IFERROR(E33/E444, "NA")</f>
        <v>0</v>
      </c>
      <c r="G33" s="9"/>
      <c r="H33" s="10">
        <f t="shared" si="8"/>
        <v>10374.35</v>
      </c>
      <c r="I33" s="8">
        <f>IFERROR(H33/H444, "NA")</f>
        <v>-2.069596667690722</v>
      </c>
      <c r="J33" s="9"/>
      <c r="K33" s="7">
        <v>8276.0300000000007</v>
      </c>
      <c r="L33" s="8">
        <f>IFERROR(K33/K444, "NA")</f>
        <v>0.1076161840318499</v>
      </c>
      <c r="M33" s="9"/>
      <c r="N33" s="10">
        <f t="shared" si="9"/>
        <v>2098.3199999999997</v>
      </c>
      <c r="O33" s="8">
        <f>IFERROR(N33/N444, "NA")</f>
        <v>-2.1514390296418302</v>
      </c>
      <c r="P33" s="9"/>
      <c r="Q33" s="7">
        <v>18913.55</v>
      </c>
      <c r="R33" s="8">
        <f>IFERROR(Q33/Q444, "NA")</f>
        <v>0.12729762399934311</v>
      </c>
      <c r="S33" s="9"/>
      <c r="T33" s="7">
        <v>0</v>
      </c>
      <c r="U33" s="8">
        <f>IFERROR(T33/T444, "NA")</f>
        <v>0</v>
      </c>
      <c r="V33" s="9"/>
      <c r="W33" s="10">
        <f t="shared" si="10"/>
        <v>18913.55</v>
      </c>
      <c r="X33" s="8">
        <f>IFERROR(W33/W444, "NA")</f>
        <v>-2.3589745188769813</v>
      </c>
      <c r="Y33" s="9"/>
      <c r="Z33" s="7">
        <v>16445.95</v>
      </c>
      <c r="AA33" s="8">
        <f>IFERROR(Z33/Z444, "NA")</f>
        <v>0.10976905511089438</v>
      </c>
      <c r="AB33" s="9"/>
      <c r="AC33" s="10">
        <f t="shared" si="11"/>
        <v>2467.5999999999985</v>
      </c>
      <c r="AD33" s="8">
        <f>IFERROR(AC33/AC444, "NA")</f>
        <v>-1.9807511699403451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702.71</v>
      </c>
      <c r="C35" s="8">
        <f>IFERROR(B35/B444, "NA")</f>
        <v>9.2549642489783077E-3</v>
      </c>
      <c r="D35" s="9"/>
      <c r="E35" s="7">
        <v>0</v>
      </c>
      <c r="F35" s="8">
        <f>IFERROR(E35/E444, "NA")</f>
        <v>0</v>
      </c>
      <c r="G35" s="9"/>
      <c r="H35" s="10">
        <f t="shared" si="8"/>
        <v>702.71</v>
      </c>
      <c r="I35" s="8">
        <f>IFERROR(H35/H444, "NA")</f>
        <v>-0.14018480910639677</v>
      </c>
      <c r="J35" s="9"/>
      <c r="K35" s="7">
        <v>691.83</v>
      </c>
      <c r="L35" s="8">
        <f>IFERROR(K35/K444, "NA")</f>
        <v>8.996113426214588E-3</v>
      </c>
      <c r="M35" s="9"/>
      <c r="N35" s="10">
        <f t="shared" si="9"/>
        <v>10.879999999999995</v>
      </c>
      <c r="O35" s="8">
        <f>IFERROR(N35/N444, "NA")</f>
        <v>-1.1155427505100797E-2</v>
      </c>
      <c r="P35" s="9"/>
      <c r="Q35" s="7">
        <v>1330.35</v>
      </c>
      <c r="R35" s="8">
        <f>IFERROR(Q35/Q444, "NA")</f>
        <v>8.9539189674876524E-3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1330.35</v>
      </c>
      <c r="X35" s="8">
        <f>IFERROR(W35/W444, "NA")</f>
        <v>-0.16592663731494045</v>
      </c>
      <c r="Y35" s="9"/>
      <c r="Z35" s="7">
        <v>1659.68</v>
      </c>
      <c r="AA35" s="8">
        <f>IFERROR(Z35/Z444, "NA")</f>
        <v>1.1077590858931785E-2</v>
      </c>
      <c r="AB35" s="9"/>
      <c r="AC35" s="10">
        <f t="shared" si="11"/>
        <v>-329.33000000000015</v>
      </c>
      <c r="AD35" s="8">
        <f>IFERROR(AC35/AC444, "NA")</f>
        <v>0.26435434543542491</v>
      </c>
    </row>
    <row r="36" spans="1:30" ht="16.5" customHeight="1" x14ac:dyDescent="0.45">
      <c r="A36" s="12" t="s">
        <v>36</v>
      </c>
      <c r="B36" s="7">
        <v>3978.02</v>
      </c>
      <c r="C36" s="8">
        <f>IFERROR(B36/B444, "NA")</f>
        <v>5.2392071952470705E-2</v>
      </c>
      <c r="D36" s="9"/>
      <c r="E36" s="7">
        <v>0</v>
      </c>
      <c r="F36" s="8">
        <f>IFERROR(E36/E444, "NA")</f>
        <v>0</v>
      </c>
      <c r="G36" s="9"/>
      <c r="H36" s="10">
        <f t="shared" si="8"/>
        <v>3978.02</v>
      </c>
      <c r="I36" s="8">
        <f>IFERROR(H36/H444, "NA")</f>
        <v>-0.79358195318328817</v>
      </c>
      <c r="J36" s="9"/>
      <c r="K36" s="7">
        <v>7598.94</v>
      </c>
      <c r="L36" s="8">
        <f>IFERROR(K36/K444, "NA")</f>
        <v>9.8811740108117704E-2</v>
      </c>
      <c r="M36" s="9"/>
      <c r="N36" s="10">
        <f t="shared" si="9"/>
        <v>-3620.9199999999996</v>
      </c>
      <c r="O36" s="8">
        <f>IFERROR(N36/N444, "NA")</f>
        <v>3.712583691339117</v>
      </c>
      <c r="P36" s="9"/>
      <c r="Q36" s="7">
        <v>7891.71</v>
      </c>
      <c r="R36" s="8">
        <f>IFERROR(Q36/Q444, "NA")</f>
        <v>5.3115144025942036E-2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7891.71</v>
      </c>
      <c r="X36" s="8">
        <f>IFERROR(W36/W444, "NA")</f>
        <v>-0.9842860171869724</v>
      </c>
      <c r="Y36" s="9"/>
      <c r="Z36" s="7">
        <v>13911.5</v>
      </c>
      <c r="AA36" s="8">
        <f>IFERROR(Z36/Z444, "NA")</f>
        <v>9.2852782002572493E-2</v>
      </c>
      <c r="AB36" s="9"/>
      <c r="AC36" s="10">
        <f t="shared" si="11"/>
        <v>-6019.79</v>
      </c>
      <c r="AD36" s="8">
        <f>IFERROR(AC36/AC444, "NA")</f>
        <v>4.8321065348092063</v>
      </c>
    </row>
    <row r="37" spans="1:30" ht="16.5" customHeight="1" x14ac:dyDescent="0.45">
      <c r="A37" s="12" t="s">
        <v>37</v>
      </c>
      <c r="B37" s="7">
        <v>497.75</v>
      </c>
      <c r="C37" s="8">
        <f>IFERROR(B37/B444, "NA")</f>
        <v>6.5555612627242431E-3</v>
      </c>
      <c r="D37" s="9"/>
      <c r="E37" s="7">
        <v>0</v>
      </c>
      <c r="F37" s="8">
        <f>IFERROR(E37/E444, "NA")</f>
        <v>0</v>
      </c>
      <c r="G37" s="9"/>
      <c r="H37" s="10">
        <f t="shared" si="8"/>
        <v>497.75</v>
      </c>
      <c r="I37" s="8">
        <f>IFERROR(H37/H444, "NA")</f>
        <v>-9.9296991266253479E-2</v>
      </c>
      <c r="J37" s="9"/>
      <c r="K37" s="7">
        <v>0</v>
      </c>
      <c r="L37" s="8">
        <f>IFERROR(K37/K444, "NA")</f>
        <v>0</v>
      </c>
      <c r="M37" s="9"/>
      <c r="N37" s="10">
        <f t="shared" si="9"/>
        <v>497.75</v>
      </c>
      <c r="O37" s="8">
        <f>IFERROR(N37/N444, "NA")</f>
        <v>-0.51035055520808126</v>
      </c>
      <c r="P37" s="9"/>
      <c r="Q37" s="7">
        <v>1087.4000000000001</v>
      </c>
      <c r="R37" s="8">
        <f>IFERROR(Q37/Q444, "NA")</f>
        <v>7.318744304315462E-3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1087.4000000000001</v>
      </c>
      <c r="X37" s="8">
        <f>IFERROR(W37/W444, "NA")</f>
        <v>-0.13562492984272279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1087.4000000000001</v>
      </c>
      <c r="AD37" s="8">
        <f>IFERROR(AC37/AC444, "NA")</f>
        <v>-0.8728597917787051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648.4</v>
      </c>
      <c r="L39" s="8">
        <f>IFERROR(K39/K444, "NA")</f>
        <v>8.4313775718854907E-3</v>
      </c>
      <c r="M39" s="9"/>
      <c r="N39" s="10">
        <f t="shared" si="9"/>
        <v>-648.4</v>
      </c>
      <c r="O39" s="8">
        <f>IFERROR(N39/N444, "NA")</f>
        <v>0.66481426418266176</v>
      </c>
      <c r="P39" s="9"/>
      <c r="Q39" s="7">
        <v>0</v>
      </c>
      <c r="R39" s="8">
        <f>IFERROR(Q39/Q444, "NA")</f>
        <v>0</v>
      </c>
      <c r="S39" s="9"/>
      <c r="T39" s="7">
        <v>0</v>
      </c>
      <c r="U39" s="8">
        <f>IFERROR(T39/T444, "NA")</f>
        <v>0</v>
      </c>
      <c r="V39" s="9"/>
      <c r="W39" s="10">
        <f t="shared" si="10"/>
        <v>0</v>
      </c>
      <c r="X39" s="8">
        <f>IFERROR(W39/W444, "NA")</f>
        <v>0</v>
      </c>
      <c r="Y39" s="9"/>
      <c r="Z39" s="7">
        <v>1415.15</v>
      </c>
      <c r="AA39" s="8">
        <f>IFERROR(Z39/Z444, "NA")</f>
        <v>9.4454670201588962E-3</v>
      </c>
      <c r="AB39" s="9"/>
      <c r="AC39" s="10">
        <f t="shared" si="11"/>
        <v>-1415.15</v>
      </c>
      <c r="AD39" s="8">
        <f>IFERROR(AC39/AC444, "NA")</f>
        <v>1.1359458656755881</v>
      </c>
    </row>
    <row r="40" spans="1:30" ht="16.5" customHeight="1" x14ac:dyDescent="0.45">
      <c r="A40" s="13" t="s">
        <v>40</v>
      </c>
      <c r="B40" s="14">
        <f>IFERROR(B31+B32+B33+B34+B35+B36+B37+B38+B39, "NA")</f>
        <v>15552.830000000002</v>
      </c>
      <c r="C40" s="15">
        <f>IFERROR(B40/B444, "NA")</f>
        <v>0.20483682546205023</v>
      </c>
      <c r="D40" s="2"/>
      <c r="E40" s="14">
        <f>IFERROR(E31+E32+E33+E34+E35+E36+E37+E38+E39, "NA")</f>
        <v>14002.73</v>
      </c>
      <c r="F40" s="15">
        <f>IFERROR(E40/E444, "NA")</f>
        <v>0.17299999110459219</v>
      </c>
      <c r="G40" s="2"/>
      <c r="H40" s="14">
        <f t="shared" si="8"/>
        <v>1550.1000000000022</v>
      </c>
      <c r="I40" s="15">
        <f>IFERROR(H40/H444, "NA")</f>
        <v>-0.30923207666864838</v>
      </c>
      <c r="J40" s="2"/>
      <c r="K40" s="14">
        <f>IFERROR(K31+K32+K33+K34+K35+K36+K37+K38+K39, "NA")</f>
        <v>17215.2</v>
      </c>
      <c r="L40" s="15">
        <f>IFERROR(K40/K444, "NA")</f>
        <v>0.2238554151380677</v>
      </c>
      <c r="M40" s="2"/>
      <c r="N40" s="14">
        <f t="shared" si="9"/>
        <v>-1662.369999999999</v>
      </c>
      <c r="O40" s="15">
        <f>IFERROR(N40/N444, "NA")</f>
        <v>1.7044529431667657</v>
      </c>
      <c r="P40" s="2"/>
      <c r="Q40" s="14">
        <f>IFERROR(Q31+Q32+Q33+Q34+Q35+Q36+Q37+Q38+Q39, "NA")</f>
        <v>29223.01</v>
      </c>
      <c r="R40" s="15">
        <f>IFERROR(Q40/Q444, "NA")</f>
        <v>0.19668543129708824</v>
      </c>
      <c r="S40" s="2"/>
      <c r="T40" s="14">
        <f>IFERROR(T31+T32+T33+T34+T35+T36+T37+T38+T39, "NA")</f>
        <v>27090.95</v>
      </c>
      <c r="U40" s="15">
        <f>IFERROR(T40/T444, "NA")</f>
        <v>0.17299998531243954</v>
      </c>
      <c r="V40" s="2"/>
      <c r="W40" s="14">
        <f t="shared" si="10"/>
        <v>2132.0599999999977</v>
      </c>
      <c r="X40" s="15">
        <f>IFERROR(W40/W444, "NA")</f>
        <v>-0.26591915387205739</v>
      </c>
      <c r="Y40" s="2"/>
      <c r="Z40" s="14">
        <f>IFERROR(Z31+Z32+Z33+Z34+Z35+Z36+Z37+Z38+Z39, "NA")</f>
        <v>33432.28</v>
      </c>
      <c r="AA40" s="15">
        <f>IFERROR(Z40/Z444, "NA")</f>
        <v>0.22314489499255755</v>
      </c>
      <c r="AB40" s="2"/>
      <c r="AC40" s="14">
        <f t="shared" si="11"/>
        <v>-4209.2700000000004</v>
      </c>
      <c r="AD40" s="15">
        <f>IFERROR(AC40/AC444, "NA")</f>
        <v>3.3787957842011678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15378.72</v>
      </c>
      <c r="F42" s="8">
        <f>IFERROR(E42/E444, "NA")</f>
        <v>0.18999998023242712</v>
      </c>
      <c r="G42" s="9"/>
      <c r="H42" s="10">
        <f>IFERROR(B42-E42, "NA")</f>
        <v>-15378.72</v>
      </c>
      <c r="I42" s="8">
        <f>IFERROR(H42/H444, "NA")</f>
        <v>3.0679269222022252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29753.07</v>
      </c>
      <c r="U42" s="8">
        <f>IFERROR(T42/T444, "NA")</f>
        <v>0.19000000638589584</v>
      </c>
      <c r="V42" s="9"/>
      <c r="W42" s="10">
        <f>IFERROR(Q42-T42, "NA")</f>
        <v>-29753.07</v>
      </c>
      <c r="X42" s="8">
        <f>IFERROR(W42/W444, "NA")</f>
        <v>3.710923332127662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2062.54</v>
      </c>
      <c r="C43" s="8">
        <f>IFERROR(B43/B444, "NA")</f>
        <v>2.7164454699787562E-2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2062.54</v>
      </c>
      <c r="I43" s="8">
        <f>IFERROR(H43/H444, "NA")</f>
        <v>-0.41145960093681255</v>
      </c>
      <c r="J43" s="9"/>
      <c r="K43" s="7">
        <v>2416.96</v>
      </c>
      <c r="L43" s="8">
        <f>IFERROR(K43/K444, "NA")</f>
        <v>3.1428597063763657E-2</v>
      </c>
      <c r="M43" s="9"/>
      <c r="N43" s="10">
        <f>IFERROR(B43-K43, "NA")</f>
        <v>-354.42000000000007</v>
      </c>
      <c r="O43" s="8">
        <f>IFERROR(N43/N444, "NA")</f>
        <v>0.36339215223877086</v>
      </c>
      <c r="P43" s="9"/>
      <c r="Q43" s="7">
        <v>3821.47</v>
      </c>
      <c r="R43" s="8">
        <f>IFERROR(Q43/Q444, "NA")</f>
        <v>2.5720398930119924E-2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3821.47</v>
      </c>
      <c r="X43" s="8">
        <f>IFERROR(W43/W444, "NA")</f>
        <v>-0.47662920787757018</v>
      </c>
      <c r="Y43" s="9"/>
      <c r="Z43" s="7">
        <v>5008.1000000000004</v>
      </c>
      <c r="AA43" s="8">
        <f>IFERROR(Z43/Z444, "NA")</f>
        <v>3.3426734539559598E-2</v>
      </c>
      <c r="AB43" s="9"/>
      <c r="AC43" s="10">
        <f>IFERROR(Q43-Z43, "NA")</f>
        <v>-1186.6300000000006</v>
      </c>
      <c r="AD43" s="8">
        <f>IFERROR(AC43/AC444, "NA")</f>
        <v>0.95251206062016291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13951.46</v>
      </c>
      <c r="C48" s="8">
        <f>IFERROR(B48/B444, "NA")</f>
        <v>0.18374615918522705</v>
      </c>
      <c r="D48" s="9"/>
      <c r="E48" s="7">
        <v>0</v>
      </c>
      <c r="F48" s="8">
        <f>IFERROR(E48/E444, "NA")</f>
        <v>0</v>
      </c>
      <c r="G48" s="9"/>
      <c r="H48" s="10">
        <f t="shared" si="12"/>
        <v>13951.46</v>
      </c>
      <c r="I48" s="8">
        <f>IFERROR(H48/H444, "NA")</f>
        <v>-2.7832004053671215</v>
      </c>
      <c r="J48" s="9"/>
      <c r="K48" s="7">
        <v>9355.5</v>
      </c>
      <c r="L48" s="8">
        <f>IFERROR(K48/K444, "NA")</f>
        <v>0.12165291929946746</v>
      </c>
      <c r="M48" s="9"/>
      <c r="N48" s="10">
        <f t="shared" si="13"/>
        <v>4595.9599999999991</v>
      </c>
      <c r="O48" s="8">
        <f>IFERROR(N48/N444, "NA")</f>
        <v>-4.7123068562815327</v>
      </c>
      <c r="P48" s="9"/>
      <c r="Q48" s="7">
        <v>24317.9</v>
      </c>
      <c r="R48" s="8">
        <f>IFERROR(Q48/Q444, "NA")</f>
        <v>0.16367159473782689</v>
      </c>
      <c r="S48" s="9"/>
      <c r="T48" s="7">
        <v>0</v>
      </c>
      <c r="U48" s="8">
        <f>IFERROR(T48/T444, "NA")</f>
        <v>0</v>
      </c>
      <c r="V48" s="9"/>
      <c r="W48" s="10">
        <f t="shared" si="14"/>
        <v>24317.9</v>
      </c>
      <c r="X48" s="8">
        <f>IFERROR(W48/W444, "NA")</f>
        <v>-3.0330269279219686</v>
      </c>
      <c r="Y48" s="9"/>
      <c r="Z48" s="7">
        <v>22445.96</v>
      </c>
      <c r="AA48" s="8">
        <f>IFERROR(Z48/Z444, "NA")</f>
        <v>0.14981632683164736</v>
      </c>
      <c r="AB48" s="9"/>
      <c r="AC48" s="10">
        <f t="shared" si="15"/>
        <v>1871.9400000000023</v>
      </c>
      <c r="AD48" s="8">
        <f>IFERROR(AC48/AC444, "NA")</f>
        <v>-1.5026127999100893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13951.46</v>
      </c>
      <c r="C61" s="15">
        <f>IFERROR(B61/B444, "NA")</f>
        <v>0.18374615918522705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13951.46</v>
      </c>
      <c r="I61" s="15">
        <f>IFERROR(H61/H444, "NA")</f>
        <v>-2.7832004053671215</v>
      </c>
      <c r="J61" s="2"/>
      <c r="K61" s="14">
        <f>IFERROR(K46+K47+K48+K49+K50+K51+K52+K53+K54+K55+K56+K57+K58+K59+K60, "NA")</f>
        <v>9355.5</v>
      </c>
      <c r="L61" s="15">
        <f>IFERROR(K61/K444, "NA")</f>
        <v>0.12165291929946746</v>
      </c>
      <c r="M61" s="2"/>
      <c r="N61" s="14">
        <f t="shared" si="13"/>
        <v>4595.9599999999991</v>
      </c>
      <c r="O61" s="15">
        <f>IFERROR(N61/N444, "NA")</f>
        <v>-4.7123068562815327</v>
      </c>
      <c r="P61" s="2"/>
      <c r="Q61" s="14">
        <f>IFERROR(Q46+Q47+Q48+Q49+Q50+Q51+Q52+Q53+Q54+Q55+Q56+Q57+Q58+Q59+Q60, "NA")</f>
        <v>24317.9</v>
      </c>
      <c r="R61" s="15">
        <f>IFERROR(Q61/Q444, "NA")</f>
        <v>0.16367159473782689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24317.9</v>
      </c>
      <c r="X61" s="15">
        <f>IFERROR(W61/W444, "NA")</f>
        <v>-3.0330269279219686</v>
      </c>
      <c r="Y61" s="2"/>
      <c r="Z61" s="14">
        <f>IFERROR(Z46+Z47+Z48+Z49+Z50+Z51+Z52+Z53+Z54+Z55+Z56+Z57+Z58+Z59+Z60, "NA")</f>
        <v>22445.96</v>
      </c>
      <c r="AA61" s="15">
        <f>IFERROR(Z61/Z444, "NA")</f>
        <v>0.14981632683164736</v>
      </c>
      <c r="AB61" s="2"/>
      <c r="AC61" s="14">
        <f t="shared" si="15"/>
        <v>1871.9400000000023</v>
      </c>
      <c r="AD61" s="15">
        <f>IFERROR(AC61/AC444, "NA")</f>
        <v>-1.5026127999100893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16014</v>
      </c>
      <c r="C62" s="15">
        <f>IFERROR(B62/B444, "NA")</f>
        <v>0.21091061388501461</v>
      </c>
      <c r="D62" s="2"/>
      <c r="E62" s="14">
        <f>IFERROR(E42+E43+E44+E46+E47+E48+E49+E50+E51+E52+E53+E54+E55+E56+E57+E58+E59+E60, "NA")</f>
        <v>15378.72</v>
      </c>
      <c r="F62" s="15">
        <f>IFERROR(E62/E444, "NA")</f>
        <v>0.18999998023242712</v>
      </c>
      <c r="G62" s="2"/>
      <c r="H62" s="14">
        <f t="shared" si="12"/>
        <v>635.28000000000065</v>
      </c>
      <c r="I62" s="15">
        <f>IFERROR(H62/H444, "NA")</f>
        <v>-0.12673308410170883</v>
      </c>
      <c r="J62" s="2"/>
      <c r="K62" s="14">
        <f>IFERROR(K42+K43+K44+K46+K47+K48+K49+K50+K51+K52+K53+K54+K55+K56+K57+K58+K59+K60, "NA")</f>
        <v>11772.46</v>
      </c>
      <c r="L62" s="15">
        <f>IFERROR(K62/K444, "NA")</f>
        <v>0.15308151636323111</v>
      </c>
      <c r="M62" s="2"/>
      <c r="N62" s="14">
        <f t="shared" si="13"/>
        <v>4241.5400000000009</v>
      </c>
      <c r="O62" s="15">
        <f>IFERROR(N62/N444, "NA")</f>
        <v>-4.3489147040427634</v>
      </c>
      <c r="P62" s="2"/>
      <c r="Q62" s="14">
        <f>IFERROR(Q42+Q43+Q44+Q46+Q47+Q48+Q49+Q50+Q51+Q52+Q53+Q54+Q55+Q56+Q57+Q58+Q59+Q60, "NA")</f>
        <v>28139.370000000003</v>
      </c>
      <c r="R62" s="15">
        <f>IFERROR(Q62/Q444, "NA")</f>
        <v>0.18939199366794685</v>
      </c>
      <c r="S62" s="2"/>
      <c r="T62" s="14">
        <f>IFERROR(T42+T43+T44+T46+T47+T48+T49+T50+T51+T52+T53+T54+T55+T56+T57+T58+T59+T60, "NA")</f>
        <v>29753.07</v>
      </c>
      <c r="U62" s="15">
        <f>IFERROR(T62/T444, "NA")</f>
        <v>0.19000000638589584</v>
      </c>
      <c r="V62" s="2"/>
      <c r="W62" s="14">
        <f t="shared" si="14"/>
        <v>-1613.6999999999971</v>
      </c>
      <c r="X62" s="15">
        <f>IFERROR(W62/W444, "NA")</f>
        <v>0.20126719632812337</v>
      </c>
      <c r="Y62" s="2"/>
      <c r="Z62" s="14">
        <f>IFERROR(Z42+Z43+Z44+Z46+Z47+Z48+Z49+Z50+Z51+Z52+Z53+Z54+Z55+Z56+Z57+Z58+Z59+Z60, "NA")</f>
        <v>27454.059999999998</v>
      </c>
      <c r="AA62" s="15">
        <f>IFERROR(Z62/Z444, "NA")</f>
        <v>0.18324306137120694</v>
      </c>
      <c r="AB62" s="2"/>
      <c r="AC62" s="14">
        <f t="shared" si="15"/>
        <v>685.31000000000495</v>
      </c>
      <c r="AD62" s="15">
        <f>IFERROR(AC62/AC444, "NA")</f>
        <v>-0.55010073928992886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3318.57</v>
      </c>
      <c r="F64" s="8">
        <f>IFERROR(E64/E444, "NA")</f>
        <v>4.1000046453796263E-2</v>
      </c>
      <c r="G64" s="9"/>
      <c r="H64" s="10">
        <f t="shared" ref="H64:H73" si="16">IFERROR(B64-E64, "NA")</f>
        <v>-3318.57</v>
      </c>
      <c r="I64" s="8">
        <f>IFERROR(H64/H444, "NA")</f>
        <v>0.66202715480954466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6420.4</v>
      </c>
      <c r="U64" s="8">
        <f>IFERROR(T64/T444, "NA")</f>
        <v>4.1000005747306265E-2</v>
      </c>
      <c r="V64" s="9"/>
      <c r="W64" s="10">
        <f t="shared" ref="W64:W73" si="18">IFERROR(Q64-T64, "NA")</f>
        <v>-6420.4</v>
      </c>
      <c r="X64" s="8">
        <f>IFERROR(W64/W444, "NA")</f>
        <v>0.80077827805979152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2550.13</v>
      </c>
      <c r="C65" s="8">
        <f>IFERROR(B65/B444, "NA")</f>
        <v>3.35862048074555E-2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2550.13</v>
      </c>
      <c r="I65" s="8">
        <f>IFERROR(H65/H444, "NA")</f>
        <v>-0.50872975658023301</v>
      </c>
      <c r="J65" s="9"/>
      <c r="K65" s="7">
        <v>0</v>
      </c>
      <c r="L65" s="8">
        <f>IFERROR(K65/K444, "NA")</f>
        <v>0</v>
      </c>
      <c r="M65" s="9"/>
      <c r="N65" s="10">
        <f t="shared" si="17"/>
        <v>2550.13</v>
      </c>
      <c r="O65" s="8">
        <f>IFERROR(N65/N444, "NA")</f>
        <v>-2.6146866124616461</v>
      </c>
      <c r="P65" s="9"/>
      <c r="Q65" s="7">
        <v>3628.9</v>
      </c>
      <c r="R65" s="8">
        <f>IFERROR(Q65/Q444, "NA")</f>
        <v>2.4424306792284696E-2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3628.9</v>
      </c>
      <c r="X65" s="8">
        <f>IFERROR(W65/W444, "NA")</f>
        <v>-0.45261109794579429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3628.9</v>
      </c>
      <c r="AD65" s="8">
        <f>IFERROR(AC65/AC444, "NA")</f>
        <v>-2.9129307507685698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customHeight="1" x14ac:dyDescent="0.45">
      <c r="A71" s="12" t="s">
        <v>68</v>
      </c>
      <c r="B71" s="7">
        <v>2166.13</v>
      </c>
      <c r="C71" s="8">
        <f>IFERROR(B71/B444, "NA")</f>
        <v>2.8528775325012284E-2</v>
      </c>
      <c r="D71" s="9"/>
      <c r="E71" s="7">
        <v>0</v>
      </c>
      <c r="F71" s="8">
        <f>IFERROR(E71/E444, "NA")</f>
        <v>0</v>
      </c>
      <c r="G71" s="9"/>
      <c r="H71" s="10">
        <f t="shared" si="16"/>
        <v>2166.13</v>
      </c>
      <c r="I71" s="8">
        <f>IFERROR(H71/H444, "NA")</f>
        <v>-0.43212494563851261</v>
      </c>
      <c r="J71" s="9"/>
      <c r="K71" s="7">
        <v>0</v>
      </c>
      <c r="L71" s="8">
        <f>IFERROR(K71/K444, "NA")</f>
        <v>0</v>
      </c>
      <c r="M71" s="9"/>
      <c r="N71" s="10">
        <f t="shared" si="17"/>
        <v>2166.13</v>
      </c>
      <c r="O71" s="8">
        <f>IFERROR(N71/N444, "NA")</f>
        <v>-2.2209656416933825</v>
      </c>
      <c r="P71" s="9"/>
      <c r="Q71" s="7">
        <v>2166.13</v>
      </c>
      <c r="R71" s="8">
        <f>IFERROR(Q71/Q444, "NA")</f>
        <v>1.4579135184758922E-2</v>
      </c>
      <c r="S71" s="9"/>
      <c r="T71" s="7">
        <v>0</v>
      </c>
      <c r="U71" s="8">
        <f>IFERROR(T71/T444, "NA")</f>
        <v>0</v>
      </c>
      <c r="V71" s="9"/>
      <c r="W71" s="10">
        <f t="shared" si="18"/>
        <v>2166.13</v>
      </c>
      <c r="X71" s="8">
        <f>IFERROR(W71/W444, "NA")</f>
        <v>-0.27016850218890665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2166.13</v>
      </c>
      <c r="AD71" s="8">
        <f>IFERROR(AC71/AC444, "NA")</f>
        <v>-1.7387601441655383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4716.26</v>
      </c>
      <c r="C73" s="15">
        <f>IFERROR(B73/B444, "NA")</f>
        <v>6.211498013246778E-2</v>
      </c>
      <c r="D73" s="2"/>
      <c r="E73" s="14">
        <f>IFERROR(E64+E65+E66+E67+E68+E69+E70+E71+E72, "NA")</f>
        <v>3318.57</v>
      </c>
      <c r="F73" s="15">
        <f>IFERROR(E73/E444, "NA")</f>
        <v>4.1000046453796263E-2</v>
      </c>
      <c r="G73" s="2"/>
      <c r="H73" s="14">
        <f t="shared" si="16"/>
        <v>1397.69</v>
      </c>
      <c r="I73" s="15">
        <f>IFERROR(H73/H444, "NA")</f>
        <v>-0.27882754740920107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4716.26</v>
      </c>
      <c r="O73" s="15">
        <f>IFERROR(N73/N444, "NA")</f>
        <v>-4.8356522541550291</v>
      </c>
      <c r="P73" s="2"/>
      <c r="Q73" s="14">
        <f>IFERROR(Q64+Q65+Q66+Q67+Q68+Q69+Q70+Q71+Q72, "NA")</f>
        <v>5795.0300000000007</v>
      </c>
      <c r="R73" s="15">
        <f>IFERROR(Q73/Q444, "NA")</f>
        <v>3.9003441977043619E-2</v>
      </c>
      <c r="S73" s="2"/>
      <c r="T73" s="14">
        <f>IFERROR(T64+T65+T66+T67+T68+T69+T70+T71+T72, "NA")</f>
        <v>6420.4</v>
      </c>
      <c r="U73" s="15">
        <f>IFERROR(T73/T444, "NA")</f>
        <v>4.1000005747306265E-2</v>
      </c>
      <c r="V73" s="2"/>
      <c r="W73" s="14">
        <f t="shared" si="18"/>
        <v>-625.36999999999898</v>
      </c>
      <c r="X73" s="15">
        <f>IFERROR(W73/W444, "NA")</f>
        <v>7.7998677925090493E-2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5795.0300000000007</v>
      </c>
      <c r="AD73" s="15">
        <f>IFERROR(AC73/AC444, "NA")</f>
        <v>-4.6516908949341085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1133.17</v>
      </c>
      <c r="F75" s="8">
        <f>IFERROR(E75/E444, "NA")</f>
        <v>1.4000012848922373E-2</v>
      </c>
      <c r="G75" s="9"/>
      <c r="H75" s="10">
        <f t="shared" ref="H75:H92" si="20">IFERROR(B75-E75, "NA")</f>
        <v>-1133.17</v>
      </c>
      <c r="I75" s="8">
        <f>IFERROR(H75/H444, "NA")</f>
        <v>0.22605800420528471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2192.33</v>
      </c>
      <c r="U75" s="8">
        <f>IFERROR(T75/T444, "NA")</f>
        <v>1.3999991059745802E-2</v>
      </c>
      <c r="V75" s="9"/>
      <c r="W75" s="10">
        <f t="shared" ref="W75:W92" si="22">IFERROR(Q75-T75, "NA")</f>
        <v>-2192.33</v>
      </c>
      <c r="X75" s="8">
        <f>IFERROR(W75/W444, "NA")</f>
        <v>0.27343627224765166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94.45</v>
      </c>
      <c r="C77" s="8">
        <f>IFERROR(B77/B444, "NA")</f>
        <v>1.2439432672311497E-3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94.45</v>
      </c>
      <c r="I77" s="8">
        <f>IFERROR(H77/H444, "NA")</f>
        <v>-1.8841990607930972E-2</v>
      </c>
      <c r="J77" s="9"/>
      <c r="K77" s="7">
        <v>241.04</v>
      </c>
      <c r="L77" s="8">
        <f>IFERROR(K77/K444, "NA")</f>
        <v>3.1343295032808119E-3</v>
      </c>
      <c r="M77" s="9"/>
      <c r="N77" s="10">
        <f t="shared" si="21"/>
        <v>-146.58999999999997</v>
      </c>
      <c r="O77" s="8">
        <f>IFERROR(N77/N444, "NA")</f>
        <v>0.15030092996072852</v>
      </c>
      <c r="P77" s="9"/>
      <c r="Q77" s="7">
        <v>234.31</v>
      </c>
      <c r="R77" s="8">
        <f>IFERROR(Q77/Q444, "NA")</f>
        <v>1.5770231542616845E-3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234.31</v>
      </c>
      <c r="X77" s="8">
        <f>IFERROR(W77/W444, "NA")</f>
        <v>-2.9224091697120081E-2</v>
      </c>
      <c r="Y77" s="9"/>
      <c r="Z77" s="7">
        <v>501.2</v>
      </c>
      <c r="AA77" s="8">
        <f>IFERROR(Z77/Z444, "NA")</f>
        <v>3.3452765222793611E-3</v>
      </c>
      <c r="AB77" s="9"/>
      <c r="AC77" s="10">
        <f t="shared" si="23"/>
        <v>-266.89</v>
      </c>
      <c r="AD77" s="8">
        <f>IFERROR(AC77/AC444, "NA")</f>
        <v>0.21423353855786148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1347.17</v>
      </c>
      <c r="C80" s="8">
        <f>IFERROR(B80/B444, "NA")</f>
        <v>1.7742753322559958E-2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1347.17</v>
      </c>
      <c r="I80" s="8">
        <f>IFERROR(H80/H444, "NA")</f>
        <v>-0.26874922696968101</v>
      </c>
      <c r="J80" s="9"/>
      <c r="K80" s="7">
        <v>950.37</v>
      </c>
      <c r="L80" s="8">
        <f>IFERROR(K80/K444, "NA")</f>
        <v>1.2358001701099342E-2</v>
      </c>
      <c r="M80" s="9"/>
      <c r="N80" s="10">
        <f t="shared" si="21"/>
        <v>396.80000000000007</v>
      </c>
      <c r="O80" s="8">
        <f>IFERROR(N80/N444, "NA")</f>
        <v>-0.40684500312720578</v>
      </c>
      <c r="P80" s="9"/>
      <c r="Q80" s="7">
        <v>2251.48</v>
      </c>
      <c r="R80" s="8">
        <f>IFERROR(Q80/Q444, "NA")</f>
        <v>1.5153583250211674E-2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2251.48</v>
      </c>
      <c r="X80" s="8">
        <f>IFERROR(W80/W444, "NA")</f>
        <v>-0.2808136996894367</v>
      </c>
      <c r="Y80" s="9"/>
      <c r="Z80" s="7">
        <v>2285.44</v>
      </c>
      <c r="AA80" s="8">
        <f>IFERROR(Z80/Z444, "NA")</f>
        <v>1.5254247356500687E-2</v>
      </c>
      <c r="AB80" s="9"/>
      <c r="AC80" s="10">
        <f t="shared" si="23"/>
        <v>-33.960000000000036</v>
      </c>
      <c r="AD80" s="8">
        <f>IFERROR(AC80/AC444, "NA")</f>
        <v>2.7259811043594678E-2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1441.6200000000001</v>
      </c>
      <c r="C88" s="15">
        <f>IFERROR(B88/B444, "NA")</f>
        <v>1.8986696589791109E-2</v>
      </c>
      <c r="D88" s="2"/>
      <c r="E88" s="14">
        <f>IFERROR(E75+E76+E77+E78+E79+E80+E81+E82+E83+E84+E85+E86+E87, "NA")</f>
        <v>1133.17</v>
      </c>
      <c r="F88" s="15">
        <f>IFERROR(E88/E444, "NA")</f>
        <v>1.4000012848922373E-2</v>
      </c>
      <c r="G88" s="2"/>
      <c r="H88" s="14">
        <f t="shared" si="20"/>
        <v>308.45000000000005</v>
      </c>
      <c r="I88" s="15">
        <f>IFERROR(H88/H444, "NA")</f>
        <v>-6.1533213372327256E-2</v>
      </c>
      <c r="J88" s="2"/>
      <c r="K88" s="14">
        <f>IFERROR(K75+K76+K77+K78+K79+K80+K81+K82+K83+K84+K85+K86+K87, "NA")</f>
        <v>1191.4100000000001</v>
      </c>
      <c r="L88" s="15">
        <f>IFERROR(K88/K444, "NA")</f>
        <v>1.5492331204380155E-2</v>
      </c>
      <c r="M88" s="2"/>
      <c r="N88" s="14">
        <f t="shared" si="21"/>
        <v>250.21000000000004</v>
      </c>
      <c r="O88" s="15">
        <f>IFERROR(N88/N444, "NA")</f>
        <v>-0.2565440731664772</v>
      </c>
      <c r="P88" s="2"/>
      <c r="Q88" s="14">
        <f>IFERROR(Q75+Q76+Q77+Q78+Q79+Q80+Q81+Q82+Q83+Q84+Q85+Q86+Q87, "NA")</f>
        <v>2485.79</v>
      </c>
      <c r="R88" s="15">
        <f>IFERROR(Q88/Q444, "NA")</f>
        <v>1.673060640447336E-2</v>
      </c>
      <c r="S88" s="2"/>
      <c r="T88" s="14">
        <f>IFERROR(T75+T76+T77+T78+T79+T80+T81+T82+T83+T84+T85+T86+T87, "NA")</f>
        <v>2192.33</v>
      </c>
      <c r="U88" s="15">
        <f>IFERROR(T88/T444, "NA")</f>
        <v>1.3999991059745802E-2</v>
      </c>
      <c r="V88" s="2"/>
      <c r="W88" s="14">
        <f t="shared" si="22"/>
        <v>293.46000000000004</v>
      </c>
      <c r="X88" s="15">
        <f>IFERROR(W88/W444, "NA")</f>
        <v>-3.6601519138905123E-2</v>
      </c>
      <c r="Y88" s="2"/>
      <c r="Z88" s="14">
        <f>IFERROR(Z75+Z76+Z77+Z78+Z79+Z80+Z81+Z82+Z83+Z84+Z85+Z86+Z87, "NA")</f>
        <v>2786.64</v>
      </c>
      <c r="AA88" s="15">
        <f>IFERROR(Z88/Z444, "NA")</f>
        <v>1.8599523878780045E-2</v>
      </c>
      <c r="AB88" s="2"/>
      <c r="AC88" s="14">
        <f t="shared" si="23"/>
        <v>-300.84999999999991</v>
      </c>
      <c r="AD88" s="15">
        <f>IFERROR(AC88/AC444, "NA")</f>
        <v>0.24149334960145605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0</v>
      </c>
      <c r="L89" s="8">
        <f>IFERROR(K89/K444, "NA")</f>
        <v>0</v>
      </c>
      <c r="M89" s="9"/>
      <c r="N89" s="10">
        <f t="shared" si="21"/>
        <v>0</v>
      </c>
      <c r="O89" s="8">
        <f>IFERROR(N89/N444, "NA")</f>
        <v>0</v>
      </c>
      <c r="P89" s="9"/>
      <c r="Q89" s="7">
        <v>0</v>
      </c>
      <c r="R89" s="8">
        <f>IFERROR(Q89/Q444, "NA")</f>
        <v>0</v>
      </c>
      <c r="S89" s="9"/>
      <c r="T89" s="7">
        <v>0</v>
      </c>
      <c r="U89" s="8">
        <f>IFERROR(T89/T444, "NA")</f>
        <v>0</v>
      </c>
      <c r="V89" s="9"/>
      <c r="W89" s="10">
        <f t="shared" si="22"/>
        <v>0</v>
      </c>
      <c r="X89" s="8">
        <f>IFERROR(W89/W444, "NA")</f>
        <v>0</v>
      </c>
      <c r="Y89" s="9"/>
      <c r="Z89" s="7">
        <v>-23.3</v>
      </c>
      <c r="AA89" s="8">
        <f>IFERROR(Z89/Z444, "NA")</f>
        <v>-1.5551664598784741E-4</v>
      </c>
      <c r="AB89" s="9"/>
      <c r="AC89" s="10">
        <f t="shared" si="23"/>
        <v>23.3</v>
      </c>
      <c r="AD89" s="8">
        <f>IFERROR(AC89/AC444, "NA")</f>
        <v>-1.8702991675964526E-2</v>
      </c>
    </row>
    <row r="90" spans="1:30" ht="16.5" customHeight="1" x14ac:dyDescent="0.45">
      <c r="A90" s="6" t="s">
        <v>86</v>
      </c>
      <c r="B90" s="7">
        <v>-132.13</v>
      </c>
      <c r="C90" s="8">
        <f>IFERROR(B90/B444, "NA")</f>
        <v>-1.7402035351958898E-3</v>
      </c>
      <c r="D90" s="9"/>
      <c r="E90" s="7">
        <v>0</v>
      </c>
      <c r="F90" s="8">
        <f>IFERROR(E90/E444, "NA")</f>
        <v>0</v>
      </c>
      <c r="G90" s="9"/>
      <c r="H90" s="10">
        <f t="shared" si="20"/>
        <v>-132.13</v>
      </c>
      <c r="I90" s="8">
        <f>IFERROR(H90/H444, "NA")</f>
        <v>2.6358837681587286E-2</v>
      </c>
      <c r="J90" s="9"/>
      <c r="K90" s="7">
        <v>0</v>
      </c>
      <c r="L90" s="8">
        <f>IFERROR(K90/K444, "NA")</f>
        <v>0</v>
      </c>
      <c r="M90" s="9"/>
      <c r="N90" s="10">
        <f t="shared" si="21"/>
        <v>-132.13</v>
      </c>
      <c r="O90" s="8">
        <f>IFERROR(N90/N444, "NA")</f>
        <v>0.13547487465523611</v>
      </c>
      <c r="P90" s="9"/>
      <c r="Q90" s="7">
        <v>-333.24</v>
      </c>
      <c r="R90" s="8">
        <f>IFERROR(Q90/Q444, "NA")</f>
        <v>-2.2428713922844254E-3</v>
      </c>
      <c r="S90" s="9"/>
      <c r="T90" s="7">
        <v>0</v>
      </c>
      <c r="U90" s="8">
        <f>IFERROR(T90/T444, "NA")</f>
        <v>0</v>
      </c>
      <c r="V90" s="9"/>
      <c r="W90" s="10">
        <f t="shared" si="22"/>
        <v>-333.24</v>
      </c>
      <c r="X90" s="8">
        <f>IFERROR(W90/W444, "NA")</f>
        <v>4.1563041770083631E-2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-333.24</v>
      </c>
      <c r="AD90" s="8">
        <f>IFERROR(AC90/AC444, "NA")</f>
        <v>0.26749291614156306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-5018.32</v>
      </c>
      <c r="F94" s="8">
        <f>IFERROR(E94/E444, "NA")</f>
        <v>-6.2000003953514571E-2</v>
      </c>
      <c r="G94" s="9"/>
      <c r="H94" s="10">
        <f t="shared" ref="H94:H124" si="24">IFERROR(B94-E94, "NA")</f>
        <v>5018.32</v>
      </c>
      <c r="I94" s="8">
        <f>IFERROR(H94/H444, "NA")</f>
        <v>-1.0011131636589958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-9708.9</v>
      </c>
      <c r="U94" s="8">
        <f>IFERROR(T94/T444, "NA")</f>
        <v>-6.2000024266404247E-2</v>
      </c>
      <c r="V94" s="9"/>
      <c r="W94" s="10">
        <f t="shared" ref="W94:W124" si="26">IFERROR(Q94-T94, "NA")</f>
        <v>9708.9</v>
      </c>
      <c r="X94" s="8">
        <f>IFERROR(W94/W444, "NA")</f>
        <v>-1.2109333100515092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-832.54</v>
      </c>
      <c r="C96" s="8">
        <f>IFERROR(B96/B444, "NA")</f>
        <v>-1.0964875888836647E-2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-832.54</v>
      </c>
      <c r="I96" s="8">
        <f>IFERROR(H96/H444, "NA")</f>
        <v>0.16608481588911436</v>
      </c>
      <c r="J96" s="9"/>
      <c r="K96" s="7">
        <v>-1259.05</v>
      </c>
      <c r="L96" s="8">
        <f>IFERROR(K96/K444, "NA")</f>
        <v>-1.6371878365025332E-2</v>
      </c>
      <c r="M96" s="9"/>
      <c r="N96" s="10">
        <f t="shared" si="25"/>
        <v>426.51</v>
      </c>
      <c r="O96" s="8">
        <f>IFERROR(N96/N444, "NA")</f>
        <v>-0.43730711261034405</v>
      </c>
      <c r="P96" s="9"/>
      <c r="Q96" s="7">
        <v>-1516.97</v>
      </c>
      <c r="R96" s="8">
        <f>IFERROR(Q96/Q444, "NA")</f>
        <v>-1.0209964637959744E-2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-1516.97</v>
      </c>
      <c r="X96" s="8">
        <f>IFERROR(W96/W444, "NA")</f>
        <v>0.18920263916085633</v>
      </c>
      <c r="Y96" s="9"/>
      <c r="Z96" s="7">
        <v>-2289.87</v>
      </c>
      <c r="AA96" s="8">
        <f>IFERROR(Z96/Z444, "NA")</f>
        <v>-1.5283815542840863E-2</v>
      </c>
      <c r="AB96" s="9"/>
      <c r="AC96" s="10">
        <f t="shared" si="27"/>
        <v>772.89999999999986</v>
      </c>
      <c r="AD96" s="8">
        <f>IFERROR(AC96/AC444, "NA")</f>
        <v>-0.62040953932845411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-815.16</v>
      </c>
      <c r="C98" s="8">
        <f>IFERROR(B98/B444, "NA")</f>
        <v>-1.0735974523198983E-2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-815.16</v>
      </c>
      <c r="I98" s="8">
        <f>IFERROR(H98/H444, "NA")</f>
        <v>0.16261765022722086</v>
      </c>
      <c r="J98" s="9"/>
      <c r="K98" s="7">
        <v>-1787.78</v>
      </c>
      <c r="L98" s="8">
        <f>IFERROR(K98/K444, "NA")</f>
        <v>-2.3247144039891181E-2</v>
      </c>
      <c r="M98" s="9"/>
      <c r="N98" s="10">
        <f t="shared" si="25"/>
        <v>972.62</v>
      </c>
      <c r="O98" s="8">
        <f>IFERROR(N98/N444, "NA")</f>
        <v>-0.99724190257455358</v>
      </c>
      <c r="P98" s="9"/>
      <c r="Q98" s="7">
        <v>-2704.94</v>
      </c>
      <c r="R98" s="8">
        <f>IFERROR(Q98/Q444, "NA")</f>
        <v>-1.8205595198192998E-2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-2704.94</v>
      </c>
      <c r="X98" s="8">
        <f>IFERROR(W98/W444, "NA")</f>
        <v>0.33737106651533433</v>
      </c>
      <c r="Y98" s="9"/>
      <c r="Z98" s="7">
        <v>-3473.14</v>
      </c>
      <c r="AA98" s="8">
        <f>IFERROR(Z98/Z444, "NA")</f>
        <v>-2.3181591581383363E-2</v>
      </c>
      <c r="AB98" s="9"/>
      <c r="AC98" s="10">
        <f t="shared" si="27"/>
        <v>768.19999999999982</v>
      </c>
      <c r="AD98" s="8">
        <f>IFERROR(AC98/AC444, "NA")</f>
        <v>-0.61663683285304494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0</v>
      </c>
      <c r="C100" s="8">
        <f>IFERROR(B100/B444, "NA")</f>
        <v>0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0</v>
      </c>
      <c r="I100" s="8">
        <f>IFERROR(H100/H444, "NA")</f>
        <v>0</v>
      </c>
      <c r="J100" s="9"/>
      <c r="K100" s="7">
        <v>-543.75</v>
      </c>
      <c r="L100" s="8">
        <f>IFERROR(K100/K444, "NA")</f>
        <v>-7.0705761176939165E-3</v>
      </c>
      <c r="M100" s="9"/>
      <c r="N100" s="10">
        <f t="shared" si="25"/>
        <v>543.75</v>
      </c>
      <c r="O100" s="8">
        <f>IFERROR(N100/N444, "NA")</f>
        <v>-0.55751504649802952</v>
      </c>
      <c r="P100" s="9"/>
      <c r="Q100" s="7">
        <v>0</v>
      </c>
      <c r="R100" s="8">
        <f>IFERROR(Q100/Q444, "NA")</f>
        <v>0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0</v>
      </c>
      <c r="X100" s="8">
        <f>IFERROR(W100/W444, "NA")</f>
        <v>0</v>
      </c>
      <c r="Y100" s="9"/>
      <c r="Z100" s="7">
        <v>-543.75</v>
      </c>
      <c r="AA100" s="8">
        <f>IFERROR(Z100/Z444, "NA")</f>
        <v>-3.6292779508966537E-3</v>
      </c>
      <c r="AB100" s="9"/>
      <c r="AC100" s="10">
        <f t="shared" si="27"/>
        <v>543.75</v>
      </c>
      <c r="AD100" s="8">
        <f>IFERROR(AC100/AC444, "NA")</f>
        <v>-0.43647003106462279</v>
      </c>
    </row>
    <row r="101" spans="1:30" ht="16.5" customHeight="1" x14ac:dyDescent="0.45">
      <c r="A101" s="12" t="s">
        <v>96</v>
      </c>
      <c r="B101" s="7">
        <v>-73.59</v>
      </c>
      <c r="C101" s="8">
        <f>IFERROR(B101/B444, "NA")</f>
        <v>-9.6920894690884392E-4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-73.59</v>
      </c>
      <c r="I101" s="8">
        <f>IFERROR(H101/H444, "NA")</f>
        <v>1.4680593846878139E-2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-73.59</v>
      </c>
      <c r="O101" s="8">
        <f>IFERROR(N101/N444, "NA")</f>
        <v>7.5452932913636778E-2</v>
      </c>
      <c r="P101" s="9"/>
      <c r="Q101" s="7">
        <v>-73.59</v>
      </c>
      <c r="R101" s="8">
        <f>IFERROR(Q101/Q444, "NA")</f>
        <v>-4.9529740054678575E-4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-73.59</v>
      </c>
      <c r="X101" s="8">
        <f>IFERROR(W101/W444, "NA")</f>
        <v>9.1784426955361133E-3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-73.59</v>
      </c>
      <c r="AD101" s="8">
        <f>IFERROR(AC101/AC444, "NA")</f>
        <v>5.9070950962842469E-2</v>
      </c>
    </row>
    <row r="102" spans="1:30" ht="16.5" customHeight="1" x14ac:dyDescent="0.45">
      <c r="A102" s="12" t="s">
        <v>97</v>
      </c>
      <c r="B102" s="7">
        <v>-578.4</v>
      </c>
      <c r="C102" s="8">
        <f>IFERROR(B102/B444, "NA")</f>
        <v>-7.6177531579300888E-3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-578.4</v>
      </c>
      <c r="I102" s="8">
        <f>IFERROR(H102/H444, "NA")</f>
        <v>0.11538599648096637</v>
      </c>
      <c r="J102" s="9"/>
      <c r="K102" s="7">
        <v>-1558.07</v>
      </c>
      <c r="L102" s="8">
        <f>IFERROR(K102/K444, "NA")</f>
        <v>-2.0260142587025947E-2</v>
      </c>
      <c r="M102" s="9"/>
      <c r="N102" s="10">
        <f t="shared" si="25"/>
        <v>979.67</v>
      </c>
      <c r="O102" s="8">
        <f>IFERROR(N102/N444, "NA")</f>
        <v>-1.004470373522252</v>
      </c>
      <c r="P102" s="9"/>
      <c r="Q102" s="7">
        <v>-1391.14</v>
      </c>
      <c r="R102" s="8">
        <f>IFERROR(Q102/Q444, "NA")</f>
        <v>-9.3630659844633184E-3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-1391.14</v>
      </c>
      <c r="X102" s="8">
        <f>IFERROR(W102/W444, "NA")</f>
        <v>0.17350861219551716</v>
      </c>
      <c r="Y102" s="9"/>
      <c r="Z102" s="7">
        <v>-2916.72</v>
      </c>
      <c r="AA102" s="8">
        <f>IFERROR(Z102/Z444, "NA")</f>
        <v>-1.9467747282646965E-2</v>
      </c>
      <c r="AB102" s="9"/>
      <c r="AC102" s="10">
        <f t="shared" si="27"/>
        <v>1525.5799999999997</v>
      </c>
      <c r="AD102" s="8">
        <f>IFERROR(AC102/AC444, "NA")</f>
        <v>-1.2245884137775946</v>
      </c>
    </row>
    <row r="103" spans="1:30" ht="16.5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-15</v>
      </c>
      <c r="R103" s="8">
        <f>IFERROR(Q103/Q444, "NA")</f>
        <v>-1.0095748074740842E-4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-15</v>
      </c>
      <c r="X103" s="8">
        <f>IFERROR(W103/W444, "NA")</f>
        <v>1.870860720655547E-3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-15</v>
      </c>
      <c r="AD103" s="8">
        <f>IFERROR(AC103/AC444, "NA")</f>
        <v>1.2040552581093043E-2</v>
      </c>
    </row>
    <row r="104" spans="1:30" ht="16.5" customHeight="1" x14ac:dyDescent="0.45">
      <c r="A104" s="12" t="s">
        <v>99</v>
      </c>
      <c r="B104" s="7">
        <v>-101.97</v>
      </c>
      <c r="C104" s="8">
        <f>IFERROR(B104/B444, "NA")</f>
        <v>-1.3429845945956626E-3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-101.97</v>
      </c>
      <c r="I104" s="8">
        <f>IFERROR(H104/H444, "NA")</f>
        <v>2.0342168155539662E-2</v>
      </c>
      <c r="J104" s="9"/>
      <c r="K104" s="7">
        <v>-592.98</v>
      </c>
      <c r="L104" s="8">
        <f>IFERROR(K104/K444, "NA")</f>
        <v>-7.7107314506117495E-3</v>
      </c>
      <c r="M104" s="9"/>
      <c r="N104" s="10">
        <f t="shared" si="25"/>
        <v>491.01</v>
      </c>
      <c r="O104" s="8">
        <f>IFERROR(N104/N444, "NA")</f>
        <v>-0.50343993191907577</v>
      </c>
      <c r="P104" s="9"/>
      <c r="Q104" s="7">
        <v>-647.57000000000005</v>
      </c>
      <c r="R104" s="8">
        <f>IFERROR(Q104/Q444, "NA")</f>
        <v>-4.3584690538399518E-3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-647.57000000000005</v>
      </c>
      <c r="X104" s="8">
        <f>IFERROR(W104/W444, "NA")</f>
        <v>8.0767551791660841E-2</v>
      </c>
      <c r="Y104" s="9"/>
      <c r="Z104" s="7">
        <v>-1293.31</v>
      </c>
      <c r="AA104" s="8">
        <f>IFERROR(Z104/Z444, "NA")</f>
        <v>-8.6322417777915418E-3</v>
      </c>
      <c r="AB104" s="9"/>
      <c r="AC104" s="10">
        <f t="shared" si="27"/>
        <v>645.7399999999999</v>
      </c>
      <c r="AD104" s="8">
        <f>IFERROR(AC104/AC444, "NA")</f>
        <v>-0.51833776158100131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-100</v>
      </c>
      <c r="C106" s="8">
        <f>IFERROR(B106/B444, "NA")</f>
        <v>-1.3170389277195867E-3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-100</v>
      </c>
      <c r="I106" s="8">
        <f>IFERROR(H106/H444, "NA")</f>
        <v>1.9949169516073024E-2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-100</v>
      </c>
      <c r="O106" s="8">
        <f>IFERROR(N106/N444, "NA")</f>
        <v>0.10253150280423531</v>
      </c>
      <c r="P106" s="9"/>
      <c r="Q106" s="7">
        <v>-100</v>
      </c>
      <c r="R106" s="8">
        <f>IFERROR(Q106/Q444, "NA")</f>
        <v>-6.7304987164938949E-4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-100</v>
      </c>
      <c r="X106" s="8">
        <f>IFERROR(W106/W444, "NA")</f>
        <v>1.2472404804370313E-2</v>
      </c>
      <c r="Y106" s="9"/>
      <c r="Z106" s="7">
        <v>-844.74</v>
      </c>
      <c r="AA106" s="8">
        <f>IFERROR(Z106/Z444, "NA")</f>
        <v>-5.6382459884881638E-3</v>
      </c>
      <c r="AB106" s="9"/>
      <c r="AC106" s="10">
        <f t="shared" si="27"/>
        <v>744.74</v>
      </c>
      <c r="AD106" s="8">
        <f>IFERROR(AC106/AC444, "NA")</f>
        <v>-0.59780540861621556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-2501.6599999999994</v>
      </c>
      <c r="C118" s="15">
        <f>IFERROR(B118/B444, "NA")</f>
        <v>-3.2947836039189805E-2</v>
      </c>
      <c r="D118" s="2"/>
      <c r="E118" s="14">
        <f>IFERROR(E94+E95+E96+E97+E98+E99+E100+E101+E102+E103+E104+E105+E106+E107+E108+E109+E110+E111+E112+E113+E114+E115+E116+E117, "NA")</f>
        <v>-5018.32</v>
      </c>
      <c r="F118" s="15">
        <f>IFERROR(E118/E444, "NA")</f>
        <v>-6.2000003953514571E-2</v>
      </c>
      <c r="G118" s="2"/>
      <c r="H118" s="14">
        <f t="shared" si="24"/>
        <v>2516.6600000000003</v>
      </c>
      <c r="I118" s="15">
        <f>IFERROR(H118/H444, "NA")</f>
        <v>-0.50205276954320344</v>
      </c>
      <c r="J118" s="2"/>
      <c r="K118" s="14">
        <f>IFERROR(K94+K95+K96+K97+K98+K99+K100+K101+K102+K103+K104+K105+K106+K107+K108+K109+K110+K111+K112+K113+K114+K115+K116+K117, "NA")</f>
        <v>-5741.6299999999992</v>
      </c>
      <c r="L118" s="15">
        <f>IFERROR(K118/K444, "NA")</f>
        <v>-7.4660472560248117E-2</v>
      </c>
      <c r="M118" s="2"/>
      <c r="N118" s="14">
        <f t="shared" si="25"/>
        <v>3239.97</v>
      </c>
      <c r="O118" s="15">
        <f>IFERROR(N118/N444, "NA")</f>
        <v>-3.321989931406383</v>
      </c>
      <c r="P118" s="2"/>
      <c r="Q118" s="14">
        <f>IFERROR(Q94+Q95+Q96+Q97+Q98+Q99+Q100+Q101+Q102+Q103+Q104+Q105+Q106+Q107+Q108+Q109+Q110+Q111+Q112+Q113+Q114+Q115+Q116+Q117, "NA")</f>
        <v>-6449.21</v>
      </c>
      <c r="R118" s="15">
        <f>IFERROR(Q118/Q444, "NA")</f>
        <v>-4.3406399627399596E-2</v>
      </c>
      <c r="S118" s="2"/>
      <c r="T118" s="14">
        <f>IFERROR(T94+T95+T96+T97+T98+T99+T100+T101+T102+T103+T104+T105+T106+T107+T108+T109+T110+T111+T112+T113+T114+T115+T116+T117, "NA")</f>
        <v>-9708.9</v>
      </c>
      <c r="U118" s="15">
        <f>IFERROR(T118/T444, "NA")</f>
        <v>-6.2000024266404247E-2</v>
      </c>
      <c r="V118" s="2"/>
      <c r="W118" s="14">
        <f t="shared" si="26"/>
        <v>3259.6899999999996</v>
      </c>
      <c r="X118" s="15">
        <f>IFERROR(W118/W444, "NA")</f>
        <v>-0.40656173216757857</v>
      </c>
      <c r="Y118" s="2"/>
      <c r="Z118" s="14">
        <f>IFERROR(Z94+Z95+Z96+Z97+Z98+Z99+Z100+Z101+Z102+Z103+Z104+Z105+Z106+Z107+Z108+Z109+Z110+Z111+Z112+Z113+Z114+Z115+Z116+Z117, "NA")</f>
        <v>-11361.529999999999</v>
      </c>
      <c r="AA118" s="15">
        <f>IFERROR(Z118/Z444, "NA")</f>
        <v>-7.5832920124047548E-2</v>
      </c>
      <c r="AB118" s="2"/>
      <c r="AC118" s="14">
        <f t="shared" si="27"/>
        <v>4912.3199999999988</v>
      </c>
      <c r="AD118" s="15">
        <f>IFERROR(AC118/AC444, "NA")</f>
        <v>-3.9431364836769975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75927.900000000009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80940.640000000014</v>
      </c>
      <c r="F122" s="15">
        <f>IFERROR(E122/E444, "NA")</f>
        <v>1.0000000000000002</v>
      </c>
      <c r="G122" s="2"/>
      <c r="H122" s="14">
        <f t="shared" si="24"/>
        <v>-5012.7400000000052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76903.209999999977</v>
      </c>
      <c r="L122" s="15">
        <f>IFERROR(K122/K444, "NA")</f>
        <v>0.99999999999999967</v>
      </c>
      <c r="M122" s="2"/>
      <c r="N122" s="14">
        <f t="shared" si="25"/>
        <v>-975.30999999996857</v>
      </c>
      <c r="O122" s="15">
        <f>IFERROR(N122/N444, "NA")</f>
        <v>0.99999999999995526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148577.4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156595.09999999998</v>
      </c>
      <c r="U122" s="15">
        <f>IFERROR(T122/T444, "NA")</f>
        <v>0.99999999999999978</v>
      </c>
      <c r="V122" s="2"/>
      <c r="W122" s="14">
        <f t="shared" si="26"/>
        <v>-8017.6999999999825</v>
      </c>
      <c r="X122" s="15">
        <f>IFERROR(W122/W444, "NA")</f>
        <v>0.99999999999999634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149823.19</v>
      </c>
      <c r="AA122" s="15">
        <f>IFERROR(Z122/Z444, "NA")</f>
        <v>1</v>
      </c>
      <c r="AB122" s="2"/>
      <c r="AC122" s="14">
        <f t="shared" si="27"/>
        <v>-1245.7900000000081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75927.900000000009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80940.640000000014</v>
      </c>
      <c r="F124" s="15">
        <f>IFERROR(E124/E444, "NA")</f>
        <v>1.0000000000000002</v>
      </c>
      <c r="G124" s="2"/>
      <c r="H124" s="14">
        <f t="shared" si="24"/>
        <v>-5012.7400000000052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76903.209999999977</v>
      </c>
      <c r="L124" s="15">
        <f>IFERROR(K124/K444, "NA")</f>
        <v>0.99999999999999967</v>
      </c>
      <c r="M124" s="2"/>
      <c r="N124" s="14">
        <f t="shared" si="25"/>
        <v>-975.30999999996857</v>
      </c>
      <c r="O124" s="15">
        <f>IFERROR(N124/N444, "NA")</f>
        <v>0.99999999999995526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148577.4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156595.09999999998</v>
      </c>
      <c r="U124" s="15">
        <f>IFERROR(T124/T444, "NA")</f>
        <v>0.99999999999999978</v>
      </c>
      <c r="V124" s="2"/>
      <c r="W124" s="14">
        <f t="shared" si="26"/>
        <v>-8017.6999999999825</v>
      </c>
      <c r="X124" s="15">
        <f>IFERROR(W124/W444, "NA")</f>
        <v>0.99999999999999634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149823.19</v>
      </c>
      <c r="AA124" s="15">
        <f>IFERROR(Z124/Z444, "NA")</f>
        <v>1</v>
      </c>
      <c r="AB124" s="2"/>
      <c r="AC124" s="14">
        <f t="shared" si="27"/>
        <v>-1245.7900000000081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17321.29</v>
      </c>
      <c r="F129" s="8">
        <f>IFERROR(E129/E444, "NA")</f>
        <v>0.213999914011058</v>
      </c>
      <c r="G129" s="9"/>
      <c r="H129" s="10">
        <f t="shared" ref="H129:H141" si="28">IFERROR(-(B129-E129), "NA")</f>
        <v>17321.29</v>
      </c>
      <c r="I129" s="8">
        <f>IFERROR(H129/H444, "NA")</f>
        <v>-3.4554535044706056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34343.550000000003</v>
      </c>
      <c r="U129" s="8">
        <f>IFERROR(T129/T444, "NA")</f>
        <v>0.21931433359025923</v>
      </c>
      <c r="V129" s="9"/>
      <c r="W129" s="10">
        <f t="shared" ref="W129:W141" si="30">IFERROR(-(Q129-T129), "NA")</f>
        <v>34343.550000000003</v>
      </c>
      <c r="X129" s="8">
        <f>IFERROR(W129/W444, "NA")</f>
        <v>-4.2834665801913205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4177.49</v>
      </c>
      <c r="C130" s="8">
        <f>IFERROR(B130/B444, "NA")</f>
        <v>5.5019169501592961E-2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-4177.49</v>
      </c>
      <c r="I130" s="8">
        <f>IFERROR(H130/H444, "NA")</f>
        <v>0.83337456161699897</v>
      </c>
      <c r="J130" s="9"/>
      <c r="K130" s="7">
        <v>4901</v>
      </c>
      <c r="L130" s="8">
        <f>IFERROR(K130/K444, "NA")</f>
        <v>6.3729459407481162E-2</v>
      </c>
      <c r="M130" s="9"/>
      <c r="N130" s="10">
        <f t="shared" si="29"/>
        <v>723.51000000000022</v>
      </c>
      <c r="O130" s="8">
        <f>IFERROR(N130/N444, "NA")</f>
        <v>-0.74182567593892312</v>
      </c>
      <c r="P130" s="9"/>
      <c r="Q130" s="7">
        <v>7702.63</v>
      </c>
      <c r="R130" s="8">
        <f>IFERROR(Q130/Q444, "NA")</f>
        <v>5.1842541328627374E-2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-7702.63</v>
      </c>
      <c r="X130" s="8">
        <f>IFERROR(W130/W444, "NA")</f>
        <v>0.96070319418286898</v>
      </c>
      <c r="Y130" s="9"/>
      <c r="Z130" s="7">
        <v>8973.91</v>
      </c>
      <c r="AA130" s="8">
        <f>IFERROR(Z130/Z444, "NA")</f>
        <v>5.9896668866815612E-2</v>
      </c>
      <c r="AB130" s="9"/>
      <c r="AC130" s="10">
        <f t="shared" si="31"/>
        <v>1271.2799999999997</v>
      </c>
      <c r="AD130" s="8">
        <f>IFERROR(AC130/AC444, "NA")</f>
        <v>-1.0204609123527975</v>
      </c>
    </row>
    <row r="131" spans="1:30" ht="16.5" customHeight="1" x14ac:dyDescent="0.45">
      <c r="A131" s="12" t="s">
        <v>123</v>
      </c>
      <c r="B131" s="7">
        <v>2228.85</v>
      </c>
      <c r="C131" s="8">
        <f>IFERROR(B131/B444, "NA")</f>
        <v>2.9354822140478007E-2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-2228.85</v>
      </c>
      <c r="I131" s="8">
        <f>IFERROR(H131/H444, "NA")</f>
        <v>0.44463706475899362</v>
      </c>
      <c r="J131" s="9"/>
      <c r="K131" s="7">
        <v>2714.09</v>
      </c>
      <c r="L131" s="8">
        <f>IFERROR(K131/K444, "NA")</f>
        <v>3.5292284938431048E-2</v>
      </c>
      <c r="M131" s="9"/>
      <c r="N131" s="10">
        <f t="shared" si="29"/>
        <v>485.24000000000024</v>
      </c>
      <c r="O131" s="8">
        <f>IFERROR(N131/N444, "NA")</f>
        <v>-0.49752386420727168</v>
      </c>
      <c r="P131" s="9"/>
      <c r="Q131" s="7">
        <v>4400.87</v>
      </c>
      <c r="R131" s="8">
        <f>IFERROR(Q131/Q444, "NA")</f>
        <v>2.9620049886456487E-2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-4400.87</v>
      </c>
      <c r="X131" s="8">
        <f>IFERROR(W131/W444, "NA")</f>
        <v>0.54889432131409177</v>
      </c>
      <c r="Y131" s="9"/>
      <c r="Z131" s="7">
        <v>5520.48</v>
      </c>
      <c r="AA131" s="8">
        <f>IFERROR(Z131/Z444, "NA")</f>
        <v>3.6846632353776471E-2</v>
      </c>
      <c r="AB131" s="9"/>
      <c r="AC131" s="10">
        <f t="shared" si="31"/>
        <v>1119.6099999999997</v>
      </c>
      <c r="AD131" s="8">
        <f>IFERROR(AC131/AC444, "NA")</f>
        <v>-0.89871487168783848</v>
      </c>
    </row>
    <row r="132" spans="1:30" ht="16.5" customHeight="1" x14ac:dyDescent="0.45">
      <c r="A132" s="12" t="s">
        <v>124</v>
      </c>
      <c r="B132" s="7">
        <v>2441.64</v>
      </c>
      <c r="C132" s="8">
        <f>IFERROR(B132/B444, "NA")</f>
        <v>3.2157349274772512E-2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-2441.64</v>
      </c>
      <c r="I132" s="8">
        <f>IFERROR(H132/H444, "NA")</f>
        <v>0.48708690257224541</v>
      </c>
      <c r="J132" s="9"/>
      <c r="K132" s="7">
        <v>2702.33</v>
      </c>
      <c r="L132" s="8">
        <f>IFERROR(K132/K444, "NA")</f>
        <v>3.5139365443913197E-2</v>
      </c>
      <c r="M132" s="9"/>
      <c r="N132" s="10">
        <f t="shared" si="29"/>
        <v>260.69000000000005</v>
      </c>
      <c r="O132" s="8">
        <f>IFERROR(N132/N444, "NA")</f>
        <v>-0.26728937466036112</v>
      </c>
      <c r="P132" s="9"/>
      <c r="Q132" s="7">
        <v>4465.46</v>
      </c>
      <c r="R132" s="8">
        <f>IFERROR(Q132/Q444, "NA")</f>
        <v>3.005477279855483E-2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-4465.46</v>
      </c>
      <c r="X132" s="8">
        <f>IFERROR(W132/W444, "NA")</f>
        <v>0.55695024757723455</v>
      </c>
      <c r="Y132" s="9"/>
      <c r="Z132" s="7">
        <v>5566.43</v>
      </c>
      <c r="AA132" s="8">
        <f>IFERROR(Z132/Z444, "NA")</f>
        <v>3.7153327198546499E-2</v>
      </c>
      <c r="AB132" s="9"/>
      <c r="AC132" s="10">
        <f t="shared" si="31"/>
        <v>1100.9700000000003</v>
      </c>
      <c r="AD132" s="8">
        <f>IFERROR(AC132/AC444, "NA")</f>
        <v>-0.88375247834706738</v>
      </c>
    </row>
    <row r="133" spans="1:30" ht="16.5" customHeight="1" x14ac:dyDescent="0.45">
      <c r="A133" s="12" t="s">
        <v>125</v>
      </c>
      <c r="B133" s="7">
        <v>1839.49</v>
      </c>
      <c r="C133" s="8">
        <f>IFERROR(B133/B444, "NA")</f>
        <v>2.4226799371509025E-2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-1839.49</v>
      </c>
      <c r="I133" s="8">
        <f>IFERROR(H133/H444, "NA")</f>
        <v>0.36696297833121166</v>
      </c>
      <c r="J133" s="9"/>
      <c r="K133" s="7">
        <v>2057.4699999999998</v>
      </c>
      <c r="L133" s="8">
        <f>IFERROR(K133/K444, "NA")</f>
        <v>2.6754019760683586E-2</v>
      </c>
      <c r="M133" s="9"/>
      <c r="N133" s="10">
        <f t="shared" si="29"/>
        <v>217.97999999999979</v>
      </c>
      <c r="O133" s="8">
        <f>IFERROR(N133/N444, "NA")</f>
        <v>-0.22349816981267193</v>
      </c>
      <c r="P133" s="9"/>
      <c r="Q133" s="7">
        <v>3506.22</v>
      </c>
      <c r="R133" s="8">
        <f>IFERROR(Q133/Q444, "NA")</f>
        <v>2.3598609209745224E-2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-3506.22</v>
      </c>
      <c r="X133" s="8">
        <f>IFERROR(W133/W444, "NA")</f>
        <v>0.43730995173179277</v>
      </c>
      <c r="Y133" s="9"/>
      <c r="Z133" s="7">
        <v>3962.88</v>
      </c>
      <c r="AA133" s="8">
        <f>IFERROR(Z133/Z444, "NA")</f>
        <v>2.6450377942159688E-2</v>
      </c>
      <c r="AB133" s="9"/>
      <c r="AC133" s="10">
        <f t="shared" si="31"/>
        <v>456.66000000000031</v>
      </c>
      <c r="AD133" s="8">
        <f>IFERROR(AC133/AC444, "NA")</f>
        <v>-0.36656258277879683</v>
      </c>
    </row>
    <row r="134" spans="1:30" ht="16.5" customHeight="1" x14ac:dyDescent="0.45">
      <c r="A134" s="12" t="s">
        <v>126</v>
      </c>
      <c r="B134" s="7">
        <v>906.07</v>
      </c>
      <c r="C134" s="8">
        <f>IFERROR(B134/B444, "NA")</f>
        <v>1.1933294612388861E-2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-906.07</v>
      </c>
      <c r="I134" s="8">
        <f>IFERROR(H134/H444, "NA")</f>
        <v>0.18075344023428286</v>
      </c>
      <c r="J134" s="9"/>
      <c r="K134" s="7">
        <v>672.77</v>
      </c>
      <c r="L134" s="8">
        <f>IFERROR(K134/K444, "NA")</f>
        <v>8.748269415541951E-3</v>
      </c>
      <c r="M134" s="9"/>
      <c r="N134" s="10">
        <f t="shared" si="29"/>
        <v>-233.30000000000007</v>
      </c>
      <c r="O134" s="8">
        <f>IFERROR(N134/N444, "NA")</f>
        <v>0.23920599604228107</v>
      </c>
      <c r="P134" s="9"/>
      <c r="Q134" s="7">
        <v>1887.54</v>
      </c>
      <c r="R134" s="8">
        <f>IFERROR(Q134/Q444, "NA")</f>
        <v>1.2704085547330886E-2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-1887.54</v>
      </c>
      <c r="X134" s="8">
        <f>IFERROR(W134/W444, "NA")</f>
        <v>0.23542162964441141</v>
      </c>
      <c r="Y134" s="9"/>
      <c r="Z134" s="7">
        <v>1263.8399999999999</v>
      </c>
      <c r="AA134" s="8">
        <f>IFERROR(Z134/Z444, "NA")</f>
        <v>8.4355432560206459E-3</v>
      </c>
      <c r="AB134" s="9"/>
      <c r="AC134" s="10">
        <f t="shared" si="31"/>
        <v>-623.70000000000005</v>
      </c>
      <c r="AD134" s="8">
        <f>IFERROR(AC134/AC444, "NA")</f>
        <v>0.50064617632184871</v>
      </c>
    </row>
    <row r="135" spans="1:30" ht="16.5" customHeight="1" x14ac:dyDescent="0.45">
      <c r="A135" s="12" t="s">
        <v>127</v>
      </c>
      <c r="B135" s="7">
        <v>485.18</v>
      </c>
      <c r="C135" s="8">
        <f>IFERROR(B135/B444, "NA")</f>
        <v>6.3900094695098905E-3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-485.18</v>
      </c>
      <c r="I135" s="8">
        <f>IFERROR(H135/H444, "NA")</f>
        <v>9.678938065808311E-2</v>
      </c>
      <c r="J135" s="9"/>
      <c r="K135" s="7">
        <v>644.09</v>
      </c>
      <c r="L135" s="8">
        <f>IFERROR(K135/K444, "NA")</f>
        <v>8.3753330972790342E-3</v>
      </c>
      <c r="M135" s="9"/>
      <c r="N135" s="10">
        <f t="shared" si="29"/>
        <v>158.91000000000003</v>
      </c>
      <c r="O135" s="8">
        <f>IFERROR(N135/N444, "NA")</f>
        <v>-0.16293281110621036</v>
      </c>
      <c r="P135" s="9"/>
      <c r="Q135" s="7">
        <v>1090.3699999999999</v>
      </c>
      <c r="R135" s="8">
        <f>IFERROR(Q135/Q444, "NA")</f>
        <v>7.3387338855034475E-3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-1090.3699999999999</v>
      </c>
      <c r="X135" s="8">
        <f>IFERROR(W135/W444, "NA")</f>
        <v>0.13599536026541256</v>
      </c>
      <c r="Y135" s="9"/>
      <c r="Z135" s="7">
        <v>1150.3599999999999</v>
      </c>
      <c r="AA135" s="8">
        <f>IFERROR(Z135/Z444, "NA")</f>
        <v>7.6781171192523657E-3</v>
      </c>
      <c r="AB135" s="9"/>
      <c r="AC135" s="10">
        <f t="shared" si="31"/>
        <v>59.990000000000009</v>
      </c>
      <c r="AD135" s="8">
        <f>IFERROR(AC135/AC444, "NA")</f>
        <v>-4.8154183289318114E-2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597.98</v>
      </c>
      <c r="L136" s="8">
        <f>IFERROR(K136/K444, "NA")</f>
        <v>7.7757482424985896E-3</v>
      </c>
      <c r="M136" s="9"/>
      <c r="N136" s="10">
        <f t="shared" si="29"/>
        <v>597.98</v>
      </c>
      <c r="O136" s="8">
        <f>IFERROR(N136/N444, "NA")</f>
        <v>-0.61311788046876636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1097.95</v>
      </c>
      <c r="AA136" s="8">
        <f>IFERROR(Z136/Z444, "NA")</f>
        <v>7.3283047837921491E-3</v>
      </c>
      <c r="AB136" s="9"/>
      <c r="AC136" s="10">
        <f t="shared" si="31"/>
        <v>1097.95</v>
      </c>
      <c r="AD136" s="8">
        <f>IFERROR(AC136/AC444, "NA")</f>
        <v>-0.8813283137607405</v>
      </c>
    </row>
    <row r="137" spans="1:30" ht="16.5" customHeight="1" x14ac:dyDescent="0.45">
      <c r="A137" s="12" t="s">
        <v>129</v>
      </c>
      <c r="B137" s="7">
        <v>484.47</v>
      </c>
      <c r="C137" s="8">
        <f>IFERROR(B137/B444, "NA")</f>
        <v>6.3806584931230823E-3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-484.47</v>
      </c>
      <c r="I137" s="8">
        <f>IFERROR(H137/H444, "NA")</f>
        <v>9.6647741554518996E-2</v>
      </c>
      <c r="J137" s="9"/>
      <c r="K137" s="7">
        <v>688.96</v>
      </c>
      <c r="L137" s="8">
        <f>IFERROR(K137/K444, "NA")</f>
        <v>8.9587937876715422E-3</v>
      </c>
      <c r="M137" s="9"/>
      <c r="N137" s="10">
        <f t="shared" si="29"/>
        <v>204.49</v>
      </c>
      <c r="O137" s="8">
        <f>IFERROR(N137/N444, "NA")</f>
        <v>-0.20966667008438081</v>
      </c>
      <c r="P137" s="9"/>
      <c r="Q137" s="7">
        <v>828.25</v>
      </c>
      <c r="R137" s="8">
        <f>IFERROR(Q137/Q444, "NA")</f>
        <v>5.5745355619360682E-3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-828.25</v>
      </c>
      <c r="X137" s="8">
        <f>IFERROR(W137/W444, "NA")</f>
        <v>0.10330269279219711</v>
      </c>
      <c r="Y137" s="9"/>
      <c r="Z137" s="7">
        <v>1009.84</v>
      </c>
      <c r="AA137" s="8">
        <f>IFERROR(Z137/Z444, "NA")</f>
        <v>6.7402115787282332E-3</v>
      </c>
      <c r="AB137" s="9"/>
      <c r="AC137" s="10">
        <f t="shared" si="31"/>
        <v>181.59000000000003</v>
      </c>
      <c r="AD137" s="8">
        <f>IFERROR(AC137/AC444, "NA")</f>
        <v>-0.14576292954671241</v>
      </c>
    </row>
    <row r="138" spans="1:30" ht="16.5" customHeight="1" x14ac:dyDescent="0.45">
      <c r="A138" s="12" t="s">
        <v>130</v>
      </c>
      <c r="B138" s="7">
        <v>5391.26</v>
      </c>
      <c r="C138" s="8">
        <f>IFERROR(B138/B444, "NA")</f>
        <v>7.1004992894574986E-2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-5391.26</v>
      </c>
      <c r="I138" s="8">
        <f>IFERROR(H138/H444, "NA")</f>
        <v>1.0755115964522386</v>
      </c>
      <c r="J138" s="9"/>
      <c r="K138" s="7">
        <v>4436.1099999999997</v>
      </c>
      <c r="L138" s="8">
        <f>IFERROR(K138/K444, "NA")</f>
        <v>5.7684328131426495E-2</v>
      </c>
      <c r="M138" s="9"/>
      <c r="N138" s="10">
        <f t="shared" si="29"/>
        <v>-955.15000000000055</v>
      </c>
      <c r="O138" s="8">
        <f>IFERROR(N138/N444, "NA")</f>
        <v>0.97932964903465414</v>
      </c>
      <c r="P138" s="9"/>
      <c r="Q138" s="7">
        <v>10956.03</v>
      </c>
      <c r="R138" s="8">
        <f>IFERROR(Q138/Q444, "NA")</f>
        <v>7.3739545852868613E-2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-10956.03</v>
      </c>
      <c r="X138" s="8">
        <f>IFERROR(W138/W444, "NA")</f>
        <v>1.3664804120882528</v>
      </c>
      <c r="Y138" s="9"/>
      <c r="Z138" s="7">
        <v>8436.49</v>
      </c>
      <c r="AA138" s="8">
        <f>IFERROR(Z138/Z444, "NA")</f>
        <v>5.6309640717168014E-2</v>
      </c>
      <c r="AB138" s="9"/>
      <c r="AC138" s="10">
        <f t="shared" si="31"/>
        <v>-2519.5400000000009</v>
      </c>
      <c r="AD138" s="8">
        <f>IFERROR(AC138/AC444, "NA")</f>
        <v>2.0224435900111453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17954.449999999997</v>
      </c>
      <c r="C141" s="15">
        <f>IFERROR(B141/B444, "NA")</f>
        <v>0.2364670957579493</v>
      </c>
      <c r="D141" s="2"/>
      <c r="E141" s="14">
        <f>IFERROR(E129+E130+E131+E132+E133+E134+E135+E136+E137+E138+E139+E140, "NA")</f>
        <v>17321.29</v>
      </c>
      <c r="F141" s="15">
        <f>IFERROR(E141/E444, "NA")</f>
        <v>0.213999914011058</v>
      </c>
      <c r="G141" s="2"/>
      <c r="H141" s="14">
        <f t="shared" si="28"/>
        <v>-633.15999999999622</v>
      </c>
      <c r="I141" s="15">
        <f>IFERROR(H141/H444, "NA")</f>
        <v>0.12631016170796722</v>
      </c>
      <c r="J141" s="2"/>
      <c r="K141" s="14">
        <f>IFERROR(K129+K130+K131+K132+K133+K134+K135+K136+K137+K138+K139+K140, "NA")</f>
        <v>19414.8</v>
      </c>
      <c r="L141" s="15">
        <f>IFERROR(K141/K444, "NA")</f>
        <v>0.25245760222492658</v>
      </c>
      <c r="M141" s="2"/>
      <c r="N141" s="14">
        <f t="shared" si="29"/>
        <v>1460.3500000000022</v>
      </c>
      <c r="O141" s="15">
        <f>IFERROR(N141/N444, "NA")</f>
        <v>-1.4973188012016527</v>
      </c>
      <c r="P141" s="2"/>
      <c r="Q141" s="14">
        <f>IFERROR(Q129+Q130+Q131+Q132+Q133+Q134+Q135+Q136+Q137+Q138+Q139+Q140, "NA")</f>
        <v>34837.370000000003</v>
      </c>
      <c r="R141" s="15">
        <f>IFERROR(Q141/Q444, "NA")</f>
        <v>0.23447287407102294</v>
      </c>
      <c r="S141" s="2"/>
      <c r="T141" s="14">
        <f>IFERROR(T129+T130+T131+T132+T133+T134+T135+T136+T137+T138+T139+T140, "NA")</f>
        <v>34343.550000000003</v>
      </c>
      <c r="U141" s="15">
        <f>IFERROR(T141/T444, "NA")</f>
        <v>0.21931433359025923</v>
      </c>
      <c r="V141" s="2"/>
      <c r="W141" s="14">
        <f t="shared" si="30"/>
        <v>-493.81999999999971</v>
      </c>
      <c r="X141" s="15">
        <f>IFERROR(W141/W444, "NA")</f>
        <v>6.1591229404941439E-2</v>
      </c>
      <c r="Y141" s="2"/>
      <c r="Z141" s="14">
        <f>IFERROR(Z129+Z130+Z131+Z132+Z133+Z134+Z135+Z136+Z137+Z138+Z139+Z140, "NA")</f>
        <v>36982.18</v>
      </c>
      <c r="AA141" s="15">
        <f>IFERROR(Z141/Z444, "NA")</f>
        <v>0.24683882381625968</v>
      </c>
      <c r="AB141" s="2"/>
      <c r="AC141" s="14">
        <f t="shared" si="31"/>
        <v>2144.8099999999977</v>
      </c>
      <c r="AD141" s="15">
        <f>IFERROR(AC141/AC444, "NA")</f>
        <v>-1.7216465054302761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890.35</v>
      </c>
      <c r="F143" s="8">
        <f>IFERROR(E143/E444, "NA")</f>
        <v>1.1000036570009825E-2</v>
      </c>
      <c r="G143" s="9"/>
      <c r="H143" s="10">
        <f t="shared" ref="H143:H149" si="32">IFERROR(-(B143-E143), "NA")</f>
        <v>890.35</v>
      </c>
      <c r="I143" s="8">
        <f>IFERROR(H143/H444, "NA")</f>
        <v>-0.1776174307863562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1722.55</v>
      </c>
      <c r="U143" s="8">
        <f>IFERROR(T143/T444, "NA")</f>
        <v>1.1000024904993834E-2</v>
      </c>
      <c r="V143" s="9"/>
      <c r="W143" s="10">
        <f t="shared" ref="W143:W149" si="34">IFERROR(-(Q143-T143), "NA")</f>
        <v>1722.55</v>
      </c>
      <c r="X143" s="8">
        <f>IFERROR(W143/W444, "NA")</f>
        <v>-0.21484340895768081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837.91</v>
      </c>
      <c r="C144" s="8">
        <f>IFERROR(B144/B444, "NA")</f>
        <v>1.1035600879255189E-2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-837.91</v>
      </c>
      <c r="I144" s="8">
        <f>IFERROR(H144/H444, "NA")</f>
        <v>0.16715608629212747</v>
      </c>
      <c r="J144" s="9"/>
      <c r="K144" s="7">
        <v>807.13</v>
      </c>
      <c r="L144" s="8">
        <f>IFERROR(K144/K444, "NA")</f>
        <v>1.0495400647125131E-2</v>
      </c>
      <c r="M144" s="9"/>
      <c r="N144" s="10">
        <f t="shared" si="33"/>
        <v>-30.779999999999973</v>
      </c>
      <c r="O144" s="8">
        <f>IFERROR(N144/N444, "NA")</f>
        <v>3.1559196563143606E-2</v>
      </c>
      <c r="P144" s="9"/>
      <c r="Q144" s="7">
        <v>1838.92</v>
      </c>
      <c r="R144" s="8">
        <f>IFERROR(Q144/Q444, "NA")</f>
        <v>1.2376848699734953E-2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-1838.92</v>
      </c>
      <c r="X144" s="8">
        <f>IFERROR(W144/W444, "NA")</f>
        <v>0.22935754642852657</v>
      </c>
      <c r="Y144" s="9"/>
      <c r="Z144" s="7">
        <v>1884.71</v>
      </c>
      <c r="AA144" s="8">
        <f>IFERROR(Z144/Z444, "NA")</f>
        <v>1.2579561281534587E-2</v>
      </c>
      <c r="AB144" s="9"/>
      <c r="AC144" s="10">
        <f t="shared" si="35"/>
        <v>45.789999999999964</v>
      </c>
      <c r="AD144" s="8">
        <f>IFERROR(AC144/AC444, "NA")</f>
        <v>-3.6755793512549997E-2</v>
      </c>
    </row>
    <row r="145" spans="1:30" ht="16.5" customHeight="1" x14ac:dyDescent="0.45">
      <c r="A145" s="12" t="s">
        <v>136</v>
      </c>
      <c r="B145" s="7">
        <v>7.22</v>
      </c>
      <c r="C145" s="8">
        <f>IFERROR(B145/B444, "NA")</f>
        <v>9.5090210581354152E-5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-7.22</v>
      </c>
      <c r="I145" s="8">
        <f>IFERROR(H145/H444, "NA")</f>
        <v>1.4403300390604724E-3</v>
      </c>
      <c r="J145" s="9"/>
      <c r="K145" s="7">
        <v>37.340000000000003</v>
      </c>
      <c r="L145" s="8">
        <f>IFERROR(K145/K444, "NA")</f>
        <v>4.8554540181092572E-4</v>
      </c>
      <c r="M145" s="9"/>
      <c r="N145" s="10">
        <f t="shared" si="33"/>
        <v>30.120000000000005</v>
      </c>
      <c r="O145" s="8">
        <f>IFERROR(N145/N444, "NA")</f>
        <v>-3.0882488644635681E-2</v>
      </c>
      <c r="P145" s="9"/>
      <c r="Q145" s="7">
        <v>21.76</v>
      </c>
      <c r="R145" s="8">
        <f>IFERROR(Q145/Q444, "NA")</f>
        <v>1.4645565207090718E-4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-21.76</v>
      </c>
      <c r="X145" s="8">
        <f>IFERROR(W145/W444, "NA")</f>
        <v>2.7139952854309804E-3</v>
      </c>
      <c r="Y145" s="9"/>
      <c r="Z145" s="7">
        <v>82.91</v>
      </c>
      <c r="AA145" s="8">
        <f>IFERROR(Z145/Z444, "NA")</f>
        <v>5.5338562741855915E-4</v>
      </c>
      <c r="AB145" s="9"/>
      <c r="AC145" s="10">
        <f t="shared" si="35"/>
        <v>61.149999999999991</v>
      </c>
      <c r="AD145" s="8">
        <f>IFERROR(AC145/AC444, "NA")</f>
        <v>-4.9085319355589296E-2</v>
      </c>
    </row>
    <row r="146" spans="1:30" ht="16.5" customHeight="1" x14ac:dyDescent="0.45">
      <c r="A146" s="12" t="s">
        <v>137</v>
      </c>
      <c r="B146" s="7">
        <v>-14.95</v>
      </c>
      <c r="C146" s="8">
        <f>IFERROR(B146/B444, "NA")</f>
        <v>-1.968973196940782E-4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14.95</v>
      </c>
      <c r="I146" s="8">
        <f>IFERROR(H146/H444, "NA")</f>
        <v>-2.9824008426529171E-3</v>
      </c>
      <c r="J146" s="9"/>
      <c r="K146" s="7">
        <v>48.5</v>
      </c>
      <c r="L146" s="8">
        <f>IFERROR(K146/K444, "NA")</f>
        <v>6.3066288130235394E-4</v>
      </c>
      <c r="M146" s="9"/>
      <c r="N146" s="10">
        <f t="shared" si="33"/>
        <v>63.45</v>
      </c>
      <c r="O146" s="8">
        <f>IFERROR(N146/N444, "NA")</f>
        <v>-6.5056238529287311E-2</v>
      </c>
      <c r="P146" s="9"/>
      <c r="Q146" s="7">
        <v>14.95</v>
      </c>
      <c r="R146" s="8">
        <f>IFERROR(Q146/Q444, "NA")</f>
        <v>1.0062095581158373E-4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-14.95</v>
      </c>
      <c r="X146" s="8">
        <f>IFERROR(W146/W444, "NA")</f>
        <v>1.8646245182533617E-3</v>
      </c>
      <c r="Y146" s="9"/>
      <c r="Z146" s="7">
        <v>67.400000000000006</v>
      </c>
      <c r="AA146" s="8">
        <f>IFERROR(Z146/Z444, "NA")</f>
        <v>4.4986360255712084E-4</v>
      </c>
      <c r="AB146" s="9"/>
      <c r="AC146" s="10">
        <f t="shared" si="35"/>
        <v>52.45</v>
      </c>
      <c r="AD146" s="8">
        <f>IFERROR(AC146/AC444, "NA")</f>
        <v>-4.2101798858555341E-2</v>
      </c>
    </row>
    <row r="147" spans="1:30" ht="16.5" customHeight="1" x14ac:dyDescent="0.45">
      <c r="A147" s="12" t="s">
        <v>138</v>
      </c>
      <c r="B147" s="7">
        <v>0.34</v>
      </c>
      <c r="C147" s="8">
        <f>IFERROR(B147/B444, "NA")</f>
        <v>4.4779323542465952E-6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-0.34</v>
      </c>
      <c r="I147" s="8">
        <f>IFERROR(H147/H444, "NA")</f>
        <v>6.7827176354648292E-5</v>
      </c>
      <c r="J147" s="9"/>
      <c r="K147" s="7">
        <v>7.35</v>
      </c>
      <c r="L147" s="8">
        <f>IFERROR(K147/K444, "NA")</f>
        <v>9.5574684073655689E-5</v>
      </c>
      <c r="M147" s="9"/>
      <c r="N147" s="10">
        <f t="shared" si="33"/>
        <v>7.01</v>
      </c>
      <c r="O147" s="8">
        <f>IFERROR(N147/N444, "NA")</f>
        <v>-7.1874583465768955E-3</v>
      </c>
      <c r="P147" s="9"/>
      <c r="Q147" s="7">
        <v>22.05</v>
      </c>
      <c r="R147" s="8">
        <f>IFERROR(Q147/Q444, "NA")</f>
        <v>1.484074966986904E-4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-22.05</v>
      </c>
      <c r="X147" s="8">
        <f>IFERROR(W147/W444, "NA")</f>
        <v>2.750165259363654E-3</v>
      </c>
      <c r="Y147" s="9"/>
      <c r="Z147" s="7">
        <v>14.02</v>
      </c>
      <c r="AA147" s="8">
        <f>IFERROR(Z147/Z444, "NA")</f>
        <v>9.357696895921118E-5</v>
      </c>
      <c r="AB147" s="9"/>
      <c r="AC147" s="10">
        <f t="shared" si="35"/>
        <v>-8.0300000000000011</v>
      </c>
      <c r="AD147" s="8">
        <f>IFERROR(AC147/AC444, "NA")</f>
        <v>6.4457091484118097E-3</v>
      </c>
    </row>
    <row r="148" spans="1:30" ht="16.5" customHeight="1" x14ac:dyDescent="0.45">
      <c r="A148" s="13" t="s">
        <v>139</v>
      </c>
      <c r="B148" s="14">
        <f>IFERROR(B143+B144+B145+B146+B147, "NA")</f>
        <v>830.52</v>
      </c>
      <c r="C148" s="15">
        <f>IFERROR(B148/B444, "NA")</f>
        <v>1.0938271702496711E-2</v>
      </c>
      <c r="D148" s="2"/>
      <c r="E148" s="14">
        <f>IFERROR(E143+E144+E145+E146+E147, "NA")</f>
        <v>890.35</v>
      </c>
      <c r="F148" s="15">
        <f>IFERROR(E148/E444, "NA")</f>
        <v>1.1000036570009825E-2</v>
      </c>
      <c r="G148" s="2"/>
      <c r="H148" s="14">
        <f t="shared" si="32"/>
        <v>59.830000000000041</v>
      </c>
      <c r="I148" s="15">
        <f>IFERROR(H148/H444, "NA")</f>
        <v>-1.1935588121466499E-2</v>
      </c>
      <c r="J148" s="2"/>
      <c r="K148" s="14">
        <f>IFERROR(K143+K144+K145+K146+K147, "NA")</f>
        <v>900.32</v>
      </c>
      <c r="L148" s="15">
        <f>IFERROR(K148/K444, "NA")</f>
        <v>1.1707183614312068E-2</v>
      </c>
      <c r="M148" s="2"/>
      <c r="N148" s="14">
        <f t="shared" si="33"/>
        <v>69.800000000000068</v>
      </c>
      <c r="O148" s="15">
        <f>IFERROR(N148/N444, "NA")</f>
        <v>-7.1566988957356317E-2</v>
      </c>
      <c r="P148" s="2"/>
      <c r="Q148" s="14">
        <f>IFERROR(Q143+Q144+Q145+Q146+Q147, "NA")</f>
        <v>1897.68</v>
      </c>
      <c r="R148" s="15">
        <f>IFERROR(Q148/Q444, "NA")</f>
        <v>1.2772332804316135E-2</v>
      </c>
      <c r="S148" s="2"/>
      <c r="T148" s="14">
        <f>IFERROR(T143+T144+T145+T146+T147, "NA")</f>
        <v>1722.55</v>
      </c>
      <c r="U148" s="15">
        <f>IFERROR(T148/T444, "NA")</f>
        <v>1.1000024904993834E-2</v>
      </c>
      <c r="V148" s="2"/>
      <c r="W148" s="14">
        <f t="shared" si="34"/>
        <v>-175.13000000000011</v>
      </c>
      <c r="X148" s="15">
        <f>IFERROR(W148/W444, "NA")</f>
        <v>2.1842922533893742E-2</v>
      </c>
      <c r="Y148" s="2"/>
      <c r="Z148" s="14">
        <f>IFERROR(Z143+Z144+Z145+Z146+Z147, "NA")</f>
        <v>2049.0400000000004</v>
      </c>
      <c r="AA148" s="15">
        <f>IFERROR(Z148/Z444, "NA")</f>
        <v>1.3676387480469482E-2</v>
      </c>
      <c r="AB148" s="2"/>
      <c r="AC148" s="14">
        <f t="shared" si="35"/>
        <v>151.36000000000035</v>
      </c>
      <c r="AD148" s="15">
        <f>IFERROR(AC148/AC444, "NA")</f>
        <v>-0.12149720257828316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18784.969999999998</v>
      </c>
      <c r="C149" s="15">
        <f>IFERROR(B149/B444, "NA")</f>
        <v>0.247405367460446</v>
      </c>
      <c r="D149" s="2"/>
      <c r="E149" s="14">
        <f>IFERROR(E127+E129+E130+E131+E132+E133+E134+E135+E136+E137+E138+E139+E140+E143+E144+E145+E146+E147, "NA")</f>
        <v>18211.64</v>
      </c>
      <c r="F149" s="15">
        <f>IFERROR(E149/E444, "NA")</f>
        <v>0.22499995058106781</v>
      </c>
      <c r="G149" s="2"/>
      <c r="H149" s="14">
        <f t="shared" si="32"/>
        <v>-573.32999999999811</v>
      </c>
      <c r="I149" s="15">
        <f>IFERROR(H149/H444, "NA")</f>
        <v>0.11437457358650109</v>
      </c>
      <c r="J149" s="2"/>
      <c r="K149" s="14">
        <f>IFERROR(K127+K129+K130+K131+K132+K133+K134+K135+K136+K137+K138+K139+K140+K143+K144+K145+K146+K147, "NA")</f>
        <v>20315.12</v>
      </c>
      <c r="L149" s="15">
        <f>IFERROR(K149/K444, "NA")</f>
        <v>0.26416478583923869</v>
      </c>
      <c r="M149" s="2"/>
      <c r="N149" s="14">
        <f t="shared" si="33"/>
        <v>1530.1500000000015</v>
      </c>
      <c r="O149" s="15">
        <f>IFERROR(N149/N444, "NA")</f>
        <v>-1.5688857901590081</v>
      </c>
      <c r="P149" s="2"/>
      <c r="Q149" s="14">
        <f>IFERROR(Q127+Q129+Q130+Q131+Q132+Q133+Q134+Q135+Q136+Q137+Q138+Q139+Q140+Q143+Q144+Q145+Q146+Q147, "NA")</f>
        <v>36735.050000000003</v>
      </c>
      <c r="R149" s="15">
        <f>IFERROR(Q149/Q444, "NA")</f>
        <v>0.24724520687533907</v>
      </c>
      <c r="S149" s="2"/>
      <c r="T149" s="14">
        <f>IFERROR(T127+T129+T130+T131+T132+T133+T134+T135+T136+T137+T138+T139+T140+T143+T144+T145+T146+T147, "NA")</f>
        <v>36066.100000000006</v>
      </c>
      <c r="U149" s="15">
        <f>IFERROR(T149/T444, "NA")</f>
        <v>0.23031435849525309</v>
      </c>
      <c r="V149" s="2"/>
      <c r="W149" s="14">
        <f t="shared" si="34"/>
        <v>-668.94999999999709</v>
      </c>
      <c r="X149" s="15">
        <f>IFERROR(W149/W444, "NA")</f>
        <v>8.3434151938834841E-2</v>
      </c>
      <c r="Y149" s="2"/>
      <c r="Z149" s="14">
        <f>IFERROR(Z127+Z129+Z130+Z131+Z132+Z133+Z134+Z135+Z136+Z137+Z138+Z139+Z140+Z143+Z144+Z145+Z146+Z147, "NA")</f>
        <v>39031.22</v>
      </c>
      <c r="AA149" s="15">
        <f>IFERROR(Z149/Z444, "NA")</f>
        <v>0.26051521129672917</v>
      </c>
      <c r="AB149" s="2"/>
      <c r="AC149" s="14">
        <f t="shared" si="35"/>
        <v>2296.1699999999983</v>
      </c>
      <c r="AD149" s="15">
        <f>IFERROR(AC149/AC444, "NA")</f>
        <v>-1.8431437080085593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3399.51</v>
      </c>
      <c r="F153" s="8">
        <f>IFERROR(E153/E444, "NA")</f>
        <v>4.2000038546767114E-2</v>
      </c>
      <c r="G153" s="9"/>
      <c r="H153" s="10">
        <f t="shared" ref="H153:H158" si="36">IFERROR(-(B153-E153), "NA")</f>
        <v>3399.51</v>
      </c>
      <c r="I153" s="8">
        <f>IFERROR(H153/H444, "NA")</f>
        <v>-0.67817401261585408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6577</v>
      </c>
      <c r="U153" s="8">
        <f>IFERROR(T153/T444, "NA")</f>
        <v>4.2000037038195957E-2</v>
      </c>
      <c r="V153" s="9"/>
      <c r="W153" s="10">
        <f t="shared" ref="W153:W158" si="38">IFERROR(-(Q153-T153), "NA")</f>
        <v>6577</v>
      </c>
      <c r="X153" s="8">
        <f>IFERROR(W153/W444, "NA")</f>
        <v>-0.82031006398343542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2452.9899999999998</v>
      </c>
      <c r="C154" s="8">
        <f>IFERROR(B154/B444, "NA")</f>
        <v>3.2306833193068686E-2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-2452.9899999999998</v>
      </c>
      <c r="I154" s="8">
        <f>IFERROR(H154/H444, "NA")</f>
        <v>0.48935113331231966</v>
      </c>
      <c r="J154" s="9"/>
      <c r="K154" s="7">
        <v>2935.44</v>
      </c>
      <c r="L154" s="8">
        <f>IFERROR(K154/K444, "NA")</f>
        <v>3.817057831526148E-2</v>
      </c>
      <c r="M154" s="9"/>
      <c r="N154" s="10">
        <f t="shared" si="37"/>
        <v>482.45000000000027</v>
      </c>
      <c r="O154" s="8">
        <f>IFERROR(N154/N444, "NA")</f>
        <v>-0.49466323527903355</v>
      </c>
      <c r="P154" s="9"/>
      <c r="Q154" s="7">
        <v>4968.5</v>
      </c>
      <c r="R154" s="8">
        <f>IFERROR(Q154/Q444, "NA")</f>
        <v>3.344048287289992E-2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-4968.5</v>
      </c>
      <c r="X154" s="8">
        <f>IFERROR(W154/W444, "NA")</f>
        <v>0.61969143270513893</v>
      </c>
      <c r="Y154" s="9"/>
      <c r="Z154" s="7">
        <v>5334.86</v>
      </c>
      <c r="AA154" s="8">
        <f>IFERROR(Z154/Z444, "NA")</f>
        <v>3.5607705322520493E-2</v>
      </c>
      <c r="AB154" s="9"/>
      <c r="AC154" s="10">
        <f t="shared" si="39"/>
        <v>366.35999999999967</v>
      </c>
      <c r="AD154" s="8">
        <f>IFERROR(AC154/AC444, "NA")</f>
        <v>-0.29407845624061624</v>
      </c>
    </row>
    <row r="155" spans="1:30" ht="16.5" customHeight="1" x14ac:dyDescent="0.45">
      <c r="A155" s="12" t="s">
        <v>144</v>
      </c>
      <c r="B155" s="7">
        <v>1221.44</v>
      </c>
      <c r="C155" s="8">
        <f>IFERROR(B155/B444, "NA")</f>
        <v>1.6086840278738121E-2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-1221.44</v>
      </c>
      <c r="I155" s="8">
        <f>IFERROR(H155/H444, "NA")</f>
        <v>0.24366713613712238</v>
      </c>
      <c r="J155" s="9"/>
      <c r="K155" s="7">
        <v>787.23</v>
      </c>
      <c r="L155" s="8">
        <f>IFERROR(K155/K444, "NA")</f>
        <v>1.0236633815415506E-2</v>
      </c>
      <c r="M155" s="9"/>
      <c r="N155" s="10">
        <f t="shared" si="37"/>
        <v>-434.21000000000004</v>
      </c>
      <c r="O155" s="8">
        <f>IFERROR(N155/N444, "NA")</f>
        <v>0.4452020383262702</v>
      </c>
      <c r="P155" s="9"/>
      <c r="Q155" s="7">
        <v>1992.48</v>
      </c>
      <c r="R155" s="8">
        <f>IFERROR(Q155/Q444, "NA")</f>
        <v>1.3410384082639755E-2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-1992.48</v>
      </c>
      <c r="X155" s="8">
        <f>IFERROR(W155/W444, "NA")</f>
        <v>0.2485101712461176</v>
      </c>
      <c r="Y155" s="9"/>
      <c r="Z155" s="7">
        <v>1617.63</v>
      </c>
      <c r="AA155" s="8">
        <f>IFERROR(Z155/Z444, "NA")</f>
        <v>1.0796926697395778E-2</v>
      </c>
      <c r="AB155" s="9"/>
      <c r="AC155" s="10">
        <f t="shared" si="39"/>
        <v>-374.84999999999991</v>
      </c>
      <c r="AD155" s="8">
        <f>IFERROR(AC155/AC444, "NA")</f>
        <v>0.30089340900151507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3674.43</v>
      </c>
      <c r="C158" s="15">
        <f>IFERROR(B158/B444, "NA")</f>
        <v>4.8393673471806807E-2</v>
      </c>
      <c r="D158" s="2"/>
      <c r="E158" s="14">
        <f>IFERROR(E153+E154+E155+E156+E157, "NA")</f>
        <v>3399.51</v>
      </c>
      <c r="F158" s="15">
        <f>IFERROR(E158/E444, "NA")</f>
        <v>4.2000038546767114E-2</v>
      </c>
      <c r="G158" s="2"/>
      <c r="H158" s="14">
        <f t="shared" si="36"/>
        <v>-274.91999999999962</v>
      </c>
      <c r="I158" s="15">
        <f>IFERROR(H158/H444, "NA")</f>
        <v>5.4844256833587887E-2</v>
      </c>
      <c r="J158" s="2"/>
      <c r="K158" s="14">
        <f>IFERROR(K153+K154+K155+K156+K157, "NA")</f>
        <v>3722.67</v>
      </c>
      <c r="L158" s="15">
        <f>IFERROR(K158/K444, "NA")</f>
        <v>4.8407212130676988E-2</v>
      </c>
      <c r="M158" s="2"/>
      <c r="N158" s="14">
        <f t="shared" si="37"/>
        <v>48.240000000000236</v>
      </c>
      <c r="O158" s="15">
        <f>IFERROR(N158/N444, "NA")</f>
        <v>-4.946119695276336E-2</v>
      </c>
      <c r="P158" s="2"/>
      <c r="Q158" s="14">
        <f>IFERROR(Q153+Q154+Q155+Q156+Q157, "NA")</f>
        <v>6960.98</v>
      </c>
      <c r="R158" s="15">
        <f>IFERROR(Q158/Q444, "NA")</f>
        <v>4.6850866955539673E-2</v>
      </c>
      <c r="S158" s="2"/>
      <c r="T158" s="14">
        <f>IFERROR(T153+T154+T155+T156+T157, "NA")</f>
        <v>6577</v>
      </c>
      <c r="U158" s="15">
        <f>IFERROR(T158/T444, "NA")</f>
        <v>4.2000037038195957E-2</v>
      </c>
      <c r="V158" s="2"/>
      <c r="W158" s="14">
        <f t="shared" si="38"/>
        <v>-383.97999999999956</v>
      </c>
      <c r="X158" s="15">
        <f>IFERROR(W158/W444, "NA")</f>
        <v>4.789153996782107E-2</v>
      </c>
      <c r="Y158" s="2"/>
      <c r="Z158" s="14">
        <f>IFERROR(Z153+Z154+Z155+Z156+Z157, "NA")</f>
        <v>6952.49</v>
      </c>
      <c r="AA158" s="15">
        <f>IFERROR(Z158/Z444, "NA")</f>
        <v>4.6404632019916271E-2</v>
      </c>
      <c r="AB158" s="2"/>
      <c r="AC158" s="14">
        <f t="shared" si="39"/>
        <v>-8.4899999999997817</v>
      </c>
      <c r="AD158" s="15">
        <f>IFERROR(AC158/AC444, "NA")</f>
        <v>6.8149527608984874E-3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206.47</v>
      </c>
      <c r="C161" s="8">
        <f>IFERROR(B161/B444, "NA")</f>
        <v>2.7192902740626307E-3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-206.47</v>
      </c>
      <c r="I161" s="8">
        <f>IFERROR(H161/H444, "NA")</f>
        <v>4.1189050299835973E-2</v>
      </c>
      <c r="J161" s="9"/>
      <c r="K161" s="7">
        <v>404.78</v>
      </c>
      <c r="L161" s="8">
        <f>IFERROR(K161/K444, "NA")</f>
        <v>5.2634994039910676E-3</v>
      </c>
      <c r="M161" s="9"/>
      <c r="N161" s="10">
        <f t="shared" si="41"/>
        <v>198.30999999999997</v>
      </c>
      <c r="O161" s="8">
        <f>IFERROR(N161/N444, "NA")</f>
        <v>-0.20333022321107902</v>
      </c>
      <c r="P161" s="9"/>
      <c r="Q161" s="7">
        <v>506.89</v>
      </c>
      <c r="R161" s="8">
        <f>IFERROR(Q161/Q444, "NA")</f>
        <v>3.4116224944035906E-3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-506.89</v>
      </c>
      <c r="X161" s="8">
        <f>IFERROR(W161/W444, "NA")</f>
        <v>6.3221372712872675E-2</v>
      </c>
      <c r="Y161" s="9"/>
      <c r="Z161" s="7">
        <v>720.89</v>
      </c>
      <c r="AA161" s="8">
        <f>IFERROR(Z161/Z444, "NA")</f>
        <v>4.8116049324540477E-3</v>
      </c>
      <c r="AB161" s="9"/>
      <c r="AC161" s="10">
        <f t="shared" si="43"/>
        <v>214</v>
      </c>
      <c r="AD161" s="8">
        <f>IFERROR(AC161/AC444, "NA")</f>
        <v>-0.17177855015692742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206.47</v>
      </c>
      <c r="C166" s="15">
        <f>IFERROR(B166/B444, "NA")</f>
        <v>2.7192902740626307E-3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-206.47</v>
      </c>
      <c r="I166" s="15">
        <f>IFERROR(H166/H444, "NA")</f>
        <v>4.1189050299835973E-2</v>
      </c>
      <c r="J166" s="2"/>
      <c r="K166" s="14">
        <f>IFERROR(K160+K161+K162+K163+K164+K165, "NA")</f>
        <v>404.78</v>
      </c>
      <c r="L166" s="15">
        <f>IFERROR(K166/K444, "NA")</f>
        <v>5.2634994039910676E-3</v>
      </c>
      <c r="M166" s="2"/>
      <c r="N166" s="14">
        <f t="shared" si="41"/>
        <v>198.30999999999997</v>
      </c>
      <c r="O166" s="15">
        <f>IFERROR(N166/N444, "NA")</f>
        <v>-0.20333022321107902</v>
      </c>
      <c r="P166" s="2"/>
      <c r="Q166" s="14">
        <f>IFERROR(Q160+Q161+Q162+Q163+Q164+Q165, "NA")</f>
        <v>506.89</v>
      </c>
      <c r="R166" s="15">
        <f>IFERROR(Q166/Q444, "NA")</f>
        <v>3.4116224944035906E-3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-506.89</v>
      </c>
      <c r="X166" s="15">
        <f>IFERROR(W166/W444, "NA")</f>
        <v>6.3221372712872675E-2</v>
      </c>
      <c r="Y166" s="2"/>
      <c r="Z166" s="14">
        <f>IFERROR(Z160+Z161+Z162+Z163+Z164+Z165, "NA")</f>
        <v>720.89</v>
      </c>
      <c r="AA166" s="15">
        <f>IFERROR(Z166/Z444, "NA")</f>
        <v>4.8116049324540477E-3</v>
      </c>
      <c r="AB166" s="2"/>
      <c r="AC166" s="14">
        <f t="shared" si="43"/>
        <v>214</v>
      </c>
      <c r="AD166" s="15">
        <f>IFERROR(AC166/AC444, "NA")</f>
        <v>-0.17177855015692742</v>
      </c>
    </row>
    <row r="167" spans="1:30" ht="16.5" customHeight="1" x14ac:dyDescent="0.45">
      <c r="A167" s="6" t="s">
        <v>155</v>
      </c>
      <c r="B167" s="7">
        <v>113.34</v>
      </c>
      <c r="C167" s="8">
        <f>IFERROR(B167/B444, "NA")</f>
        <v>1.4927319206773796E-3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-113.34</v>
      </c>
      <c r="I167" s="8">
        <f>IFERROR(H167/H444, "NA")</f>
        <v>2.2610388729517168E-2</v>
      </c>
      <c r="J167" s="9"/>
      <c r="K167" s="7">
        <v>98.4</v>
      </c>
      <c r="L167" s="8">
        <f>IFERROR(K167/K444, "NA")</f>
        <v>1.2795304643330233E-3</v>
      </c>
      <c r="M167" s="9"/>
      <c r="N167" s="10">
        <f t="shared" si="41"/>
        <v>-14.939999999999998</v>
      </c>
      <c r="O167" s="8">
        <f>IFERROR(N167/N444, "NA")</f>
        <v>1.5318206518952753E-2</v>
      </c>
      <c r="P167" s="9"/>
      <c r="Q167" s="7">
        <v>237.94</v>
      </c>
      <c r="R167" s="8">
        <f>IFERROR(Q167/Q444, "NA")</f>
        <v>1.6014548646025573E-3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-237.94</v>
      </c>
      <c r="X167" s="8">
        <f>IFERROR(W167/W444, "NA")</f>
        <v>2.9676839991518721E-2</v>
      </c>
      <c r="Y167" s="9"/>
      <c r="Z167" s="7">
        <v>200.01</v>
      </c>
      <c r="AA167" s="8">
        <f>IFERROR(Z167/Z444, "NA")</f>
        <v>1.3349735778553373E-3</v>
      </c>
      <c r="AB167" s="9"/>
      <c r="AC167" s="10">
        <f t="shared" si="43"/>
        <v>-37.930000000000007</v>
      </c>
      <c r="AD167" s="8">
        <f>IFERROR(AC167/AC444, "NA")</f>
        <v>3.044654396005728E-2</v>
      </c>
    </row>
    <row r="168" spans="1:30" ht="16.5" customHeight="1" x14ac:dyDescent="0.45">
      <c r="A168" s="6" t="s">
        <v>156</v>
      </c>
      <c r="B168" s="7">
        <v>27</v>
      </c>
      <c r="C168" s="8">
        <f>IFERROR(B168/B444, "NA")</f>
        <v>3.5560051048428844E-4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-27</v>
      </c>
      <c r="I168" s="8">
        <f>IFERROR(H168/H444, "NA")</f>
        <v>5.3862757693397163E-3</v>
      </c>
      <c r="J168" s="9"/>
      <c r="K168" s="7">
        <v>41.8</v>
      </c>
      <c r="L168" s="8">
        <f>IFERROR(K168/K444, "NA")</f>
        <v>5.4354038017398747E-4</v>
      </c>
      <c r="M168" s="9"/>
      <c r="N168" s="10">
        <f t="shared" si="41"/>
        <v>14.799999999999997</v>
      </c>
      <c r="O168" s="8">
        <f>IFERROR(N168/N444, "NA")</f>
        <v>-1.5174662415026824E-2</v>
      </c>
      <c r="P168" s="9"/>
      <c r="Q168" s="7">
        <v>51.31</v>
      </c>
      <c r="R168" s="8">
        <f>IFERROR(Q168/Q444, "NA")</f>
        <v>3.4534188914330178E-4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-51.31</v>
      </c>
      <c r="X168" s="8">
        <f>IFERROR(W168/W444, "NA")</f>
        <v>6.3995909051224077E-3</v>
      </c>
      <c r="Y168" s="9"/>
      <c r="Z168" s="7">
        <v>80.599999999999994</v>
      </c>
      <c r="AA168" s="8">
        <f>IFERROR(Z168/Z444, "NA")</f>
        <v>5.379674535030258E-4</v>
      </c>
      <c r="AB168" s="9"/>
      <c r="AC168" s="10">
        <f t="shared" si="43"/>
        <v>29.289999999999992</v>
      </c>
      <c r="AD168" s="8">
        <f>IFERROR(AC168/AC444, "NA")</f>
        <v>-2.3511185673347677E-2</v>
      </c>
    </row>
    <row r="169" spans="1:30" ht="16.5" customHeight="1" x14ac:dyDescent="0.45">
      <c r="A169" s="6" t="s">
        <v>157</v>
      </c>
      <c r="B169" s="7">
        <v>-607.02</v>
      </c>
      <c r="C169" s="8">
        <f>IFERROR(B169/B444, "NA")</f>
        <v>-7.9946896990434353E-3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607.02</v>
      </c>
      <c r="I169" s="8">
        <f>IFERROR(H169/H444, "NA")</f>
        <v>-0.12109544879646647</v>
      </c>
      <c r="J169" s="9"/>
      <c r="K169" s="7">
        <v>-2256.6999999999998</v>
      </c>
      <c r="L169" s="8">
        <f>IFERROR(K169/K444, "NA")</f>
        <v>-2.9344678850206637E-2</v>
      </c>
      <c r="M169" s="9"/>
      <c r="N169" s="10">
        <f t="shared" si="41"/>
        <v>-1649.6799999999998</v>
      </c>
      <c r="O169" s="8">
        <f>IFERROR(N169/N444, "NA")</f>
        <v>1.6914416954609091</v>
      </c>
      <c r="P169" s="9"/>
      <c r="Q169" s="7">
        <v>-1590.16</v>
      </c>
      <c r="R169" s="8">
        <f>IFERROR(Q169/Q444, "NA")</f>
        <v>-1.0702569839019932E-2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1590.16</v>
      </c>
      <c r="X169" s="8">
        <f>IFERROR(W169/W444, "NA")</f>
        <v>-0.19833119223717496</v>
      </c>
      <c r="Y169" s="9"/>
      <c r="Z169" s="7">
        <v>-4417.1099999999997</v>
      </c>
      <c r="AA169" s="8">
        <f>IFERROR(Z169/Z444, "NA")</f>
        <v>-2.9482151594823203E-2</v>
      </c>
      <c r="AB169" s="9"/>
      <c r="AC169" s="10">
        <f t="shared" si="43"/>
        <v>-2826.95</v>
      </c>
      <c r="AD169" s="8">
        <f>IFERROR(AC169/AC444, "NA")</f>
        <v>2.2692026746080649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3414.22</v>
      </c>
      <c r="C170" s="15">
        <f>IFERROR(B170/B444, "NA")</f>
        <v>4.496660647798767E-2</v>
      </c>
      <c r="D170" s="2"/>
      <c r="E170" s="14">
        <f>IFERROR(E151+E153+E154+E155+E156+E157+E160+E161+E162+E163+E164+E165+E167+E168+E169, "NA")</f>
        <v>3399.51</v>
      </c>
      <c r="F170" s="15">
        <f>IFERROR(E170/E444, "NA")</f>
        <v>4.2000038546767114E-2</v>
      </c>
      <c r="G170" s="2"/>
      <c r="H170" s="14">
        <f t="shared" si="40"/>
        <v>-14.709999999999582</v>
      </c>
      <c r="I170" s="15">
        <f>IFERROR(H170/H444, "NA")</f>
        <v>2.9345228358142587E-3</v>
      </c>
      <c r="J170" s="2"/>
      <c r="K170" s="14">
        <f>IFERROR(K151+K153+K154+K155+K156+K157+K160+K161+K162+K163+K164+K165+K167+K168+K169, "NA")</f>
        <v>2010.9499999999998</v>
      </c>
      <c r="L170" s="15">
        <f>IFERROR(K170/K444, "NA")</f>
        <v>2.6149103528968421E-2</v>
      </c>
      <c r="M170" s="2"/>
      <c r="N170" s="14">
        <f t="shared" si="41"/>
        <v>-1403.27</v>
      </c>
      <c r="O170" s="15">
        <f>IFERROR(N170/N444, "NA")</f>
        <v>1.4387938194009928</v>
      </c>
      <c r="P170" s="2"/>
      <c r="Q170" s="14">
        <f>IFERROR(Q151+Q153+Q154+Q155+Q156+Q157+Q160+Q161+Q162+Q163+Q164+Q165+Q167+Q168+Q169, "NA")</f>
        <v>6166.96</v>
      </c>
      <c r="R170" s="15">
        <f>IFERROR(Q170/Q444, "NA")</f>
        <v>4.150671636466919E-2</v>
      </c>
      <c r="S170" s="2"/>
      <c r="T170" s="14">
        <f>IFERROR(T151+T153+T154+T155+T156+T157+T160+T161+T162+T163+T164+T165+T167+T168+T169, "NA")</f>
        <v>6577</v>
      </c>
      <c r="U170" s="15">
        <f>IFERROR(T170/T444, "NA")</f>
        <v>4.2000037038195957E-2</v>
      </c>
      <c r="V170" s="2"/>
      <c r="W170" s="14">
        <f t="shared" si="42"/>
        <v>410.03999999999996</v>
      </c>
      <c r="X170" s="15">
        <f>IFERROR(W170/W444, "NA")</f>
        <v>-5.1141848659840027E-2</v>
      </c>
      <c r="Y170" s="2"/>
      <c r="Z170" s="14">
        <f>IFERROR(Z151+Z153+Z154+Z155+Z156+Z157+Z160+Z161+Z162+Z163+Z164+Z165+Z167+Z168+Z169, "NA")</f>
        <v>3536.880000000001</v>
      </c>
      <c r="AA170" s="15">
        <f>IFERROR(Z170/Z444, "NA")</f>
        <v>2.3607026388905487E-2</v>
      </c>
      <c r="AB170" s="2"/>
      <c r="AC170" s="14">
        <f t="shared" si="43"/>
        <v>-2630.079999999999</v>
      </c>
      <c r="AD170" s="15">
        <f>IFERROR(AC170/AC444, "NA")</f>
        <v>2.1111744354987452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22199.19</v>
      </c>
      <c r="C171" s="15">
        <f>IFERROR(B171/B444, "NA")</f>
        <v>0.29237197393843373</v>
      </c>
      <c r="D171" s="2"/>
      <c r="E171" s="14">
        <f>IFERROR(E127+E129+E130+E131+E132+E133+E134+E135+E136+E137+E138+E139+E140+E143+E144+E145+E146+E147+E151+E153+E154+E155+E156+E157+E160+E161+E162+E163+E164+E165+E167+E168+E169, "NA")</f>
        <v>21611.15</v>
      </c>
      <c r="F171" s="15">
        <f>IFERROR(E171/E444, "NA")</f>
        <v>0.26699998912783496</v>
      </c>
      <c r="G171" s="2"/>
      <c r="H171" s="14">
        <f t="shared" si="40"/>
        <v>-588.03999999999724</v>
      </c>
      <c r="I171" s="15">
        <f>IFERROR(H171/H444, "NA")</f>
        <v>0.11730909642231527</v>
      </c>
      <c r="J171" s="2"/>
      <c r="K171" s="14">
        <f>IFERROR(K127+K129+K130+K131+K132+K133+K134+K135+K136+K137+K138+K139+K140+K143+K144+K145+K146+K147+K151+K153+K154+K155+K156+K157+K160+K161+K162+K163+K164+K165+K167+K168+K169, "NA")</f>
        <v>22326.069999999996</v>
      </c>
      <c r="L171" s="15">
        <f>IFERROR(K171/K444, "NA")</f>
        <v>0.29031388936820707</v>
      </c>
      <c r="M171" s="2"/>
      <c r="N171" s="14">
        <f t="shared" si="41"/>
        <v>126.87999999999738</v>
      </c>
      <c r="O171" s="15">
        <f>IFERROR(N171/N444, "NA")</f>
        <v>-0.13009197075801107</v>
      </c>
      <c r="P171" s="2"/>
      <c r="Q171" s="14">
        <f>IFERROR(Q127+Q129+Q130+Q131+Q132+Q133+Q134+Q135+Q136+Q137+Q138+Q139+Q140+Q143+Q144+Q145+Q146+Q147+Q151+Q153+Q154+Q155+Q156+Q157+Q160+Q161+Q162+Q163+Q164+Q165+Q167+Q168+Q169, "NA")</f>
        <v>42902.01</v>
      </c>
      <c r="R171" s="15">
        <f>IFERROR(Q171/Q444, "NA")</f>
        <v>0.28875192324000826</v>
      </c>
      <c r="S171" s="2"/>
      <c r="T171" s="14">
        <f>IFERROR(T127+T129+T130+T131+T132+T133+T134+T135+T136+T137+T138+T139+T140+T143+T144+T145+T146+T147+T151+T153+T154+T155+T156+T157+T160+T161+T162+T163+T164+T165+T167+T168+T169, "NA")</f>
        <v>42643.100000000006</v>
      </c>
      <c r="U171" s="15">
        <f>IFERROR(T171/T444, "NA")</f>
        <v>0.27231439553344905</v>
      </c>
      <c r="V171" s="2"/>
      <c r="W171" s="14">
        <f t="shared" si="42"/>
        <v>-258.90999999999622</v>
      </c>
      <c r="X171" s="15">
        <f>IFERROR(W171/W444, "NA")</f>
        <v>3.2292303278994704E-2</v>
      </c>
      <c r="Y171" s="2"/>
      <c r="Z171" s="14">
        <f>IFERROR(Z127+Z129+Z130+Z131+Z132+Z133+Z134+Z135+Z136+Z137+Z138+Z139+Z140+Z143+Z144+Z145+Z146+Z147+Z151+Z153+Z154+Z155+Z156+Z157+Z160+Z161+Z162+Z163+Z164+Z165+Z167+Z168+Z169, "NA")</f>
        <v>42568.1</v>
      </c>
      <c r="AA171" s="15">
        <f>IFERROR(Z171/Z444, "NA")</f>
        <v>0.28412223768563466</v>
      </c>
      <c r="AB171" s="2"/>
      <c r="AC171" s="14">
        <f t="shared" si="43"/>
        <v>-333.91000000000349</v>
      </c>
      <c r="AD171" s="15">
        <f>IFERROR(AC171/AC444, "NA")</f>
        <v>0.26803072749018803</v>
      </c>
    </row>
    <row r="172" spans="1:30" ht="16.5" customHeight="1" x14ac:dyDescent="0.45">
      <c r="A172" s="22" t="s">
        <v>160</v>
      </c>
      <c r="B172" s="23">
        <f>IFERROR(B124-B171, "NA")</f>
        <v>53728.710000000006</v>
      </c>
      <c r="C172" s="24">
        <f>IFERROR(B172/B444, "NA")</f>
        <v>0.7076280260615665</v>
      </c>
      <c r="D172" s="25"/>
      <c r="E172" s="23">
        <f>IFERROR(E124-E171, "NA")</f>
        <v>59329.490000000013</v>
      </c>
      <c r="F172" s="24">
        <f>IFERROR(E172/E444, "NA")</f>
        <v>0.73300001087216526</v>
      </c>
      <c r="G172" s="25"/>
      <c r="H172" s="23">
        <f>IFERROR(B172-E172, "NA")</f>
        <v>-5600.7800000000061</v>
      </c>
      <c r="I172" s="24">
        <f>IFERROR(H172/H444, "NA")</f>
        <v>1.117309096422316</v>
      </c>
      <c r="J172" s="25"/>
      <c r="K172" s="23">
        <f>IFERROR(K124-K171, "NA")</f>
        <v>54577.139999999985</v>
      </c>
      <c r="L172" s="24">
        <f>IFERROR(K172/K444, "NA")</f>
        <v>0.70968611063179265</v>
      </c>
      <c r="M172" s="25"/>
      <c r="N172" s="23">
        <f>IFERROR(B172-K172, "NA")</f>
        <v>-848.42999999997846</v>
      </c>
      <c r="O172" s="24">
        <f>IFERROR(N172/N444, "NA")</f>
        <v>0.86990802924195165</v>
      </c>
      <c r="P172" s="25"/>
      <c r="Q172" s="23">
        <f>IFERROR(Q124-Q171, "NA")</f>
        <v>105675.38999999998</v>
      </c>
      <c r="R172" s="24">
        <f>IFERROR(Q172/Q444, "NA")</f>
        <v>0.71124807675999169</v>
      </c>
      <c r="S172" s="25"/>
      <c r="T172" s="23">
        <f>IFERROR(T124-T171, "NA")</f>
        <v>113951.99999999997</v>
      </c>
      <c r="U172" s="24">
        <f>IFERROR(T172/T444, "NA")</f>
        <v>0.72768560446655073</v>
      </c>
      <c r="V172" s="25"/>
      <c r="W172" s="23">
        <f>IFERROR(Q172-T172, "NA")</f>
        <v>-8276.609999999986</v>
      </c>
      <c r="X172" s="24">
        <f>IFERROR(W172/W444, "NA")</f>
        <v>1.0322923032789919</v>
      </c>
      <c r="Y172" s="25"/>
      <c r="Z172" s="23">
        <f>IFERROR(Z124-Z171, "NA")</f>
        <v>107255.09</v>
      </c>
      <c r="AA172" s="24">
        <f>IFERROR(Z172/Z444, "NA")</f>
        <v>0.71587776231436528</v>
      </c>
      <c r="AB172" s="25"/>
      <c r="AC172" s="23">
        <f>IFERROR(Q172-Z172, "NA")</f>
        <v>-1579.7000000000116</v>
      </c>
      <c r="AD172" s="24">
        <f>IFERROR(AC172/AC444, "NA")</f>
        <v>1.2680307274901881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5846.16</v>
      </c>
      <c r="C178" s="8">
        <f>IFERROR(B178/B444, "NA")</f>
        <v>7.6996202976771386E-2</v>
      </c>
      <c r="D178" s="9"/>
      <c r="E178" s="7">
        <v>5846.16</v>
      </c>
      <c r="F178" s="8">
        <f>IFERROR(E178/E444, "NA")</f>
        <v>7.2227746160643161E-2</v>
      </c>
      <c r="G178" s="9"/>
      <c r="H178" s="10">
        <f t="shared" si="44"/>
        <v>0</v>
      </c>
      <c r="I178" s="8">
        <f>IFERROR(H178/H444, "NA")</f>
        <v>0</v>
      </c>
      <c r="J178" s="9"/>
      <c r="K178" s="7">
        <v>5846.16</v>
      </c>
      <c r="L178" s="8">
        <f>IFERROR(K178/K444, "NA")</f>
        <v>7.601971361143442E-2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11692.32</v>
      </c>
      <c r="R178" s="8">
        <f>IFERROR(Q178/Q444, "NA")</f>
        <v>7.8695144752835899E-2</v>
      </c>
      <c r="S178" s="9"/>
      <c r="T178" s="7">
        <v>11692.32</v>
      </c>
      <c r="U178" s="8">
        <f>IFERROR(T178/T444, "NA")</f>
        <v>7.466593782308642E-2</v>
      </c>
      <c r="V178" s="9"/>
      <c r="W178" s="10">
        <f t="shared" si="46"/>
        <v>0</v>
      </c>
      <c r="X178" s="8">
        <f>IFERROR(W178/W444, "NA")</f>
        <v>0</v>
      </c>
      <c r="Y178" s="9"/>
      <c r="Z178" s="7">
        <v>11692.32</v>
      </c>
      <c r="AA178" s="8">
        <f>IFERROR(Z178/Z444, "NA")</f>
        <v>7.8040789279683609E-2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15612.01</v>
      </c>
      <c r="C180" s="8">
        <f>IFERROR(B180/B444, "NA")</f>
        <v>0.20561624909947465</v>
      </c>
      <c r="D180" s="9"/>
      <c r="E180" s="7">
        <v>16188.13</v>
      </c>
      <c r="F180" s="8">
        <f>IFERROR(E180/E444, "NA")</f>
        <v>0.2000000247094661</v>
      </c>
      <c r="G180" s="9"/>
      <c r="H180" s="10">
        <f t="shared" si="44"/>
        <v>576.11999999999898</v>
      </c>
      <c r="I180" s="8">
        <f>IFERROR(H180/H444, "NA")</f>
        <v>-0.11493115541599971</v>
      </c>
      <c r="J180" s="9"/>
      <c r="K180" s="7">
        <v>16562.23</v>
      </c>
      <c r="L180" s="8">
        <f>IFERROR(K180/K444, "NA")</f>
        <v>0.21536461221839762</v>
      </c>
      <c r="M180" s="9"/>
      <c r="N180" s="10">
        <f t="shared" si="45"/>
        <v>950.21999999999935</v>
      </c>
      <c r="O180" s="8">
        <f>IFERROR(N180/N444, "NA")</f>
        <v>-0.97427484594640412</v>
      </c>
      <c r="P180" s="9"/>
      <c r="Q180" s="7">
        <v>29936.37</v>
      </c>
      <c r="R180" s="8">
        <f>IFERROR(Q180/Q444, "NA")</f>
        <v>0.20148669986148635</v>
      </c>
      <c r="S180" s="9"/>
      <c r="T180" s="7">
        <v>31319.03</v>
      </c>
      <c r="U180" s="8">
        <f>IFERROR(T180/T444, "NA")</f>
        <v>0.20000006385895852</v>
      </c>
      <c r="V180" s="9"/>
      <c r="W180" s="10">
        <f t="shared" si="46"/>
        <v>1382.6599999999999</v>
      </c>
      <c r="X180" s="8">
        <f>IFERROR(W180/W444, "NA")</f>
        <v>-0.17245095226810656</v>
      </c>
      <c r="Y180" s="9"/>
      <c r="Z180" s="7">
        <v>31239.25</v>
      </c>
      <c r="AA180" s="8">
        <f>IFERROR(Z180/Z444, "NA")</f>
        <v>0.20850744133801982</v>
      </c>
      <c r="AB180" s="9"/>
      <c r="AC180" s="10">
        <f t="shared" si="47"/>
        <v>1302.880000000001</v>
      </c>
      <c r="AD180" s="8">
        <f>IFERROR(AC180/AC444, "NA")</f>
        <v>-1.0458263431236343</v>
      </c>
    </row>
    <row r="181" spans="1:30" ht="16.5" customHeight="1" x14ac:dyDescent="0.45">
      <c r="A181" s="12" t="s">
        <v>166</v>
      </c>
      <c r="B181" s="7">
        <v>72.37</v>
      </c>
      <c r="C181" s="8">
        <f>IFERROR(B181/B444, "NA")</f>
        <v>9.5314107199066496E-4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-72.37</v>
      </c>
      <c r="I181" s="8">
        <f>IFERROR(H181/H444, "NA")</f>
        <v>1.4437213978782049E-2</v>
      </c>
      <c r="J181" s="9"/>
      <c r="K181" s="7">
        <v>0</v>
      </c>
      <c r="L181" s="8">
        <f>IFERROR(K181/K444, "NA")</f>
        <v>0</v>
      </c>
      <c r="M181" s="9"/>
      <c r="N181" s="10">
        <f t="shared" si="45"/>
        <v>-72.37</v>
      </c>
      <c r="O181" s="8">
        <f>IFERROR(N181/N444, "NA")</f>
        <v>7.4202048579425098E-2</v>
      </c>
      <c r="P181" s="9"/>
      <c r="Q181" s="7">
        <v>84.33</v>
      </c>
      <c r="R181" s="8">
        <f>IFERROR(Q181/Q444, "NA")</f>
        <v>5.6758295676193017E-4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-84.33</v>
      </c>
      <c r="X181" s="8">
        <f>IFERROR(W181/W444, "NA")</f>
        <v>1.0517978971525484E-2</v>
      </c>
      <c r="Y181" s="9"/>
      <c r="Z181" s="7">
        <v>0</v>
      </c>
      <c r="AA181" s="8">
        <f>IFERROR(Z181/Z444, "NA")</f>
        <v>0</v>
      </c>
      <c r="AB181" s="9"/>
      <c r="AC181" s="10">
        <f t="shared" si="47"/>
        <v>-84.33</v>
      </c>
      <c r="AD181" s="8">
        <f>IFERROR(AC181/AC444, "NA")</f>
        <v>6.7691986610905086E-2</v>
      </c>
    </row>
    <row r="182" spans="1:30" ht="16.5" customHeight="1" x14ac:dyDescent="0.45">
      <c r="A182" s="13" t="s">
        <v>167</v>
      </c>
      <c r="B182" s="14">
        <f>IFERROR(B177+B178+B179+B180+B181, "NA")</f>
        <v>21530.539999999997</v>
      </c>
      <c r="C182" s="15">
        <f>IFERROR(B182/B444, "NA")</f>
        <v>0.28356559314823665</v>
      </c>
      <c r="D182" s="2"/>
      <c r="E182" s="14">
        <f>IFERROR(E177+E178+E179+E180+E181, "NA")</f>
        <v>22034.29</v>
      </c>
      <c r="F182" s="15">
        <f>IFERROR(E182/E444, "NA")</f>
        <v>0.27222777087010924</v>
      </c>
      <c r="G182" s="2"/>
      <c r="H182" s="14">
        <f t="shared" si="44"/>
        <v>503.75000000000364</v>
      </c>
      <c r="I182" s="15">
        <f>IFERROR(H182/H444, "NA")</f>
        <v>-0.10049394143721858</v>
      </c>
      <c r="J182" s="2"/>
      <c r="K182" s="14">
        <f>IFERROR(K177+K178+K179+K180+K181, "NA")</f>
        <v>22408.39</v>
      </c>
      <c r="L182" s="15">
        <f>IFERROR(K182/K444, "NA")</f>
        <v>0.29138432582983204</v>
      </c>
      <c r="M182" s="2"/>
      <c r="N182" s="14">
        <f t="shared" si="45"/>
        <v>877.85000000000218</v>
      </c>
      <c r="O182" s="15">
        <f>IFERROR(N182/N444, "NA")</f>
        <v>-0.90007279736698198</v>
      </c>
      <c r="P182" s="2"/>
      <c r="Q182" s="14">
        <f>IFERROR(Q177+Q178+Q179+Q180+Q181, "NA")</f>
        <v>41713.020000000004</v>
      </c>
      <c r="R182" s="15">
        <f>IFERROR(Q182/Q444, "NA")</f>
        <v>0.28074942757108418</v>
      </c>
      <c r="S182" s="2"/>
      <c r="T182" s="14">
        <f>IFERROR(T177+T178+T179+T180+T181, "NA")</f>
        <v>43011.35</v>
      </c>
      <c r="U182" s="15">
        <f>IFERROR(T182/T444, "NA")</f>
        <v>0.27466600168204497</v>
      </c>
      <c r="V182" s="2"/>
      <c r="W182" s="14">
        <f t="shared" si="46"/>
        <v>1298.3299999999945</v>
      </c>
      <c r="X182" s="15">
        <f>IFERROR(W182/W444, "NA")</f>
        <v>-0.16193297329658038</v>
      </c>
      <c r="Y182" s="2"/>
      <c r="Z182" s="14">
        <f>IFERROR(Z177+Z178+Z179+Z180+Z181, "NA")</f>
        <v>42931.57</v>
      </c>
      <c r="AA182" s="15">
        <f>IFERROR(Z182/Z444, "NA")</f>
        <v>0.28654823061770346</v>
      </c>
      <c r="AB182" s="2"/>
      <c r="AC182" s="14">
        <f t="shared" si="47"/>
        <v>1218.5499999999956</v>
      </c>
      <c r="AD182" s="15">
        <f>IFERROR(AC182/AC444, "NA")</f>
        <v>-0.97813435651272496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350</v>
      </c>
      <c r="C184" s="8">
        <f>IFERROR(B184/B444, "NA")</f>
        <v>4.6096362470185535E-3</v>
      </c>
      <c r="D184" s="9"/>
      <c r="E184" s="7">
        <v>350</v>
      </c>
      <c r="F184" s="8">
        <f>IFERROR(E184/E444, "NA")</f>
        <v>4.3241565670842233E-3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500</v>
      </c>
      <c r="L184" s="8">
        <f>IFERROR(K184/K444, "NA")</f>
        <v>6.5016791886840612E-3</v>
      </c>
      <c r="M184" s="9"/>
      <c r="N184" s="10">
        <f t="shared" si="45"/>
        <v>150</v>
      </c>
      <c r="O184" s="8">
        <f>IFERROR(N184/N444, "NA")</f>
        <v>-0.15379725420635298</v>
      </c>
      <c r="P184" s="9"/>
      <c r="Q184" s="7">
        <v>700</v>
      </c>
      <c r="R184" s="8">
        <f>IFERROR(Q184/Q444, "NA")</f>
        <v>4.7113491015457268E-3</v>
      </c>
      <c r="S184" s="9"/>
      <c r="T184" s="7">
        <v>700</v>
      </c>
      <c r="U184" s="8">
        <f>IFERROR(T184/T444, "NA")</f>
        <v>4.4701270984852017E-3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1000</v>
      </c>
      <c r="AA184" s="8">
        <f>IFERROR(Z184/Z444, "NA")</f>
        <v>6.6745341625685586E-3</v>
      </c>
      <c r="AB184" s="9"/>
      <c r="AC184" s="10">
        <f t="shared" si="47"/>
        <v>300</v>
      </c>
      <c r="AD184" s="8">
        <f>IFERROR(AC184/AC444, "NA")</f>
        <v>-0.24081105162186087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1938.7</v>
      </c>
      <c r="C186" s="8">
        <f>IFERROR(B186/B444, "NA")</f>
        <v>2.5533433691699629E-2</v>
      </c>
      <c r="D186" s="9"/>
      <c r="E186" s="7">
        <v>2816.43</v>
      </c>
      <c r="F186" s="8">
        <f>IFERROR(E186/E444, "NA")</f>
        <v>3.4796240800665769E-2</v>
      </c>
      <c r="G186" s="9"/>
      <c r="H186" s="10">
        <f t="shared" ref="H186:H197" si="48">IFERROR(-(B186-E186), "NA")</f>
        <v>877.72999999999979</v>
      </c>
      <c r="I186" s="8">
        <f>IFERROR(H186/H444, "NA")</f>
        <v>-0.17509984559342773</v>
      </c>
      <c r="J186" s="9"/>
      <c r="K186" s="7">
        <v>2675.94</v>
      </c>
      <c r="L186" s="8">
        <f>IFERROR(K186/K444, "NA")</f>
        <v>3.4796206816334455E-2</v>
      </c>
      <c r="M186" s="9"/>
      <c r="N186" s="10">
        <f t="shared" ref="N186:N197" si="49">IFERROR(-(B186-K186), "NA")</f>
        <v>737.24</v>
      </c>
      <c r="O186" s="8">
        <f>IFERROR(N186/N444, "NA")</f>
        <v>-0.75590325127394442</v>
      </c>
      <c r="P186" s="9"/>
      <c r="Q186" s="7">
        <v>3793.85</v>
      </c>
      <c r="R186" s="8">
        <f>IFERROR(Q186/Q444, "NA")</f>
        <v>2.5534502555570365E-2</v>
      </c>
      <c r="S186" s="9"/>
      <c r="T186" s="7">
        <v>5287.31</v>
      </c>
      <c r="U186" s="8">
        <f>IFERROR(T186/T444, "NA")</f>
        <v>3.3764211012988272E-2</v>
      </c>
      <c r="V186" s="9"/>
      <c r="W186" s="10">
        <f t="shared" ref="W186:W197" si="50">IFERROR(-(Q186-T186), "NA")</f>
        <v>1493.4600000000005</v>
      </c>
      <c r="X186" s="8">
        <f>IFERROR(W186/W444, "NA")</f>
        <v>-0.18627037679134892</v>
      </c>
      <c r="Y186" s="9"/>
      <c r="Z186" s="7">
        <v>5057.51</v>
      </c>
      <c r="AA186" s="8">
        <f>IFERROR(Z186/Z444, "NA")</f>
        <v>3.3756523272532112E-2</v>
      </c>
      <c r="AB186" s="9"/>
      <c r="AC186" s="10">
        <f t="shared" ref="AC186:AC197" si="51">IFERROR(-(Q186-Z186), "NA")</f>
        <v>1263.6600000000003</v>
      </c>
      <c r="AD186" s="8">
        <f>IFERROR(AC186/AC444, "NA")</f>
        <v>-1.0143443116416027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1938.7</v>
      </c>
      <c r="C193" s="15">
        <f>IFERROR(B193/B444, "NA")</f>
        <v>2.5533433691699629E-2</v>
      </c>
      <c r="D193" s="2"/>
      <c r="E193" s="14">
        <f>IFERROR(E186+E187+E188+E189+E190+E191+E192, "NA")</f>
        <v>2816.43</v>
      </c>
      <c r="F193" s="15">
        <f>IFERROR(E193/E444, "NA")</f>
        <v>3.4796240800665769E-2</v>
      </c>
      <c r="G193" s="2"/>
      <c r="H193" s="14">
        <f t="shared" si="48"/>
        <v>877.72999999999979</v>
      </c>
      <c r="I193" s="15">
        <f>IFERROR(H193/H444, "NA")</f>
        <v>-0.17509984559342773</v>
      </c>
      <c r="J193" s="2"/>
      <c r="K193" s="14">
        <f>IFERROR(K186+K187+K188+K189+K190+K191+K192, "NA")</f>
        <v>2675.94</v>
      </c>
      <c r="L193" s="15">
        <f>IFERROR(K193/K444, "NA")</f>
        <v>3.4796206816334455E-2</v>
      </c>
      <c r="M193" s="2"/>
      <c r="N193" s="14">
        <f t="shared" si="49"/>
        <v>737.24</v>
      </c>
      <c r="O193" s="15">
        <f>IFERROR(N193/N444, "NA")</f>
        <v>-0.75590325127394442</v>
      </c>
      <c r="P193" s="2"/>
      <c r="Q193" s="14">
        <f>IFERROR(Q186+Q187+Q188+Q189+Q190+Q191+Q192, "NA")</f>
        <v>3793.85</v>
      </c>
      <c r="R193" s="15">
        <f>IFERROR(Q193/Q444, "NA")</f>
        <v>2.5534502555570365E-2</v>
      </c>
      <c r="S193" s="2"/>
      <c r="T193" s="14">
        <f>IFERROR(T186+T187+T188+T189+T190+T191+T192, "NA")</f>
        <v>5287.31</v>
      </c>
      <c r="U193" s="15">
        <f>IFERROR(T193/T444, "NA")</f>
        <v>3.3764211012988272E-2</v>
      </c>
      <c r="V193" s="2"/>
      <c r="W193" s="14">
        <f t="shared" si="50"/>
        <v>1493.4600000000005</v>
      </c>
      <c r="X193" s="15">
        <f>IFERROR(W193/W444, "NA")</f>
        <v>-0.18627037679134892</v>
      </c>
      <c r="Y193" s="2"/>
      <c r="Z193" s="14">
        <f>IFERROR(Z186+Z187+Z188+Z189+Z190+Z191+Z192, "NA")</f>
        <v>5057.51</v>
      </c>
      <c r="AA193" s="15">
        <f>IFERROR(Z193/Z444, "NA")</f>
        <v>3.3756523272532112E-2</v>
      </c>
      <c r="AB193" s="2"/>
      <c r="AC193" s="14">
        <f t="shared" si="51"/>
        <v>1263.6600000000003</v>
      </c>
      <c r="AD193" s="15">
        <f>IFERROR(AC193/AC444, "NA")</f>
        <v>-1.0143443116416027</v>
      </c>
    </row>
    <row r="194" spans="1:30" ht="16.5" customHeight="1" x14ac:dyDescent="0.45">
      <c r="A194" s="6" t="s">
        <v>178</v>
      </c>
      <c r="B194" s="7">
        <v>322</v>
      </c>
      <c r="C194" s="8">
        <f>IFERROR(B194/B444, "NA")</f>
        <v>4.2408653472570694E-3</v>
      </c>
      <c r="D194" s="9"/>
      <c r="E194" s="7">
        <v>179.07</v>
      </c>
      <c r="F194" s="8">
        <f>IFERROR(E194/E444, "NA")</f>
        <v>2.2123620470507767E-3</v>
      </c>
      <c r="G194" s="9"/>
      <c r="H194" s="10">
        <f t="shared" si="48"/>
        <v>-142.93</v>
      </c>
      <c r="I194" s="8">
        <f>IFERROR(H194/H444, "NA")</f>
        <v>2.8513347989323177E-2</v>
      </c>
      <c r="J194" s="9"/>
      <c r="K194" s="7">
        <v>292</v>
      </c>
      <c r="L194" s="8">
        <f>IFERROR(K194/K444, "NA")</f>
        <v>3.7969806461914915E-3</v>
      </c>
      <c r="M194" s="9"/>
      <c r="N194" s="10">
        <f t="shared" si="49"/>
        <v>-30</v>
      </c>
      <c r="O194" s="8">
        <f>IFERROR(N194/N444, "NA")</f>
        <v>3.0759450841270596E-2</v>
      </c>
      <c r="P194" s="9"/>
      <c r="Q194" s="7">
        <v>534</v>
      </c>
      <c r="R194" s="8">
        <f>IFERROR(Q194/Q444, "NA")</f>
        <v>3.5940863146077398E-3</v>
      </c>
      <c r="S194" s="9"/>
      <c r="T194" s="7">
        <v>349.69</v>
      </c>
      <c r="U194" s="8">
        <f>IFERROR(T194/T444, "NA")</f>
        <v>2.2330839215275572E-3</v>
      </c>
      <c r="V194" s="9"/>
      <c r="W194" s="10">
        <f t="shared" si="50"/>
        <v>-184.31</v>
      </c>
      <c r="X194" s="8">
        <f>IFERROR(W194/W444, "NA")</f>
        <v>2.2987889294934925E-2</v>
      </c>
      <c r="Y194" s="9"/>
      <c r="Z194" s="7">
        <v>504</v>
      </c>
      <c r="AA194" s="8">
        <f>IFERROR(Z194/Z444, "NA")</f>
        <v>3.3639652179345532E-3</v>
      </c>
      <c r="AB194" s="9"/>
      <c r="AC194" s="10">
        <f t="shared" si="51"/>
        <v>-30</v>
      </c>
      <c r="AD194" s="8">
        <f>IFERROR(AC194/AC444, "NA")</f>
        <v>2.4081105162186086E-2</v>
      </c>
    </row>
    <row r="195" spans="1:30" ht="16.5" customHeight="1" x14ac:dyDescent="0.45">
      <c r="A195" s="6" t="s">
        <v>179</v>
      </c>
      <c r="B195" s="7">
        <v>1679.71</v>
      </c>
      <c r="C195" s="8">
        <f>IFERROR(B195/B444, "NA")</f>
        <v>2.2122434572798669E-2</v>
      </c>
      <c r="D195" s="9"/>
      <c r="E195" s="7">
        <v>227</v>
      </c>
      <c r="F195" s="8">
        <f>IFERROR(E195/E444, "NA")</f>
        <v>2.8045244020803396E-3</v>
      </c>
      <c r="G195" s="9"/>
      <c r="H195" s="10">
        <f t="shared" si="48"/>
        <v>-1452.71</v>
      </c>
      <c r="I195" s="8">
        <f>IFERROR(H195/H444, "NA")</f>
        <v>0.28980358047694443</v>
      </c>
      <c r="J195" s="9"/>
      <c r="K195" s="7">
        <v>667.85</v>
      </c>
      <c r="L195" s="8">
        <f>IFERROR(K195/K444, "NA")</f>
        <v>8.6842928923253002E-3</v>
      </c>
      <c r="M195" s="9"/>
      <c r="N195" s="10">
        <f t="shared" si="49"/>
        <v>-1011.86</v>
      </c>
      <c r="O195" s="8">
        <f>IFERROR(N195/N444, "NA")</f>
        <v>1.0374752642749354</v>
      </c>
      <c r="P195" s="9"/>
      <c r="Q195" s="7">
        <v>3281.34</v>
      </c>
      <c r="R195" s="8">
        <f>IFERROR(Q195/Q444, "NA")</f>
        <v>2.2085054658380079E-2</v>
      </c>
      <c r="S195" s="9"/>
      <c r="T195" s="7">
        <v>453.96</v>
      </c>
      <c r="U195" s="8">
        <f>IFERROR(T195/T444, "NA")</f>
        <v>2.8989412823262027E-3</v>
      </c>
      <c r="V195" s="9"/>
      <c r="W195" s="10">
        <f t="shared" si="50"/>
        <v>-2827.38</v>
      </c>
      <c r="X195" s="8">
        <f>IFERROR(W195/W444, "NA")</f>
        <v>0.35264227895780537</v>
      </c>
      <c r="Y195" s="9"/>
      <c r="Z195" s="7">
        <v>879.43</v>
      </c>
      <c r="AA195" s="8">
        <f>IFERROR(Z195/Z444, "NA")</f>
        <v>5.8697855785876671E-3</v>
      </c>
      <c r="AB195" s="9"/>
      <c r="AC195" s="10">
        <f t="shared" si="51"/>
        <v>-2401.9100000000003</v>
      </c>
      <c r="AD195" s="8">
        <f>IFERROR(AC195/AC444, "NA")</f>
        <v>1.9280215766702129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25820.949999999997</v>
      </c>
      <c r="C196" s="15">
        <f>IFERROR(B196/B444, "NA")</f>
        <v>0.34007196300701059</v>
      </c>
      <c r="D196" s="2"/>
      <c r="E196" s="14">
        <f>IFERROR(E175+E177+E178+E179+E180+E181+E183+E184+E186+E187+E188+E189+E190+E191+E192+E194+E195, "NA")</f>
        <v>25606.79</v>
      </c>
      <c r="F196" s="15">
        <f>IFERROR(E196/E444, "NA")</f>
        <v>0.31636505468699039</v>
      </c>
      <c r="G196" s="2"/>
      <c r="H196" s="14">
        <f t="shared" si="48"/>
        <v>-214.15999999999622</v>
      </c>
      <c r="I196" s="15">
        <f>IFERROR(H196/H444, "NA")</f>
        <v>4.2723141435621233E-2</v>
      </c>
      <c r="J196" s="2"/>
      <c r="K196" s="14">
        <f>IFERROR(K175+K177+K178+K179+K180+K181+K183+K184+K186+K187+K188+K189+K190+K191+K192+K194+K195, "NA")</f>
        <v>26544.179999999997</v>
      </c>
      <c r="L196" s="15">
        <f>IFERROR(K196/K444, "NA")</f>
        <v>0.34516348537336733</v>
      </c>
      <c r="M196" s="2"/>
      <c r="N196" s="14">
        <f t="shared" si="49"/>
        <v>723.22999999999956</v>
      </c>
      <c r="O196" s="15">
        <f>IFERROR(N196/N444, "NA")</f>
        <v>-0.74153858773107062</v>
      </c>
      <c r="P196" s="2"/>
      <c r="Q196" s="14">
        <f>IFERROR(Q175+Q177+Q178+Q179+Q180+Q181+Q183+Q184+Q186+Q187+Q188+Q189+Q190+Q191+Q192+Q194+Q195, "NA")</f>
        <v>50022.210000000006</v>
      </c>
      <c r="R196" s="15">
        <f>IFERROR(Q196/Q444, "NA")</f>
        <v>0.33667442020118815</v>
      </c>
      <c r="S196" s="2"/>
      <c r="T196" s="14">
        <f>IFERROR(T175+T177+T178+T179+T180+T181+T183+T184+T186+T187+T188+T189+T190+T191+T192+T194+T195, "NA")</f>
        <v>49802.31</v>
      </c>
      <c r="U196" s="15">
        <f>IFERROR(T196/T444, "NA")</f>
        <v>0.3180323649973722</v>
      </c>
      <c r="V196" s="2"/>
      <c r="W196" s="14">
        <f t="shared" si="50"/>
        <v>-219.90000000000873</v>
      </c>
      <c r="X196" s="15">
        <f>IFERROR(W196/W444, "NA")</f>
        <v>2.7426818164811406E-2</v>
      </c>
      <c r="Y196" s="2"/>
      <c r="Z196" s="14">
        <f>IFERROR(Z175+Z177+Z178+Z179+Z180+Z181+Z183+Z184+Z186+Z187+Z188+Z189+Z190+Z191+Z192+Z194+Z195, "NA")</f>
        <v>50372.51</v>
      </c>
      <c r="AA196" s="15">
        <f>IFERROR(Z196/Z444, "NA")</f>
        <v>0.33621303884932635</v>
      </c>
      <c r="AB196" s="2"/>
      <c r="AC196" s="14">
        <f t="shared" si="51"/>
        <v>350.29999999999563</v>
      </c>
      <c r="AD196" s="15">
        <f>IFERROR(AC196/AC444, "NA")</f>
        <v>-0.28118703794378935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25820.949999999997</v>
      </c>
      <c r="C197" s="15">
        <f>IFERROR(B197/B444, "NA")</f>
        <v>0.34007196300701059</v>
      </c>
      <c r="D197" s="2"/>
      <c r="E197" s="14">
        <f>IFERROR(E175+E177+E178+E179+E180+E181+E183+E184+E186+E187+E188+E189+E190+E191+E192+E194+E195, "NA")</f>
        <v>25606.79</v>
      </c>
      <c r="F197" s="15">
        <f>IFERROR(E197/E444, "NA")</f>
        <v>0.31636505468699039</v>
      </c>
      <c r="G197" s="2"/>
      <c r="H197" s="14">
        <f t="shared" si="48"/>
        <v>-214.15999999999622</v>
      </c>
      <c r="I197" s="15">
        <f>IFERROR(H197/H444, "NA")</f>
        <v>4.2723141435621233E-2</v>
      </c>
      <c r="J197" s="2"/>
      <c r="K197" s="14">
        <f>IFERROR(K175+K177+K178+K179+K180+K181+K183+K184+K186+K187+K188+K189+K190+K191+K192+K194+K195, "NA")</f>
        <v>26544.179999999997</v>
      </c>
      <c r="L197" s="15">
        <f>IFERROR(K197/K444, "NA")</f>
        <v>0.34516348537336733</v>
      </c>
      <c r="M197" s="2"/>
      <c r="N197" s="14">
        <f t="shared" si="49"/>
        <v>723.22999999999956</v>
      </c>
      <c r="O197" s="15">
        <f>IFERROR(N197/N444, "NA")</f>
        <v>-0.74153858773107062</v>
      </c>
      <c r="P197" s="2"/>
      <c r="Q197" s="14">
        <f>IFERROR(Q175+Q177+Q178+Q179+Q180+Q181+Q183+Q184+Q186+Q187+Q188+Q189+Q190+Q191+Q192+Q194+Q195, "NA")</f>
        <v>50022.210000000006</v>
      </c>
      <c r="R197" s="15">
        <f>IFERROR(Q197/Q444, "NA")</f>
        <v>0.33667442020118815</v>
      </c>
      <c r="S197" s="2"/>
      <c r="T197" s="14">
        <f>IFERROR(T175+T177+T178+T179+T180+T181+T183+T184+T186+T187+T188+T189+T190+T191+T192+T194+T195, "NA")</f>
        <v>49802.31</v>
      </c>
      <c r="U197" s="15">
        <f>IFERROR(T197/T444, "NA")</f>
        <v>0.3180323649973722</v>
      </c>
      <c r="V197" s="2"/>
      <c r="W197" s="14">
        <f t="shared" si="50"/>
        <v>-219.90000000000873</v>
      </c>
      <c r="X197" s="15">
        <f>IFERROR(W197/W444, "NA")</f>
        <v>2.7426818164811406E-2</v>
      </c>
      <c r="Y197" s="2"/>
      <c r="Z197" s="14">
        <f>IFERROR(Z175+Z177+Z178+Z179+Z180+Z181+Z183+Z184+Z186+Z187+Z188+Z189+Z190+Z191+Z192+Z194+Z195, "NA")</f>
        <v>50372.51</v>
      </c>
      <c r="AA197" s="15">
        <f>IFERROR(Z197/Z444, "NA")</f>
        <v>0.33621303884932635</v>
      </c>
      <c r="AB197" s="2"/>
      <c r="AC197" s="14">
        <f t="shared" si="51"/>
        <v>350.29999999999563</v>
      </c>
      <c r="AD197" s="15">
        <f>IFERROR(AC197/AC444, "NA")</f>
        <v>-0.28118703794378935</v>
      </c>
    </row>
    <row r="198" spans="1:30" ht="16.5" customHeight="1" x14ac:dyDescent="0.45">
      <c r="A198" s="22" t="s">
        <v>181</v>
      </c>
      <c r="B198" s="23">
        <f>IFERROR(B172-B197, "NA")</f>
        <v>27907.760000000009</v>
      </c>
      <c r="C198" s="24">
        <f>IFERROR(B198/B444, "NA")</f>
        <v>0.36755606305455585</v>
      </c>
      <c r="D198" s="25"/>
      <c r="E198" s="23">
        <f>IFERROR(E172-E197, "NA")</f>
        <v>33722.700000000012</v>
      </c>
      <c r="F198" s="24">
        <f>IFERROR(E198/E444, "NA")</f>
        <v>0.41663495618517488</v>
      </c>
      <c r="G198" s="25"/>
      <c r="H198" s="23">
        <f>IFERROR(B198-E198, "NA")</f>
        <v>-5814.9400000000023</v>
      </c>
      <c r="I198" s="24">
        <f>IFERROR(H198/H444, "NA")</f>
        <v>1.1600322378579373</v>
      </c>
      <c r="J198" s="25"/>
      <c r="K198" s="23">
        <f>IFERROR(K172-K197, "NA")</f>
        <v>28032.959999999988</v>
      </c>
      <c r="L198" s="24">
        <f>IFERROR(K198/K444, "NA")</f>
        <v>0.36452262525842533</v>
      </c>
      <c r="M198" s="25"/>
      <c r="N198" s="23">
        <f>IFERROR(B198-K198, "NA")</f>
        <v>-125.1999999999789</v>
      </c>
      <c r="O198" s="24">
        <f>IFERROR(N198/N444, "NA")</f>
        <v>0.12836944151088098</v>
      </c>
      <c r="P198" s="25"/>
      <c r="Q198" s="23">
        <f>IFERROR(Q172-Q197, "NA")</f>
        <v>55653.179999999978</v>
      </c>
      <c r="R198" s="24">
        <f>IFERROR(Q198/Q444, "NA")</f>
        <v>0.37457365655880359</v>
      </c>
      <c r="S198" s="25"/>
      <c r="T198" s="23">
        <f>IFERROR(T172-T197, "NA")</f>
        <v>64149.689999999973</v>
      </c>
      <c r="U198" s="24">
        <f>IFERROR(T198/T444, "NA")</f>
        <v>0.40965323946917859</v>
      </c>
      <c r="V198" s="25"/>
      <c r="W198" s="23">
        <f>IFERROR(Q198-T198, "NA")</f>
        <v>-8496.5099999999948</v>
      </c>
      <c r="X198" s="24">
        <f>IFERROR(W198/W444, "NA")</f>
        <v>1.0597191214438033</v>
      </c>
      <c r="Y198" s="25"/>
      <c r="Z198" s="23">
        <f>IFERROR(Z172-Z197, "NA")</f>
        <v>56882.579999999994</v>
      </c>
      <c r="AA198" s="24">
        <f>IFERROR(Z198/Z444, "NA")</f>
        <v>0.37966472346503899</v>
      </c>
      <c r="AB198" s="25"/>
      <c r="AC198" s="23">
        <f>IFERROR(Q198-Z198, "NA")</f>
        <v>-1229.400000000016</v>
      </c>
      <c r="AD198" s="24">
        <f>IFERROR(AC198/AC444, "NA")</f>
        <v>0.98684368954639867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1520.47</v>
      </c>
      <c r="C202" s="8">
        <f>IFERROR(B202/B444, "NA")</f>
        <v>2.0025181784298001E-2</v>
      </c>
      <c r="D202" s="9"/>
      <c r="E202" s="7">
        <v>728.47</v>
      </c>
      <c r="F202" s="8">
        <f>IFERROR(E202/E444, "NA")</f>
        <v>9.0000523840681277E-3</v>
      </c>
      <c r="G202" s="9"/>
      <c r="H202" s="10">
        <f t="shared" si="52"/>
        <v>-792</v>
      </c>
      <c r="I202" s="8">
        <f>IFERROR(H202/H444, "NA")</f>
        <v>0.15799742256729835</v>
      </c>
      <c r="J202" s="9"/>
      <c r="K202" s="7">
        <v>1750.91</v>
      </c>
      <c r="L202" s="8">
        <f>IFERROR(K202/K444, "NA")</f>
        <v>2.276771021651762E-2</v>
      </c>
      <c r="M202" s="9"/>
      <c r="N202" s="10">
        <f t="shared" si="53"/>
        <v>230.44000000000005</v>
      </c>
      <c r="O202" s="8">
        <f>IFERROR(N202/N444, "NA")</f>
        <v>-0.23627359506207993</v>
      </c>
      <c r="P202" s="9"/>
      <c r="Q202" s="7">
        <v>2554.69</v>
      </c>
      <c r="R202" s="8">
        <f>IFERROR(Q202/Q444, "NA")</f>
        <v>1.7194337766039788E-2</v>
      </c>
      <c r="S202" s="9"/>
      <c r="T202" s="7">
        <v>1409.36</v>
      </c>
      <c r="U202" s="8">
        <f>IFERROR(T202/T444, "NA")</f>
        <v>9.0000261821730036E-3</v>
      </c>
      <c r="V202" s="9"/>
      <c r="W202" s="10">
        <f t="shared" si="54"/>
        <v>-1145.3300000000002</v>
      </c>
      <c r="X202" s="8">
        <f>IFERROR(W202/W444, "NA")</f>
        <v>0.14285019394589452</v>
      </c>
      <c r="Y202" s="9"/>
      <c r="Z202" s="7">
        <v>3056.08</v>
      </c>
      <c r="AA202" s="8">
        <f>IFERROR(Z202/Z444, "NA")</f>
        <v>2.0397910363542517E-2</v>
      </c>
      <c r="AB202" s="9"/>
      <c r="AC202" s="10">
        <f t="shared" si="55"/>
        <v>501.38999999999987</v>
      </c>
      <c r="AD202" s="8">
        <f>IFERROR(AC202/AC444, "NA")</f>
        <v>-0.40246751057561597</v>
      </c>
    </row>
    <row r="203" spans="1:30" ht="16.5" customHeight="1" x14ac:dyDescent="0.45">
      <c r="A203" s="6" t="s">
        <v>185</v>
      </c>
      <c r="B203" s="7">
        <v>538.04999999999995</v>
      </c>
      <c r="C203" s="8">
        <f>IFERROR(B203/B444, "NA")</f>
        <v>7.0863279505952361E-3</v>
      </c>
      <c r="D203" s="9"/>
      <c r="E203" s="7">
        <v>485.64</v>
      </c>
      <c r="F203" s="8">
        <f>IFERROR(E203/E444, "NA")</f>
        <v>5.9999525578250928E-3</v>
      </c>
      <c r="G203" s="9"/>
      <c r="H203" s="10">
        <f t="shared" si="52"/>
        <v>-52.409999999999968</v>
      </c>
      <c r="I203" s="8">
        <f>IFERROR(H203/H444, "NA")</f>
        <v>1.0455359743373867E-2</v>
      </c>
      <c r="J203" s="9"/>
      <c r="K203" s="7">
        <v>435.17</v>
      </c>
      <c r="L203" s="8">
        <f>IFERROR(K203/K444, "NA")</f>
        <v>5.6586714650792855E-3</v>
      </c>
      <c r="M203" s="9"/>
      <c r="N203" s="10">
        <f t="shared" si="53"/>
        <v>-102.87999999999994</v>
      </c>
      <c r="O203" s="8">
        <f>IFERROR(N203/N444, "NA")</f>
        <v>0.10548441008499723</v>
      </c>
      <c r="P203" s="9"/>
      <c r="Q203" s="7">
        <v>1001.76</v>
      </c>
      <c r="R203" s="8">
        <f>IFERROR(Q203/Q444, "NA")</f>
        <v>6.7423443942349242E-3</v>
      </c>
      <c r="S203" s="9"/>
      <c r="T203" s="7">
        <v>939.57</v>
      </c>
      <c r="U203" s="8">
        <f>IFERROR(T203/T444, "NA")</f>
        <v>5.9999961684624875E-3</v>
      </c>
      <c r="V203" s="9"/>
      <c r="W203" s="10">
        <f t="shared" si="54"/>
        <v>-62.189999999999941</v>
      </c>
      <c r="X203" s="8">
        <f>IFERROR(W203/W444, "NA")</f>
        <v>7.7565885478378897E-3</v>
      </c>
      <c r="Y203" s="9"/>
      <c r="Z203" s="7">
        <v>941.93</v>
      </c>
      <c r="AA203" s="8">
        <f>IFERROR(Z203/Z444, "NA")</f>
        <v>6.2869439637482016E-3</v>
      </c>
      <c r="AB203" s="9"/>
      <c r="AC203" s="10">
        <f t="shared" si="55"/>
        <v>-59.830000000000041</v>
      </c>
      <c r="AD203" s="8">
        <f>IFERROR(AC203/AC444, "NA")</f>
        <v>4.8025750728453151E-2</v>
      </c>
    </row>
    <row r="204" spans="1:30" ht="16.5" customHeight="1" x14ac:dyDescent="0.45">
      <c r="A204" s="6" t="s">
        <v>186</v>
      </c>
      <c r="B204" s="7">
        <v>20.59</v>
      </c>
      <c r="C204" s="8">
        <f>IFERROR(B204/B444, "NA")</f>
        <v>2.7117831521746287E-4</v>
      </c>
      <c r="D204" s="9"/>
      <c r="E204" s="7">
        <v>161.88</v>
      </c>
      <c r="F204" s="8">
        <f>IFERROR(E204/E444, "NA")</f>
        <v>1.9999841859416976E-3</v>
      </c>
      <c r="G204" s="9"/>
      <c r="H204" s="10">
        <f t="shared" si="52"/>
        <v>141.29</v>
      </c>
      <c r="I204" s="8">
        <f>IFERROR(H204/H444, "NA")</f>
        <v>-2.8186181609259574E-2</v>
      </c>
      <c r="J204" s="9"/>
      <c r="K204" s="7">
        <v>241.33</v>
      </c>
      <c r="L204" s="8">
        <f>IFERROR(K204/K444, "NA")</f>
        <v>3.1381004772102492E-3</v>
      </c>
      <c r="M204" s="9"/>
      <c r="N204" s="10">
        <f t="shared" si="53"/>
        <v>220.74</v>
      </c>
      <c r="O204" s="8">
        <f>IFERROR(N204/N444, "NA")</f>
        <v>-0.22632803929006906</v>
      </c>
      <c r="P204" s="9"/>
      <c r="Q204" s="7">
        <v>46.59</v>
      </c>
      <c r="R204" s="8">
        <f>IFERROR(Q204/Q444, "NA")</f>
        <v>3.1357393520145061E-4</v>
      </c>
      <c r="S204" s="9"/>
      <c r="T204" s="7">
        <v>313.19</v>
      </c>
      <c r="U204" s="8">
        <f>IFERROR(T204/T444, "NA")</f>
        <v>1.999998722820829E-3</v>
      </c>
      <c r="V204" s="9"/>
      <c r="W204" s="10">
        <f t="shared" si="54"/>
        <v>266.60000000000002</v>
      </c>
      <c r="X204" s="8">
        <f>IFERROR(W204/W444, "NA")</f>
        <v>-3.3251431208451254E-2</v>
      </c>
      <c r="Y204" s="9"/>
      <c r="Z204" s="7">
        <v>265.25</v>
      </c>
      <c r="AA204" s="8">
        <f>IFERROR(Z204/Z444, "NA")</f>
        <v>1.77042018662131E-3</v>
      </c>
      <c r="AB204" s="9"/>
      <c r="AC204" s="10">
        <f t="shared" si="55"/>
        <v>218.66</v>
      </c>
      <c r="AD204" s="8">
        <f>IFERROR(AC204/AC444, "NA")</f>
        <v>-0.1755191484921203</v>
      </c>
    </row>
    <row r="205" spans="1:30" ht="16.5" customHeight="1" x14ac:dyDescent="0.45">
      <c r="A205" s="6" t="s">
        <v>187</v>
      </c>
      <c r="B205" s="7">
        <v>237.64</v>
      </c>
      <c r="C205" s="8">
        <f>IFERROR(B205/B444, "NA")</f>
        <v>3.1298113078328258E-3</v>
      </c>
      <c r="D205" s="9"/>
      <c r="E205" s="7">
        <v>242.82</v>
      </c>
      <c r="F205" s="8">
        <f>IFERROR(E205/E444, "NA")</f>
        <v>2.9999762789125464E-3</v>
      </c>
      <c r="G205" s="9"/>
      <c r="H205" s="10">
        <f t="shared" si="52"/>
        <v>5.1800000000000068</v>
      </c>
      <c r="I205" s="8">
        <f>IFERROR(H205/H444, "NA")</f>
        <v>-1.033366980932584E-3</v>
      </c>
      <c r="J205" s="9"/>
      <c r="K205" s="7">
        <v>209.96</v>
      </c>
      <c r="L205" s="8">
        <f>IFERROR(K205/K444, "NA")</f>
        <v>2.7301851249122108E-3</v>
      </c>
      <c r="M205" s="9"/>
      <c r="N205" s="10">
        <f t="shared" si="53"/>
        <v>-27.679999999999978</v>
      </c>
      <c r="O205" s="8">
        <f>IFERROR(N205/N444, "NA")</f>
        <v>2.8380719976212315E-2</v>
      </c>
      <c r="P205" s="9"/>
      <c r="Q205" s="7">
        <v>480.89</v>
      </c>
      <c r="R205" s="8">
        <f>IFERROR(Q205/Q444, "NA")</f>
        <v>3.2366295277747492E-3</v>
      </c>
      <c r="S205" s="9"/>
      <c r="T205" s="7">
        <v>469.78</v>
      </c>
      <c r="U205" s="8">
        <f>IFERROR(T205/T444, "NA")</f>
        <v>2.9999661547519684E-3</v>
      </c>
      <c r="V205" s="9"/>
      <c r="W205" s="10">
        <f t="shared" si="54"/>
        <v>-11.110000000000014</v>
      </c>
      <c r="X205" s="8">
        <f>IFERROR(W205/W444, "NA")</f>
        <v>1.3856841737655435E-3</v>
      </c>
      <c r="Y205" s="9"/>
      <c r="Z205" s="7">
        <v>419.92</v>
      </c>
      <c r="AA205" s="8">
        <f>IFERROR(Z205/Z444, "NA")</f>
        <v>2.8027703855457889E-3</v>
      </c>
      <c r="AB205" s="9"/>
      <c r="AC205" s="10">
        <f t="shared" si="55"/>
        <v>-60.96999999999997</v>
      </c>
      <c r="AD205" s="8">
        <f>IFERROR(AC205/AC444, "NA")</f>
        <v>4.8940832724616162E-2</v>
      </c>
    </row>
    <row r="206" spans="1:30" ht="16.5" customHeight="1" x14ac:dyDescent="0.45">
      <c r="A206" s="6" t="s">
        <v>188</v>
      </c>
      <c r="B206" s="7">
        <v>117.78</v>
      </c>
      <c r="C206" s="8">
        <f>IFERROR(B206/B444, "NA")</f>
        <v>1.5512084490681291E-3</v>
      </c>
      <c r="D206" s="9"/>
      <c r="E206" s="7">
        <v>80.94</v>
      </c>
      <c r="F206" s="8">
        <f>IFERROR(E206/E444, "NA")</f>
        <v>9.999920929708488E-4</v>
      </c>
      <c r="G206" s="9"/>
      <c r="H206" s="10">
        <f t="shared" si="52"/>
        <v>-36.840000000000003</v>
      </c>
      <c r="I206" s="8">
        <f>IFERROR(H206/H444, "NA")</f>
        <v>7.3492740497213029E-3</v>
      </c>
      <c r="J206" s="9"/>
      <c r="K206" s="7">
        <v>33.049999999999997</v>
      </c>
      <c r="L206" s="8">
        <f>IFERROR(K206/K444, "NA")</f>
        <v>4.2976099437201637E-4</v>
      </c>
      <c r="M206" s="9"/>
      <c r="N206" s="10">
        <f t="shared" si="53"/>
        <v>-84.73</v>
      </c>
      <c r="O206" s="8">
        <f>IFERROR(N206/N444, "NA")</f>
        <v>8.687494232602859E-2</v>
      </c>
      <c r="P206" s="9"/>
      <c r="Q206" s="7">
        <v>117.78</v>
      </c>
      <c r="R206" s="8">
        <f>IFERROR(Q206/Q444, "NA")</f>
        <v>7.9271813882865092E-4</v>
      </c>
      <c r="S206" s="9"/>
      <c r="T206" s="7">
        <v>156.59</v>
      </c>
      <c r="U206" s="8">
        <f>IFERROR(T206/T444, "NA")</f>
        <v>9.9996743193113955E-4</v>
      </c>
      <c r="V206" s="9"/>
      <c r="W206" s="10">
        <f t="shared" si="54"/>
        <v>38.81</v>
      </c>
      <c r="X206" s="8">
        <f>IFERROR(W206/W444, "NA")</f>
        <v>-4.8405403045761186E-3</v>
      </c>
      <c r="Y206" s="9"/>
      <c r="Z206" s="7">
        <v>33.049999999999997</v>
      </c>
      <c r="AA206" s="8">
        <f>IFERROR(Z206/Z444, "NA")</f>
        <v>2.2059335407289082E-4</v>
      </c>
      <c r="AB206" s="9"/>
      <c r="AC206" s="10">
        <f t="shared" si="55"/>
        <v>-84.73</v>
      </c>
      <c r="AD206" s="8">
        <f>IFERROR(AC206/AC444, "NA")</f>
        <v>6.8013068013067571E-2</v>
      </c>
    </row>
    <row r="207" spans="1:30" ht="16.5" customHeight="1" x14ac:dyDescent="0.45">
      <c r="A207" s="6" t="s">
        <v>189</v>
      </c>
      <c r="B207" s="7">
        <v>157.85</v>
      </c>
      <c r="C207" s="8">
        <f>IFERROR(B207/B444, "NA")</f>
        <v>2.0789459474053677E-3</v>
      </c>
      <c r="D207" s="9"/>
      <c r="E207" s="7">
        <v>100</v>
      </c>
      <c r="F207" s="8">
        <f>IFERROR(E207/E444, "NA")</f>
        <v>1.2354733048812068E-3</v>
      </c>
      <c r="G207" s="9"/>
      <c r="H207" s="10">
        <f t="shared" si="52"/>
        <v>-57.849999999999994</v>
      </c>
      <c r="I207" s="8">
        <f>IFERROR(H207/H444, "NA")</f>
        <v>1.1540594565048244E-2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-157.85</v>
      </c>
      <c r="O207" s="8">
        <f>IFERROR(N207/N444, "NA")</f>
        <v>0.16184597717648544</v>
      </c>
      <c r="P207" s="9"/>
      <c r="Q207" s="7">
        <v>400.98</v>
      </c>
      <c r="R207" s="8">
        <f>IFERROR(Q207/Q444, "NA")</f>
        <v>2.6987953753397223E-3</v>
      </c>
      <c r="S207" s="9"/>
      <c r="T207" s="7">
        <v>200</v>
      </c>
      <c r="U207" s="8">
        <f>IFERROR(T207/T444, "NA")</f>
        <v>1.2771791709957718E-3</v>
      </c>
      <c r="V207" s="9"/>
      <c r="W207" s="10">
        <f t="shared" si="54"/>
        <v>-200.98000000000002</v>
      </c>
      <c r="X207" s="8">
        <f>IFERROR(W207/W444, "NA")</f>
        <v>2.5067039175823456E-2</v>
      </c>
      <c r="Y207" s="9"/>
      <c r="Z207" s="7">
        <v>99.6</v>
      </c>
      <c r="AA207" s="8">
        <f>IFERROR(Z207/Z444, "NA")</f>
        <v>6.6478360259182839E-4</v>
      </c>
      <c r="AB207" s="9"/>
      <c r="AC207" s="10">
        <f t="shared" si="55"/>
        <v>-301.38</v>
      </c>
      <c r="AD207" s="8">
        <f>IFERROR(AC207/AC444, "NA")</f>
        <v>0.24191878245932141</v>
      </c>
    </row>
    <row r="208" spans="1:30" ht="16.5" customHeight="1" x14ac:dyDescent="0.45">
      <c r="A208" s="6" t="s">
        <v>190</v>
      </c>
      <c r="B208" s="7">
        <v>0</v>
      </c>
      <c r="C208" s="8">
        <f>IFERROR(B208/B444, "NA")</f>
        <v>0</v>
      </c>
      <c r="D208" s="9"/>
      <c r="E208" s="7">
        <v>100</v>
      </c>
      <c r="F208" s="8">
        <f>IFERROR(E208/E444, "NA")</f>
        <v>1.2354733048812068E-3</v>
      </c>
      <c r="G208" s="9"/>
      <c r="H208" s="10">
        <f t="shared" si="52"/>
        <v>100</v>
      </c>
      <c r="I208" s="8">
        <f>IFERROR(H208/H444, "NA")</f>
        <v>-1.9949169516073024E-2</v>
      </c>
      <c r="J208" s="9"/>
      <c r="K208" s="7">
        <v>47.69</v>
      </c>
      <c r="L208" s="8">
        <f>IFERROR(K208/K444, "NA")</f>
        <v>6.2013016101668565E-4</v>
      </c>
      <c r="M208" s="9"/>
      <c r="N208" s="10">
        <f t="shared" si="53"/>
        <v>47.69</v>
      </c>
      <c r="O208" s="8">
        <f>IFERROR(N208/N444, "NA")</f>
        <v>-4.8897273687339822E-2</v>
      </c>
      <c r="P208" s="9"/>
      <c r="Q208" s="7">
        <v>86.3</v>
      </c>
      <c r="R208" s="8">
        <f>IFERROR(Q208/Q444, "NA")</f>
        <v>5.8084203923342308E-4</v>
      </c>
      <c r="S208" s="9"/>
      <c r="T208" s="7">
        <v>200</v>
      </c>
      <c r="U208" s="8">
        <f>IFERROR(T208/T444, "NA")</f>
        <v>1.2771791709957718E-3</v>
      </c>
      <c r="V208" s="9"/>
      <c r="W208" s="10">
        <f t="shared" si="54"/>
        <v>113.7</v>
      </c>
      <c r="X208" s="8">
        <f>IFERROR(W208/W444, "NA")</f>
        <v>-1.4181124262569046E-2</v>
      </c>
      <c r="Y208" s="9"/>
      <c r="Z208" s="7">
        <v>191.41</v>
      </c>
      <c r="AA208" s="8">
        <f>IFERROR(Z208/Z444, "NA")</f>
        <v>1.2775725840572477E-3</v>
      </c>
      <c r="AB208" s="9"/>
      <c r="AC208" s="10">
        <f t="shared" si="55"/>
        <v>105.11</v>
      </c>
      <c r="AD208" s="8">
        <f>IFERROR(AC208/AC444, "NA")</f>
        <v>-8.4372165453245981E-2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2592.38</v>
      </c>
      <c r="C209" s="15">
        <f>IFERROR(B209/B444, "NA")</f>
        <v>3.4142653754417024E-2</v>
      </c>
      <c r="D209" s="2"/>
      <c r="E209" s="14">
        <f>IFERROR(E201+E202+E203+E204+E205+E206+E207+E208, "NA")</f>
        <v>1899.7500000000002</v>
      </c>
      <c r="F209" s="15">
        <f>IFERROR(E209/E444, "NA")</f>
        <v>2.3470904109480727E-2</v>
      </c>
      <c r="G209" s="2"/>
      <c r="H209" s="14">
        <f t="shared" si="52"/>
        <v>-692.62999999999988</v>
      </c>
      <c r="I209" s="15">
        <f>IFERROR(H209/H444, "NA")</f>
        <v>0.13817393281917656</v>
      </c>
      <c r="J209" s="2"/>
      <c r="K209" s="14">
        <f>IFERROR(K201+K202+K203+K204+K205+K206+K207+K208, "NA")</f>
        <v>2718.11</v>
      </c>
      <c r="L209" s="15">
        <f>IFERROR(K209/K444, "NA")</f>
        <v>3.5344558439108067E-2</v>
      </c>
      <c r="M209" s="2"/>
      <c r="N209" s="14">
        <f t="shared" si="53"/>
        <v>125.73000000000002</v>
      </c>
      <c r="O209" s="15">
        <f>IFERROR(N209/N444, "NA")</f>
        <v>-0.12891285847576509</v>
      </c>
      <c r="P209" s="2"/>
      <c r="Q209" s="14">
        <f>IFERROR(Q201+Q202+Q203+Q204+Q205+Q206+Q207+Q208, "NA")</f>
        <v>4688.9900000000007</v>
      </c>
      <c r="R209" s="15">
        <f>IFERROR(Q209/Q444, "NA")</f>
        <v>3.1559241176652715E-2</v>
      </c>
      <c r="S209" s="2"/>
      <c r="T209" s="14">
        <f>IFERROR(T201+T202+T203+T204+T205+T206+T207+T208, "NA")</f>
        <v>3688.49</v>
      </c>
      <c r="U209" s="15">
        <f>IFERROR(T209/T444, "NA")</f>
        <v>2.3554313002130973E-2</v>
      </c>
      <c r="V209" s="2"/>
      <c r="W209" s="14">
        <f t="shared" si="54"/>
        <v>-1000.5000000000009</v>
      </c>
      <c r="X209" s="15">
        <f>IFERROR(W209/W444, "NA")</f>
        <v>0.12478641006772509</v>
      </c>
      <c r="Y209" s="2"/>
      <c r="Z209" s="14">
        <f>IFERROR(Z201+Z202+Z203+Z204+Z205+Z206+Z207+Z208, "NA")</f>
        <v>5007.2400000000007</v>
      </c>
      <c r="AA209" s="15">
        <f>IFERROR(Z209/Z444, "NA")</f>
        <v>3.3420994440179791E-2</v>
      </c>
      <c r="AB209" s="2"/>
      <c r="AC209" s="14">
        <f t="shared" si="55"/>
        <v>318.25</v>
      </c>
      <c r="AD209" s="15">
        <f>IFERROR(AC209/AC444, "NA")</f>
        <v>-0.25546039059552406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2347.2800000000002</v>
      </c>
      <c r="F213" s="8">
        <f>IFERROR(E213/E444, "NA")</f>
        <v>2.9000017790815593E-2</v>
      </c>
      <c r="G213" s="9"/>
      <c r="H213" s="10">
        <f t="shared" ref="H213:H227" si="56">IFERROR(-(B213-E213), "NA")</f>
        <v>2347.2800000000002</v>
      </c>
      <c r="I213" s="8">
        <f>IFERROR(H213/H444, "NA")</f>
        <v>-0.46826286621687896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4541.26</v>
      </c>
      <c r="U213" s="8">
        <f>IFERROR(T213/T444, "NA")</f>
        <v>2.9000013410381296E-2</v>
      </c>
      <c r="V213" s="9"/>
      <c r="W213" s="10">
        <f t="shared" ref="W213:W227" si="58">IFERROR(-(Q213-T213), "NA")</f>
        <v>4541.26</v>
      </c>
      <c r="X213" s="8">
        <f>IFERROR(W213/W444, "NA")</f>
        <v>-0.56640433041894733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1562.06</v>
      </c>
      <c r="C214" s="8">
        <f>IFERROR(B214/B444, "NA")</f>
        <v>2.0572938274336577E-2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-1562.06</v>
      </c>
      <c r="I214" s="8">
        <f>IFERROR(H214/H444, "NA")</f>
        <v>0.31161799734277029</v>
      </c>
      <c r="J214" s="9"/>
      <c r="K214" s="7">
        <v>2617.87</v>
      </c>
      <c r="L214" s="8">
        <f>IFERROR(K214/K444, "NA")</f>
        <v>3.4041101795360684E-2</v>
      </c>
      <c r="M214" s="9"/>
      <c r="N214" s="10">
        <f t="shared" si="57"/>
        <v>1055.81</v>
      </c>
      <c r="O214" s="8">
        <f>IFERROR(N214/N444, "NA")</f>
        <v>-1.0825378597573969</v>
      </c>
      <c r="P214" s="9"/>
      <c r="Q214" s="7">
        <v>2780</v>
      </c>
      <c r="R214" s="8">
        <f>IFERROR(Q214/Q444, "NA")</f>
        <v>1.8710786431853029E-2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-2780</v>
      </c>
      <c r="X214" s="8">
        <f>IFERROR(W214/W444, "NA")</f>
        <v>0.34673285356149469</v>
      </c>
      <c r="Y214" s="9"/>
      <c r="Z214" s="7">
        <v>4901.92</v>
      </c>
      <c r="AA214" s="8">
        <f>IFERROR(Z214/Z444, "NA")</f>
        <v>3.2718032502178064E-2</v>
      </c>
      <c r="AB214" s="9"/>
      <c r="AC214" s="10">
        <f t="shared" si="59"/>
        <v>2121.92</v>
      </c>
      <c r="AD214" s="8">
        <f>IFERROR(AC214/AC444, "NA")</f>
        <v>-1.70327262219153</v>
      </c>
    </row>
    <row r="215" spans="1:30" ht="16.5" customHeight="1" x14ac:dyDescent="0.45">
      <c r="A215" s="12" t="s">
        <v>195</v>
      </c>
      <c r="B215" s="7">
        <v>254.08</v>
      </c>
      <c r="C215" s="8">
        <f>IFERROR(B215/B444, "NA")</f>
        <v>3.3463325075499262E-3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-254.08</v>
      </c>
      <c r="I215" s="8">
        <f>IFERROR(H215/H444, "NA")</f>
        <v>5.0686849906438347E-2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-254.08</v>
      </c>
      <c r="O215" s="8">
        <f>IFERROR(N215/N444, "NA")</f>
        <v>0.26051204232500108</v>
      </c>
      <c r="P215" s="9"/>
      <c r="Q215" s="7">
        <v>437.71</v>
      </c>
      <c r="R215" s="8">
        <f>IFERROR(Q215/Q444, "NA")</f>
        <v>2.9460065931965428E-3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-437.71</v>
      </c>
      <c r="X215" s="8">
        <f>IFERROR(W215/W444, "NA")</f>
        <v>5.4592963069209292E-2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-437.71</v>
      </c>
      <c r="AD215" s="8">
        <f>IFERROR(AC215/AC444, "NA")</f>
        <v>0.35135135135134904</v>
      </c>
    </row>
    <row r="216" spans="1:30" ht="16.5" customHeight="1" x14ac:dyDescent="0.45">
      <c r="A216" s="12" t="s">
        <v>196</v>
      </c>
      <c r="B216" s="7">
        <v>50</v>
      </c>
      <c r="C216" s="8">
        <f>IFERROR(B216/B444, "NA")</f>
        <v>6.5851946385979334E-4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-50</v>
      </c>
      <c r="I216" s="8">
        <f>IFERROR(H216/H444, "NA")</f>
        <v>9.9745847580365119E-3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-50</v>
      </c>
      <c r="O216" s="8">
        <f>IFERROR(N216/N444, "NA")</f>
        <v>5.1265751402117657E-2</v>
      </c>
      <c r="P216" s="9"/>
      <c r="Q216" s="7">
        <v>50</v>
      </c>
      <c r="R216" s="8">
        <f>IFERROR(Q216/Q444, "NA")</f>
        <v>3.3652493582469475E-4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-50</v>
      </c>
      <c r="X216" s="8">
        <f>IFERROR(W216/W444, "NA")</f>
        <v>6.2362024021851564E-3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-50</v>
      </c>
      <c r="AD216" s="8">
        <f>IFERROR(AC216/AC444, "NA")</f>
        <v>4.0135175270310144E-2</v>
      </c>
    </row>
    <row r="217" spans="1:30" ht="16.5" customHeight="1" x14ac:dyDescent="0.45">
      <c r="A217" s="12" t="s">
        <v>197</v>
      </c>
      <c r="B217" s="7">
        <v>422.93</v>
      </c>
      <c r="C217" s="8">
        <f>IFERROR(B217/B444, "NA")</f>
        <v>5.570152737004448E-3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-422.93</v>
      </c>
      <c r="I217" s="8">
        <f>IFERROR(H217/H444, "NA")</f>
        <v>8.437102263432765E-2</v>
      </c>
      <c r="J217" s="9"/>
      <c r="K217" s="7">
        <v>1501.75</v>
      </c>
      <c r="L217" s="8">
        <f>IFERROR(K217/K444, "NA")</f>
        <v>1.9527793443212576E-2</v>
      </c>
      <c r="M217" s="9"/>
      <c r="N217" s="10">
        <f t="shared" si="57"/>
        <v>1078.82</v>
      </c>
      <c r="O217" s="8">
        <f>IFERROR(N217/N444, "NA")</f>
        <v>-1.1061303585526514</v>
      </c>
      <c r="P217" s="9"/>
      <c r="Q217" s="7">
        <v>629.27</v>
      </c>
      <c r="R217" s="8">
        <f>IFERROR(Q217/Q444, "NA")</f>
        <v>4.2353009273281136E-3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-629.27</v>
      </c>
      <c r="X217" s="8">
        <f>IFERROR(W217/W444, "NA")</f>
        <v>7.8485101712461064E-2</v>
      </c>
      <c r="Y217" s="9"/>
      <c r="Z217" s="7">
        <v>2959.29</v>
      </c>
      <c r="AA217" s="8">
        <f>IFERROR(Z217/Z444, "NA")</f>
        <v>1.9751882201947509E-2</v>
      </c>
      <c r="AB217" s="9"/>
      <c r="AC217" s="10">
        <f t="shared" si="59"/>
        <v>2330.02</v>
      </c>
      <c r="AD217" s="8">
        <f>IFERROR(AC217/AC444, "NA")</f>
        <v>-1.8703152216665608</v>
      </c>
    </row>
    <row r="218" spans="1:30" ht="16.5" customHeight="1" x14ac:dyDescent="0.45">
      <c r="A218" s="13" t="s">
        <v>198</v>
      </c>
      <c r="B218" s="14">
        <f>IFERROR(B213+B214+B215+B216+B217, "NA")</f>
        <v>2289.0699999999997</v>
      </c>
      <c r="C218" s="15">
        <f>IFERROR(B218/B444, "NA")</f>
        <v>3.0147942982750739E-2</v>
      </c>
      <c r="D218" s="2"/>
      <c r="E218" s="14">
        <f>IFERROR(E213+E214+E215+E216+E217, "NA")</f>
        <v>2347.2800000000002</v>
      </c>
      <c r="F218" s="15">
        <f>IFERROR(E218/E444, "NA")</f>
        <v>2.9000017790815593E-2</v>
      </c>
      <c r="G218" s="2"/>
      <c r="H218" s="14">
        <f t="shared" si="56"/>
        <v>58.210000000000491</v>
      </c>
      <c r="I218" s="15">
        <f>IFERROR(H218/H444, "NA")</f>
        <v>-1.1612411575306205E-2</v>
      </c>
      <c r="J218" s="2"/>
      <c r="K218" s="14">
        <f>IFERROR(K213+K214+K215+K216+K217, "NA")</f>
        <v>4119.62</v>
      </c>
      <c r="L218" s="15">
        <f>IFERROR(K218/K444, "NA")</f>
        <v>5.3568895238573264E-2</v>
      </c>
      <c r="M218" s="2"/>
      <c r="N218" s="14">
        <f t="shared" si="57"/>
        <v>1830.5500000000002</v>
      </c>
      <c r="O218" s="15">
        <f>IFERROR(N218/N444, "NA")</f>
        <v>-1.8768904245829299</v>
      </c>
      <c r="P218" s="2"/>
      <c r="Q218" s="14">
        <f>IFERROR(Q213+Q214+Q215+Q216+Q217, "NA")</f>
        <v>3896.98</v>
      </c>
      <c r="R218" s="15">
        <f>IFERROR(Q218/Q444, "NA")</f>
        <v>2.6228618888202378E-2</v>
      </c>
      <c r="S218" s="2"/>
      <c r="T218" s="14">
        <f>IFERROR(T213+T214+T215+T216+T217, "NA")</f>
        <v>4541.26</v>
      </c>
      <c r="U218" s="15">
        <f>IFERROR(T218/T444, "NA")</f>
        <v>2.9000013410381296E-2</v>
      </c>
      <c r="V218" s="2"/>
      <c r="W218" s="14">
        <f t="shared" si="58"/>
        <v>644.2800000000002</v>
      </c>
      <c r="X218" s="15">
        <f>IFERROR(W218/W444, "NA")</f>
        <v>-8.035720967359708E-2</v>
      </c>
      <c r="Y218" s="2"/>
      <c r="Z218" s="14">
        <f>IFERROR(Z213+Z214+Z215+Z216+Z217, "NA")</f>
        <v>7861.21</v>
      </c>
      <c r="AA218" s="15">
        <f>IFERROR(Z218/Z444, "NA")</f>
        <v>5.2469914704125577E-2</v>
      </c>
      <c r="AB218" s="2"/>
      <c r="AC218" s="14">
        <f t="shared" si="59"/>
        <v>3964.23</v>
      </c>
      <c r="AD218" s="15">
        <f>IFERROR(AC218/AC444, "NA")</f>
        <v>-3.1821013172364316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187.46</v>
      </c>
      <c r="C222" s="8">
        <f>IFERROR(B222/B444, "NA")</f>
        <v>2.4689211739031373E-3</v>
      </c>
      <c r="D222" s="9"/>
      <c r="E222" s="7">
        <v>100</v>
      </c>
      <c r="F222" s="8">
        <f>IFERROR(E222/E444, "NA")</f>
        <v>1.2354733048812068E-3</v>
      </c>
      <c r="G222" s="9"/>
      <c r="H222" s="10">
        <f t="shared" si="56"/>
        <v>-87.460000000000008</v>
      </c>
      <c r="I222" s="8">
        <f>IFERROR(H222/H444, "NA")</f>
        <v>1.7447543658757468E-2</v>
      </c>
      <c r="J222" s="9"/>
      <c r="K222" s="7">
        <v>237.61</v>
      </c>
      <c r="L222" s="8">
        <f>IFERROR(K222/K444, "NA")</f>
        <v>3.0897279840464394E-3</v>
      </c>
      <c r="M222" s="9"/>
      <c r="N222" s="10">
        <f t="shared" si="57"/>
        <v>50.150000000000006</v>
      </c>
      <c r="O222" s="8">
        <f>IFERROR(N222/N444, "NA")</f>
        <v>-5.1419548656324018E-2</v>
      </c>
      <c r="P222" s="9"/>
      <c r="Q222" s="7">
        <v>337.46</v>
      </c>
      <c r="R222" s="8">
        <f>IFERROR(Q222/Q444, "NA")</f>
        <v>2.2712740968680299E-3</v>
      </c>
      <c r="S222" s="9"/>
      <c r="T222" s="7">
        <v>200</v>
      </c>
      <c r="U222" s="8">
        <f>IFERROR(T222/T444, "NA")</f>
        <v>1.2771791709957718E-3</v>
      </c>
      <c r="V222" s="9"/>
      <c r="W222" s="10">
        <f t="shared" si="58"/>
        <v>-137.45999999999998</v>
      </c>
      <c r="X222" s="8">
        <f>IFERROR(W222/W444, "NA")</f>
        <v>1.7144567644087429E-2</v>
      </c>
      <c r="Y222" s="9"/>
      <c r="Z222" s="7">
        <v>409.43</v>
      </c>
      <c r="AA222" s="8">
        <f>IFERROR(Z222/Z444, "NA")</f>
        <v>2.7327545221804447E-3</v>
      </c>
      <c r="AB222" s="9"/>
      <c r="AC222" s="10">
        <f t="shared" si="59"/>
        <v>71.970000000000027</v>
      </c>
      <c r="AD222" s="8">
        <f>IFERROR(AC222/AC444, "NA")</f>
        <v>-5.7770571284084443E-2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2476.5299999999997</v>
      </c>
      <c r="C227" s="15">
        <f>IFERROR(B227/B444, "NA")</f>
        <v>3.261686415665388E-2</v>
      </c>
      <c r="D227" s="2"/>
      <c r="E227" s="14">
        <f>IFERROR(E211+E213+E214+E215+E216+E217+E219+E220+E221+E222+E223+E224+E225+E226, "NA")</f>
        <v>2447.2800000000002</v>
      </c>
      <c r="F227" s="15">
        <f>IFERROR(E227/E444, "NA")</f>
        <v>3.0235491095696801E-2</v>
      </c>
      <c r="G227" s="2"/>
      <c r="H227" s="14">
        <f t="shared" si="56"/>
        <v>-29.249999999999545</v>
      </c>
      <c r="I227" s="15">
        <f>IFERROR(H227/H444, "NA")</f>
        <v>5.8351320834512692E-3</v>
      </c>
      <c r="J227" s="2"/>
      <c r="K227" s="14">
        <f>IFERROR(K211+K213+K214+K215+K216+K217+K219+K220+K221+K222+K223+K224+K225+K226, "NA")</f>
        <v>4357.2299999999996</v>
      </c>
      <c r="L227" s="15">
        <f>IFERROR(K227/K444, "NA")</f>
        <v>5.6658623222619699E-2</v>
      </c>
      <c r="M227" s="2"/>
      <c r="N227" s="14">
        <f t="shared" si="57"/>
        <v>1880.6999999999998</v>
      </c>
      <c r="O227" s="15">
        <f>IFERROR(N227/N444, "NA")</f>
        <v>-1.9283099732392535</v>
      </c>
      <c r="P227" s="2"/>
      <c r="Q227" s="14">
        <f>IFERROR(Q211+Q213+Q214+Q215+Q216+Q217+Q219+Q220+Q221+Q222+Q223+Q224+Q225+Q226, "NA")</f>
        <v>4234.4399999999996</v>
      </c>
      <c r="R227" s="15">
        <f>IFERROR(Q227/Q444, "NA")</f>
        <v>2.8499892985070406E-2</v>
      </c>
      <c r="S227" s="2"/>
      <c r="T227" s="14">
        <f>IFERROR(T211+T213+T214+T215+T216+T217+T219+T220+T221+T222+T223+T224+T225+T226, "NA")</f>
        <v>4741.26</v>
      </c>
      <c r="U227" s="15">
        <f>IFERROR(T227/T444, "NA")</f>
        <v>3.0277192581377066E-2</v>
      </c>
      <c r="V227" s="2"/>
      <c r="W227" s="14">
        <f t="shared" si="58"/>
        <v>506.82000000000062</v>
      </c>
      <c r="X227" s="15">
        <f>IFERROR(W227/W444, "NA")</f>
        <v>-6.32126420295097E-2</v>
      </c>
      <c r="Y227" s="2"/>
      <c r="Z227" s="14">
        <f>IFERROR(Z211+Z213+Z214+Z215+Z216+Z217+Z219+Z220+Z221+Z222+Z223+Z224+Z225+Z226, "NA")</f>
        <v>8270.64</v>
      </c>
      <c r="AA227" s="15">
        <f>IFERROR(Z227/Z444, "NA")</f>
        <v>5.5202669226306018E-2</v>
      </c>
      <c r="AB227" s="2"/>
      <c r="AC227" s="14">
        <f t="shared" si="59"/>
        <v>4036.2</v>
      </c>
      <c r="AD227" s="15">
        <f>IFERROR(AC227/AC444, "NA")</f>
        <v>-3.2398718885205158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1052.23</v>
      </c>
      <c r="F229" s="8">
        <f>IFERROR(E229/E444, "NA")</f>
        <v>1.3000020755951523E-2</v>
      </c>
      <c r="G229" s="9"/>
      <c r="H229" s="10">
        <f t="shared" ref="H229:H236" si="60">IFERROR(-(B229-E229), "NA")</f>
        <v>1052.23</v>
      </c>
      <c r="I229" s="8">
        <f>IFERROR(H229/H444, "NA")</f>
        <v>-0.20991114639897521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2035.74</v>
      </c>
      <c r="U229" s="8">
        <f>IFERROR(T229/T444, "NA")</f>
        <v>1.3000023627814663E-2</v>
      </c>
      <c r="V229" s="9"/>
      <c r="W229" s="10">
        <f t="shared" ref="W229:W236" si="62">IFERROR(-(Q229-T229), "NA")</f>
        <v>2035.74</v>
      </c>
      <c r="X229" s="8">
        <f>IFERROR(W229/W444, "NA")</f>
        <v>-0.2539057335644882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84</v>
      </c>
      <c r="L231" s="8">
        <f>IFERROR(K231/K444, "NA")</f>
        <v>1.0922821036989223E-3</v>
      </c>
      <c r="M231" s="9"/>
      <c r="N231" s="10">
        <f t="shared" si="61"/>
        <v>84</v>
      </c>
      <c r="O231" s="8">
        <f>IFERROR(N231/N444, "NA")</f>
        <v>-8.6126462355557667E-2</v>
      </c>
      <c r="P231" s="9"/>
      <c r="Q231" s="7">
        <v>0</v>
      </c>
      <c r="R231" s="8">
        <f>IFERROR(Q231/Q444, "NA")</f>
        <v>0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0</v>
      </c>
      <c r="X231" s="8">
        <f>IFERROR(W231/W444, "NA")</f>
        <v>0</v>
      </c>
      <c r="Y231" s="9"/>
      <c r="Z231" s="7">
        <v>300.37</v>
      </c>
      <c r="AA231" s="8">
        <f>IFERROR(Z231/Z444, "NA")</f>
        <v>2.0048298264107177E-3</v>
      </c>
      <c r="AB231" s="9"/>
      <c r="AC231" s="10">
        <f t="shared" si="63"/>
        <v>300.37</v>
      </c>
      <c r="AD231" s="8">
        <f>IFERROR(AC231/AC444, "NA")</f>
        <v>-0.24110805191886114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1342.47</v>
      </c>
      <c r="C234" s="8">
        <f>IFERROR(B234/B444, "NA")</f>
        <v>1.7680852492957137E-2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-1342.47</v>
      </c>
      <c r="I234" s="8">
        <f>IFERROR(H234/H444, "NA")</f>
        <v>0.26781161600242553</v>
      </c>
      <c r="J234" s="9"/>
      <c r="K234" s="7">
        <v>1112.4000000000001</v>
      </c>
      <c r="L234" s="8">
        <f>IFERROR(K234/K444, "NA")</f>
        <v>1.44649358589843E-2</v>
      </c>
      <c r="M234" s="9"/>
      <c r="N234" s="10">
        <f t="shared" si="61"/>
        <v>-230.06999999999994</v>
      </c>
      <c r="O234" s="8">
        <f>IFERROR(N234/N444, "NA")</f>
        <v>0.23589422850170413</v>
      </c>
      <c r="P234" s="9"/>
      <c r="Q234" s="7">
        <v>2426.79</v>
      </c>
      <c r="R234" s="8">
        <f>IFERROR(Q234/Q444, "NA")</f>
        <v>1.6333506980200221E-2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-2426.79</v>
      </c>
      <c r="X234" s="8">
        <f>IFERROR(W234/W444, "NA")</f>
        <v>0.30267907255197829</v>
      </c>
      <c r="Y234" s="9"/>
      <c r="Z234" s="7">
        <v>2354.2800000000002</v>
      </c>
      <c r="AA234" s="8">
        <f>IFERROR(Z234/Z444, "NA")</f>
        <v>1.5713722288251908E-2</v>
      </c>
      <c r="AB234" s="9"/>
      <c r="AC234" s="10">
        <f t="shared" si="63"/>
        <v>-72.509999999999764</v>
      </c>
      <c r="AD234" s="8">
        <f>IFERROR(AC234/AC444, "NA")</f>
        <v>5.8204031177003582E-2</v>
      </c>
    </row>
    <row r="235" spans="1:30" ht="16.5" customHeight="1" x14ac:dyDescent="0.45">
      <c r="A235" s="6" t="s">
        <v>214</v>
      </c>
      <c r="B235" s="7">
        <v>10.43</v>
      </c>
      <c r="C235" s="8">
        <f>IFERROR(B235/B444, "NA")</f>
        <v>1.373671601611529E-4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-10.43</v>
      </c>
      <c r="I235" s="8">
        <f>IFERROR(H235/H444, "NA")</f>
        <v>2.0806983805264165E-3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-10.43</v>
      </c>
      <c r="O235" s="8">
        <f>IFERROR(N235/N444, "NA")</f>
        <v>1.0694035742481744E-2</v>
      </c>
      <c r="P235" s="9"/>
      <c r="Q235" s="7">
        <v>16.39</v>
      </c>
      <c r="R235" s="8">
        <f>IFERROR(Q235/Q444, "NA")</f>
        <v>1.1031287396333494E-4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-16.39</v>
      </c>
      <c r="X235" s="8">
        <f>IFERROR(W235/W444, "NA")</f>
        <v>2.0442271474362941E-3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-16.39</v>
      </c>
      <c r="AD235" s="8">
        <f>IFERROR(AC235/AC444, "NA")</f>
        <v>1.3156310453607665E-2</v>
      </c>
    </row>
    <row r="236" spans="1:30" ht="16.5" customHeight="1" x14ac:dyDescent="0.45">
      <c r="A236" s="19" t="s">
        <v>215</v>
      </c>
      <c r="B236" s="14">
        <f>IFERROR(B229+B230+B231+B232+B233+B234+B235, "NA")</f>
        <v>1352.9</v>
      </c>
      <c r="C236" s="15">
        <f>IFERROR(B236/B444, "NA")</f>
        <v>1.7818219653118288E-2</v>
      </c>
      <c r="D236" s="2"/>
      <c r="E236" s="14">
        <f>IFERROR(E229+E230+E231+E232+E233+E234+E235, "NA")</f>
        <v>1052.23</v>
      </c>
      <c r="F236" s="15">
        <f>IFERROR(E236/E444, "NA")</f>
        <v>1.3000020755951523E-2</v>
      </c>
      <c r="G236" s="2"/>
      <c r="H236" s="14">
        <f t="shared" si="60"/>
        <v>-300.67000000000007</v>
      </c>
      <c r="I236" s="15">
        <f>IFERROR(H236/H444, "NA")</f>
        <v>5.9981167983976777E-2</v>
      </c>
      <c r="J236" s="2"/>
      <c r="K236" s="14">
        <f>IFERROR(K229+K230+K231+K232+K233+K234+K235, "NA")</f>
        <v>1196.4000000000001</v>
      </c>
      <c r="L236" s="15">
        <f>IFERROR(K236/K444, "NA")</f>
        <v>1.5557217962683221E-2</v>
      </c>
      <c r="M236" s="2"/>
      <c r="N236" s="14">
        <f t="shared" si="61"/>
        <v>-156.5</v>
      </c>
      <c r="O236" s="15">
        <f>IFERROR(N236/N444, "NA")</f>
        <v>0.16046180188862827</v>
      </c>
      <c r="P236" s="2"/>
      <c r="Q236" s="14">
        <f>IFERROR(Q229+Q230+Q231+Q232+Q233+Q234+Q235, "NA")</f>
        <v>2443.1799999999998</v>
      </c>
      <c r="R236" s="15">
        <f>IFERROR(Q236/Q444, "NA")</f>
        <v>1.6443819854163554E-2</v>
      </c>
      <c r="S236" s="2"/>
      <c r="T236" s="14">
        <f>IFERROR(T229+T230+T231+T232+T233+T234+T235, "NA")</f>
        <v>2035.74</v>
      </c>
      <c r="U236" s="15">
        <f>IFERROR(T236/T444, "NA")</f>
        <v>1.3000023627814663E-2</v>
      </c>
      <c r="V236" s="2"/>
      <c r="W236" s="14">
        <f t="shared" si="62"/>
        <v>-407.43999999999983</v>
      </c>
      <c r="X236" s="15">
        <f>IFERROR(W236/W444, "NA")</f>
        <v>5.0817566134926377E-2</v>
      </c>
      <c r="Y236" s="2"/>
      <c r="Z236" s="14">
        <f>IFERROR(Z229+Z230+Z231+Z232+Z233+Z234+Z235, "NA")</f>
        <v>2654.65</v>
      </c>
      <c r="AA236" s="15">
        <f>IFERROR(Z236/Z444, "NA")</f>
        <v>1.7718552114662625E-2</v>
      </c>
      <c r="AB236" s="2"/>
      <c r="AC236" s="14">
        <f t="shared" si="63"/>
        <v>211.47000000000025</v>
      </c>
      <c r="AD236" s="15">
        <f>IFERROR(AC236/AC444, "NA")</f>
        <v>-0.16974771028824992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4289.8500000000004</v>
      </c>
      <c r="F240" s="8">
        <f>IFERROR(E240/E444, "NA")</f>
        <v>5.2999951569446452E-2</v>
      </c>
      <c r="G240" s="9"/>
      <c r="H240" s="10">
        <f t="shared" ref="H240:H263" si="64">IFERROR(-(B240-E240), "NA")</f>
        <v>4289.8500000000004</v>
      </c>
      <c r="I240" s="8">
        <f>IFERROR(H240/H444, "NA")</f>
        <v>-0.85578944848525873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8299.5400000000009</v>
      </c>
      <c r="U240" s="8">
        <f>IFERROR(T240/T444, "NA")</f>
        <v>5.2999998084231247E-2</v>
      </c>
      <c r="V240" s="9"/>
      <c r="W240" s="10">
        <f t="shared" ref="W240:W263" si="66">IFERROR(-(Q240-T240), "NA")</f>
        <v>8299.5400000000009</v>
      </c>
      <c r="X240" s="8">
        <f>IFERROR(W240/W444, "NA")</f>
        <v>-1.035152225700636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1516.82</v>
      </c>
      <c r="C242" s="8">
        <f>IFERROR(B242/B444, "NA")</f>
        <v>1.9977109863436236E-2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-1516.82</v>
      </c>
      <c r="I242" s="8">
        <f>IFERROR(H242/H444, "NA")</f>
        <v>0.30259299305369886</v>
      </c>
      <c r="J242" s="9"/>
      <c r="K242" s="7">
        <v>1044.58</v>
      </c>
      <c r="L242" s="8">
        <f>IFERROR(K242/K444, "NA")</f>
        <v>1.3583048093831191E-2</v>
      </c>
      <c r="M242" s="9"/>
      <c r="N242" s="10">
        <f t="shared" si="65"/>
        <v>-472.24</v>
      </c>
      <c r="O242" s="8">
        <f>IFERROR(N242/N444, "NA")</f>
        <v>0.48419476884272089</v>
      </c>
      <c r="P242" s="9"/>
      <c r="Q242" s="7">
        <v>2776.25</v>
      </c>
      <c r="R242" s="8">
        <f>IFERROR(Q242/Q444, "NA")</f>
        <v>1.8685547061666176E-2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-2776.25</v>
      </c>
      <c r="X242" s="8">
        <f>IFERROR(W242/W444, "NA")</f>
        <v>0.34626513838133083</v>
      </c>
      <c r="Y242" s="9"/>
      <c r="Z242" s="7">
        <v>2062.71</v>
      </c>
      <c r="AA242" s="8">
        <f>IFERROR(Z242/Z444, "NA")</f>
        <v>1.3767628362471791E-2</v>
      </c>
      <c r="AB242" s="9"/>
      <c r="AC242" s="10">
        <f t="shared" si="67"/>
        <v>-713.54</v>
      </c>
      <c r="AD242" s="8">
        <f>IFERROR(AC242/AC444, "NA")</f>
        <v>0.57276105924754195</v>
      </c>
    </row>
    <row r="243" spans="1:30" ht="16.5" customHeight="1" x14ac:dyDescent="0.45">
      <c r="A243" s="12" t="s">
        <v>220</v>
      </c>
      <c r="B243" s="7">
        <v>2389.83</v>
      </c>
      <c r="C243" s="8">
        <f>IFERROR(B243/B444, "NA")</f>
        <v>3.1474991406320998E-2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-2389.83</v>
      </c>
      <c r="I243" s="8">
        <f>IFERROR(H243/H444, "NA")</f>
        <v>0.47675123784596796</v>
      </c>
      <c r="J243" s="9"/>
      <c r="K243" s="7">
        <v>1543.85</v>
      </c>
      <c r="L243" s="8">
        <f>IFERROR(K243/K444, "NA")</f>
        <v>2.0075234830899773E-2</v>
      </c>
      <c r="M243" s="9"/>
      <c r="N243" s="10">
        <f t="shared" si="65"/>
        <v>-845.98</v>
      </c>
      <c r="O243" s="8">
        <f>IFERROR(N243/N444, "NA")</f>
        <v>0.86739600742326994</v>
      </c>
      <c r="P243" s="9"/>
      <c r="Q243" s="7">
        <v>3995.65</v>
      </c>
      <c r="R243" s="8">
        <f>IFERROR(Q243/Q444, "NA")</f>
        <v>2.6892717196558832E-2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-3995.65</v>
      </c>
      <c r="X243" s="8">
        <f>IFERROR(W243/W444, "NA")</f>
        <v>0.49835364256582243</v>
      </c>
      <c r="Y243" s="9"/>
      <c r="Z243" s="7">
        <v>3638.41</v>
      </c>
      <c r="AA243" s="8">
        <f>IFERROR(Z243/Z444, "NA")</f>
        <v>2.4284691842431066E-2</v>
      </c>
      <c r="AB243" s="9"/>
      <c r="AC243" s="10">
        <f t="shared" si="67"/>
        <v>-357.24000000000024</v>
      </c>
      <c r="AD243" s="8">
        <f>IFERROR(AC243/AC444, "NA")</f>
        <v>0.28675780027131209</v>
      </c>
    </row>
    <row r="244" spans="1:30" ht="16.5" customHeight="1" x14ac:dyDescent="0.45">
      <c r="A244" s="12" t="s">
        <v>221</v>
      </c>
      <c r="B244" s="7">
        <v>530.02</v>
      </c>
      <c r="C244" s="8">
        <f>IFERROR(B244/B444, "NA")</f>
        <v>6.9805697246993533E-3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-530.02</v>
      </c>
      <c r="I244" s="8">
        <f>IFERROR(H244/H444, "NA")</f>
        <v>0.10573458826909024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-530.02</v>
      </c>
      <c r="O244" s="8">
        <f>IFERROR(N244/N444, "NA")</f>
        <v>0.543437471163008</v>
      </c>
      <c r="P244" s="9"/>
      <c r="Q244" s="7">
        <v>1002.27</v>
      </c>
      <c r="R244" s="8">
        <f>IFERROR(Q244/Q444, "NA")</f>
        <v>6.745776948580336E-3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-1002.27</v>
      </c>
      <c r="X244" s="8">
        <f>IFERROR(W244/W444, "NA")</f>
        <v>0.12500717163276234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-1002.27</v>
      </c>
      <c r="AD244" s="8">
        <f>IFERROR(AC244/AC444, "NA")</f>
        <v>0.8045256423634749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139.91999999999999</v>
      </c>
      <c r="C246" s="8">
        <f>IFERROR(B246/B444, "NA")</f>
        <v>1.8428008676652455E-3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-139.91999999999999</v>
      </c>
      <c r="I246" s="8">
        <f>IFERROR(H246/H444, "NA")</f>
        <v>2.7912877986889375E-2</v>
      </c>
      <c r="J246" s="9"/>
      <c r="K246" s="7">
        <v>203.36</v>
      </c>
      <c r="L246" s="8">
        <f>IFERROR(K246/K444, "NA")</f>
        <v>2.6443629596215813E-3</v>
      </c>
      <c r="M246" s="9"/>
      <c r="N246" s="10">
        <f t="shared" si="65"/>
        <v>63.440000000000026</v>
      </c>
      <c r="O246" s="8">
        <f>IFERROR(N246/N444, "NA")</f>
        <v>-6.504598537900691E-2</v>
      </c>
      <c r="P246" s="9"/>
      <c r="Q246" s="7">
        <v>247.62</v>
      </c>
      <c r="R246" s="8">
        <f>IFERROR(Q246/Q444, "NA")</f>
        <v>1.6666060921782183E-3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-247.62</v>
      </c>
      <c r="X246" s="8">
        <f>IFERROR(W246/W444, "NA")</f>
        <v>3.0884168776581768E-2</v>
      </c>
      <c r="Y246" s="9"/>
      <c r="Z246" s="7">
        <v>489.07</v>
      </c>
      <c r="AA246" s="8">
        <f>IFERROR(Z246/Z444, "NA")</f>
        <v>3.2643144228874047E-3</v>
      </c>
      <c r="AB246" s="9"/>
      <c r="AC246" s="10">
        <f t="shared" si="67"/>
        <v>241.45</v>
      </c>
      <c r="AD246" s="8">
        <f>IFERROR(AC246/AC444, "NA")</f>
        <v>-0.19381276138032766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195.11</v>
      </c>
      <c r="C248" s="8">
        <f>IFERROR(B248/B444, "NA")</f>
        <v>2.5696746518736858E-3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-195.11</v>
      </c>
      <c r="I248" s="8">
        <f>IFERROR(H248/H444, "NA")</f>
        <v>3.8922824642810085E-2</v>
      </c>
      <c r="J248" s="9"/>
      <c r="K248" s="7">
        <v>239.86</v>
      </c>
      <c r="L248" s="8">
        <f>IFERROR(K248/K444, "NA")</f>
        <v>3.1189855403955177E-3</v>
      </c>
      <c r="M248" s="9"/>
      <c r="N248" s="10">
        <f t="shared" si="65"/>
        <v>44.75</v>
      </c>
      <c r="O248" s="8">
        <f>IFERROR(N248/N444, "NA")</f>
        <v>-4.5882847504895304E-2</v>
      </c>
      <c r="P248" s="9"/>
      <c r="Q248" s="7">
        <v>445.71</v>
      </c>
      <c r="R248" s="8">
        <f>IFERROR(Q248/Q444, "NA")</f>
        <v>2.9998505829284938E-3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-445.71</v>
      </c>
      <c r="X248" s="8">
        <f>IFERROR(W248/W444, "NA")</f>
        <v>5.5590755453558918E-2</v>
      </c>
      <c r="Y248" s="9"/>
      <c r="Z248" s="7">
        <v>502.99</v>
      </c>
      <c r="AA248" s="8">
        <f>IFERROR(Z248/Z444, "NA")</f>
        <v>3.3572239384303594E-3</v>
      </c>
      <c r="AB248" s="9"/>
      <c r="AC248" s="10">
        <f t="shared" si="67"/>
        <v>57.28000000000003</v>
      </c>
      <c r="AD248" s="8">
        <f>IFERROR(AC248/AC444, "NA")</f>
        <v>-4.5978856789667323E-2</v>
      </c>
    </row>
    <row r="249" spans="1:30" ht="16.5" customHeight="1" x14ac:dyDescent="0.45">
      <c r="A249" s="12" t="s">
        <v>226</v>
      </c>
      <c r="B249" s="7">
        <v>704.19</v>
      </c>
      <c r="C249" s="8">
        <f>IFERROR(B249/B444, "NA")</f>
        <v>9.2744564251085581E-3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-704.19</v>
      </c>
      <c r="I249" s="8">
        <f>IFERROR(H249/H444, "NA")</f>
        <v>0.14048005681523465</v>
      </c>
      <c r="J249" s="9"/>
      <c r="K249" s="7">
        <v>997.45</v>
      </c>
      <c r="L249" s="8">
        <f>IFERROR(K249/K444, "NA")</f>
        <v>1.2970199813505834E-2</v>
      </c>
      <c r="M249" s="9"/>
      <c r="N249" s="10">
        <f t="shared" si="65"/>
        <v>293.26</v>
      </c>
      <c r="O249" s="8">
        <f>IFERROR(N249/N444, "NA")</f>
        <v>-0.30068388512370048</v>
      </c>
      <c r="P249" s="9"/>
      <c r="Q249" s="7">
        <v>1430.07</v>
      </c>
      <c r="R249" s="8">
        <f>IFERROR(Q249/Q444, "NA")</f>
        <v>9.6250842994964232E-3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-1430.07</v>
      </c>
      <c r="X249" s="8">
        <f>IFERROR(W249/W444, "NA")</f>
        <v>0.17836411938585853</v>
      </c>
      <c r="Y249" s="9"/>
      <c r="Z249" s="7">
        <v>1777.91</v>
      </c>
      <c r="AA249" s="8">
        <f>IFERROR(Z249/Z444, "NA")</f>
        <v>1.1866721032972266E-2</v>
      </c>
      <c r="AB249" s="9"/>
      <c r="AC249" s="10">
        <f t="shared" si="67"/>
        <v>347.84000000000015</v>
      </c>
      <c r="AD249" s="8">
        <f>IFERROR(AC249/AC444, "NA")</f>
        <v>-0.27921238732049369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customHeight="1" x14ac:dyDescent="0.45">
      <c r="A261" s="12" t="s">
        <v>238</v>
      </c>
      <c r="B261" s="7">
        <v>433.71</v>
      </c>
      <c r="C261" s="8">
        <f>IFERROR(B261/B444, "NA")</f>
        <v>5.7121295334126194E-3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-433.71</v>
      </c>
      <c r="I261" s="8">
        <f>IFERROR(H261/H444, "NA")</f>
        <v>8.6521543108160306E-2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-433.71</v>
      </c>
      <c r="O261" s="8">
        <f>IFERROR(N261/N444, "NA")</f>
        <v>0.44468938081224896</v>
      </c>
      <c r="P261" s="9"/>
      <c r="Q261" s="7">
        <v>433.71</v>
      </c>
      <c r="R261" s="8">
        <f>IFERROR(Q261/Q444, "NA")</f>
        <v>2.9190845983305671E-3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-433.71</v>
      </c>
      <c r="X261" s="8">
        <f>IFERROR(W261/W444, "NA")</f>
        <v>5.4094066877034483E-2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-433.71</v>
      </c>
      <c r="AD261" s="8">
        <f>IFERROR(AC261/AC444, "NA")</f>
        <v>0.34814053732972422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5909.5999999999995</v>
      </c>
      <c r="C262" s="15">
        <f>IFERROR(B262/B444, "NA")</f>
        <v>7.7831732472516693E-2</v>
      </c>
      <c r="D262" s="2"/>
      <c r="E262" s="14">
        <f>IFERROR(E240+E241+E242+E243+E244+E245+E246+E247+E248+E249+E250+E251+E252+E253+E254+E255+E256+E257+E258+E259+E260+E261, "NA")</f>
        <v>4289.8500000000004</v>
      </c>
      <c r="F262" s="15">
        <f>IFERROR(E262/E444, "NA")</f>
        <v>5.2999951569446452E-2</v>
      </c>
      <c r="G262" s="2"/>
      <c r="H262" s="14">
        <f t="shared" si="64"/>
        <v>-1619.7499999999991</v>
      </c>
      <c r="I262" s="15">
        <f>IFERROR(H262/H444, "NA")</f>
        <v>0.32312667323659267</v>
      </c>
      <c r="J262" s="2"/>
      <c r="K262" s="14">
        <f>IFERROR(K240+K241+K242+K243+K244+K245+K246+K247+K248+K249+K250+K251+K252+K253+K254+K255+K256+K257+K258+K259+K260+K261, "NA")</f>
        <v>4029.1000000000004</v>
      </c>
      <c r="L262" s="15">
        <f>IFERROR(K262/K444, "NA")</f>
        <v>5.2391831238253903E-2</v>
      </c>
      <c r="M262" s="2"/>
      <c r="N262" s="14">
        <f t="shared" si="65"/>
        <v>-1880.4999999999991</v>
      </c>
      <c r="O262" s="15">
        <f>IFERROR(N262/N444, "NA")</f>
        <v>1.9281049102336443</v>
      </c>
      <c r="P262" s="2"/>
      <c r="Q262" s="14">
        <f>IFERROR(Q240+Q241+Q242+Q243+Q244+Q245+Q246+Q247+Q248+Q249+Q250+Q251+Q252+Q253+Q254+Q255+Q256+Q257+Q258+Q259+Q260+Q261, "NA")</f>
        <v>10331.279999999999</v>
      </c>
      <c r="R262" s="15">
        <f>IFERROR(Q262/Q444, "NA")</f>
        <v>6.9534666779739046E-2</v>
      </c>
      <c r="S262" s="2"/>
      <c r="T262" s="14">
        <f>IFERROR(T240+T241+T242+T243+T244+T245+T246+T247+T248+T249+T250+T251+T252+T253+T254+T255+T256+T257+T258+T259+T260+T261, "NA")</f>
        <v>8299.5400000000009</v>
      </c>
      <c r="U262" s="15">
        <f>IFERROR(T262/T444, "NA")</f>
        <v>5.2999998084231247E-2</v>
      </c>
      <c r="V262" s="2"/>
      <c r="W262" s="14">
        <f t="shared" si="66"/>
        <v>-2031.739999999998</v>
      </c>
      <c r="X262" s="15">
        <f>IFERROR(W262/W444, "NA")</f>
        <v>0.25340683737231312</v>
      </c>
      <c r="Y262" s="2"/>
      <c r="Z262" s="14">
        <f>IFERROR(Z240+Z241+Z242+Z243+Z244+Z245+Z246+Z247+Z248+Z249+Z250+Z251+Z252+Z253+Z254+Z255+Z256+Z257+Z258+Z259+Z260+Z261, "NA")</f>
        <v>8471.09</v>
      </c>
      <c r="AA262" s="15">
        <f>IFERROR(Z262/Z444, "NA")</f>
        <v>5.654057959919289E-2</v>
      </c>
      <c r="AB262" s="2"/>
      <c r="AC262" s="14">
        <f t="shared" si="67"/>
        <v>-1860.1899999999987</v>
      </c>
      <c r="AD262" s="15">
        <f>IFERROR(AC262/AC444, "NA")</f>
        <v>1.4931810337215634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5909.5999999999995</v>
      </c>
      <c r="C263" s="15">
        <f>IFERROR(B263/B444, "NA")</f>
        <v>7.7831732472516693E-2</v>
      </c>
      <c r="D263" s="2"/>
      <c r="E263" s="14">
        <f>IFERROR(E238+E240+E241+E242+E243+E244+E245+E246+E247+E248+E249+E250+E251+E252+E253+E254+E255+E256+E257+E258+E259+E260+E261, "NA")</f>
        <v>4289.8500000000004</v>
      </c>
      <c r="F263" s="15">
        <f>IFERROR(E263/E444, "NA")</f>
        <v>5.2999951569446452E-2</v>
      </c>
      <c r="G263" s="2"/>
      <c r="H263" s="14">
        <f t="shared" si="64"/>
        <v>-1619.7499999999991</v>
      </c>
      <c r="I263" s="15">
        <f>IFERROR(H263/H444, "NA")</f>
        <v>0.32312667323659267</v>
      </c>
      <c r="J263" s="2"/>
      <c r="K263" s="14">
        <f>IFERROR(K238+K240+K241+K242+K243+K244+K245+K246+K247+K248+K249+K250+K251+K252+K253+K254+K255+K256+K257+K258+K259+K260+K261, "NA")</f>
        <v>4029.1000000000004</v>
      </c>
      <c r="L263" s="15">
        <f>IFERROR(K263/K444, "NA")</f>
        <v>5.2391831238253903E-2</v>
      </c>
      <c r="M263" s="2"/>
      <c r="N263" s="14">
        <f t="shared" si="65"/>
        <v>-1880.4999999999991</v>
      </c>
      <c r="O263" s="15">
        <f>IFERROR(N263/N444, "NA")</f>
        <v>1.9281049102336443</v>
      </c>
      <c r="P263" s="2"/>
      <c r="Q263" s="14">
        <f>IFERROR(Q238+Q240+Q241+Q242+Q243+Q244+Q245+Q246+Q247+Q248+Q249+Q250+Q251+Q252+Q253+Q254+Q255+Q256+Q257+Q258+Q259+Q260+Q261, "NA")</f>
        <v>10331.279999999999</v>
      </c>
      <c r="R263" s="15">
        <f>IFERROR(Q263/Q444, "NA")</f>
        <v>6.9534666779739046E-2</v>
      </c>
      <c r="S263" s="2"/>
      <c r="T263" s="14">
        <f>IFERROR(T238+T240+T241+T242+T243+T244+T245+T246+T247+T248+T249+T250+T251+T252+T253+T254+T255+T256+T257+T258+T259+T260+T261, "NA")</f>
        <v>8299.5400000000009</v>
      </c>
      <c r="U263" s="15">
        <f>IFERROR(T263/T444, "NA")</f>
        <v>5.2999998084231247E-2</v>
      </c>
      <c r="V263" s="2"/>
      <c r="W263" s="14">
        <f t="shared" si="66"/>
        <v>-2031.739999999998</v>
      </c>
      <c r="X263" s="15">
        <f>IFERROR(W263/W444, "NA")</f>
        <v>0.25340683737231312</v>
      </c>
      <c r="Y263" s="2"/>
      <c r="Z263" s="14">
        <f>IFERROR(Z238+Z240+Z241+Z242+Z243+Z244+Z245+Z246+Z247+Z248+Z249+Z250+Z251+Z252+Z253+Z254+Z255+Z256+Z257+Z258+Z259+Z260+Z261, "NA")</f>
        <v>8471.09</v>
      </c>
      <c r="AA263" s="15">
        <f>IFERROR(Z263/Z444, "NA")</f>
        <v>5.654057959919289E-2</v>
      </c>
      <c r="AB263" s="2"/>
      <c r="AC263" s="14">
        <f t="shared" si="67"/>
        <v>-1860.1899999999987</v>
      </c>
      <c r="AD263" s="15">
        <f>IFERROR(AC263/AC444, "NA")</f>
        <v>1.4931810337215634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2147.58</v>
      </c>
      <c r="C265" s="8">
        <f>IFERROR(B265/B444, "NA")</f>
        <v>2.8284464603920298E-2</v>
      </c>
      <c r="D265" s="9"/>
      <c r="E265" s="7">
        <v>2347.2800000000002</v>
      </c>
      <c r="F265" s="8">
        <f>IFERROR(E265/E444, "NA")</f>
        <v>2.9000017790815593E-2</v>
      </c>
      <c r="G265" s="9"/>
      <c r="H265" s="10">
        <f>IFERROR(-(B265-E265), "NA")</f>
        <v>199.70000000000027</v>
      </c>
      <c r="I265" s="8">
        <f>IFERROR(H265/H444, "NA")</f>
        <v>-3.9838491523597884E-2</v>
      </c>
      <c r="J265" s="9"/>
      <c r="K265" s="7">
        <v>2137.54</v>
      </c>
      <c r="L265" s="8">
        <f>IFERROR(K265/K444, "NA")</f>
        <v>2.7795198665959454E-2</v>
      </c>
      <c r="M265" s="9"/>
      <c r="N265" s="10">
        <f>IFERROR(-(B265-K265), "NA")</f>
        <v>-10.039999999999964</v>
      </c>
      <c r="O265" s="8">
        <f>IFERROR(N265/N444, "NA")</f>
        <v>1.0294162881545188E-2</v>
      </c>
      <c r="P265" s="9"/>
      <c r="Q265" s="7">
        <v>4247.8999999999996</v>
      </c>
      <c r="R265" s="8">
        <f>IFERROR(Q265/Q444, "NA")</f>
        <v>2.8590485497794416E-2</v>
      </c>
      <c r="S265" s="9"/>
      <c r="T265" s="7">
        <v>4541.26</v>
      </c>
      <c r="U265" s="8">
        <f>IFERROR(T265/T444, "NA")</f>
        <v>2.9000013410381296E-2</v>
      </c>
      <c r="V265" s="9"/>
      <c r="W265" s="10">
        <f>IFERROR(-(Q265-T265), "NA")</f>
        <v>293.36000000000058</v>
      </c>
      <c r="X265" s="8">
        <f>IFERROR(W265/W444, "NA")</f>
        <v>-3.6589046734100822E-2</v>
      </c>
      <c r="Y265" s="9"/>
      <c r="Z265" s="7">
        <v>4119.4399999999996</v>
      </c>
      <c r="AA265" s="8">
        <f>IFERROR(Z265/Z444, "NA")</f>
        <v>2.7495343010651419E-2</v>
      </c>
      <c r="AB265" s="9"/>
      <c r="AC265" s="10">
        <f>IFERROR(-(Q265-Z265), "NA")</f>
        <v>-128.46000000000004</v>
      </c>
      <c r="AD265" s="8">
        <f>IFERROR(AC265/AC444, "NA")</f>
        <v>0.10311529230448085</v>
      </c>
    </row>
    <row r="266" spans="1:30" ht="16.5" customHeight="1" x14ac:dyDescent="0.45">
      <c r="A266" s="6" t="s">
        <v>242</v>
      </c>
      <c r="B266" s="7">
        <v>32.799999999999997</v>
      </c>
      <c r="C266" s="8">
        <f>IFERROR(B266/B444, "NA")</f>
        <v>4.3198876829202441E-4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-32.799999999999997</v>
      </c>
      <c r="I266" s="8">
        <f>IFERROR(H266/H444, "NA")</f>
        <v>6.5433276012719513E-3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-32.799999999999997</v>
      </c>
      <c r="O266" s="8">
        <f>IFERROR(N266/N444, "NA")</f>
        <v>3.3630332919789181E-2</v>
      </c>
      <c r="P266" s="9"/>
      <c r="Q266" s="7">
        <v>32.799999999999997</v>
      </c>
      <c r="R266" s="8">
        <f>IFERROR(Q266/Q444, "NA")</f>
        <v>2.2076035790099974E-4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-32.799999999999997</v>
      </c>
      <c r="X266" s="8">
        <f>IFERROR(W266/W444, "NA")</f>
        <v>4.0909487758334622E-3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-32.799999999999997</v>
      </c>
      <c r="AD266" s="8">
        <f>IFERROR(AC266/AC444, "NA")</f>
        <v>2.6328674977323451E-2</v>
      </c>
    </row>
    <row r="267" spans="1:30" ht="16.5" customHeight="1" x14ac:dyDescent="0.45">
      <c r="A267" s="19" t="s">
        <v>243</v>
      </c>
      <c r="B267" s="14">
        <f>IFERROR(B265+B266, "NA")</f>
        <v>2180.38</v>
      </c>
      <c r="C267" s="15">
        <f>IFERROR(B267/B444, "NA")</f>
        <v>2.8716453372212326E-2</v>
      </c>
      <c r="D267" s="2"/>
      <c r="E267" s="14">
        <f>IFERROR(E265+E266, "NA")</f>
        <v>2347.2800000000002</v>
      </c>
      <c r="F267" s="15">
        <f>IFERROR(E267/E444, "NA")</f>
        <v>2.9000017790815593E-2</v>
      </c>
      <c r="G267" s="2"/>
      <c r="H267" s="14">
        <f>IFERROR(-(B267-E267), "NA")</f>
        <v>166.90000000000009</v>
      </c>
      <c r="I267" s="15">
        <f>IFERROR(H267/H444, "NA")</f>
        <v>-3.3295163922325899E-2</v>
      </c>
      <c r="J267" s="2"/>
      <c r="K267" s="14">
        <f>IFERROR(K265+K266, "NA")</f>
        <v>2137.54</v>
      </c>
      <c r="L267" s="15">
        <f>IFERROR(K267/K444, "NA")</f>
        <v>2.7795198665959454E-2</v>
      </c>
      <c r="M267" s="2"/>
      <c r="N267" s="14">
        <f>IFERROR(-(B267-K267), "NA")</f>
        <v>-42.840000000000146</v>
      </c>
      <c r="O267" s="15">
        <f>IFERROR(N267/N444, "NA")</f>
        <v>4.3924495801334562E-2</v>
      </c>
      <c r="P267" s="2"/>
      <c r="Q267" s="14">
        <f>IFERROR(Q265+Q266, "NA")</f>
        <v>4280.7</v>
      </c>
      <c r="R267" s="15">
        <f>IFERROR(Q267/Q444, "NA")</f>
        <v>2.8811245855695417E-2</v>
      </c>
      <c r="S267" s="2"/>
      <c r="T267" s="14">
        <f>IFERROR(T265+T266, "NA")</f>
        <v>4541.26</v>
      </c>
      <c r="U267" s="15">
        <f>IFERROR(T267/T444, "NA")</f>
        <v>2.9000013410381296E-2</v>
      </c>
      <c r="V267" s="2"/>
      <c r="W267" s="14">
        <f>IFERROR(-(Q267-T267), "NA")</f>
        <v>260.5600000000004</v>
      </c>
      <c r="X267" s="15">
        <f>IFERROR(W267/W444, "NA")</f>
        <v>-3.2498097958267337E-2</v>
      </c>
      <c r="Y267" s="2"/>
      <c r="Z267" s="14">
        <f>IFERROR(Z265+Z266, "NA")</f>
        <v>4119.4399999999996</v>
      </c>
      <c r="AA267" s="15">
        <f>IFERROR(Z267/Z444, "NA")</f>
        <v>2.7495343010651419E-2</v>
      </c>
      <c r="AB267" s="2"/>
      <c r="AC267" s="14">
        <f>IFERROR(-(Q267-Z267), "NA")</f>
        <v>-161.26000000000022</v>
      </c>
      <c r="AD267" s="15">
        <f>IFERROR(AC267/AC444, "NA")</f>
        <v>0.12944396728180446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197.88</v>
      </c>
      <c r="C270" s="8">
        <f>IFERROR(B270/B444, "NA")</f>
        <v>2.6061566301715179E-3</v>
      </c>
      <c r="D270" s="9"/>
      <c r="E270" s="7">
        <v>200.2</v>
      </c>
      <c r="F270" s="8">
        <f>IFERROR(E270/E444, "NA")</f>
        <v>2.4734175563721757E-3</v>
      </c>
      <c r="G270" s="9"/>
      <c r="H270" s="10">
        <f>IFERROR(-(B270-E270), "NA")</f>
        <v>2.3199999999999932</v>
      </c>
      <c r="I270" s="8">
        <f>IFERROR(H270/H444, "NA")</f>
        <v>-4.6282073277289284E-4</v>
      </c>
      <c r="J270" s="9"/>
      <c r="K270" s="7">
        <v>201.73</v>
      </c>
      <c r="L270" s="8">
        <f>IFERROR(K270/K444, "NA")</f>
        <v>2.6231674854664709E-3</v>
      </c>
      <c r="M270" s="9"/>
      <c r="N270" s="10">
        <f>IFERROR(-(B270-K270), "NA")</f>
        <v>3.8499999999999943</v>
      </c>
      <c r="O270" s="8">
        <f>IFERROR(N270/N444, "NA")</f>
        <v>-3.9474628579630536E-3</v>
      </c>
      <c r="P270" s="9"/>
      <c r="Q270" s="7">
        <v>395.76</v>
      </c>
      <c r="R270" s="8">
        <f>IFERROR(Q270/Q444, "NA")</f>
        <v>2.6636621720396237E-3</v>
      </c>
      <c r="S270" s="9"/>
      <c r="T270" s="7">
        <v>400.4</v>
      </c>
      <c r="U270" s="8">
        <f>IFERROR(T270/T444, "NA")</f>
        <v>2.5569127003335352E-3</v>
      </c>
      <c r="V270" s="9"/>
      <c r="W270" s="10">
        <f>IFERROR(-(Q270-T270), "NA")</f>
        <v>4.6399999999999864</v>
      </c>
      <c r="X270" s="8">
        <f>IFERROR(W270/W444, "NA")</f>
        <v>-5.7871958292278079E-4</v>
      </c>
      <c r="Y270" s="9"/>
      <c r="Z270" s="7">
        <v>403.46</v>
      </c>
      <c r="AA270" s="8">
        <f>IFERROR(Z270/Z444, "NA")</f>
        <v>2.6929075532299103E-3</v>
      </c>
      <c r="AB270" s="9"/>
      <c r="AC270" s="10">
        <f>IFERROR(-(Q270-Z270), "NA")</f>
        <v>7.6999999999999886</v>
      </c>
      <c r="AD270" s="8">
        <f>IFERROR(AC270/AC444, "NA")</f>
        <v>-6.1808169916277526E-3</v>
      </c>
    </row>
    <row r="271" spans="1:30" ht="16.5" customHeight="1" x14ac:dyDescent="0.45">
      <c r="A271" s="6" t="s">
        <v>246</v>
      </c>
      <c r="B271" s="7">
        <v>894.43</v>
      </c>
      <c r="C271" s="8">
        <f>IFERROR(B271/B444, "NA")</f>
        <v>1.1779991281202299E-2</v>
      </c>
      <c r="D271" s="9"/>
      <c r="E271" s="7">
        <v>894.43</v>
      </c>
      <c r="F271" s="8">
        <f>IFERROR(E271/E444, "NA")</f>
        <v>1.1050443880848977E-2</v>
      </c>
      <c r="G271" s="9"/>
      <c r="H271" s="10">
        <f>IFERROR(-(B271-E271), "NA")</f>
        <v>0</v>
      </c>
      <c r="I271" s="8">
        <f>IFERROR(H271/H444, "NA")</f>
        <v>0</v>
      </c>
      <c r="J271" s="9"/>
      <c r="K271" s="7">
        <v>778.58</v>
      </c>
      <c r="L271" s="8">
        <f>IFERROR(K271/K444, "NA")</f>
        <v>1.0124154765451273E-2</v>
      </c>
      <c r="M271" s="9"/>
      <c r="N271" s="10">
        <f>IFERROR(-(B271-K271), "NA")</f>
        <v>-115.84999999999991</v>
      </c>
      <c r="O271" s="8">
        <f>IFERROR(N271/N444, "NA")</f>
        <v>0.11878274599870652</v>
      </c>
      <c r="P271" s="9"/>
      <c r="Q271" s="7">
        <v>1788.86</v>
      </c>
      <c r="R271" s="8">
        <f>IFERROR(Q271/Q444, "NA")</f>
        <v>1.2039919933987269E-2</v>
      </c>
      <c r="S271" s="9"/>
      <c r="T271" s="7">
        <v>1788.86</v>
      </c>
      <c r="U271" s="8">
        <f>IFERROR(T271/T444, "NA")</f>
        <v>1.1423473659137481E-2</v>
      </c>
      <c r="V271" s="9"/>
      <c r="W271" s="10">
        <f>IFERROR(-(Q271-T271), "NA")</f>
        <v>0</v>
      </c>
      <c r="X271" s="8">
        <f>IFERROR(W271/W444, "NA")</f>
        <v>0</v>
      </c>
      <c r="Y271" s="9"/>
      <c r="Z271" s="7">
        <v>1557.16</v>
      </c>
      <c r="AA271" s="8">
        <f>IFERROR(Z271/Z444, "NA")</f>
        <v>1.0393317616585256E-2</v>
      </c>
      <c r="AB271" s="9"/>
      <c r="AC271" s="10">
        <f>IFERROR(-(Q271-Z271), "NA")</f>
        <v>-231.69999999999982</v>
      </c>
      <c r="AD271" s="8">
        <f>IFERROR(AC271/AC444, "NA")</f>
        <v>0.18598640220261706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1092.31</v>
      </c>
      <c r="C273" s="15">
        <f>IFERROR(B273/B444, "NA")</f>
        <v>1.4386147911373817E-2</v>
      </c>
      <c r="D273" s="2"/>
      <c r="E273" s="14">
        <f>IFERROR(E269+E270+E271+E272, "NA")</f>
        <v>1094.6299999999999</v>
      </c>
      <c r="F273" s="15">
        <f>IFERROR(E273/E444, "NA")</f>
        <v>1.3523861437221152E-2</v>
      </c>
      <c r="G273" s="2"/>
      <c r="H273" s="14">
        <f>IFERROR(-(B273-E273), "NA")</f>
        <v>2.3199999999999363</v>
      </c>
      <c r="I273" s="15">
        <f>IFERROR(H273/H444, "NA")</f>
        <v>-4.6282073277288145E-4</v>
      </c>
      <c r="J273" s="2"/>
      <c r="K273" s="14">
        <f>IFERROR(K269+K270+K271+K272, "NA")</f>
        <v>980.31000000000006</v>
      </c>
      <c r="L273" s="15">
        <f>IFERROR(K273/K444, "NA")</f>
        <v>1.2747322250917745E-2</v>
      </c>
      <c r="M273" s="2"/>
      <c r="N273" s="14">
        <f>IFERROR(-(B273-K273), "NA")</f>
        <v>-111.99999999999989</v>
      </c>
      <c r="O273" s="15">
        <f>IFERROR(N273/N444, "NA")</f>
        <v>0.11483528314074344</v>
      </c>
      <c r="P273" s="2"/>
      <c r="Q273" s="14">
        <f>IFERROR(Q269+Q270+Q271+Q272, "NA")</f>
        <v>2184.62</v>
      </c>
      <c r="R273" s="15">
        <f>IFERROR(Q273/Q444, "NA")</f>
        <v>1.4703582106026892E-2</v>
      </c>
      <c r="S273" s="2"/>
      <c r="T273" s="14">
        <f>IFERROR(T269+T270+T271+T272, "NA")</f>
        <v>2189.2599999999998</v>
      </c>
      <c r="U273" s="15">
        <f>IFERROR(T273/T444, "NA")</f>
        <v>1.3980386359471016E-2</v>
      </c>
      <c r="V273" s="2"/>
      <c r="W273" s="14">
        <f>IFERROR(-(Q273-T273), "NA")</f>
        <v>4.6399999999998727</v>
      </c>
      <c r="X273" s="15">
        <f>IFERROR(W273/W444, "NA")</f>
        <v>-5.7871958292276659E-4</v>
      </c>
      <c r="Y273" s="2"/>
      <c r="Z273" s="14">
        <f>IFERROR(Z269+Z270+Z271+Z272, "NA")</f>
        <v>1960.6200000000001</v>
      </c>
      <c r="AA273" s="15">
        <f>IFERROR(Z273/Z444, "NA")</f>
        <v>1.3086225169815167E-2</v>
      </c>
      <c r="AB273" s="2"/>
      <c r="AC273" s="14">
        <f>IFERROR(-(Q273-Z273), "NA")</f>
        <v>-223.99999999999977</v>
      </c>
      <c r="AD273" s="15">
        <f>IFERROR(AC273/AC444, "NA")</f>
        <v>0.17980558521098927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hidden="1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0</v>
      </c>
      <c r="F287" s="8">
        <f>IFERROR(E287/E444, "NA")</f>
        <v>0</v>
      </c>
      <c r="G287" s="9"/>
      <c r="H287" s="10">
        <f t="shared" si="72"/>
        <v>0</v>
      </c>
      <c r="I287" s="8">
        <f>IFERROR(H287/H444, "NA")</f>
        <v>0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0</v>
      </c>
      <c r="U287" s="8">
        <f>IFERROR(T287/T444, "NA")</f>
        <v>0</v>
      </c>
      <c r="V287" s="9"/>
      <c r="W287" s="10">
        <f t="shared" si="74"/>
        <v>0</v>
      </c>
      <c r="X287" s="8">
        <f>IFERROR(W287/W444, "NA")</f>
        <v>0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1.8109285256144318E-3</v>
      </c>
      <c r="D288" s="9"/>
      <c r="E288" s="7">
        <v>138</v>
      </c>
      <c r="F288" s="8">
        <f>IFERROR(E288/E444, "NA")</f>
        <v>1.7049531607360655E-3</v>
      </c>
      <c r="G288" s="9"/>
      <c r="H288" s="10">
        <f t="shared" si="72"/>
        <v>0.5</v>
      </c>
      <c r="I288" s="8">
        <f>IFERROR(H288/H444, "NA")</f>
        <v>-9.974584758036512E-5</v>
      </c>
      <c r="J288" s="9"/>
      <c r="K288" s="7">
        <v>137.5</v>
      </c>
      <c r="L288" s="8">
        <f>IFERROR(K288/K444, "NA")</f>
        <v>1.7879617768881168E-3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275</v>
      </c>
      <c r="R288" s="8">
        <f>IFERROR(Q288/Q444, "NA")</f>
        <v>1.8508871470358211E-3</v>
      </c>
      <c r="S288" s="9"/>
      <c r="T288" s="7">
        <v>276</v>
      </c>
      <c r="U288" s="8">
        <f>IFERROR(T288/T444, "NA")</f>
        <v>1.7625072559741652E-3</v>
      </c>
      <c r="V288" s="9"/>
      <c r="W288" s="10">
        <f t="shared" si="74"/>
        <v>1</v>
      </c>
      <c r="X288" s="8">
        <f>IFERROR(W288/W444, "NA")</f>
        <v>-1.2472404804370312E-4</v>
      </c>
      <c r="Y288" s="9"/>
      <c r="Z288" s="7">
        <v>275</v>
      </c>
      <c r="AA288" s="8">
        <f>IFERROR(Z288/Z444, "NA")</f>
        <v>1.8354968947063535E-3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156.81</v>
      </c>
      <c r="C289" s="8">
        <f>IFERROR(B289/B444, "NA")</f>
        <v>2.065248742557084E-3</v>
      </c>
      <c r="D289" s="9"/>
      <c r="E289" s="7">
        <v>211</v>
      </c>
      <c r="F289" s="8">
        <f>IFERROR(E289/E444, "NA")</f>
        <v>2.6068486732993461E-3</v>
      </c>
      <c r="G289" s="9"/>
      <c r="H289" s="10">
        <f t="shared" si="72"/>
        <v>54.19</v>
      </c>
      <c r="I289" s="8">
        <f>IFERROR(H289/H444, "NA")</f>
        <v>-1.0810454960759972E-2</v>
      </c>
      <c r="J289" s="9"/>
      <c r="K289" s="7">
        <v>143.63999999999999</v>
      </c>
      <c r="L289" s="8">
        <f>IFERROR(K289/K444, "NA")</f>
        <v>1.8678023973251569E-3</v>
      </c>
      <c r="M289" s="9"/>
      <c r="N289" s="10">
        <f t="shared" si="73"/>
        <v>-13.170000000000016</v>
      </c>
      <c r="O289" s="8">
        <f>IFERROR(N289/N444, "NA")</f>
        <v>1.3503398919317807E-2</v>
      </c>
      <c r="P289" s="9"/>
      <c r="Q289" s="7">
        <v>313.62</v>
      </c>
      <c r="R289" s="8">
        <f>IFERROR(Q289/Q444, "NA")</f>
        <v>2.1108190074668153E-3</v>
      </c>
      <c r="S289" s="9"/>
      <c r="T289" s="7">
        <v>422</v>
      </c>
      <c r="U289" s="8">
        <f>IFERROR(T289/T444, "NA")</f>
        <v>2.6948480508010787E-3</v>
      </c>
      <c r="V289" s="9"/>
      <c r="W289" s="10">
        <f t="shared" si="74"/>
        <v>108.38</v>
      </c>
      <c r="X289" s="8">
        <f>IFERROR(W289/W444, "NA")</f>
        <v>-1.3517592326976545E-2</v>
      </c>
      <c r="Y289" s="9"/>
      <c r="Z289" s="7">
        <v>284.52999999999997</v>
      </c>
      <c r="AA289" s="8">
        <f>IFERROR(Z289/Z444, "NA")</f>
        <v>1.8991052052756317E-3</v>
      </c>
      <c r="AB289" s="9"/>
      <c r="AC289" s="10">
        <f t="shared" si="75"/>
        <v>-29.090000000000032</v>
      </c>
      <c r="AD289" s="8">
        <f>IFERROR(AC289/AC444, "NA")</f>
        <v>2.3350644972266466E-2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485.64</v>
      </c>
      <c r="F290" s="8">
        <f>IFERROR(E290/E444, "NA")</f>
        <v>5.9999525578250928E-3</v>
      </c>
      <c r="G290" s="9"/>
      <c r="H290" s="10">
        <f t="shared" si="72"/>
        <v>485.64</v>
      </c>
      <c r="I290" s="8">
        <f>IFERROR(H290/H444, "NA")</f>
        <v>-9.6881146837857035E-2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0</v>
      </c>
      <c r="O290" s="8">
        <f>IFERROR(N290/N444, "NA")</f>
        <v>0</v>
      </c>
      <c r="P290" s="9"/>
      <c r="Q290" s="7">
        <v>869.2</v>
      </c>
      <c r="R290" s="8">
        <f>IFERROR(Q290/Q444, "NA")</f>
        <v>5.8501494843764936E-3</v>
      </c>
      <c r="S290" s="9"/>
      <c r="T290" s="7">
        <v>939.57</v>
      </c>
      <c r="U290" s="8">
        <f>IFERROR(T290/T444, "NA")</f>
        <v>5.9999961684624875E-3</v>
      </c>
      <c r="V290" s="9"/>
      <c r="W290" s="10">
        <f t="shared" si="74"/>
        <v>70.37</v>
      </c>
      <c r="X290" s="8">
        <f>IFERROR(W290/W444, "NA")</f>
        <v>-8.7768312608353903E-3</v>
      </c>
      <c r="Y290" s="9"/>
      <c r="Z290" s="7">
        <v>809.63</v>
      </c>
      <c r="AA290" s="8">
        <f>IFERROR(Z290/Z444, "NA")</f>
        <v>5.4039030940403821E-3</v>
      </c>
      <c r="AB290" s="9"/>
      <c r="AC290" s="10">
        <f t="shared" si="75"/>
        <v>-59.57000000000005</v>
      </c>
      <c r="AD290" s="8">
        <f>IFERROR(AC290/AC444, "NA")</f>
        <v>4.7817047817047542E-2</v>
      </c>
    </row>
    <row r="291" spans="1:30" ht="16.5" customHeight="1" x14ac:dyDescent="0.45">
      <c r="A291" s="6" t="s">
        <v>264</v>
      </c>
      <c r="B291" s="7">
        <v>425.8</v>
      </c>
      <c r="C291" s="8">
        <f>IFERROR(B291/B444, "NA")</f>
        <v>5.6079517542300004E-3</v>
      </c>
      <c r="D291" s="9"/>
      <c r="E291" s="7">
        <v>323.76</v>
      </c>
      <c r="F291" s="8">
        <f>IFERROR(E291/E444, "NA")</f>
        <v>3.9999683718833952E-3</v>
      </c>
      <c r="G291" s="9"/>
      <c r="H291" s="10">
        <f t="shared" si="72"/>
        <v>-102.04000000000002</v>
      </c>
      <c r="I291" s="8">
        <f>IFERROR(H291/H444, "NA")</f>
        <v>2.0356132574200918E-2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-425.8</v>
      </c>
      <c r="O291" s="8">
        <f>IFERROR(N291/N444, "NA")</f>
        <v>0.43657913894043399</v>
      </c>
      <c r="P291" s="9"/>
      <c r="Q291" s="7">
        <v>425.8</v>
      </c>
      <c r="R291" s="8">
        <f>IFERROR(Q291/Q444, "NA")</f>
        <v>2.8658463534831004E-3</v>
      </c>
      <c r="S291" s="9"/>
      <c r="T291" s="7">
        <v>626.38</v>
      </c>
      <c r="U291" s="8">
        <f>IFERROR(T291/T444, "NA")</f>
        <v>3.9999974456416581E-3</v>
      </c>
      <c r="V291" s="9"/>
      <c r="W291" s="10">
        <f t="shared" si="74"/>
        <v>200.57999999999998</v>
      </c>
      <c r="X291" s="8">
        <f>IFERROR(W291/W444, "NA")</f>
        <v>-2.5017149556605972E-2</v>
      </c>
      <c r="Y291" s="9"/>
      <c r="Z291" s="7">
        <v>0</v>
      </c>
      <c r="AA291" s="8">
        <f>IFERROR(Z291/Z444, "NA")</f>
        <v>0</v>
      </c>
      <c r="AB291" s="9"/>
      <c r="AC291" s="10">
        <f t="shared" si="75"/>
        <v>-425.8</v>
      </c>
      <c r="AD291" s="8">
        <f>IFERROR(AC291/AC444, "NA")</f>
        <v>0.34179115260196119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80.94</v>
      </c>
      <c r="F292" s="8">
        <f>IFERROR(E292/E444, "NA")</f>
        <v>9.999920929708488E-4</v>
      </c>
      <c r="G292" s="9"/>
      <c r="H292" s="10">
        <f t="shared" si="72"/>
        <v>80.94</v>
      </c>
      <c r="I292" s="8">
        <f>IFERROR(H292/H444, "NA")</f>
        <v>-1.6146857806309506E-2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156.59</v>
      </c>
      <c r="U292" s="8">
        <f>IFERROR(T292/T444, "NA")</f>
        <v>9.9996743193113955E-4</v>
      </c>
      <c r="V292" s="9"/>
      <c r="W292" s="10">
        <f t="shared" si="74"/>
        <v>156.59</v>
      </c>
      <c r="X292" s="8">
        <f>IFERROR(W292/W444, "NA")</f>
        <v>-1.9530538683163474E-2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customHeight="1" x14ac:dyDescent="0.45">
      <c r="A293" s="6" t="s">
        <v>266</v>
      </c>
      <c r="B293" s="7">
        <v>851.73</v>
      </c>
      <c r="C293" s="8">
        <f>IFERROR(B293/B444, "NA")</f>
        <v>1.1217615659066036E-2</v>
      </c>
      <c r="D293" s="9"/>
      <c r="E293" s="7">
        <v>80.94</v>
      </c>
      <c r="F293" s="8">
        <f>IFERROR(E293/E444, "NA")</f>
        <v>9.999920929708488E-4</v>
      </c>
      <c r="G293" s="9"/>
      <c r="H293" s="10">
        <f t="shared" si="72"/>
        <v>-770.79</v>
      </c>
      <c r="I293" s="8">
        <f>IFERROR(H293/H444, "NA")</f>
        <v>0.15376620371293925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-851.73</v>
      </c>
      <c r="O293" s="8">
        <f>IFERROR(N293/N444, "NA")</f>
        <v>0.87329156883451353</v>
      </c>
      <c r="P293" s="9"/>
      <c r="Q293" s="7">
        <v>851.73</v>
      </c>
      <c r="R293" s="8">
        <f>IFERROR(Q293/Q444, "NA")</f>
        <v>5.7325676717993454E-3</v>
      </c>
      <c r="S293" s="9"/>
      <c r="T293" s="7">
        <v>156.59</v>
      </c>
      <c r="U293" s="8">
        <f>IFERROR(T293/T444, "NA")</f>
        <v>9.9996743193113955E-4</v>
      </c>
      <c r="V293" s="9"/>
      <c r="W293" s="10">
        <f t="shared" si="74"/>
        <v>-695.14</v>
      </c>
      <c r="X293" s="8">
        <f>IFERROR(W293/W444, "NA")</f>
        <v>8.6700674757099791E-2</v>
      </c>
      <c r="Y293" s="9"/>
      <c r="Z293" s="7">
        <v>369.93</v>
      </c>
      <c r="AA293" s="8">
        <f>IFERROR(Z293/Z444, "NA")</f>
        <v>2.4691104227589867E-3</v>
      </c>
      <c r="AB293" s="9"/>
      <c r="AC293" s="10">
        <f t="shared" si="75"/>
        <v>-481.8</v>
      </c>
      <c r="AD293" s="8">
        <f>IFERROR(AC293/AC444, "NA")</f>
        <v>0.38674254890470855</v>
      </c>
    </row>
    <row r="294" spans="1:30" ht="16.5" customHeight="1" x14ac:dyDescent="0.45">
      <c r="A294" s="6" t="s">
        <v>267</v>
      </c>
      <c r="B294" s="7">
        <v>310</v>
      </c>
      <c r="C294" s="8">
        <f>IFERROR(B294/B444, "NA")</f>
        <v>4.0828206759307185E-3</v>
      </c>
      <c r="D294" s="9"/>
      <c r="E294" s="7">
        <v>346</v>
      </c>
      <c r="F294" s="8">
        <f>IFERROR(E294/E444, "NA")</f>
        <v>4.2747376348889754E-3</v>
      </c>
      <c r="G294" s="9"/>
      <c r="H294" s="10">
        <f t="shared" si="72"/>
        <v>36</v>
      </c>
      <c r="I294" s="8">
        <f>IFERROR(H294/H444, "NA")</f>
        <v>-7.1817010257862893E-3</v>
      </c>
      <c r="J294" s="9"/>
      <c r="K294" s="7">
        <v>320</v>
      </c>
      <c r="L294" s="8">
        <f>IFERROR(K294/K444, "NA")</f>
        <v>4.1610746807577989E-3</v>
      </c>
      <c r="M294" s="9"/>
      <c r="N294" s="10">
        <f t="shared" si="73"/>
        <v>10</v>
      </c>
      <c r="O294" s="8">
        <f>IFERROR(N294/N444, "NA")</f>
        <v>-1.0253150280423532E-2</v>
      </c>
      <c r="P294" s="9"/>
      <c r="Q294" s="7">
        <v>619.99</v>
      </c>
      <c r="R294" s="8">
        <f>IFERROR(Q294/Q444, "NA")</f>
        <v>4.1728418992390505E-3</v>
      </c>
      <c r="S294" s="9"/>
      <c r="T294" s="7">
        <v>692</v>
      </c>
      <c r="U294" s="8">
        <f>IFERROR(T294/T444, "NA")</f>
        <v>4.4190399316453707E-3</v>
      </c>
      <c r="V294" s="9"/>
      <c r="W294" s="10">
        <f t="shared" si="74"/>
        <v>72.009999999999991</v>
      </c>
      <c r="X294" s="8">
        <f>IFERROR(W294/W444, "NA")</f>
        <v>-8.9813786996270611E-3</v>
      </c>
      <c r="Y294" s="9"/>
      <c r="Z294" s="7">
        <v>639.99</v>
      </c>
      <c r="AA294" s="8">
        <f>IFERROR(Z294/Z444, "NA")</f>
        <v>4.2716351187022513E-3</v>
      </c>
      <c r="AB294" s="9"/>
      <c r="AC294" s="10">
        <f t="shared" si="75"/>
        <v>20</v>
      </c>
      <c r="AD294" s="8">
        <f>IFERROR(AC294/AC444, "NA")</f>
        <v>-1.6054070108124058E-2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1881.8400000000001</v>
      </c>
      <c r="C295" s="15">
        <f>IFERROR(B295/B444, "NA")</f>
        <v>2.4784565357398272E-2</v>
      </c>
      <c r="D295" s="2"/>
      <c r="E295" s="14">
        <f>IFERROR(E286+E287+E288+E289+E290+E291+E292+E293+E294, "NA")</f>
        <v>1666.2800000000002</v>
      </c>
      <c r="F295" s="15">
        <f>IFERROR(E295/E444, "NA")</f>
        <v>2.0586444584574575E-2</v>
      </c>
      <c r="G295" s="2"/>
      <c r="H295" s="14">
        <f t="shared" si="72"/>
        <v>-215.55999999999995</v>
      </c>
      <c r="I295" s="15">
        <f>IFERROR(H295/H444, "NA")</f>
        <v>4.3002429808847005E-2</v>
      </c>
      <c r="J295" s="2"/>
      <c r="K295" s="14">
        <f>IFERROR(K286+K287+K288+K289+K290+K291+K292+K293+K294, "NA")</f>
        <v>601.14</v>
      </c>
      <c r="L295" s="15">
        <f>IFERROR(K295/K444, "NA")</f>
        <v>7.8168388549710727E-3</v>
      </c>
      <c r="M295" s="2"/>
      <c r="N295" s="14">
        <f t="shared" si="73"/>
        <v>-1280.7000000000003</v>
      </c>
      <c r="O295" s="15">
        <f>IFERROR(N295/N444, "NA")</f>
        <v>1.313120956413842</v>
      </c>
      <c r="P295" s="2"/>
      <c r="Q295" s="14">
        <f>IFERROR(Q286+Q287+Q288+Q289+Q290+Q291+Q292+Q293+Q294, "NA")</f>
        <v>3355.34</v>
      </c>
      <c r="R295" s="15">
        <f>IFERROR(Q295/Q444, "NA")</f>
        <v>2.2583111563400628E-2</v>
      </c>
      <c r="S295" s="2"/>
      <c r="T295" s="14">
        <f>IFERROR(T286+T287+T288+T289+T290+T291+T292+T293+T294, "NA")</f>
        <v>3269.1300000000006</v>
      </c>
      <c r="U295" s="15">
        <f>IFERROR(T295/T444, "NA")</f>
        <v>2.0876323716387042E-2</v>
      </c>
      <c r="V295" s="2"/>
      <c r="W295" s="14">
        <f t="shared" si="74"/>
        <v>-86.209999999999582</v>
      </c>
      <c r="X295" s="15">
        <f>IFERROR(W295/W444, "NA")</f>
        <v>1.0752460181847594E-2</v>
      </c>
      <c r="Y295" s="2"/>
      <c r="Z295" s="14">
        <f>IFERROR(Z286+Z287+Z288+Z289+Z290+Z291+Z292+Z293+Z294, "NA")</f>
        <v>2379.08</v>
      </c>
      <c r="AA295" s="15">
        <f>IFERROR(Z295/Z444, "NA")</f>
        <v>1.5879250735483606E-2</v>
      </c>
      <c r="AB295" s="2"/>
      <c r="AC295" s="14">
        <f t="shared" si="75"/>
        <v>-976.26000000000022</v>
      </c>
      <c r="AD295" s="15">
        <f>IFERROR(AC295/AC444, "NA")</f>
        <v>0.78364732418785976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559.62</v>
      </c>
      <c r="C299" s="8">
        <f>IFERROR(B299/B444, "NA")</f>
        <v>7.3704132473043516E-3</v>
      </c>
      <c r="D299" s="9"/>
      <c r="E299" s="7">
        <v>575</v>
      </c>
      <c r="F299" s="8">
        <f>IFERROR(E299/E444, "NA")</f>
        <v>7.1039715030669394E-3</v>
      </c>
      <c r="G299" s="9"/>
      <c r="H299" s="10">
        <f t="shared" si="76"/>
        <v>15.379999999999995</v>
      </c>
      <c r="I299" s="8">
        <f>IFERROR(H299/H444, "NA")</f>
        <v>-3.0681822715720305E-3</v>
      </c>
      <c r="J299" s="9"/>
      <c r="K299" s="7">
        <v>194.06</v>
      </c>
      <c r="L299" s="8">
        <f>IFERROR(K299/K444, "NA")</f>
        <v>2.5234317267120577E-3</v>
      </c>
      <c r="M299" s="9"/>
      <c r="N299" s="10">
        <f t="shared" si="77"/>
        <v>-365.56</v>
      </c>
      <c r="O299" s="8">
        <f>IFERROR(N299/N444, "NA")</f>
        <v>0.3748141616511626</v>
      </c>
      <c r="P299" s="9"/>
      <c r="Q299" s="7">
        <v>1127.45</v>
      </c>
      <c r="R299" s="8">
        <f>IFERROR(Q299/Q444, "NA")</f>
        <v>7.5883007779110421E-3</v>
      </c>
      <c r="S299" s="9"/>
      <c r="T299" s="7">
        <v>1150</v>
      </c>
      <c r="U299" s="8">
        <f>IFERROR(T299/T444, "NA")</f>
        <v>7.3437802332256882E-3</v>
      </c>
      <c r="V299" s="9"/>
      <c r="W299" s="10">
        <f t="shared" si="78"/>
        <v>22.549999999999955</v>
      </c>
      <c r="X299" s="8">
        <f>IFERROR(W299/W444, "NA")</f>
        <v>-2.8125272833855E-3</v>
      </c>
      <c r="Y299" s="9"/>
      <c r="Z299" s="7">
        <v>388.12</v>
      </c>
      <c r="AA299" s="8">
        <f>IFERROR(Z299/Z444, "NA")</f>
        <v>2.590520199176109E-3</v>
      </c>
      <c r="AB299" s="9"/>
      <c r="AC299" s="10">
        <f t="shared" si="79"/>
        <v>-739.33</v>
      </c>
      <c r="AD299" s="8">
        <f>IFERROR(AC299/AC444, "NA")</f>
        <v>0.59346278265196795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197.01</v>
      </c>
      <c r="L304" s="8">
        <f>IFERROR(K304/K444, "NA")</f>
        <v>2.5617916339252937E-3</v>
      </c>
      <c r="M304" s="9"/>
      <c r="N304" s="10">
        <f t="shared" si="77"/>
        <v>197.01</v>
      </c>
      <c r="O304" s="8">
        <f>IFERROR(N304/N444, "NA")</f>
        <v>-0.20199731367462398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197.01</v>
      </c>
      <c r="AA304" s="8">
        <f>IFERROR(Z304/Z444, "NA")</f>
        <v>1.3149499753676316E-3</v>
      </c>
      <c r="AB304" s="9"/>
      <c r="AC304" s="10">
        <f t="shared" si="79"/>
        <v>197.01</v>
      </c>
      <c r="AD304" s="8">
        <f>IFERROR(AC304/AC444, "NA")</f>
        <v>-0.15814061760007603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55</v>
      </c>
      <c r="F310" s="8">
        <f>IFERROR(E310/E444, "NA")</f>
        <v>6.7951031768466376E-4</v>
      </c>
      <c r="G310" s="9"/>
      <c r="H310" s="10">
        <f t="shared" si="76"/>
        <v>55</v>
      </c>
      <c r="I310" s="8">
        <f>IFERROR(H310/H444, "NA")</f>
        <v>-1.0972043233840163E-2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0</v>
      </c>
      <c r="O310" s="8">
        <f>IFERROR(N310/N444, "NA")</f>
        <v>0</v>
      </c>
      <c r="P310" s="9"/>
      <c r="Q310" s="7">
        <v>39.6</v>
      </c>
      <c r="R310" s="8">
        <f>IFERROR(Q310/Q444, "NA")</f>
        <v>2.6652774917315826E-4</v>
      </c>
      <c r="S310" s="9"/>
      <c r="T310" s="7">
        <v>110</v>
      </c>
      <c r="U310" s="8">
        <f>IFERROR(T310/T444, "NA")</f>
        <v>7.0244854404767447E-4</v>
      </c>
      <c r="V310" s="9"/>
      <c r="W310" s="10">
        <f t="shared" si="78"/>
        <v>70.400000000000006</v>
      </c>
      <c r="X310" s="8">
        <f>IFERROR(W310/W444, "NA")</f>
        <v>-8.7805729822767013E-3</v>
      </c>
      <c r="Y310" s="9"/>
      <c r="Z310" s="7">
        <v>31.57</v>
      </c>
      <c r="AA310" s="8">
        <f>IFERROR(Z310/Z444, "NA")</f>
        <v>2.1071504351228938E-4</v>
      </c>
      <c r="AB310" s="9"/>
      <c r="AC310" s="10">
        <f t="shared" si="79"/>
        <v>-8.0300000000000011</v>
      </c>
      <c r="AD310" s="8">
        <f>IFERROR(AC310/AC444, "NA")</f>
        <v>6.4457091484118097E-3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26.7</v>
      </c>
      <c r="L311" s="8">
        <f>IFERROR(K311/K444, "NA")</f>
        <v>3.4718966867572885E-4</v>
      </c>
      <c r="M311" s="9"/>
      <c r="N311" s="10">
        <f t="shared" si="77"/>
        <v>26.7</v>
      </c>
      <c r="O311" s="8">
        <f>IFERROR(N311/N444, "NA")</f>
        <v>-2.737591124873083E-2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26.7</v>
      </c>
      <c r="AA311" s="8">
        <f>IFERROR(Z311/Z444, "NA")</f>
        <v>1.7821006214058051E-4</v>
      </c>
      <c r="AB311" s="9"/>
      <c r="AC311" s="10">
        <f t="shared" si="79"/>
        <v>26.7</v>
      </c>
      <c r="AD311" s="8">
        <f>IFERROR(AC311/AC444, "NA")</f>
        <v>-2.1432183594345615E-2</v>
      </c>
    </row>
    <row r="312" spans="1:30" ht="16.5" customHeight="1" x14ac:dyDescent="0.45">
      <c r="A312" s="6" t="s">
        <v>284</v>
      </c>
      <c r="B312" s="7">
        <v>305.13</v>
      </c>
      <c r="C312" s="8">
        <f>IFERROR(B312/B444, "NA")</f>
        <v>4.0186808801507745E-3</v>
      </c>
      <c r="D312" s="9"/>
      <c r="E312" s="7">
        <v>35</v>
      </c>
      <c r="F312" s="8">
        <f>IFERROR(E312/E444, "NA")</f>
        <v>4.3241565670842236E-4</v>
      </c>
      <c r="G312" s="9"/>
      <c r="H312" s="10">
        <f t="shared" si="76"/>
        <v>-270.13</v>
      </c>
      <c r="I312" s="8">
        <f>IFERROR(H312/H444, "NA")</f>
        <v>5.388869161376806E-2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-305.13</v>
      </c>
      <c r="O312" s="8">
        <f>IFERROR(N312/N444, "NA")</f>
        <v>0.31285437450656323</v>
      </c>
      <c r="P312" s="9"/>
      <c r="Q312" s="7">
        <v>368.46</v>
      </c>
      <c r="R312" s="8">
        <f>IFERROR(Q312/Q444, "NA")</f>
        <v>2.4799195570793403E-3</v>
      </c>
      <c r="S312" s="9"/>
      <c r="T312" s="7">
        <v>70</v>
      </c>
      <c r="U312" s="8">
        <f>IFERROR(T312/T444, "NA")</f>
        <v>4.4701270984852013E-4</v>
      </c>
      <c r="V312" s="9"/>
      <c r="W312" s="10">
        <f t="shared" si="78"/>
        <v>-298.45999999999998</v>
      </c>
      <c r="X312" s="8">
        <f>IFERROR(W312/W444, "NA")</f>
        <v>3.7225139379123633E-2</v>
      </c>
      <c r="Y312" s="9"/>
      <c r="Z312" s="7">
        <v>29.03</v>
      </c>
      <c r="AA312" s="8">
        <f>IFERROR(Z312/Z444, "NA")</f>
        <v>1.9376172673936525E-4</v>
      </c>
      <c r="AB312" s="9"/>
      <c r="AC312" s="10">
        <f t="shared" si="79"/>
        <v>-339.42999999999995</v>
      </c>
      <c r="AD312" s="8">
        <f>IFERROR(AC312/AC444, "NA")</f>
        <v>0.27246165084002738</v>
      </c>
    </row>
    <row r="313" spans="1:30" ht="16.5" customHeight="1" x14ac:dyDescent="0.45">
      <c r="A313" s="6" t="s">
        <v>285</v>
      </c>
      <c r="B313" s="7">
        <v>12</v>
      </c>
      <c r="C313" s="8">
        <f>IFERROR(B313/B444, "NA")</f>
        <v>1.5804467132635039E-4</v>
      </c>
      <c r="D313" s="9"/>
      <c r="E313" s="7">
        <v>10</v>
      </c>
      <c r="F313" s="8">
        <f>IFERROR(E313/E444, "NA")</f>
        <v>1.2354733048812068E-4</v>
      </c>
      <c r="G313" s="9"/>
      <c r="H313" s="10">
        <f t="shared" si="76"/>
        <v>-2</v>
      </c>
      <c r="I313" s="8">
        <f>IFERROR(H313/H444, "NA")</f>
        <v>3.9898339032146048E-4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-12</v>
      </c>
      <c r="O313" s="8">
        <f>IFERROR(N313/N444, "NA")</f>
        <v>1.2303780336508238E-2</v>
      </c>
      <c r="P313" s="9"/>
      <c r="Q313" s="7">
        <v>12</v>
      </c>
      <c r="R313" s="8">
        <f>IFERROR(Q313/Q444, "NA")</f>
        <v>8.0765984597926739E-5</v>
      </c>
      <c r="S313" s="9"/>
      <c r="T313" s="7">
        <v>20</v>
      </c>
      <c r="U313" s="8">
        <f>IFERROR(T313/T444, "NA")</f>
        <v>1.2771791709957717E-4</v>
      </c>
      <c r="V313" s="9"/>
      <c r="W313" s="10">
        <f t="shared" si="78"/>
        <v>8</v>
      </c>
      <c r="X313" s="8">
        <f>IFERROR(W313/W444, "NA")</f>
        <v>-9.9779238434962499E-4</v>
      </c>
      <c r="Y313" s="9"/>
      <c r="Z313" s="7">
        <v>18</v>
      </c>
      <c r="AA313" s="8">
        <f>IFERROR(Z313/Z444, "NA")</f>
        <v>1.2014161492623405E-4</v>
      </c>
      <c r="AB313" s="9"/>
      <c r="AC313" s="10">
        <f t="shared" si="79"/>
        <v>6</v>
      </c>
      <c r="AD313" s="8">
        <f>IFERROR(AC313/AC444, "NA")</f>
        <v>-4.8162210324372168E-3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748.97</v>
      </c>
      <c r="C315" s="8">
        <f>IFERROR(B315/B444, "NA")</f>
        <v>9.8642264569413895E-3</v>
      </c>
      <c r="D315" s="9"/>
      <c r="E315" s="7">
        <v>566.58000000000004</v>
      </c>
      <c r="F315" s="8">
        <f>IFERROR(E315/E444, "NA")</f>
        <v>6.9999446507959416E-3</v>
      </c>
      <c r="G315" s="9"/>
      <c r="H315" s="10">
        <f t="shared" si="76"/>
        <v>-182.39</v>
      </c>
      <c r="I315" s="8">
        <f>IFERROR(H315/H444, "NA")</f>
        <v>3.6385290280365586E-2</v>
      </c>
      <c r="J315" s="9"/>
      <c r="K315" s="7">
        <v>794.11</v>
      </c>
      <c r="L315" s="8">
        <f>IFERROR(K315/K444, "NA")</f>
        <v>1.0326096921051799E-2</v>
      </c>
      <c r="M315" s="9"/>
      <c r="N315" s="10">
        <f t="shared" si="77"/>
        <v>45.139999999999986</v>
      </c>
      <c r="O315" s="8">
        <f>IFERROR(N315/N444, "NA")</f>
        <v>-4.6282720365831809E-2</v>
      </c>
      <c r="P315" s="9"/>
      <c r="Q315" s="7">
        <v>1497.94</v>
      </c>
      <c r="R315" s="8">
        <f>IFERROR(Q315/Q444, "NA")</f>
        <v>1.0081883247384866E-2</v>
      </c>
      <c r="S315" s="9"/>
      <c r="T315" s="7">
        <v>1096.1600000000001</v>
      </c>
      <c r="U315" s="8">
        <f>IFERROR(T315/T444, "NA")</f>
        <v>6.9999636003936268E-3</v>
      </c>
      <c r="V315" s="9"/>
      <c r="W315" s="10">
        <f t="shared" si="78"/>
        <v>-401.78</v>
      </c>
      <c r="X315" s="8">
        <f>IFERROR(W315/W444, "NA")</f>
        <v>5.0111628022999039E-2</v>
      </c>
      <c r="Y315" s="9"/>
      <c r="Z315" s="7">
        <v>1588.22</v>
      </c>
      <c r="AA315" s="8">
        <f>IFERROR(Z315/Z444, "NA")</f>
        <v>1.0600628647674635E-2</v>
      </c>
      <c r="AB315" s="9"/>
      <c r="AC315" s="10">
        <f t="shared" si="79"/>
        <v>90.279999999999973</v>
      </c>
      <c r="AD315" s="8">
        <f>IFERROR(AC315/AC444, "NA")</f>
        <v>-7.2468072468071978E-2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490.6</v>
      </c>
      <c r="C318" s="8">
        <f>IFERROR(B318/B444, "NA")</f>
        <v>6.4613929793922928E-3</v>
      </c>
      <c r="D318" s="9"/>
      <c r="E318" s="7">
        <v>491</v>
      </c>
      <c r="F318" s="8">
        <f>IFERROR(E318/E444, "NA")</f>
        <v>6.066173926966725E-3</v>
      </c>
      <c r="G318" s="9"/>
      <c r="H318" s="10">
        <f t="shared" si="76"/>
        <v>0.39999999999997726</v>
      </c>
      <c r="I318" s="8">
        <f>IFERROR(H318/H444, "NA")</f>
        <v>-7.9796678064287559E-5</v>
      </c>
      <c r="J318" s="9"/>
      <c r="K318" s="7">
        <v>490.6</v>
      </c>
      <c r="L318" s="8">
        <f>IFERROR(K318/K444, "NA")</f>
        <v>6.3794476199368006E-3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981.2</v>
      </c>
      <c r="R318" s="8">
        <f>IFERROR(Q318/Q444, "NA")</f>
        <v>6.6039653406238102E-3</v>
      </c>
      <c r="S318" s="9"/>
      <c r="T318" s="7">
        <v>982</v>
      </c>
      <c r="U318" s="8">
        <f>IFERROR(T318/T444, "NA")</f>
        <v>6.2709497295892402E-3</v>
      </c>
      <c r="V318" s="9"/>
      <c r="W318" s="10">
        <f t="shared" si="78"/>
        <v>0.79999999999995453</v>
      </c>
      <c r="X318" s="8">
        <f>IFERROR(W318/W444, "NA")</f>
        <v>-9.9779238434956832E-5</v>
      </c>
      <c r="Y318" s="9"/>
      <c r="Z318" s="7">
        <v>981.2</v>
      </c>
      <c r="AA318" s="8">
        <f>IFERROR(Z318/Z444, "NA")</f>
        <v>6.5490529203122696E-3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160.38</v>
      </c>
      <c r="C319" s="8">
        <f>IFERROR(B319/B444, "NA")</f>
        <v>2.1122670322766732E-3</v>
      </c>
      <c r="D319" s="9"/>
      <c r="E319" s="7">
        <v>160</v>
      </c>
      <c r="F319" s="8">
        <f>IFERROR(E319/E444, "NA")</f>
        <v>1.9767572878099308E-3</v>
      </c>
      <c r="G319" s="9"/>
      <c r="H319" s="10">
        <f t="shared" si="76"/>
        <v>-0.37999999999999545</v>
      </c>
      <c r="I319" s="8">
        <f>IFERROR(H319/H444, "NA")</f>
        <v>7.5806844161076584E-5</v>
      </c>
      <c r="J319" s="9"/>
      <c r="K319" s="7">
        <v>160.16</v>
      </c>
      <c r="L319" s="8">
        <f>IFERROR(K319/K444, "NA")</f>
        <v>2.0826178777192785E-3</v>
      </c>
      <c r="M319" s="9"/>
      <c r="N319" s="10">
        <f t="shared" si="77"/>
        <v>-0.21999999999999886</v>
      </c>
      <c r="O319" s="8">
        <f>IFERROR(N319/N444, "NA")</f>
        <v>2.2556930616931652E-4</v>
      </c>
      <c r="P319" s="9"/>
      <c r="Q319" s="7">
        <v>320.76</v>
      </c>
      <c r="R319" s="8">
        <f>IFERROR(Q319/Q444, "NA")</f>
        <v>2.1588747683025816E-3</v>
      </c>
      <c r="S319" s="9"/>
      <c r="T319" s="7">
        <v>320</v>
      </c>
      <c r="U319" s="8">
        <f>IFERROR(T319/T444, "NA")</f>
        <v>2.0434866735932347E-3</v>
      </c>
      <c r="V319" s="9"/>
      <c r="W319" s="10">
        <f t="shared" si="78"/>
        <v>-0.75999999999999091</v>
      </c>
      <c r="X319" s="8">
        <f>IFERROR(W319/W444, "NA")</f>
        <v>9.4790276513213238E-5</v>
      </c>
      <c r="Y319" s="9"/>
      <c r="Z319" s="7">
        <v>320.32</v>
      </c>
      <c r="AA319" s="8">
        <f>IFERROR(Z319/Z444, "NA")</f>
        <v>2.1379867829539605E-3</v>
      </c>
      <c r="AB319" s="9"/>
      <c r="AC319" s="10">
        <f t="shared" si="79"/>
        <v>-0.43999999999999773</v>
      </c>
      <c r="AD319" s="8">
        <f>IFERROR(AC319/AC444, "NA")</f>
        <v>3.5318954237872744E-4</v>
      </c>
    </row>
    <row r="320" spans="1:30" ht="16.5" customHeight="1" x14ac:dyDescent="0.45">
      <c r="A320" s="6" t="s">
        <v>292</v>
      </c>
      <c r="B320" s="7">
        <v>1141.6500000000001</v>
      </c>
      <c r="C320" s="8">
        <f>IFERROR(B320/B444, "NA")</f>
        <v>1.5035974918310662E-2</v>
      </c>
      <c r="D320" s="9"/>
      <c r="E320" s="7">
        <v>1121</v>
      </c>
      <c r="F320" s="8">
        <f>IFERROR(E320/E444, "NA")</f>
        <v>1.3849655747718327E-2</v>
      </c>
      <c r="G320" s="9"/>
      <c r="H320" s="10">
        <f t="shared" si="76"/>
        <v>-20.650000000000091</v>
      </c>
      <c r="I320" s="8">
        <f>IFERROR(H320/H444, "NA")</f>
        <v>4.1195035050690977E-3</v>
      </c>
      <c r="J320" s="9"/>
      <c r="K320" s="7">
        <v>1031.07</v>
      </c>
      <c r="L320" s="8">
        <f>IFERROR(K320/K444, "NA")</f>
        <v>1.3407372722152949E-2</v>
      </c>
      <c r="M320" s="9"/>
      <c r="N320" s="10">
        <f t="shared" si="77"/>
        <v>-110.58000000000015</v>
      </c>
      <c r="O320" s="8">
        <f>IFERROR(N320/N444, "NA")</f>
        <v>0.11337933580092358</v>
      </c>
      <c r="P320" s="9"/>
      <c r="Q320" s="7">
        <v>2263.0100000000002</v>
      </c>
      <c r="R320" s="8">
        <f>IFERROR(Q320/Q444, "NA")</f>
        <v>1.5231185900412851E-2</v>
      </c>
      <c r="S320" s="9"/>
      <c r="T320" s="7">
        <v>2242</v>
      </c>
      <c r="U320" s="8">
        <f>IFERROR(T320/T444, "NA")</f>
        <v>1.4317178506862602E-2</v>
      </c>
      <c r="V320" s="9"/>
      <c r="W320" s="10">
        <f t="shared" si="78"/>
        <v>-21.010000000000218</v>
      </c>
      <c r="X320" s="8">
        <f>IFERROR(W320/W444, "NA")</f>
        <v>2.62045224939823E-3</v>
      </c>
      <c r="Y320" s="9"/>
      <c r="Z320" s="7">
        <v>2062.14</v>
      </c>
      <c r="AA320" s="8">
        <f>IFERROR(Z320/Z444, "NA")</f>
        <v>1.3763823877999126E-2</v>
      </c>
      <c r="AB320" s="9"/>
      <c r="AC320" s="10">
        <f t="shared" si="79"/>
        <v>-200.87000000000035</v>
      </c>
      <c r="AD320" s="8">
        <f>IFERROR(AC320/AC444, "NA")</f>
        <v>0.16123905313094425</v>
      </c>
    </row>
    <row r="321" spans="1:30" ht="16.5" customHeight="1" x14ac:dyDescent="0.45">
      <c r="A321" s="6" t="s">
        <v>293</v>
      </c>
      <c r="B321" s="7">
        <v>607.02</v>
      </c>
      <c r="C321" s="8">
        <f>IFERROR(B321/B444, "NA")</f>
        <v>7.9946896990434353E-3</v>
      </c>
      <c r="D321" s="9"/>
      <c r="E321" s="7">
        <v>1214.1099999999999</v>
      </c>
      <c r="F321" s="8">
        <f>IFERROR(E321/E444, "NA")</f>
        <v>1.5000004941893219E-2</v>
      </c>
      <c r="G321" s="9"/>
      <c r="H321" s="10">
        <f t="shared" si="76"/>
        <v>607.08999999999992</v>
      </c>
      <c r="I321" s="8">
        <f>IFERROR(H321/H444, "NA")</f>
        <v>-0.12110941321512771</v>
      </c>
      <c r="J321" s="9"/>
      <c r="K321" s="7">
        <v>2256.6999999999998</v>
      </c>
      <c r="L321" s="8">
        <f>IFERROR(K321/K444, "NA")</f>
        <v>2.9344678850206637E-2</v>
      </c>
      <c r="M321" s="9"/>
      <c r="N321" s="10">
        <f t="shared" si="77"/>
        <v>1649.6799999999998</v>
      </c>
      <c r="O321" s="8">
        <f>IFERROR(N321/N444, "NA")</f>
        <v>-1.6914416954609091</v>
      </c>
      <c r="P321" s="9"/>
      <c r="Q321" s="7">
        <v>1590.16</v>
      </c>
      <c r="R321" s="8">
        <f>IFERROR(Q321/Q444, "NA")</f>
        <v>1.0702569839019932E-2</v>
      </c>
      <c r="S321" s="9"/>
      <c r="T321" s="7">
        <v>2273.27</v>
      </c>
      <c r="U321" s="8">
        <f>IFERROR(T321/T444, "NA")</f>
        <v>1.4516865470247791E-2</v>
      </c>
      <c r="V321" s="9"/>
      <c r="W321" s="10">
        <f t="shared" si="78"/>
        <v>683.1099999999999</v>
      </c>
      <c r="X321" s="8">
        <f>IFERROR(W321/W444, "NA")</f>
        <v>-8.5200244459134031E-2</v>
      </c>
      <c r="Y321" s="9"/>
      <c r="Z321" s="7">
        <v>4417.1099999999997</v>
      </c>
      <c r="AA321" s="8">
        <f>IFERROR(Z321/Z444, "NA")</f>
        <v>2.9482151594823203E-2</v>
      </c>
      <c r="AB321" s="9"/>
      <c r="AC321" s="10">
        <f t="shared" si="79"/>
        <v>2826.95</v>
      </c>
      <c r="AD321" s="8">
        <f>IFERROR(AC321/AC444, "NA")</f>
        <v>-2.2692026746080649</v>
      </c>
    </row>
    <row r="322" spans="1:30" ht="16.5" customHeight="1" x14ac:dyDescent="0.45">
      <c r="A322" s="6" t="s">
        <v>294</v>
      </c>
      <c r="B322" s="7">
        <v>280.20999999999998</v>
      </c>
      <c r="C322" s="8">
        <f>IFERROR(B322/B444, "NA")</f>
        <v>3.6904747793630537E-3</v>
      </c>
      <c r="D322" s="9"/>
      <c r="E322" s="7">
        <v>366</v>
      </c>
      <c r="F322" s="8">
        <f>IFERROR(E322/E444, "NA")</f>
        <v>4.5218322958652168E-3</v>
      </c>
      <c r="G322" s="9"/>
      <c r="H322" s="10">
        <f t="shared" si="76"/>
        <v>85.79000000000002</v>
      </c>
      <c r="I322" s="8">
        <f>IFERROR(H322/H444, "NA")</f>
        <v>-1.7114392527839053E-2</v>
      </c>
      <c r="J322" s="9"/>
      <c r="K322" s="7">
        <v>185.14</v>
      </c>
      <c r="L322" s="8">
        <f>IFERROR(K322/K444, "NA")</f>
        <v>2.4074417699859337E-3</v>
      </c>
      <c r="M322" s="9"/>
      <c r="N322" s="10">
        <f t="shared" si="77"/>
        <v>-95.07</v>
      </c>
      <c r="O322" s="8">
        <f>IFERROR(N322/N444, "NA")</f>
        <v>9.7476699715986506E-2</v>
      </c>
      <c r="P322" s="9"/>
      <c r="Q322" s="7">
        <v>560.41999999999996</v>
      </c>
      <c r="R322" s="8">
        <f>IFERROR(Q322/Q444, "NA")</f>
        <v>3.7719060906975083E-3</v>
      </c>
      <c r="S322" s="9"/>
      <c r="T322" s="7">
        <v>732</v>
      </c>
      <c r="U322" s="8">
        <f>IFERROR(T322/T444, "NA")</f>
        <v>4.6744757658445249E-3</v>
      </c>
      <c r="V322" s="9"/>
      <c r="W322" s="10">
        <f t="shared" si="78"/>
        <v>171.58000000000004</v>
      </c>
      <c r="X322" s="8">
        <f>IFERROR(W322/W444, "NA")</f>
        <v>-2.1400152163338588E-2</v>
      </c>
      <c r="Y322" s="9"/>
      <c r="Z322" s="7">
        <v>370.25</v>
      </c>
      <c r="AA322" s="8">
        <f>IFERROR(Z322/Z444, "NA")</f>
        <v>2.4712462736910085E-3</v>
      </c>
      <c r="AB322" s="9"/>
      <c r="AC322" s="10">
        <f t="shared" si="79"/>
        <v>-190.16999999999996</v>
      </c>
      <c r="AD322" s="8">
        <f>IFERROR(AC322/AC444, "NA")</f>
        <v>0.15265012562309757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0.01</v>
      </c>
      <c r="R323" s="8">
        <f>IFERROR(Q323/Q444, "NA")</f>
        <v>6.7304987164938953E-8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-0.01</v>
      </c>
      <c r="X323" s="8">
        <f>IFERROR(W323/W444, "NA")</f>
        <v>1.2472404804370313E-6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-0.01</v>
      </c>
      <c r="AD323" s="8">
        <f>IFERROR(AC323/AC444, "NA")</f>
        <v>8.0270350540620289E-6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4305.58</v>
      </c>
      <c r="C324" s="15">
        <f>IFERROR(B324/B444, "NA")</f>
        <v>5.6706164664108979E-2</v>
      </c>
      <c r="D324" s="2"/>
      <c r="E324" s="14">
        <f>IFERROR(E297+E298+E299+E300+E301+E302+E303+E304+E305+E306+E307+E308+E309+E310+E311+E312+E313+E314+E315+E316+E317+E318+E319+E320+E321+E322+E323, "NA")</f>
        <v>4593.6899999999996</v>
      </c>
      <c r="F324" s="15">
        <f>IFERROR(E324/E444, "NA")</f>
        <v>5.6753813658997503E-2</v>
      </c>
      <c r="G324" s="2"/>
      <c r="H324" s="14">
        <f t="shared" si="76"/>
        <v>288.10999999999967</v>
      </c>
      <c r="I324" s="15">
        <f>IFERROR(H324/H444, "NA")</f>
        <v>-5.7475552292757928E-2</v>
      </c>
      <c r="J324" s="2"/>
      <c r="K324" s="14">
        <f>IFERROR(K297+K298+K299+K300+K301+K302+K303+K304+K305+K306+K307+K308+K309+K310+K311+K312+K313+K314+K315+K316+K317+K318+K319+K320+K321+K322+K323, "NA")</f>
        <v>5335.55</v>
      </c>
      <c r="L324" s="15">
        <f>IFERROR(K324/K444, "NA")</f>
        <v>6.9380068790366484E-2</v>
      </c>
      <c r="M324" s="2"/>
      <c r="N324" s="14">
        <f t="shared" si="77"/>
        <v>1029.9700000000003</v>
      </c>
      <c r="O324" s="15">
        <f>IFERROR(N324/N444, "NA")</f>
        <v>-1.0560437194327827</v>
      </c>
      <c r="P324" s="2"/>
      <c r="Q324" s="14">
        <f>IFERROR(Q297+Q298+Q299+Q300+Q301+Q302+Q303+Q304+Q305+Q306+Q307+Q308+Q309+Q310+Q311+Q312+Q313+Q314+Q315+Q316+Q317+Q318+Q319+Q320+Q321+Q322+Q323, "NA")</f>
        <v>8761.01</v>
      </c>
      <c r="R324" s="15">
        <f>IFERROR(Q324/Q444, "NA")</f>
        <v>5.8965966560190181E-2</v>
      </c>
      <c r="S324" s="2"/>
      <c r="T324" s="14">
        <f>IFERROR(T297+T298+T299+T300+T301+T302+T303+T304+T305+T306+T307+T308+T309+T310+T311+T312+T313+T314+T315+T316+T317+T318+T319+T320+T321+T322+T323, "NA")</f>
        <v>8995.43</v>
      </c>
      <c r="U324" s="15">
        <f>IFERROR(T324/T444, "NA")</f>
        <v>5.7443879150752483E-2</v>
      </c>
      <c r="V324" s="2"/>
      <c r="W324" s="14">
        <f t="shared" si="78"/>
        <v>234.42000000000007</v>
      </c>
      <c r="X324" s="15">
        <f>IFERROR(W324/W444, "NA")</f>
        <v>-2.9237811342404895E-2</v>
      </c>
      <c r="Y324" s="2"/>
      <c r="Z324" s="14">
        <f>IFERROR(Z297+Z298+Z299+Z300+Z301+Z302+Z303+Z304+Z305+Z306+Z307+Z308+Z309+Z310+Z311+Z312+Z313+Z314+Z315+Z316+Z317+Z318+Z319+Z320+Z321+Z322+Z323, "NA")</f>
        <v>10429.67</v>
      </c>
      <c r="AA324" s="15">
        <f>IFERROR(Z324/Z444, "NA")</f>
        <v>6.9613188719316418E-2</v>
      </c>
      <c r="AB324" s="2"/>
      <c r="AC324" s="14">
        <f t="shared" si="79"/>
        <v>1668.6599999999999</v>
      </c>
      <c r="AD324" s="15">
        <f>IFERROR(AC324/AC444, "NA")</f>
        <v>-1.3394392313311143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21791.52</v>
      </c>
      <c r="C325" s="15">
        <f>IFERROR(B325/B444, "NA")</f>
        <v>0.28700280134179929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19390.990000000005</v>
      </c>
      <c r="F325" s="15">
        <f>IFERROR(E325/E444, "NA")</f>
        <v>0.23957050500218438</v>
      </c>
      <c r="G325" s="2"/>
      <c r="H325" s="14">
        <f t="shared" si="76"/>
        <v>-2400.5299999999952</v>
      </c>
      <c r="I325" s="15">
        <f>IFERROR(H325/H444, "NA")</f>
        <v>0.47888579898418682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21355.379999999997</v>
      </c>
      <c r="L325" s="15">
        <f>IFERROR(K325/K444, "NA")</f>
        <v>0.27769165942487961</v>
      </c>
      <c r="M325" s="2"/>
      <c r="N325" s="14">
        <f t="shared" si="77"/>
        <v>-436.14000000000306</v>
      </c>
      <c r="O325" s="15">
        <f>IFERROR(N325/N444, "NA")</f>
        <v>0.44718089633039504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40279.560000000005</v>
      </c>
      <c r="R325" s="15">
        <f>IFERROR(Q325/Q444, "NA")</f>
        <v>0.27110152688093886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37760.11</v>
      </c>
      <c r="U325" s="15">
        <f>IFERROR(T325/T444, "NA")</f>
        <v>0.24113212993254576</v>
      </c>
      <c r="V325" s="2"/>
      <c r="W325" s="14">
        <f t="shared" si="78"/>
        <v>-2519.4500000000044</v>
      </c>
      <c r="X325" s="15">
        <f>IFERROR(W325/W444, "NA")</f>
        <v>0.3142360028437084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43292.43</v>
      </c>
      <c r="AA325" s="15">
        <f>IFERROR(Z325/Z444, "NA")</f>
        <v>0.28895680301560794</v>
      </c>
      <c r="AB325" s="2"/>
      <c r="AC325" s="14">
        <f t="shared" si="79"/>
        <v>3012.8699999999953</v>
      </c>
      <c r="AD325" s="15">
        <f>IFERROR(AC325/AC444, "NA")</f>
        <v>-2.4184413103331828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13526.48</v>
      </c>
      <c r="C329" s="8">
        <f>IFERROR(B329/B444, "NA")</f>
        <v>0.17814900715020435</v>
      </c>
      <c r="D329" s="9"/>
      <c r="E329" s="7">
        <v>13526.48</v>
      </c>
      <c r="F329" s="8">
        <f>IFERROR(E329/E444, "NA")</f>
        <v>0.16711604949009545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13132.5</v>
      </c>
      <c r="L329" s="8">
        <f>IFERROR(K329/K444, "NA")</f>
        <v>0.17076660389078685</v>
      </c>
      <c r="M329" s="9"/>
      <c r="N329" s="10">
        <f t="shared" si="81"/>
        <v>-393.97999999999956</v>
      </c>
      <c r="O329" s="8">
        <f>IFERROR(N329/N444, "NA")</f>
        <v>0.40395361474812586</v>
      </c>
      <c r="P329" s="9"/>
      <c r="Q329" s="7">
        <v>27052.959999999999</v>
      </c>
      <c r="R329" s="8">
        <f>IFERROR(Q329/Q444, "NA")</f>
        <v>0.18207991255736067</v>
      </c>
      <c r="S329" s="9"/>
      <c r="T329" s="7">
        <v>27052.959999999999</v>
      </c>
      <c r="U329" s="8">
        <f>IFERROR(T329/T444, "NA")</f>
        <v>0.17275738512890887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26265</v>
      </c>
      <c r="AA329" s="8">
        <f>IFERROR(Z329/Z444, "NA")</f>
        <v>0.17530663977986319</v>
      </c>
      <c r="AB329" s="9"/>
      <c r="AC329" s="10">
        <f t="shared" si="83"/>
        <v>-787.95999999999913</v>
      </c>
      <c r="AD329" s="8">
        <f>IFERROR(AC329/AC444, "NA")</f>
        <v>0.63249825411987093</v>
      </c>
    </row>
    <row r="330" spans="1:30" ht="16.5" customHeight="1" x14ac:dyDescent="0.45">
      <c r="A330" s="6" t="s">
        <v>301</v>
      </c>
      <c r="B330" s="7">
        <v>2126</v>
      </c>
      <c r="C330" s="8">
        <f>IFERROR(B330/B444, "NA")</f>
        <v>2.8000247603318415E-2</v>
      </c>
      <c r="D330" s="9"/>
      <c r="E330" s="7">
        <v>2126</v>
      </c>
      <c r="F330" s="8">
        <f>IFERROR(E330/E444, "NA")</f>
        <v>2.6266162461774455E-2</v>
      </c>
      <c r="G330" s="9"/>
      <c r="H330" s="10">
        <f t="shared" si="80"/>
        <v>0</v>
      </c>
      <c r="I330" s="8">
        <f>IFERROR(H330/H444, "NA")</f>
        <v>0</v>
      </c>
      <c r="J330" s="9"/>
      <c r="K330" s="7">
        <v>2126</v>
      </c>
      <c r="L330" s="8">
        <f>IFERROR(K330/K444, "NA")</f>
        <v>2.7645139910284628E-2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4252</v>
      </c>
      <c r="R330" s="8">
        <f>IFERROR(Q330/Q444, "NA")</f>
        <v>2.8618080542532041E-2</v>
      </c>
      <c r="S330" s="9"/>
      <c r="T330" s="7">
        <v>4252</v>
      </c>
      <c r="U330" s="8">
        <f>IFERROR(T330/T444, "NA")</f>
        <v>2.7152829175370111E-2</v>
      </c>
      <c r="V330" s="9"/>
      <c r="W330" s="10">
        <f t="shared" si="82"/>
        <v>0</v>
      </c>
      <c r="X330" s="8">
        <f>IFERROR(W330/W444, "NA")</f>
        <v>0</v>
      </c>
      <c r="Y330" s="9"/>
      <c r="Z330" s="7">
        <v>4252</v>
      </c>
      <c r="AA330" s="8">
        <f>IFERROR(Z330/Z444, "NA")</f>
        <v>2.8380119259241509E-2</v>
      </c>
      <c r="AB330" s="9"/>
      <c r="AC330" s="10">
        <f t="shared" si="83"/>
        <v>0</v>
      </c>
      <c r="AD330" s="8">
        <f>IFERROR(AC330/AC444, "NA")</f>
        <v>0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2.3706700698952559E-3</v>
      </c>
      <c r="D332" s="9"/>
      <c r="E332" s="7">
        <v>180</v>
      </c>
      <c r="F332" s="8">
        <f>IFERROR(E332/E444, "NA")</f>
        <v>2.2238519487861722E-3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2.3406045079262618E-3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360</v>
      </c>
      <c r="R332" s="8">
        <f>IFERROR(Q332/Q444, "NA")</f>
        <v>2.4229795379378024E-3</v>
      </c>
      <c r="S332" s="9"/>
      <c r="T332" s="7">
        <v>360</v>
      </c>
      <c r="U332" s="8">
        <f>IFERROR(T332/T444, "NA")</f>
        <v>2.2989225077923894E-3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360</v>
      </c>
      <c r="AA332" s="8">
        <f>IFERROR(Z332/Z444, "NA")</f>
        <v>2.4028322985246808E-3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1254</v>
      </c>
      <c r="C333" s="8">
        <f>IFERROR(B333/B444, "NA")</f>
        <v>1.6515668153603617E-2</v>
      </c>
      <c r="D333" s="9"/>
      <c r="E333" s="7">
        <v>1025</v>
      </c>
      <c r="F333" s="8">
        <f>IFERROR(E333/E444, "NA")</f>
        <v>1.266360137503237E-2</v>
      </c>
      <c r="G333" s="9"/>
      <c r="H333" s="10">
        <f t="shared" si="80"/>
        <v>-229</v>
      </c>
      <c r="I333" s="8">
        <f>IFERROR(H333/H444, "NA")</f>
        <v>4.5683598191807229E-2</v>
      </c>
      <c r="J333" s="9"/>
      <c r="K333" s="7">
        <v>1024.69</v>
      </c>
      <c r="L333" s="8">
        <f>IFERROR(K333/K444, "NA")</f>
        <v>1.3324411295705342E-2</v>
      </c>
      <c r="M333" s="9"/>
      <c r="N333" s="10">
        <f t="shared" si="81"/>
        <v>-229.30999999999995</v>
      </c>
      <c r="O333" s="8">
        <f>IFERROR(N333/N444, "NA")</f>
        <v>0.23511498908039194</v>
      </c>
      <c r="P333" s="9"/>
      <c r="Q333" s="7">
        <v>2508</v>
      </c>
      <c r="R333" s="8">
        <f>IFERROR(Q333/Q444, "NA")</f>
        <v>1.6880090780966688E-2</v>
      </c>
      <c r="S333" s="9"/>
      <c r="T333" s="7">
        <v>2050</v>
      </c>
      <c r="U333" s="8">
        <f>IFERROR(T333/T444, "NA")</f>
        <v>1.3091086502706661E-2</v>
      </c>
      <c r="V333" s="9"/>
      <c r="W333" s="10">
        <f t="shared" si="82"/>
        <v>-458</v>
      </c>
      <c r="X333" s="8">
        <f>IFERROR(W333/W444, "NA")</f>
        <v>5.7123614004016034E-2</v>
      </c>
      <c r="Y333" s="9"/>
      <c r="Z333" s="7">
        <v>2049.38</v>
      </c>
      <c r="AA333" s="8">
        <f>IFERROR(Z333/Z444, "NA")</f>
        <v>1.3678656822084752E-2</v>
      </c>
      <c r="AB333" s="9"/>
      <c r="AC333" s="10">
        <f t="shared" si="83"/>
        <v>-458.61999999999989</v>
      </c>
      <c r="AD333" s="8">
        <f>IFERROR(AC333/AC444, "NA")</f>
        <v>0.36813588164939265</v>
      </c>
    </row>
    <row r="334" spans="1:30" ht="16.5" customHeight="1" x14ac:dyDescent="0.45">
      <c r="A334" s="6" t="s">
        <v>305</v>
      </c>
      <c r="B334" s="7">
        <v>-1041.54</v>
      </c>
      <c r="C334" s="8">
        <f>IFERROR(B334/B444, "NA")</f>
        <v>-1.3717487247770582E-2</v>
      </c>
      <c r="D334" s="9"/>
      <c r="E334" s="7">
        <v>-1041.54</v>
      </c>
      <c r="F334" s="8">
        <f>IFERROR(E334/E444, "NA")</f>
        <v>-1.286794865965972E-2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-1011.2</v>
      </c>
      <c r="L334" s="8">
        <f>IFERROR(K334/K444, "NA")</f>
        <v>-1.3148995991194646E-2</v>
      </c>
      <c r="M334" s="9"/>
      <c r="N334" s="10">
        <f t="shared" si="81"/>
        <v>30.339999999999918</v>
      </c>
      <c r="O334" s="8">
        <f>IFERROR(N334/N444, "NA")</f>
        <v>-3.1108057950804912E-2</v>
      </c>
      <c r="P334" s="9"/>
      <c r="Q334" s="7">
        <v>-2083.08</v>
      </c>
      <c r="R334" s="8">
        <f>IFERROR(Q334/Q444, "NA")</f>
        <v>-1.4020167266354102E-2</v>
      </c>
      <c r="S334" s="9"/>
      <c r="T334" s="7">
        <v>-2083.08</v>
      </c>
      <c r="U334" s="8">
        <f>IFERROR(T334/T444, "NA")</f>
        <v>-1.3302331937589361E-2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-2022.4</v>
      </c>
      <c r="AA334" s="8">
        <f>IFERROR(Z334/Z444, "NA")</f>
        <v>-1.3498577890378652E-2</v>
      </c>
      <c r="AB334" s="9"/>
      <c r="AC334" s="10">
        <f t="shared" si="83"/>
        <v>60.679999999999836</v>
      </c>
      <c r="AD334" s="8">
        <f>IFERROR(AC334/AC444, "NA")</f>
        <v>-4.8708048708048256E-2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201.8</v>
      </c>
      <c r="C338" s="8">
        <f>IFERROR(B338/B444, "NA")</f>
        <v>2.6577845561381263E-3</v>
      </c>
      <c r="D338" s="9"/>
      <c r="E338" s="7">
        <v>323.76</v>
      </c>
      <c r="F338" s="8">
        <f>IFERROR(E338/E444, "NA")</f>
        <v>3.9999683718833952E-3</v>
      </c>
      <c r="G338" s="9"/>
      <c r="H338" s="10">
        <f t="shared" si="84"/>
        <v>121.95999999999998</v>
      </c>
      <c r="I338" s="8">
        <f>IFERROR(H338/H444, "NA")</f>
        <v>-2.4330007141802657E-2</v>
      </c>
      <c r="J338" s="9"/>
      <c r="K338" s="7">
        <v>392.85</v>
      </c>
      <c r="L338" s="8">
        <f>IFERROR(K338/K444, "NA")</f>
        <v>5.108369338549067E-3</v>
      </c>
      <c r="M338" s="9"/>
      <c r="N338" s="10">
        <f t="shared" si="85"/>
        <v>191.05</v>
      </c>
      <c r="O338" s="8">
        <f>IFERROR(N338/N444, "NA")</f>
        <v>-0.1958864361074916</v>
      </c>
      <c r="P338" s="9"/>
      <c r="Q338" s="7">
        <v>561.79999999999995</v>
      </c>
      <c r="R338" s="8">
        <f>IFERROR(Q338/Q444, "NA")</f>
        <v>3.7811941789262699E-3</v>
      </c>
      <c r="S338" s="9"/>
      <c r="T338" s="7">
        <v>626.38</v>
      </c>
      <c r="U338" s="8">
        <f>IFERROR(T338/T444, "NA")</f>
        <v>3.9999974456416581E-3</v>
      </c>
      <c r="V338" s="9"/>
      <c r="W338" s="10">
        <f t="shared" si="86"/>
        <v>64.580000000000041</v>
      </c>
      <c r="X338" s="8">
        <f>IFERROR(W338/W444, "NA")</f>
        <v>-8.0546790226623532E-3</v>
      </c>
      <c r="Y338" s="9"/>
      <c r="Z338" s="7">
        <v>879.11</v>
      </c>
      <c r="AA338" s="8">
        <f>IFERROR(Z338/Z444, "NA")</f>
        <v>5.8676497276556449E-3</v>
      </c>
      <c r="AB338" s="9"/>
      <c r="AC338" s="10">
        <f t="shared" si="87"/>
        <v>317.31000000000006</v>
      </c>
      <c r="AD338" s="8">
        <f>IFERROR(AC338/AC444, "NA")</f>
        <v>-0.25470584930044227</v>
      </c>
    </row>
    <row r="339" spans="1:30" ht="16.5" customHeight="1" x14ac:dyDescent="0.45">
      <c r="A339" s="12" t="s">
        <v>309</v>
      </c>
      <c r="B339" s="7">
        <v>397.25</v>
      </c>
      <c r="C339" s="8">
        <f>IFERROR(B339/B444, "NA")</f>
        <v>5.2319371403660581E-3</v>
      </c>
      <c r="D339" s="9"/>
      <c r="E339" s="7">
        <v>242.82</v>
      </c>
      <c r="F339" s="8">
        <f>IFERROR(E339/E444, "NA")</f>
        <v>2.9999762789125464E-3</v>
      </c>
      <c r="G339" s="9"/>
      <c r="H339" s="10">
        <f t="shared" si="84"/>
        <v>-154.43</v>
      </c>
      <c r="I339" s="8">
        <f>IFERROR(H339/H444, "NA")</f>
        <v>3.0807502483671576E-2</v>
      </c>
      <c r="J339" s="9"/>
      <c r="K339" s="7">
        <v>270.49</v>
      </c>
      <c r="L339" s="8">
        <f>IFERROR(K339/K444, "NA")</f>
        <v>3.5172784074943035E-3</v>
      </c>
      <c r="M339" s="9"/>
      <c r="N339" s="10">
        <f t="shared" si="85"/>
        <v>-126.75999999999999</v>
      </c>
      <c r="O339" s="8">
        <f>IFERROR(N339/N444, "NA")</f>
        <v>0.12996893295464867</v>
      </c>
      <c r="P339" s="9"/>
      <c r="Q339" s="7">
        <v>797.25</v>
      </c>
      <c r="R339" s="8">
        <f>IFERROR(Q339/Q444, "NA")</f>
        <v>5.3658901017247579E-3</v>
      </c>
      <c r="S339" s="9"/>
      <c r="T339" s="7">
        <v>469.78</v>
      </c>
      <c r="U339" s="8">
        <f>IFERROR(T339/T444, "NA")</f>
        <v>2.9999661547519684E-3</v>
      </c>
      <c r="V339" s="9"/>
      <c r="W339" s="10">
        <f t="shared" si="86"/>
        <v>-327.47000000000003</v>
      </c>
      <c r="X339" s="8">
        <f>IFERROR(W339/W444, "NA")</f>
        <v>4.0843384012871464E-2</v>
      </c>
      <c r="Y339" s="9"/>
      <c r="Z339" s="7">
        <v>637.23</v>
      </c>
      <c r="AA339" s="8">
        <f>IFERROR(Z339/Z444, "NA")</f>
        <v>4.2532134044135621E-3</v>
      </c>
      <c r="AB339" s="9"/>
      <c r="AC339" s="10">
        <f t="shared" si="87"/>
        <v>-160.01999999999998</v>
      </c>
      <c r="AD339" s="8">
        <f>IFERROR(AC339/AC444, "NA")</f>
        <v>0.12844861493510057</v>
      </c>
    </row>
    <row r="340" spans="1:30" ht="16.5" customHeight="1" x14ac:dyDescent="0.45">
      <c r="A340" s="12" t="s">
        <v>310</v>
      </c>
      <c r="B340" s="7">
        <v>472</v>
      </c>
      <c r="C340" s="8">
        <f>IFERROR(B340/B444, "NA")</f>
        <v>6.2164237388364491E-3</v>
      </c>
      <c r="D340" s="9"/>
      <c r="E340" s="7">
        <v>242.82</v>
      </c>
      <c r="F340" s="8">
        <f>IFERROR(E340/E444, "NA")</f>
        <v>2.9999762789125464E-3</v>
      </c>
      <c r="G340" s="9"/>
      <c r="H340" s="10">
        <f t="shared" si="84"/>
        <v>-229.18</v>
      </c>
      <c r="I340" s="8">
        <f>IFERROR(H340/H444, "NA")</f>
        <v>4.5719506696936162E-2</v>
      </c>
      <c r="J340" s="9"/>
      <c r="K340" s="7">
        <v>410</v>
      </c>
      <c r="L340" s="8">
        <f>IFERROR(K340/K444, "NA")</f>
        <v>5.3313769347209296E-3</v>
      </c>
      <c r="M340" s="9"/>
      <c r="N340" s="10">
        <f t="shared" si="85"/>
        <v>-62</v>
      </c>
      <c r="O340" s="8">
        <f>IFERROR(N340/N444, "NA")</f>
        <v>6.3569531738625895E-2</v>
      </c>
      <c r="P340" s="9"/>
      <c r="Q340" s="7">
        <v>905</v>
      </c>
      <c r="R340" s="8">
        <f>IFERROR(Q340/Q444, "NA")</f>
        <v>6.0911013384269746E-3</v>
      </c>
      <c r="S340" s="9"/>
      <c r="T340" s="7">
        <v>469.78</v>
      </c>
      <c r="U340" s="8">
        <f>IFERROR(T340/T444, "NA")</f>
        <v>2.9999661547519684E-3</v>
      </c>
      <c r="V340" s="9"/>
      <c r="W340" s="10">
        <f t="shared" si="86"/>
        <v>-435.22</v>
      </c>
      <c r="X340" s="8">
        <f>IFERROR(W340/W444, "NA")</f>
        <v>5.4282400189580478E-2</v>
      </c>
      <c r="Y340" s="9"/>
      <c r="Z340" s="7">
        <v>919.18</v>
      </c>
      <c r="AA340" s="8">
        <f>IFERROR(Z340/Z444, "NA")</f>
        <v>6.1350983115497672E-3</v>
      </c>
      <c r="AB340" s="9"/>
      <c r="AC340" s="10">
        <f t="shared" si="87"/>
        <v>14.17999999999995</v>
      </c>
      <c r="AD340" s="8">
        <f>IFERROR(AC340/AC444, "NA")</f>
        <v>-1.1382335706659917E-2</v>
      </c>
    </row>
    <row r="341" spans="1:30" ht="16.5" customHeight="1" x14ac:dyDescent="0.45">
      <c r="A341" s="12" t="s">
        <v>311</v>
      </c>
      <c r="B341" s="7">
        <v>472.43</v>
      </c>
      <c r="C341" s="8">
        <f>IFERROR(B341/B444, "NA")</f>
        <v>6.2220870062256435E-3</v>
      </c>
      <c r="D341" s="9"/>
      <c r="E341" s="7">
        <v>323.76</v>
      </c>
      <c r="F341" s="8">
        <f>IFERROR(E341/E444, "NA")</f>
        <v>3.9999683718833952E-3</v>
      </c>
      <c r="G341" s="9"/>
      <c r="H341" s="10">
        <f t="shared" si="84"/>
        <v>-148.67000000000002</v>
      </c>
      <c r="I341" s="8">
        <f>IFERROR(H341/H444, "NA")</f>
        <v>2.9658430319545768E-2</v>
      </c>
      <c r="J341" s="9"/>
      <c r="K341" s="7">
        <v>470.95</v>
      </c>
      <c r="L341" s="8">
        <f>IFERROR(K341/K444, "NA")</f>
        <v>6.123931627821517E-3</v>
      </c>
      <c r="M341" s="9"/>
      <c r="N341" s="10">
        <f t="shared" si="85"/>
        <v>-1.4800000000000182</v>
      </c>
      <c r="O341" s="8">
        <f>IFERROR(N341/N444, "NA")</f>
        <v>1.5174662415027014E-3</v>
      </c>
      <c r="P341" s="9"/>
      <c r="Q341" s="7">
        <v>944.86</v>
      </c>
      <c r="R341" s="8">
        <f>IFERROR(Q341/Q444, "NA")</f>
        <v>6.3593790172664219E-3</v>
      </c>
      <c r="S341" s="9"/>
      <c r="T341" s="7">
        <v>626.38</v>
      </c>
      <c r="U341" s="8">
        <f>IFERROR(T341/T444, "NA")</f>
        <v>3.9999974456416581E-3</v>
      </c>
      <c r="V341" s="9"/>
      <c r="W341" s="10">
        <f t="shared" si="86"/>
        <v>-318.48</v>
      </c>
      <c r="X341" s="8">
        <f>IFERROR(W341/W444, "NA")</f>
        <v>3.9722114820958575E-2</v>
      </c>
      <c r="Y341" s="9"/>
      <c r="Z341" s="7">
        <v>941.9</v>
      </c>
      <c r="AA341" s="8">
        <f>IFERROR(Z341/Z444, "NA")</f>
        <v>6.2867437277233252E-3</v>
      </c>
      <c r="AB341" s="9"/>
      <c r="AC341" s="10">
        <f t="shared" si="87"/>
        <v>-2.9600000000000364</v>
      </c>
      <c r="AD341" s="8">
        <f>IFERROR(AC341/AC444, "NA")</f>
        <v>2.3760023760023897E-3</v>
      </c>
    </row>
    <row r="342" spans="1:30" ht="16.5" customHeight="1" x14ac:dyDescent="0.45">
      <c r="A342" s="13" t="s">
        <v>312</v>
      </c>
      <c r="B342" s="14">
        <f>IFERROR(B337+B338+B339+B340+B341, "NA")</f>
        <v>1543.48</v>
      </c>
      <c r="C342" s="15">
        <f>IFERROR(B342/B444, "NA")</f>
        <v>2.0328232441566278E-2</v>
      </c>
      <c r="D342" s="2"/>
      <c r="E342" s="14">
        <f>IFERROR(E337+E338+E339+E340+E341, "NA")</f>
        <v>1133.1599999999999</v>
      </c>
      <c r="F342" s="15">
        <f>IFERROR(E342/E444, "NA")</f>
        <v>1.3999889301591881E-2</v>
      </c>
      <c r="G342" s="2"/>
      <c r="H342" s="14">
        <f t="shared" si="84"/>
        <v>-410.32000000000016</v>
      </c>
      <c r="I342" s="15">
        <f>IFERROR(H342/H444, "NA")</f>
        <v>8.1855432358350869E-2</v>
      </c>
      <c r="J342" s="2"/>
      <c r="K342" s="14">
        <f>IFERROR(K337+K338+K339+K340+K341, "NA")</f>
        <v>1544.2900000000002</v>
      </c>
      <c r="L342" s="15">
        <f>IFERROR(K342/K444, "NA")</f>
        <v>2.0080956308585821E-2</v>
      </c>
      <c r="M342" s="2"/>
      <c r="N342" s="14">
        <f t="shared" si="85"/>
        <v>0.8100000000001728</v>
      </c>
      <c r="O342" s="15">
        <f>IFERROR(N342/N444, "NA")</f>
        <v>-8.3050517271448328E-4</v>
      </c>
      <c r="P342" s="2"/>
      <c r="Q342" s="14">
        <f>IFERROR(Q337+Q338+Q339+Q340+Q341, "NA")</f>
        <v>3208.9100000000003</v>
      </c>
      <c r="R342" s="15">
        <f>IFERROR(Q342/Q444, "NA")</f>
        <v>2.1597564636344428E-2</v>
      </c>
      <c r="S342" s="2"/>
      <c r="T342" s="14">
        <f>IFERROR(T337+T338+T339+T340+T341, "NA")</f>
        <v>2192.3199999999997</v>
      </c>
      <c r="U342" s="15">
        <f>IFERROR(T342/T444, "NA")</f>
        <v>1.399992720078725E-2</v>
      </c>
      <c r="V342" s="2"/>
      <c r="W342" s="14">
        <f t="shared" si="86"/>
        <v>-1016.5900000000006</v>
      </c>
      <c r="X342" s="15">
        <f>IFERROR(W342/W444, "NA")</f>
        <v>0.12679322000074825</v>
      </c>
      <c r="Y342" s="2"/>
      <c r="Z342" s="14">
        <f>IFERROR(Z337+Z338+Z339+Z340+Z341, "NA")</f>
        <v>3377.42</v>
      </c>
      <c r="AA342" s="15">
        <f>IFERROR(Z342/Z444, "NA")</f>
        <v>2.2542705171342301E-2</v>
      </c>
      <c r="AB342" s="2"/>
      <c r="AC342" s="14">
        <f t="shared" si="87"/>
        <v>168.50999999999976</v>
      </c>
      <c r="AD342" s="15">
        <f>IFERROR(AC342/AC444, "NA")</f>
        <v>-0.13526356769599907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17588.419999999998</v>
      </c>
      <c r="C343" s="15">
        <f>IFERROR(B343/B444, "NA")</f>
        <v>0.23164633817081731</v>
      </c>
      <c r="D343" s="2"/>
      <c r="E343" s="14">
        <f>IFERROR(E328+E329+E330+E331+E332+E333+E334+E335+E337+E338+E339+E340+E341, "NA")</f>
        <v>16949.099999999999</v>
      </c>
      <c r="F343" s="15">
        <f>IFERROR(E343/E444, "NA")</f>
        <v>0.20940160591762061</v>
      </c>
      <c r="G343" s="2"/>
      <c r="H343" s="14">
        <f t="shared" si="84"/>
        <v>-639.31999999999971</v>
      </c>
      <c r="I343" s="15">
        <f>IFERROR(H343/H444, "NA")</f>
        <v>0.127539030550158</v>
      </c>
      <c r="J343" s="2"/>
      <c r="K343" s="14">
        <f>IFERROR(K328+K329+K330+K331+K332+K333+K334+K335+K337+K338+K339+K340+K341, "NA")</f>
        <v>16996.28</v>
      </c>
      <c r="L343" s="15">
        <f>IFERROR(K343/K444, "NA")</f>
        <v>0.22100871992209425</v>
      </c>
      <c r="M343" s="2"/>
      <c r="N343" s="14">
        <f t="shared" si="85"/>
        <v>-592.13999999999942</v>
      </c>
      <c r="O343" s="15">
        <f>IFERROR(N343/N444, "NA")</f>
        <v>0.60713004070499843</v>
      </c>
      <c r="P343" s="2"/>
      <c r="Q343" s="14">
        <f>IFERROR(Q328+Q329+Q330+Q331+Q332+Q333+Q334+Q335+Q337+Q338+Q339+Q340+Q341, "NA")</f>
        <v>35298.789999999994</v>
      </c>
      <c r="R343" s="15">
        <f>IFERROR(Q343/Q444, "NA")</f>
        <v>0.2375784607887875</v>
      </c>
      <c r="S343" s="2"/>
      <c r="T343" s="14">
        <f>IFERROR(T328+T329+T330+T331+T332+T333+T334+T335+T337+T338+T339+T340+T341, "NA")</f>
        <v>33824.199999999997</v>
      </c>
      <c r="U343" s="15">
        <f>IFERROR(T343/T444, "NA")</f>
        <v>0.21599781857797593</v>
      </c>
      <c r="V343" s="2"/>
      <c r="W343" s="14">
        <f t="shared" si="86"/>
        <v>-1474.5899999999965</v>
      </c>
      <c r="X343" s="15">
        <f>IFERROR(W343/W444, "NA")</f>
        <v>0.18391683400476375</v>
      </c>
      <c r="Y343" s="2"/>
      <c r="Z343" s="14">
        <f>IFERROR(Z328+Z329+Z330+Z331+Z332+Z333+Z334+Z335+Z337+Z338+Z339+Z340+Z341, "NA")</f>
        <v>34281.399999999994</v>
      </c>
      <c r="AA343" s="15">
        <f>IFERROR(Z343/Z444, "NA")</f>
        <v>0.22881237544067773</v>
      </c>
      <c r="AB343" s="2"/>
      <c r="AC343" s="14">
        <f t="shared" si="87"/>
        <v>-1017.3899999999994</v>
      </c>
      <c r="AD343" s="15">
        <f>IFERROR(AC343/AC444, "NA")</f>
        <v>0.81666251936521628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17588.419999999998</v>
      </c>
      <c r="C344" s="15">
        <f>IFERROR(B344/B444, "NA")</f>
        <v>0.23164633817081731</v>
      </c>
      <c r="D344" s="2"/>
      <c r="E344" s="14">
        <f>IFERROR(E328+E329+E330+E331+E332+E333+E334+E335+E337+E338+E339+E340+E341, "NA")</f>
        <v>16949.099999999999</v>
      </c>
      <c r="F344" s="15">
        <f>IFERROR(E344/E444, "NA")</f>
        <v>0.20940160591762061</v>
      </c>
      <c r="G344" s="2"/>
      <c r="H344" s="14">
        <f t="shared" si="84"/>
        <v>-639.31999999999971</v>
      </c>
      <c r="I344" s="15">
        <f>IFERROR(H344/H444, "NA")</f>
        <v>0.127539030550158</v>
      </c>
      <c r="J344" s="2"/>
      <c r="K344" s="14">
        <f>IFERROR(K328+K329+K330+K331+K332+K333+K334+K335+K337+K338+K339+K340+K341, "NA")</f>
        <v>16996.28</v>
      </c>
      <c r="L344" s="15">
        <f>IFERROR(K344/K444, "NA")</f>
        <v>0.22100871992209425</v>
      </c>
      <c r="M344" s="2"/>
      <c r="N344" s="14">
        <f t="shared" si="85"/>
        <v>-592.13999999999942</v>
      </c>
      <c r="O344" s="15">
        <f>IFERROR(N344/N444, "NA")</f>
        <v>0.60713004070499843</v>
      </c>
      <c r="P344" s="2"/>
      <c r="Q344" s="14">
        <f>IFERROR(Q328+Q329+Q330+Q331+Q332+Q333+Q334+Q335+Q337+Q338+Q339+Q340+Q341, "NA")</f>
        <v>35298.789999999994</v>
      </c>
      <c r="R344" s="15">
        <f>IFERROR(Q344/Q444, "NA")</f>
        <v>0.2375784607887875</v>
      </c>
      <c r="S344" s="2"/>
      <c r="T344" s="14">
        <f>IFERROR(T328+T329+T330+T331+T332+T333+T334+T335+T337+T338+T339+T340+T341, "NA")</f>
        <v>33824.199999999997</v>
      </c>
      <c r="U344" s="15">
        <f>IFERROR(T344/T444, "NA")</f>
        <v>0.21599781857797593</v>
      </c>
      <c r="V344" s="2"/>
      <c r="W344" s="14">
        <f t="shared" si="86"/>
        <v>-1474.5899999999965</v>
      </c>
      <c r="X344" s="15">
        <f>IFERROR(W344/W444, "NA")</f>
        <v>0.18391683400476375</v>
      </c>
      <c r="Y344" s="2"/>
      <c r="Z344" s="14">
        <f>IFERROR(Z328+Z329+Z330+Z331+Z332+Z333+Z334+Z335+Z337+Z338+Z339+Z340+Z341, "NA")</f>
        <v>34281.399999999994</v>
      </c>
      <c r="AA344" s="15">
        <f>IFERROR(Z344/Z444, "NA")</f>
        <v>0.22881237544067773</v>
      </c>
      <c r="AB344" s="2"/>
      <c r="AC344" s="14">
        <f t="shared" si="87"/>
        <v>-1017.3899999999994</v>
      </c>
      <c r="AD344" s="15">
        <f>IFERROR(AC344/AC444, "NA")</f>
        <v>0.81666251936521628</v>
      </c>
    </row>
    <row r="345" spans="1:30" ht="16.5" customHeight="1" x14ac:dyDescent="0.45">
      <c r="A345" s="22" t="s">
        <v>315</v>
      </c>
      <c r="B345" s="23">
        <f>IFERROR(B198-B325-B344, "NA")</f>
        <v>-11472.179999999989</v>
      </c>
      <c r="C345" s="24">
        <f>IFERROR(B345/B444, "NA")</f>
        <v>-0.15109307645806075</v>
      </c>
      <c r="D345" s="25"/>
      <c r="E345" s="23">
        <f>IFERROR(E198-E325-E344, "NA")</f>
        <v>-2617.3899999999921</v>
      </c>
      <c r="F345" s="24">
        <f>IFERROR(E345/E444, "NA")</f>
        <v>-3.2337154734630121E-2</v>
      </c>
      <c r="G345" s="25"/>
      <c r="H345" s="23">
        <f>IFERROR(B345-E345, "NA")</f>
        <v>-8854.7899999999972</v>
      </c>
      <c r="I345" s="24">
        <f>IFERROR(H345/H444, "NA")</f>
        <v>1.7664570673922821</v>
      </c>
      <c r="J345" s="25"/>
      <c r="K345" s="23">
        <f>IFERROR(K198-K325-K344, "NA")</f>
        <v>-10318.700000000008</v>
      </c>
      <c r="L345" s="24">
        <f>IFERROR(K345/K444, "NA")</f>
        <v>-0.13417775408854854</v>
      </c>
      <c r="M345" s="25"/>
      <c r="N345" s="23">
        <f>IFERROR(B345-K345, "NA")</f>
        <v>-1153.4799999999814</v>
      </c>
      <c r="O345" s="24">
        <f>IFERROR(N345/N444, "NA")</f>
        <v>1.1826803785462745</v>
      </c>
      <c r="P345" s="25"/>
      <c r="Q345" s="23">
        <f>IFERROR(Q198-Q325-Q344, "NA")</f>
        <v>-19925.17000000002</v>
      </c>
      <c r="R345" s="24">
        <f>IFERROR(Q345/Q444, "NA")</f>
        <v>-0.13410633111092279</v>
      </c>
      <c r="S345" s="25"/>
      <c r="T345" s="23">
        <f>IFERROR(T198-T325-T344, "NA")</f>
        <v>-7434.6200000000244</v>
      </c>
      <c r="U345" s="24">
        <f>IFERROR(T345/T444, "NA")</f>
        <v>-4.7476709041343081E-2</v>
      </c>
      <c r="V345" s="25"/>
      <c r="W345" s="23">
        <f>IFERROR(Q345-T345, "NA")</f>
        <v>-12490.549999999996</v>
      </c>
      <c r="X345" s="24">
        <f>IFERROR(W345/W444, "NA")</f>
        <v>1.5578719582922755</v>
      </c>
      <c r="Y345" s="25"/>
      <c r="Z345" s="23">
        <f>IFERROR(Z198-Z325-Z344, "NA")</f>
        <v>-20691.25</v>
      </c>
      <c r="AA345" s="24">
        <f>IFERROR(Z345/Z444, "NA")</f>
        <v>-0.13810445499124668</v>
      </c>
      <c r="AB345" s="25"/>
      <c r="AC345" s="23">
        <f>IFERROR(Q345-Z345, "NA")</f>
        <v>766.07999999997992</v>
      </c>
      <c r="AD345" s="24">
        <f>IFERROR(AC345/AC444, "NA")</f>
        <v>-0.61493510142156782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-11472.179999999989</v>
      </c>
      <c r="C404" s="24">
        <f>IFERROR(B404/B444, "NA")</f>
        <v>-0.15109307645806075</v>
      </c>
      <c r="D404" s="25"/>
      <c r="E404" s="23">
        <f>IFERROR(E345-E403, "NA")</f>
        <v>-2617.3899999999921</v>
      </c>
      <c r="F404" s="24">
        <f>IFERROR(E404/E444, "NA")</f>
        <v>-3.2337154734630121E-2</v>
      </c>
      <c r="G404" s="25"/>
      <c r="H404" s="23">
        <f>IFERROR(B404-E404, "NA")</f>
        <v>-8854.7899999999972</v>
      </c>
      <c r="I404" s="24">
        <f>IFERROR(H404/H444, "NA")</f>
        <v>1.7664570673922821</v>
      </c>
      <c r="J404" s="25"/>
      <c r="K404" s="23">
        <f>IFERROR(K345-K403, "NA")</f>
        <v>-10318.700000000008</v>
      </c>
      <c r="L404" s="24">
        <f>IFERROR(K404/K444, "NA")</f>
        <v>-0.13417775408854854</v>
      </c>
      <c r="M404" s="25"/>
      <c r="N404" s="23">
        <f>IFERROR(B404-K404, "NA")</f>
        <v>-1153.4799999999814</v>
      </c>
      <c r="O404" s="24">
        <f>IFERROR(N404/N444, "NA")</f>
        <v>1.1826803785462745</v>
      </c>
      <c r="P404" s="25"/>
      <c r="Q404" s="23">
        <f>IFERROR(Q345-Q403, "NA")</f>
        <v>-19925.17000000002</v>
      </c>
      <c r="R404" s="24">
        <f>IFERROR(Q404/Q444, "NA")</f>
        <v>-0.13410633111092279</v>
      </c>
      <c r="S404" s="25"/>
      <c r="T404" s="23">
        <f>IFERROR(T345-T403, "NA")</f>
        <v>-7434.6200000000244</v>
      </c>
      <c r="U404" s="24">
        <f>IFERROR(T404/T444, "NA")</f>
        <v>-4.7476709041343081E-2</v>
      </c>
      <c r="V404" s="25"/>
      <c r="W404" s="23">
        <f>IFERROR(Q404-T404, "NA")</f>
        <v>-12490.549999999996</v>
      </c>
      <c r="X404" s="24">
        <f>IFERROR(W404/W444, "NA")</f>
        <v>1.5578719582922755</v>
      </c>
      <c r="Y404" s="25"/>
      <c r="Z404" s="23">
        <f>IFERROR(Z345-Z403, "NA")</f>
        <v>-20691.25</v>
      </c>
      <c r="AA404" s="24">
        <f>IFERROR(Z404/Z444, "NA")</f>
        <v>-0.13810445499124668</v>
      </c>
      <c r="AB404" s="25"/>
      <c r="AC404" s="23">
        <f>IFERROR(Q404-Z404, "NA")</f>
        <v>766.07999999997992</v>
      </c>
      <c r="AD404" s="24">
        <f>IFERROR(AC404/AC444, "NA")</f>
        <v>-0.61493510142156782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8348.34</v>
      </c>
      <c r="F407" s="8">
        <f>IFERROR(E407/E444, "NA")</f>
        <v>0.10314151210071974</v>
      </c>
      <c r="G407" s="9"/>
      <c r="H407" s="10">
        <f t="shared" ref="H407:H429" si="100">IFERROR(-(B407-E407), "NA")</f>
        <v>8348.34</v>
      </c>
      <c r="I407" s="8">
        <f>IFERROR(H407/H444, "NA")</f>
        <v>-1.6654244983781308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16693.25</v>
      </c>
      <c r="U407" s="8">
        <f>IFERROR(T407/T444, "NA")</f>
        <v>0.10660135598112584</v>
      </c>
      <c r="V407" s="9"/>
      <c r="W407" s="10">
        <f t="shared" ref="W407:W429" si="102">IFERROR(-(Q407-T407), "NA")</f>
        <v>16693.25</v>
      </c>
      <c r="X407" s="8">
        <f>IFERROR(W407/W444, "NA")</f>
        <v>-2.0820497150055473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8507.99</v>
      </c>
      <c r="C410" s="8">
        <f>IFERROR(B410/B444, "NA")</f>
        <v>0.11205354026648966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-8507.99</v>
      </c>
      <c r="I410" s="8">
        <f>IFERROR(H410/H444, "NA")</f>
        <v>1.6972733475105413</v>
      </c>
      <c r="J410" s="9"/>
      <c r="K410" s="7">
        <v>8002</v>
      </c>
      <c r="L410" s="8">
        <f>IFERROR(K410/K444, "NA")</f>
        <v>0.10405287373569971</v>
      </c>
      <c r="M410" s="9"/>
      <c r="N410" s="10">
        <f t="shared" si="101"/>
        <v>-505.98999999999978</v>
      </c>
      <c r="O410" s="8">
        <f>IFERROR(N410/N444, "NA")</f>
        <v>0.51879915103915009</v>
      </c>
      <c r="P410" s="9"/>
      <c r="Q410" s="7">
        <v>17015.98</v>
      </c>
      <c r="R410" s="8">
        <f>IFERROR(Q410/Q444, "NA")</f>
        <v>0.11452603154988579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-17015.98</v>
      </c>
      <c r="X410" s="8">
        <f>IFERROR(W410/W444, "NA")</f>
        <v>2.1223019070306917</v>
      </c>
      <c r="Y410" s="9"/>
      <c r="Z410" s="7">
        <v>16004</v>
      </c>
      <c r="AA410" s="8">
        <f>IFERROR(Z410/Z444, "NA")</f>
        <v>0.1068192447377472</v>
      </c>
      <c r="AB410" s="9"/>
      <c r="AC410" s="10">
        <f t="shared" si="103"/>
        <v>-1011.9799999999996</v>
      </c>
      <c r="AD410" s="8">
        <f>IFERROR(AC410/AC444, "NA")</f>
        <v>0.81231989340096877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-113.31</v>
      </c>
      <c r="C416" s="8">
        <f>IFERROR(B416/B444, "NA")</f>
        <v>-1.4923368089990636E-3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113.31</v>
      </c>
      <c r="I416" s="8">
        <f>IFERROR(H416/H444, "NA")</f>
        <v>-2.2604403978662344E-2</v>
      </c>
      <c r="J416" s="9"/>
      <c r="K416" s="7">
        <v>-26</v>
      </c>
      <c r="L416" s="8">
        <f>IFERROR(K416/K444, "NA")</f>
        <v>-3.3808731781157116E-4</v>
      </c>
      <c r="M416" s="9"/>
      <c r="N416" s="10">
        <f t="shared" si="101"/>
        <v>87.31</v>
      </c>
      <c r="O416" s="8">
        <f>IFERROR(N416/N444, "NA")</f>
        <v>-8.9520255098377854E-2</v>
      </c>
      <c r="P416" s="9"/>
      <c r="Q416" s="7">
        <v>-141.65</v>
      </c>
      <c r="R416" s="8">
        <f>IFERROR(Q416/Q444, "NA")</f>
        <v>-9.5337514319136026E-4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141.65</v>
      </c>
      <c r="X416" s="8">
        <f>IFERROR(W416/W444, "NA")</f>
        <v>-1.7667161405390548E-2</v>
      </c>
      <c r="Y416" s="9"/>
      <c r="Z416" s="7">
        <v>-55.31</v>
      </c>
      <c r="AA416" s="8">
        <f>IFERROR(Z416/Z444, "NA")</f>
        <v>-3.6916848453166697E-4</v>
      </c>
      <c r="AB416" s="9"/>
      <c r="AC416" s="10">
        <f t="shared" si="103"/>
        <v>86.34</v>
      </c>
      <c r="AD416" s="8">
        <f>IFERROR(AC416/AC444, "NA")</f>
        <v>-6.930542065677156E-2</v>
      </c>
    </row>
    <row r="417" spans="1:30" ht="16.5" customHeight="1" x14ac:dyDescent="0.45">
      <c r="A417" s="6" t="s">
        <v>382</v>
      </c>
      <c r="B417" s="7">
        <v>775.43</v>
      </c>
      <c r="C417" s="8">
        <f>IFERROR(B417/B444, "NA")</f>
        <v>1.021271495721599E-2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-775.43</v>
      </c>
      <c r="I417" s="8">
        <f>IFERROR(H417/H444, "NA")</f>
        <v>0.15469184517848505</v>
      </c>
      <c r="J417" s="9"/>
      <c r="K417" s="7">
        <v>-44.09</v>
      </c>
      <c r="L417" s="8">
        <f>IFERROR(K417/K444, "NA")</f>
        <v>-5.7331807085816055E-4</v>
      </c>
      <c r="M417" s="9"/>
      <c r="N417" s="10">
        <f t="shared" si="101"/>
        <v>-819.52</v>
      </c>
      <c r="O417" s="8">
        <f>IFERROR(N417/N444, "NA")</f>
        <v>0.84026617178126928</v>
      </c>
      <c r="P417" s="9"/>
      <c r="Q417" s="7">
        <v>732.14</v>
      </c>
      <c r="R417" s="8">
        <f>IFERROR(Q417/Q444, "NA")</f>
        <v>4.9276673302938402E-3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-732.14</v>
      </c>
      <c r="X417" s="8">
        <f>IFERROR(W417/W444, "NA")</f>
        <v>9.1315464534716798E-2</v>
      </c>
      <c r="Y417" s="9"/>
      <c r="Z417" s="7">
        <v>26.51</v>
      </c>
      <c r="AA417" s="8">
        <f>IFERROR(Z417/Z444, "NA")</f>
        <v>1.7694190064969248E-4</v>
      </c>
      <c r="AB417" s="9"/>
      <c r="AC417" s="10">
        <f t="shared" si="103"/>
        <v>-705.63</v>
      </c>
      <c r="AD417" s="8">
        <f>IFERROR(AC417/AC444, "NA")</f>
        <v>0.56641167451977892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9170.11</v>
      </c>
      <c r="C428" s="15">
        <f>IFERROR(B428/B444, "NA")</f>
        <v>0.1207739184147066</v>
      </c>
      <c r="D428" s="2"/>
      <c r="E428" s="14">
        <f>IFERROR(E407+E408+E409+E410+E411+E412+E413+E414+E415+E416+E417+E418+E419+E420+E421+E422+E423+E424+E425+E426+E427, "NA")</f>
        <v>8348.34</v>
      </c>
      <c r="F428" s="15">
        <f>IFERROR(E428/E444, "NA")</f>
        <v>0.10314151210071974</v>
      </c>
      <c r="G428" s="2"/>
      <c r="H428" s="14">
        <f t="shared" si="100"/>
        <v>-821.77000000000044</v>
      </c>
      <c r="I428" s="15">
        <f>IFERROR(H428/H444, "NA")</f>
        <v>0.16393629033223339</v>
      </c>
      <c r="J428" s="2"/>
      <c r="K428" s="14">
        <f>IFERROR(K407+K408+K409+K410+K411+K412+K413+K414+K415+K416+K417+K418+K419+K420+K421+K422+K423+K424+K425+K426+K427, "NA")</f>
        <v>7931.91</v>
      </c>
      <c r="L428" s="15">
        <f>IFERROR(K428/K444, "NA")</f>
        <v>0.10314146834702997</v>
      </c>
      <c r="M428" s="2"/>
      <c r="N428" s="14">
        <f t="shared" si="101"/>
        <v>-1238.2000000000007</v>
      </c>
      <c r="O428" s="15">
        <f>IFERROR(N428/N444, "NA")</f>
        <v>1.2695450677220423</v>
      </c>
      <c r="P428" s="2"/>
      <c r="Q428" s="14">
        <f>IFERROR(Q407+Q408+Q409+Q410+Q411+Q412+Q413+Q414+Q415+Q416+Q417+Q418+Q419+Q420+Q421+Q422+Q423+Q424+Q425+Q426+Q427, "NA")</f>
        <v>17606.469999999998</v>
      </c>
      <c r="R428" s="15">
        <f>IFERROR(Q428/Q444, "NA")</f>
        <v>0.11850032373698825</v>
      </c>
      <c r="S428" s="2"/>
      <c r="T428" s="14">
        <f>IFERROR(T407+T408+T409+T410+T411+T412+T413+T414+T415+T416+T417+T418+T419+T420+T421+T422+T423+T424+T425+T426+T427, "NA")</f>
        <v>16693.25</v>
      </c>
      <c r="U428" s="15">
        <f>IFERROR(T428/T444, "NA")</f>
        <v>0.10660135598112584</v>
      </c>
      <c r="V428" s="2"/>
      <c r="W428" s="14">
        <f t="shared" si="102"/>
        <v>-913.21999999999753</v>
      </c>
      <c r="X428" s="15">
        <f>IFERROR(W428/W444, "NA")</f>
        <v>0.11390049515447026</v>
      </c>
      <c r="Y428" s="2"/>
      <c r="Z428" s="14">
        <f>IFERROR(Z407+Z408+Z409+Z410+Z411+Z412+Z413+Z414+Z415+Z416+Z417+Z418+Z419+Z420+Z421+Z422+Z423+Z424+Z425+Z426+Z427, "NA")</f>
        <v>15975.2</v>
      </c>
      <c r="AA428" s="15">
        <f>IFERROR(Z428/Z444, "NA")</f>
        <v>0.10662701815386523</v>
      </c>
      <c r="AB428" s="2"/>
      <c r="AC428" s="14">
        <f t="shared" si="103"/>
        <v>-1631.2699999999968</v>
      </c>
      <c r="AD428" s="15">
        <f>IFERROR(AC428/AC444, "NA")</f>
        <v>1.3094261472639739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9170.11</v>
      </c>
      <c r="C429" s="15">
        <f>IFERROR(B429/B444, "NA")</f>
        <v>0.1207739184147066</v>
      </c>
      <c r="D429" s="2"/>
      <c r="E429" s="14">
        <f>IFERROR(E407+E408+E409+E410+E411+E412+E413+E414+E415+E416+E417+E418+E419+E420+E421+E422+E423+E424+E425+E426+E427, "NA")</f>
        <v>8348.34</v>
      </c>
      <c r="F429" s="15">
        <f>IFERROR(E429/E444, "NA")</f>
        <v>0.10314151210071974</v>
      </c>
      <c r="G429" s="2"/>
      <c r="H429" s="14">
        <f t="shared" si="100"/>
        <v>-821.77000000000044</v>
      </c>
      <c r="I429" s="15">
        <f>IFERROR(H429/H444, "NA")</f>
        <v>0.16393629033223339</v>
      </c>
      <c r="J429" s="2"/>
      <c r="K429" s="14">
        <f>IFERROR(K407+K408+K409+K410+K411+K412+K413+K414+K415+K416+K417+K418+K419+K420+K421+K422+K423+K424+K425+K426+K427, "NA")</f>
        <v>7931.91</v>
      </c>
      <c r="L429" s="15">
        <f>IFERROR(K429/K444, "NA")</f>
        <v>0.10314146834702997</v>
      </c>
      <c r="M429" s="2"/>
      <c r="N429" s="14">
        <f t="shared" si="101"/>
        <v>-1238.2000000000007</v>
      </c>
      <c r="O429" s="15">
        <f>IFERROR(N429/N444, "NA")</f>
        <v>1.2695450677220423</v>
      </c>
      <c r="P429" s="2"/>
      <c r="Q429" s="14">
        <f>IFERROR(Q407+Q408+Q409+Q410+Q411+Q412+Q413+Q414+Q415+Q416+Q417+Q418+Q419+Q420+Q421+Q422+Q423+Q424+Q425+Q426+Q427, "NA")</f>
        <v>17606.469999999998</v>
      </c>
      <c r="R429" s="15">
        <f>IFERROR(Q429/Q444, "NA")</f>
        <v>0.11850032373698825</v>
      </c>
      <c r="S429" s="2"/>
      <c r="T429" s="14">
        <f>IFERROR(T407+T408+T409+T410+T411+T412+T413+T414+T415+T416+T417+T418+T419+T420+T421+T422+T423+T424+T425+T426+T427, "NA")</f>
        <v>16693.25</v>
      </c>
      <c r="U429" s="15">
        <f>IFERROR(T429/T444, "NA")</f>
        <v>0.10660135598112584</v>
      </c>
      <c r="V429" s="2"/>
      <c r="W429" s="14">
        <f t="shared" si="102"/>
        <v>-913.21999999999753</v>
      </c>
      <c r="X429" s="15">
        <f>IFERROR(W429/W444, "NA")</f>
        <v>0.11390049515447026</v>
      </c>
      <c r="Y429" s="2"/>
      <c r="Z429" s="14">
        <f>IFERROR(Z407+Z408+Z409+Z410+Z411+Z412+Z413+Z414+Z415+Z416+Z417+Z418+Z419+Z420+Z421+Z422+Z423+Z424+Z425+Z426+Z427, "NA")</f>
        <v>15975.2</v>
      </c>
      <c r="AA429" s="15">
        <f>IFERROR(Z429/Z444, "NA")</f>
        <v>0.10662701815386523</v>
      </c>
      <c r="AB429" s="2"/>
      <c r="AC429" s="14">
        <f t="shared" si="103"/>
        <v>-1631.2699999999968</v>
      </c>
      <c r="AD429" s="15">
        <f>IFERROR(AC429/AC444, "NA")</f>
        <v>1.3094261472639739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-20642.28999999999</v>
      </c>
      <c r="C443" s="24">
        <f>IFERROR(B443/B444, "NA")</f>
        <v>-0.27186699487276733</v>
      </c>
      <c r="D443" s="25"/>
      <c r="E443" s="23">
        <f>IFERROR(E404-E429-E442, "NA")</f>
        <v>-10965.729999999992</v>
      </c>
      <c r="F443" s="24">
        <f>IFERROR(E443/E444, "NA")</f>
        <v>-0.13547866683534987</v>
      </c>
      <c r="G443" s="25"/>
      <c r="H443" s="23">
        <f>IFERROR(B443-E443, "NA")</f>
        <v>-9676.5599999999977</v>
      </c>
      <c r="I443" s="24">
        <f>IFERROR(H443/H444, "NA")</f>
        <v>1.9303933577245154</v>
      </c>
      <c r="J443" s="25"/>
      <c r="K443" s="23">
        <f>IFERROR(K404-K429-K442, "NA")</f>
        <v>-18250.610000000008</v>
      </c>
      <c r="L443" s="24">
        <f>IFERROR(K443/K444, "NA")</f>
        <v>-0.23731922243557851</v>
      </c>
      <c r="M443" s="25"/>
      <c r="N443" s="23">
        <f>IFERROR(B443-K443, "NA")</f>
        <v>-2391.6799999999821</v>
      </c>
      <c r="O443" s="24">
        <f>IFERROR(N443/N444, "NA")</f>
        <v>2.4522254462683168</v>
      </c>
      <c r="P443" s="25"/>
      <c r="Q443" s="23">
        <f>IFERROR(Q404-Q429-Q442, "NA")</f>
        <v>-37531.640000000014</v>
      </c>
      <c r="R443" s="24">
        <f>IFERROR(Q443/Q444, "NA")</f>
        <v>-0.25260665484791101</v>
      </c>
      <c r="S443" s="25"/>
      <c r="T443" s="23">
        <f>IFERROR(T404-T429-T442, "NA")</f>
        <v>-24127.870000000024</v>
      </c>
      <c r="U443" s="24">
        <f>IFERROR(T443/T444, "NA")</f>
        <v>-0.15407806502246893</v>
      </c>
      <c r="V443" s="25"/>
      <c r="W443" s="23">
        <f>IFERROR(Q443-T443, "NA")</f>
        <v>-13403.76999999999</v>
      </c>
      <c r="X443" s="24">
        <f>IFERROR(W443/W444, "NA")</f>
        <v>1.6717724534467453</v>
      </c>
      <c r="Y443" s="25"/>
      <c r="Z443" s="23">
        <f>IFERROR(Z404-Z429-Z442, "NA")</f>
        <v>-36666.449999999997</v>
      </c>
      <c r="AA443" s="24">
        <f>IFERROR(Z443/Z444, "NA")</f>
        <v>-0.2447314731451119</v>
      </c>
      <c r="AB443" s="25"/>
      <c r="AC443" s="23">
        <f>IFERROR(Q443-Z443, "NA")</f>
        <v>-865.19000000001688</v>
      </c>
      <c r="AD443" s="24">
        <f>IFERROR(AC443/AC444, "NA")</f>
        <v>0.69449104584240617</v>
      </c>
    </row>
    <row r="444" spans="1:30" ht="15.75" hidden="1" x14ac:dyDescent="0.45">
      <c r="A444" s="26" t="s">
        <v>117</v>
      </c>
      <c r="B444" s="7">
        <v>75927.899999999994</v>
      </c>
      <c r="C444" s="27"/>
      <c r="D444" s="9"/>
      <c r="E444" s="7">
        <v>80940.639999999999</v>
      </c>
      <c r="F444" s="27"/>
      <c r="G444" s="9"/>
      <c r="H444" s="10">
        <f>IFERROR(B444-E444, "NA")</f>
        <v>-5012.7400000000052</v>
      </c>
      <c r="I444" s="27"/>
      <c r="J444" s="9"/>
      <c r="K444" s="7">
        <v>76903.210000000006</v>
      </c>
      <c r="L444" s="27"/>
      <c r="M444" s="9"/>
      <c r="N444" s="10">
        <f>IFERROR(B444-K444, "NA")</f>
        <v>-975.31000000001222</v>
      </c>
      <c r="O444" s="27"/>
      <c r="P444" s="9"/>
      <c r="Q444" s="7">
        <v>148577.4</v>
      </c>
      <c r="R444" s="27"/>
      <c r="S444" s="9"/>
      <c r="T444" s="7">
        <v>156595.1</v>
      </c>
      <c r="U444" s="27"/>
      <c r="V444" s="9"/>
      <c r="W444" s="10">
        <f>IFERROR(Q444-T444, "NA")</f>
        <v>-8017.7000000000116</v>
      </c>
      <c r="X444" s="27"/>
      <c r="Y444" s="9"/>
      <c r="Z444" s="7">
        <v>149823.19</v>
      </c>
      <c r="AA444" s="27"/>
      <c r="AB444" s="9"/>
      <c r="AC444" s="10">
        <f>IFERROR(Q444-Z444, "NA")</f>
        <v>-1245.7900000000081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47788.800000000003</v>
      </c>
      <c r="F10" s="8">
        <f>IFERROR(E10/E444, "NA")</f>
        <v>0.47799994758772507</v>
      </c>
      <c r="G10" s="9"/>
      <c r="H10" s="10">
        <f t="shared" ref="H10:H19" si="0">IFERROR(B10-E10, "NA")</f>
        <v>-47788.800000000003</v>
      </c>
      <c r="I10" s="8">
        <f>IFERROR(H10/H444, "NA")</f>
        <v>2.3594944758596275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94209.279999999999</v>
      </c>
      <c r="U10" s="8">
        <f>IFERROR(T10/T444, "NA")</f>
        <v>0.4779999610331413</v>
      </c>
      <c r="V10" s="9"/>
      <c r="W10" s="10">
        <f t="shared" ref="W10:W19" si="2">IFERROR(Q10-T10, "NA")</f>
        <v>-94209.279999999999</v>
      </c>
      <c r="X10" s="8">
        <f>IFERROR(W10/W444, "NA")</f>
        <v>3.5674090589632348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37710.629999999997</v>
      </c>
      <c r="C11" s="8">
        <f>IFERROR(B11/B444, "NA")</f>
        <v>0.47302219253600758</v>
      </c>
      <c r="D11" s="9"/>
      <c r="E11" s="7">
        <v>0</v>
      </c>
      <c r="F11" s="8">
        <f>IFERROR(E11/E444, "NA")</f>
        <v>0</v>
      </c>
      <c r="G11" s="9"/>
      <c r="H11" s="10">
        <f t="shared" si="0"/>
        <v>37710.629999999997</v>
      </c>
      <c r="I11" s="8">
        <f>IFERROR(H11/H444, "NA")</f>
        <v>-1.8619011811593162</v>
      </c>
      <c r="J11" s="9"/>
      <c r="K11" s="7">
        <v>43064.87</v>
      </c>
      <c r="L11" s="8">
        <f>IFERROR(K11/K444, "NA")</f>
        <v>0.45659459663485641</v>
      </c>
      <c r="M11" s="9"/>
      <c r="N11" s="10">
        <f t="shared" si="1"/>
        <v>-5354.2400000000052</v>
      </c>
      <c r="O11" s="8">
        <f>IFERROR(N11/N444, "NA")</f>
        <v>0.36686018347668403</v>
      </c>
      <c r="P11" s="9"/>
      <c r="Q11" s="7">
        <v>78770.86</v>
      </c>
      <c r="R11" s="8">
        <f>IFERROR(Q11/Q444, "NA")</f>
        <v>0.46150589539954484</v>
      </c>
      <c r="S11" s="9"/>
      <c r="T11" s="7">
        <v>0</v>
      </c>
      <c r="U11" s="8">
        <f>IFERROR(T11/T444, "NA")</f>
        <v>0</v>
      </c>
      <c r="V11" s="9"/>
      <c r="W11" s="10">
        <f t="shared" si="2"/>
        <v>78770.86</v>
      </c>
      <c r="X11" s="8">
        <f>IFERROR(W11/W444, "NA")</f>
        <v>-2.9828046615612043</v>
      </c>
      <c r="Y11" s="9"/>
      <c r="Z11" s="7">
        <v>84275.47</v>
      </c>
      <c r="AA11" s="8">
        <f>IFERROR(Z11/Z444, "NA")</f>
        <v>0.44400340849413428</v>
      </c>
      <c r="AB11" s="9"/>
      <c r="AC11" s="10">
        <f t="shared" si="3"/>
        <v>-5504.6100000000006</v>
      </c>
      <c r="AD11" s="8">
        <f>IFERROR(AC11/AC444, "NA")</f>
        <v>0.28780890017316796</v>
      </c>
    </row>
    <row r="12" spans="1:30" ht="16.5" customHeight="1" x14ac:dyDescent="0.45">
      <c r="A12" s="12" t="s">
        <v>14</v>
      </c>
      <c r="B12" s="7">
        <v>3821.35</v>
      </c>
      <c r="C12" s="8">
        <f>IFERROR(B12/B444, "NA")</f>
        <v>4.7932992778096588E-2</v>
      </c>
      <c r="D12" s="9"/>
      <c r="E12" s="7">
        <v>0</v>
      </c>
      <c r="F12" s="8">
        <f>IFERROR(E12/E444, "NA")</f>
        <v>0</v>
      </c>
      <c r="G12" s="9"/>
      <c r="H12" s="10">
        <f t="shared" si="0"/>
        <v>3821.35</v>
      </c>
      <c r="I12" s="8">
        <f>IFERROR(H12/H444, "NA")</f>
        <v>-0.18867295716415117</v>
      </c>
      <c r="J12" s="9"/>
      <c r="K12" s="7">
        <v>4626.05</v>
      </c>
      <c r="L12" s="8">
        <f>IFERROR(K12/K444, "NA")</f>
        <v>4.9047621269091894E-2</v>
      </c>
      <c r="M12" s="9"/>
      <c r="N12" s="10">
        <f t="shared" si="1"/>
        <v>-804.70000000000027</v>
      </c>
      <c r="O12" s="8">
        <f>IFERROR(N12/N444, "NA")</f>
        <v>5.5136189196540959E-2</v>
      </c>
      <c r="P12" s="9"/>
      <c r="Q12" s="7">
        <v>8147</v>
      </c>
      <c r="R12" s="8">
        <f>IFERROR(Q12/Q444, "NA")</f>
        <v>4.773197258250185E-2</v>
      </c>
      <c r="S12" s="9"/>
      <c r="T12" s="7">
        <v>0</v>
      </c>
      <c r="U12" s="8">
        <f>IFERROR(T12/T444, "NA")</f>
        <v>0</v>
      </c>
      <c r="V12" s="9"/>
      <c r="W12" s="10">
        <f t="shared" si="2"/>
        <v>8147</v>
      </c>
      <c r="X12" s="8">
        <f>IFERROR(W12/W444, "NA")</f>
        <v>-0.30850126020890378</v>
      </c>
      <c r="Y12" s="9"/>
      <c r="Z12" s="7">
        <v>8901.1</v>
      </c>
      <c r="AA12" s="8">
        <f>IFERROR(Z12/Z444, "NA")</f>
        <v>4.689524412438327E-2</v>
      </c>
      <c r="AB12" s="9"/>
      <c r="AC12" s="10">
        <f t="shared" si="3"/>
        <v>-754.10000000000036</v>
      </c>
      <c r="AD12" s="8">
        <f>IFERROR(AC12/AC444, "NA")</f>
        <v>3.9428168684173093E-2</v>
      </c>
    </row>
    <row r="13" spans="1:30" ht="16.5" customHeight="1" x14ac:dyDescent="0.45">
      <c r="A13" s="12" t="s">
        <v>15</v>
      </c>
      <c r="B13" s="7">
        <v>100</v>
      </c>
      <c r="C13" s="8">
        <f>IFERROR(B13/B444, "NA")</f>
        <v>1.2543470966568514E-3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100</v>
      </c>
      <c r="I13" s="8">
        <f>IFERROR(H13/H444, "NA")</f>
        <v>-4.9373377775956441E-3</v>
      </c>
      <c r="J13" s="9"/>
      <c r="K13" s="7">
        <v>154.5</v>
      </c>
      <c r="L13" s="8">
        <f>IFERROR(K13/K444, "NA")</f>
        <v>1.6380837833734388E-3</v>
      </c>
      <c r="M13" s="9"/>
      <c r="N13" s="10">
        <f t="shared" si="1"/>
        <v>-54.5</v>
      </c>
      <c r="O13" s="8">
        <f>IFERROR(N13/N444, "NA")</f>
        <v>3.7342143795345856E-3</v>
      </c>
      <c r="P13" s="9"/>
      <c r="Q13" s="7">
        <v>216.5</v>
      </c>
      <c r="R13" s="8">
        <f>IFERROR(Q13/Q444, "NA")</f>
        <v>1.2684389424465019E-3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216.5</v>
      </c>
      <c r="X13" s="8">
        <f>IFERROR(W13/W444, "NA")</f>
        <v>-8.1981739088287306E-3</v>
      </c>
      <c r="Y13" s="9"/>
      <c r="Z13" s="7">
        <v>231.5</v>
      </c>
      <c r="AA13" s="8">
        <f>IFERROR(Z13/Z444, "NA")</f>
        <v>1.2196525165198376E-3</v>
      </c>
      <c r="AB13" s="9"/>
      <c r="AC13" s="10">
        <f t="shared" si="3"/>
        <v>-15</v>
      </c>
      <c r="AD13" s="8">
        <f>IFERROR(AC13/AC444, "NA")</f>
        <v>7.8427599822649004E-4</v>
      </c>
    </row>
    <row r="14" spans="1:30" ht="16.5" customHeight="1" x14ac:dyDescent="0.45">
      <c r="A14" s="12" t="s">
        <v>16</v>
      </c>
      <c r="B14" s="7">
        <v>15</v>
      </c>
      <c r="C14" s="8">
        <f>IFERROR(B14/B444, "NA")</f>
        <v>1.8815206449852772E-4</v>
      </c>
      <c r="D14" s="9"/>
      <c r="E14" s="7">
        <v>0</v>
      </c>
      <c r="F14" s="8">
        <f>IFERROR(E14/E444, "NA")</f>
        <v>0</v>
      </c>
      <c r="G14" s="9"/>
      <c r="H14" s="10">
        <f t="shared" si="0"/>
        <v>15</v>
      </c>
      <c r="I14" s="8">
        <f>IFERROR(H14/H444, "NA")</f>
        <v>-7.406006666393467E-4</v>
      </c>
      <c r="J14" s="9"/>
      <c r="K14" s="7">
        <v>335</v>
      </c>
      <c r="L14" s="8">
        <f>IFERROR(K14/K444, "NA")</f>
        <v>3.5518321516511461E-3</v>
      </c>
      <c r="M14" s="9"/>
      <c r="N14" s="10">
        <f t="shared" si="1"/>
        <v>-320</v>
      </c>
      <c r="O14" s="8">
        <f>IFERROR(N14/N444, "NA")</f>
        <v>2.1925662411946191E-2</v>
      </c>
      <c r="P14" s="9"/>
      <c r="Q14" s="7">
        <v>25</v>
      </c>
      <c r="R14" s="8">
        <f>IFERROR(Q14/Q444, "NA")</f>
        <v>1.4647100952038127E-4</v>
      </c>
      <c r="S14" s="9"/>
      <c r="T14" s="7">
        <v>0</v>
      </c>
      <c r="U14" s="8">
        <f>IFERROR(T14/T444, "NA")</f>
        <v>0</v>
      </c>
      <c r="V14" s="9"/>
      <c r="W14" s="10">
        <f t="shared" si="2"/>
        <v>25</v>
      </c>
      <c r="X14" s="8">
        <f>IFERROR(W14/W444, "NA")</f>
        <v>-9.4667135205874484E-4</v>
      </c>
      <c r="Y14" s="9"/>
      <c r="Z14" s="7">
        <v>635</v>
      </c>
      <c r="AA14" s="8">
        <f>IFERROR(Z14/Z444, "NA")</f>
        <v>3.3454831446656456E-3</v>
      </c>
      <c r="AB14" s="9"/>
      <c r="AC14" s="10">
        <f t="shared" si="3"/>
        <v>-610</v>
      </c>
      <c r="AD14" s="8">
        <f>IFERROR(AC14/AC444, "NA")</f>
        <v>3.1893890594543929E-2</v>
      </c>
    </row>
    <row r="15" spans="1:30" ht="16.5" customHeight="1" x14ac:dyDescent="0.45">
      <c r="A15" s="12" t="s">
        <v>17</v>
      </c>
      <c r="B15" s="7">
        <v>31</v>
      </c>
      <c r="C15" s="8">
        <f>IFERROR(B15/B444, "NA")</f>
        <v>3.8884759996362392E-4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31</v>
      </c>
      <c r="I15" s="8">
        <f>IFERROR(H15/H444, "NA")</f>
        <v>-1.5305747110546499E-3</v>
      </c>
      <c r="J15" s="9"/>
      <c r="K15" s="7">
        <v>24</v>
      </c>
      <c r="L15" s="8">
        <f>IFERROR(K15/K444, "NA")</f>
        <v>2.5445961683470897E-4</v>
      </c>
      <c r="M15" s="9"/>
      <c r="N15" s="10">
        <f t="shared" si="1"/>
        <v>7</v>
      </c>
      <c r="O15" s="8">
        <f>IFERROR(N15/N444, "NA")</f>
        <v>-4.7962386526132292E-4</v>
      </c>
      <c r="P15" s="9"/>
      <c r="Q15" s="7">
        <v>73</v>
      </c>
      <c r="R15" s="8">
        <f>IFERROR(Q15/Q444, "NA")</f>
        <v>4.2769534779951333E-4</v>
      </c>
      <c r="S15" s="9"/>
      <c r="T15" s="7">
        <v>0</v>
      </c>
      <c r="U15" s="8">
        <f>IFERROR(T15/T444, "NA")</f>
        <v>0</v>
      </c>
      <c r="V15" s="9"/>
      <c r="W15" s="10">
        <f t="shared" si="2"/>
        <v>73</v>
      </c>
      <c r="X15" s="8">
        <f>IFERROR(W15/W444, "NA")</f>
        <v>-2.764280348011535E-3</v>
      </c>
      <c r="Y15" s="9"/>
      <c r="Z15" s="7">
        <v>78</v>
      </c>
      <c r="AA15" s="8">
        <f>IFERROR(Z15/Z444, "NA")</f>
        <v>4.1094123666759108E-4</v>
      </c>
      <c r="AB15" s="9"/>
      <c r="AC15" s="10">
        <f t="shared" si="3"/>
        <v>-5</v>
      </c>
      <c r="AD15" s="8">
        <f>IFERROR(AC15/AC444, "NA")</f>
        <v>2.6142533274216333E-4</v>
      </c>
    </row>
    <row r="16" spans="1:30" ht="16.5" customHeight="1" x14ac:dyDescent="0.45">
      <c r="A16" s="12" t="s">
        <v>18</v>
      </c>
      <c r="B16" s="7">
        <v>0.02</v>
      </c>
      <c r="C16" s="8">
        <f>IFERROR(B16/B444, "NA")</f>
        <v>2.5086941933137028E-7</v>
      </c>
      <c r="D16" s="9"/>
      <c r="E16" s="7">
        <v>0</v>
      </c>
      <c r="F16" s="8">
        <f>IFERROR(E16/E444, "NA")</f>
        <v>0</v>
      </c>
      <c r="G16" s="9"/>
      <c r="H16" s="10">
        <f t="shared" si="0"/>
        <v>0.02</v>
      </c>
      <c r="I16" s="8">
        <f>IFERROR(H16/H444, "NA")</f>
        <v>-9.8746755551912893E-7</v>
      </c>
      <c r="J16" s="9"/>
      <c r="K16" s="7">
        <v>0</v>
      </c>
      <c r="L16" s="8">
        <f>IFERROR(K16/K444, "NA")</f>
        <v>0</v>
      </c>
      <c r="M16" s="9"/>
      <c r="N16" s="10">
        <f t="shared" si="1"/>
        <v>0.02</v>
      </c>
      <c r="O16" s="8">
        <f>IFERROR(N16/N444, "NA")</f>
        <v>-1.370353900746637E-6</v>
      </c>
      <c r="P16" s="9"/>
      <c r="Q16" s="7">
        <v>0.14000000000000001</v>
      </c>
      <c r="R16" s="8">
        <f>IFERROR(Q16/Q444, "NA")</f>
        <v>8.2023765331413519E-7</v>
      </c>
      <c r="S16" s="9"/>
      <c r="T16" s="7">
        <v>0</v>
      </c>
      <c r="U16" s="8">
        <f>IFERROR(T16/T444, "NA")</f>
        <v>0</v>
      </c>
      <c r="V16" s="9"/>
      <c r="W16" s="10">
        <f t="shared" si="2"/>
        <v>0.14000000000000001</v>
      </c>
      <c r="X16" s="8">
        <f>IFERROR(W16/W444, "NA")</f>
        <v>-5.3013595715289718E-6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0.14000000000000001</v>
      </c>
      <c r="AD16" s="8">
        <f>IFERROR(AC16/AC444, "NA")</f>
        <v>-7.3199093167805742E-6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41677.999999999993</v>
      </c>
      <c r="C18" s="15">
        <f>IFERROR(B18/B444, "NA")</f>
        <v>0.52278678294464243</v>
      </c>
      <c r="D18" s="2"/>
      <c r="E18" s="14">
        <f>IFERROR(E10+E11+E12+E13+E14+E15+E16+E17, "NA")</f>
        <v>47788.800000000003</v>
      </c>
      <c r="F18" s="15">
        <f>IFERROR(E18/E444, "NA")</f>
        <v>0.47799994758772507</v>
      </c>
      <c r="G18" s="2"/>
      <c r="H18" s="14">
        <f t="shared" si="0"/>
        <v>-6110.8000000000102</v>
      </c>
      <c r="I18" s="15">
        <f>IFERROR(H18/H444, "NA")</f>
        <v>0.30171083691331513</v>
      </c>
      <c r="J18" s="2"/>
      <c r="K18" s="14">
        <f>IFERROR(K10+K11+K12+K13+K14+K15+K16+K17, "NA")</f>
        <v>48204.420000000006</v>
      </c>
      <c r="L18" s="15">
        <f>IFERROR(K18/K444, "NA")</f>
        <v>0.51108659345580765</v>
      </c>
      <c r="M18" s="2"/>
      <c r="N18" s="14">
        <f t="shared" si="1"/>
        <v>-6526.4200000000128</v>
      </c>
      <c r="O18" s="15">
        <f>IFERROR(N18/N444, "NA")</f>
        <v>0.44717525524554419</v>
      </c>
      <c r="P18" s="2"/>
      <c r="Q18" s="14">
        <f>IFERROR(Q10+Q11+Q12+Q13+Q14+Q15+Q16+Q17, "NA")</f>
        <v>87232.5</v>
      </c>
      <c r="R18" s="15">
        <f>IFERROR(Q18/Q444, "NA")</f>
        <v>0.51108129351946641</v>
      </c>
      <c r="S18" s="2"/>
      <c r="T18" s="14">
        <f>IFERROR(T10+T11+T12+T13+T14+T15+T16+T17, "NA")</f>
        <v>94209.279999999999</v>
      </c>
      <c r="U18" s="15">
        <f>IFERROR(T18/T444, "NA")</f>
        <v>0.4779999610331413</v>
      </c>
      <c r="V18" s="2"/>
      <c r="W18" s="14">
        <f t="shared" si="2"/>
        <v>-6976.7799999999988</v>
      </c>
      <c r="X18" s="15">
        <f>IFERROR(W18/W444, "NA")</f>
        <v>0.26418871022465634</v>
      </c>
      <c r="Y18" s="2"/>
      <c r="Z18" s="14">
        <f>IFERROR(Z10+Z11+Z12+Z13+Z14+Z15+Z16+Z17, "NA")</f>
        <v>94121.07</v>
      </c>
      <c r="AA18" s="15">
        <f>IFERROR(Z18/Z444, "NA")</f>
        <v>0.49587472951637068</v>
      </c>
      <c r="AB18" s="2"/>
      <c r="AC18" s="14">
        <f t="shared" si="3"/>
        <v>-6888.570000000007</v>
      </c>
      <c r="AD18" s="15">
        <f>IFERROR(AC18/AC444, "NA")</f>
        <v>0.36016934087353719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10697.49</v>
      </c>
      <c r="F21" s="8">
        <f>IFERROR(E21/E444, "NA")</f>
        <v>0.10699995939048924</v>
      </c>
      <c r="G21" s="9"/>
      <c r="H21" s="10">
        <f t="shared" ref="H21:H29" si="4">IFERROR(B21-E21, "NA")</f>
        <v>-10697.49</v>
      </c>
      <c r="I21" s="8">
        <f>IFERROR(H21/H444, "NA")</f>
        <v>0.52817121502451625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21088.69</v>
      </c>
      <c r="U21" s="8">
        <f>IFERROR(T21/T444, "NA")</f>
        <v>0.10700000040590477</v>
      </c>
      <c r="V21" s="9"/>
      <c r="W21" s="10">
        <f t="shared" ref="W21:W29" si="6">IFERROR(Q21-T21, "NA")</f>
        <v>-21088.69</v>
      </c>
      <c r="X21" s="8">
        <f>IFERROR(W21/W444, "NA")</f>
        <v>0.79856234701790929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58.2</v>
      </c>
      <c r="C22" s="8">
        <f>IFERROR(B22/B444, "NA")</f>
        <v>7.3003001025428755E-4</v>
      </c>
      <c r="D22" s="9"/>
      <c r="E22" s="7">
        <v>0</v>
      </c>
      <c r="F22" s="8">
        <f>IFERROR(E22/E444, "NA")</f>
        <v>0</v>
      </c>
      <c r="G22" s="9"/>
      <c r="H22" s="10">
        <f t="shared" si="4"/>
        <v>58.2</v>
      </c>
      <c r="I22" s="8">
        <f>IFERROR(H22/H444, "NA")</f>
        <v>-2.8735305865606651E-3</v>
      </c>
      <c r="J22" s="9"/>
      <c r="K22" s="7">
        <v>8414.0499999999993</v>
      </c>
      <c r="L22" s="8">
        <f>IFERROR(K22/K444, "NA")</f>
        <v>8.9209830792836786E-2</v>
      </c>
      <c r="M22" s="9"/>
      <c r="N22" s="10">
        <f t="shared" si="5"/>
        <v>-8355.8499999999985</v>
      </c>
      <c r="O22" s="8">
        <f>IFERROR(N22/N444, "NA")</f>
        <v>0.57252358207768916</v>
      </c>
      <c r="P22" s="9"/>
      <c r="Q22" s="7">
        <v>5232.59</v>
      </c>
      <c r="R22" s="8">
        <f>IFERROR(Q22/Q444, "NA")</f>
        <v>3.0656909588250073E-2</v>
      </c>
      <c r="S22" s="9"/>
      <c r="T22" s="7">
        <v>0</v>
      </c>
      <c r="U22" s="8">
        <f>IFERROR(T22/T444, "NA")</f>
        <v>0</v>
      </c>
      <c r="V22" s="9"/>
      <c r="W22" s="10">
        <f t="shared" si="6"/>
        <v>5232.59</v>
      </c>
      <c r="X22" s="8">
        <f>IFERROR(W22/W444, "NA")</f>
        <v>-0.19814172200276273</v>
      </c>
      <c r="Y22" s="9"/>
      <c r="Z22" s="7">
        <v>16158.85</v>
      </c>
      <c r="AA22" s="8">
        <f>IFERROR(Z22/Z444, "NA")</f>
        <v>8.513253592469365E-2</v>
      </c>
      <c r="AB22" s="9"/>
      <c r="AC22" s="10">
        <f t="shared" si="7"/>
        <v>-10926.26</v>
      </c>
      <c r="AD22" s="8">
        <f>IFERROR(AC22/AC444, "NA")</f>
        <v>0.57128023122547789</v>
      </c>
    </row>
    <row r="23" spans="1:30" ht="16.5" customHeight="1" x14ac:dyDescent="0.45">
      <c r="A23" s="12" t="s">
        <v>24</v>
      </c>
      <c r="B23" s="7">
        <v>5722.99</v>
      </c>
      <c r="C23" s="8">
        <f>IFERROR(B23/B444, "NA")</f>
        <v>7.1786158906961939E-2</v>
      </c>
      <c r="D23" s="9"/>
      <c r="E23" s="7">
        <v>0</v>
      </c>
      <c r="F23" s="8">
        <f>IFERROR(E23/E444, "NA")</f>
        <v>0</v>
      </c>
      <c r="G23" s="9"/>
      <c r="H23" s="10">
        <f t="shared" si="4"/>
        <v>5722.99</v>
      </c>
      <c r="I23" s="8">
        <f>IFERROR(H23/H444, "NA")</f>
        <v>-0.28256334727802096</v>
      </c>
      <c r="J23" s="9"/>
      <c r="K23" s="7">
        <v>0</v>
      </c>
      <c r="L23" s="8">
        <f>IFERROR(K23/K444, "NA")</f>
        <v>0</v>
      </c>
      <c r="M23" s="9"/>
      <c r="N23" s="10">
        <f t="shared" si="5"/>
        <v>5722.99</v>
      </c>
      <c r="O23" s="8">
        <f>IFERROR(N23/N444, "NA")</f>
        <v>-0.39212608352169975</v>
      </c>
      <c r="P23" s="9"/>
      <c r="Q23" s="7">
        <v>9000.76</v>
      </c>
      <c r="R23" s="8">
        <f>IFERROR(Q23/Q444, "NA")</f>
        <v>5.2734016146026678E-2</v>
      </c>
      <c r="S23" s="9"/>
      <c r="T23" s="7">
        <v>0</v>
      </c>
      <c r="U23" s="8">
        <f>IFERROR(T23/T444, "NA")</f>
        <v>0</v>
      </c>
      <c r="V23" s="9"/>
      <c r="W23" s="10">
        <f t="shared" si="6"/>
        <v>9000.76</v>
      </c>
      <c r="X23" s="8">
        <f>IFERROR(W23/W444, "NA")</f>
        <v>-0.34083046555025076</v>
      </c>
      <c r="Y23" s="9"/>
      <c r="Z23" s="7">
        <v>0</v>
      </c>
      <c r="AA23" s="8">
        <f>IFERROR(Z23/Z444, "NA")</f>
        <v>0</v>
      </c>
      <c r="AB23" s="9"/>
      <c r="AC23" s="10">
        <f t="shared" si="7"/>
        <v>9000.76</v>
      </c>
      <c r="AD23" s="8">
        <f>IFERROR(AC23/AC444, "NA")</f>
        <v>-0.47060533558647083</v>
      </c>
    </row>
    <row r="24" spans="1:30" ht="16.5" customHeight="1" x14ac:dyDescent="0.45">
      <c r="A24" s="12" t="s">
        <v>25</v>
      </c>
      <c r="B24" s="7">
        <v>708.09</v>
      </c>
      <c r="C24" s="8">
        <f>IFERROR(B24/B444, "NA")</f>
        <v>8.8819063567174995E-3</v>
      </c>
      <c r="D24" s="9"/>
      <c r="E24" s="7">
        <v>0</v>
      </c>
      <c r="F24" s="8">
        <f>IFERROR(E24/E444, "NA")</f>
        <v>0</v>
      </c>
      <c r="G24" s="9"/>
      <c r="H24" s="10">
        <f t="shared" si="4"/>
        <v>708.09</v>
      </c>
      <c r="I24" s="8">
        <f>IFERROR(H24/H444, "NA")</f>
        <v>-3.4960795069377E-2</v>
      </c>
      <c r="J24" s="9"/>
      <c r="K24" s="7">
        <v>1529.94</v>
      </c>
      <c r="L24" s="8">
        <f>IFERROR(K24/K444, "NA")</f>
        <v>1.6221164424170612E-2</v>
      </c>
      <c r="M24" s="9"/>
      <c r="N24" s="10">
        <f t="shared" si="5"/>
        <v>-821.85</v>
      </c>
      <c r="O24" s="8">
        <f>IFERROR(N24/N444, "NA")</f>
        <v>5.6311267666431179E-2</v>
      </c>
      <c r="P24" s="9"/>
      <c r="Q24" s="7">
        <v>1483.34</v>
      </c>
      <c r="R24" s="8">
        <f>IFERROR(Q24/Q444, "NA")</f>
        <v>8.6906522904784938E-3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1483.34</v>
      </c>
      <c r="X24" s="8">
        <f>IFERROR(W24/W444, "NA")</f>
        <v>-5.6169419334512742E-2</v>
      </c>
      <c r="Y24" s="9"/>
      <c r="Z24" s="7">
        <v>2619.0700000000002</v>
      </c>
      <c r="AA24" s="8">
        <f>IFERROR(Z24/Z444, "NA")</f>
        <v>1.379851108614087E-2</v>
      </c>
      <c r="AB24" s="9"/>
      <c r="AC24" s="10">
        <f t="shared" si="7"/>
        <v>-1135.7300000000002</v>
      </c>
      <c r="AD24" s="8">
        <f>IFERROR(AC24/AC444, "NA")</f>
        <v>5.9381718631051447E-2</v>
      </c>
    </row>
    <row r="25" spans="1:30" ht="16.5" customHeight="1" x14ac:dyDescent="0.45">
      <c r="A25" s="12" t="s">
        <v>26</v>
      </c>
      <c r="B25" s="7">
        <v>95.64</v>
      </c>
      <c r="C25" s="8">
        <f>IFERROR(B25/B444, "NA")</f>
        <v>1.1996575632426127E-3</v>
      </c>
      <c r="D25" s="9"/>
      <c r="E25" s="7">
        <v>0</v>
      </c>
      <c r="F25" s="8">
        <f>IFERROR(E25/E444, "NA")</f>
        <v>0</v>
      </c>
      <c r="G25" s="9"/>
      <c r="H25" s="10">
        <f t="shared" si="4"/>
        <v>95.64</v>
      </c>
      <c r="I25" s="8">
        <f>IFERROR(H25/H444, "NA")</f>
        <v>-4.7220698504924748E-3</v>
      </c>
      <c r="J25" s="9"/>
      <c r="K25" s="7">
        <v>0</v>
      </c>
      <c r="L25" s="8">
        <f>IFERROR(K25/K444, "NA")</f>
        <v>0</v>
      </c>
      <c r="M25" s="9"/>
      <c r="N25" s="10">
        <f t="shared" si="5"/>
        <v>95.64</v>
      </c>
      <c r="O25" s="8">
        <f>IFERROR(N25/N444, "NA")</f>
        <v>-6.5530323533704183E-3</v>
      </c>
      <c r="P25" s="9"/>
      <c r="Q25" s="7">
        <v>202.26</v>
      </c>
      <c r="R25" s="8">
        <f>IFERROR(Q25/Q444, "NA")</f>
        <v>1.1850090554236927E-3</v>
      </c>
      <c r="S25" s="9"/>
      <c r="T25" s="7">
        <v>0</v>
      </c>
      <c r="U25" s="8">
        <f>IFERROR(T25/T444, "NA")</f>
        <v>0</v>
      </c>
      <c r="V25" s="9"/>
      <c r="W25" s="10">
        <f t="shared" si="6"/>
        <v>202.26</v>
      </c>
      <c r="X25" s="8">
        <f>IFERROR(W25/W444, "NA")</f>
        <v>-7.6589499066960689E-3</v>
      </c>
      <c r="Y25" s="9"/>
      <c r="Z25" s="7">
        <v>0</v>
      </c>
      <c r="AA25" s="8">
        <f>IFERROR(Z25/Z444, "NA")</f>
        <v>0</v>
      </c>
      <c r="AB25" s="9"/>
      <c r="AC25" s="10">
        <f t="shared" si="7"/>
        <v>202.26</v>
      </c>
      <c r="AD25" s="8">
        <f>IFERROR(AC25/AC444, "NA")</f>
        <v>-1.0575177560085991E-2</v>
      </c>
    </row>
    <row r="26" spans="1:30" ht="16.5" customHeight="1" x14ac:dyDescent="0.45">
      <c r="A26" s="12" t="s">
        <v>27</v>
      </c>
      <c r="B26" s="7">
        <v>520.52</v>
      </c>
      <c r="C26" s="8">
        <f>IFERROR(B26/B444, "NA")</f>
        <v>6.5291275075182427E-3</v>
      </c>
      <c r="D26" s="9"/>
      <c r="E26" s="7">
        <v>0</v>
      </c>
      <c r="F26" s="8">
        <f>IFERROR(E26/E444, "NA")</f>
        <v>0</v>
      </c>
      <c r="G26" s="9"/>
      <c r="H26" s="10">
        <f t="shared" si="4"/>
        <v>520.52</v>
      </c>
      <c r="I26" s="8">
        <f>IFERROR(H26/H444, "NA")</f>
        <v>-2.5699830599940847E-2</v>
      </c>
      <c r="J26" s="9"/>
      <c r="K26" s="7">
        <v>0</v>
      </c>
      <c r="L26" s="8">
        <f>IFERROR(K26/K444, "NA")</f>
        <v>0</v>
      </c>
      <c r="M26" s="9"/>
      <c r="N26" s="10">
        <f t="shared" si="5"/>
        <v>520.52</v>
      </c>
      <c r="O26" s="8">
        <f>IFERROR(N26/N444, "NA")</f>
        <v>-3.5664830620831971E-2</v>
      </c>
      <c r="P26" s="9"/>
      <c r="Q26" s="7">
        <v>1083.33</v>
      </c>
      <c r="R26" s="8">
        <f>IFERROR(Q26/Q444, "NA")</f>
        <v>6.3470575497485858E-3</v>
      </c>
      <c r="S26" s="9"/>
      <c r="T26" s="7">
        <v>0</v>
      </c>
      <c r="U26" s="8">
        <f>IFERROR(T26/T444, "NA")</f>
        <v>0</v>
      </c>
      <c r="V26" s="9"/>
      <c r="W26" s="10">
        <f t="shared" si="6"/>
        <v>1083.33</v>
      </c>
      <c r="X26" s="8">
        <f>IFERROR(W26/W444, "NA")</f>
        <v>-4.1022299033031999E-2</v>
      </c>
      <c r="Y26" s="9"/>
      <c r="Z26" s="7">
        <v>0</v>
      </c>
      <c r="AA26" s="8">
        <f>IFERROR(Z26/Z444, "NA")</f>
        <v>0</v>
      </c>
      <c r="AB26" s="9"/>
      <c r="AC26" s="10">
        <f t="shared" si="7"/>
        <v>1083.33</v>
      </c>
      <c r="AD26" s="8">
        <f>IFERROR(AC26/AC444, "NA")</f>
        <v>-5.6641981143913556E-2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808.65</v>
      </c>
      <c r="C28" s="8">
        <f>IFERROR(B28/B444, "NA")</f>
        <v>1.0143277797115628E-2</v>
      </c>
      <c r="D28" s="9"/>
      <c r="E28" s="7">
        <v>0</v>
      </c>
      <c r="F28" s="8">
        <f>IFERROR(E28/E444, "NA")</f>
        <v>0</v>
      </c>
      <c r="G28" s="9"/>
      <c r="H28" s="10">
        <f t="shared" si="4"/>
        <v>808.65</v>
      </c>
      <c r="I28" s="8">
        <f>IFERROR(H28/H444, "NA")</f>
        <v>-3.992578193852718E-2</v>
      </c>
      <c r="J28" s="9"/>
      <c r="K28" s="7">
        <v>808.65</v>
      </c>
      <c r="L28" s="8">
        <f>IFERROR(K28/K444, "NA")</f>
        <v>8.5736987147244752E-3</v>
      </c>
      <c r="M28" s="9"/>
      <c r="N28" s="10">
        <f t="shared" si="5"/>
        <v>0</v>
      </c>
      <c r="O28" s="8">
        <f>IFERROR(N28/N444, "NA")</f>
        <v>0</v>
      </c>
      <c r="P28" s="9"/>
      <c r="Q28" s="7">
        <v>1617.3</v>
      </c>
      <c r="R28" s="8">
        <f>IFERROR(Q28/Q444, "NA")</f>
        <v>9.4755025478925059E-3</v>
      </c>
      <c r="S28" s="9"/>
      <c r="T28" s="7">
        <v>0</v>
      </c>
      <c r="U28" s="8">
        <f>IFERROR(T28/T444, "NA")</f>
        <v>0</v>
      </c>
      <c r="V28" s="9"/>
      <c r="W28" s="10">
        <f t="shared" si="6"/>
        <v>1617.3</v>
      </c>
      <c r="X28" s="8">
        <f>IFERROR(W28/W444, "NA")</f>
        <v>-6.1242063107384323E-2</v>
      </c>
      <c r="Y28" s="9"/>
      <c r="Z28" s="7">
        <v>1647.25</v>
      </c>
      <c r="AA28" s="8">
        <f>IFERROR(Z28/Z444, "NA")</f>
        <v>8.6784993859062749E-3</v>
      </c>
      <c r="AB28" s="9"/>
      <c r="AC28" s="10">
        <f t="shared" si="7"/>
        <v>-29.950000000000045</v>
      </c>
      <c r="AD28" s="8">
        <f>IFERROR(AC28/AC444, "NA")</f>
        <v>1.5659377431255608E-3</v>
      </c>
    </row>
    <row r="29" spans="1:30" ht="16.5" customHeight="1" x14ac:dyDescent="0.45">
      <c r="A29" s="13" t="s">
        <v>30</v>
      </c>
      <c r="B29" s="14">
        <f>IFERROR(B21+B22+B23+B24+B25+B26+B27+B28, "NA")</f>
        <v>7914.09</v>
      </c>
      <c r="C29" s="15">
        <f>IFERROR(B29/B444, "NA")</f>
        <v>9.9270158141810214E-2</v>
      </c>
      <c r="D29" s="2"/>
      <c r="E29" s="14">
        <f>IFERROR(E21+E22+E23+E24+E25+E26+E27+E28, "NA")</f>
        <v>10697.49</v>
      </c>
      <c r="F29" s="15">
        <f>IFERROR(E29/E444, "NA")</f>
        <v>0.10699995939048924</v>
      </c>
      <c r="G29" s="2"/>
      <c r="H29" s="14">
        <f t="shared" si="4"/>
        <v>-2783.3999999999996</v>
      </c>
      <c r="I29" s="15">
        <f>IFERROR(H29/H444, "NA")</f>
        <v>0.13742585970159715</v>
      </c>
      <c r="J29" s="2"/>
      <c r="K29" s="14">
        <f>IFERROR(K21+K22+K23+K24+K25+K26+K27+K28, "NA")</f>
        <v>10752.64</v>
      </c>
      <c r="L29" s="15">
        <f>IFERROR(K29/K444, "NA")</f>
        <v>0.11400469393173186</v>
      </c>
      <c r="M29" s="2"/>
      <c r="N29" s="14">
        <f t="shared" si="5"/>
        <v>-2838.5499999999993</v>
      </c>
      <c r="O29" s="15">
        <f>IFERROR(N29/N444, "NA")</f>
        <v>0.19449090324821827</v>
      </c>
      <c r="P29" s="2"/>
      <c r="Q29" s="14">
        <f>IFERROR(Q21+Q22+Q23+Q24+Q25+Q26+Q27+Q28, "NA")</f>
        <v>18619.579999999998</v>
      </c>
      <c r="R29" s="15">
        <f>IFERROR(Q29/Q444, "NA")</f>
        <v>0.10908914717782002</v>
      </c>
      <c r="S29" s="2"/>
      <c r="T29" s="14">
        <f>IFERROR(T21+T22+T23+T24+T25+T26+T27+T28, "NA")</f>
        <v>21088.69</v>
      </c>
      <c r="U29" s="15">
        <f>IFERROR(T29/T444, "NA")</f>
        <v>0.10700000040590477</v>
      </c>
      <c r="V29" s="2"/>
      <c r="W29" s="14">
        <f t="shared" si="6"/>
        <v>-2469.1100000000006</v>
      </c>
      <c r="X29" s="15">
        <f>IFERROR(W29/W444, "NA")</f>
        <v>9.3497428083270717E-2</v>
      </c>
      <c r="Y29" s="2"/>
      <c r="Z29" s="14">
        <f>IFERROR(Z21+Z22+Z23+Z24+Z25+Z26+Z27+Z28, "NA")</f>
        <v>20425.170000000002</v>
      </c>
      <c r="AA29" s="15">
        <f>IFERROR(Z29/Z444, "NA")</f>
        <v>0.10760954639674081</v>
      </c>
      <c r="AB29" s="2"/>
      <c r="AC29" s="14">
        <f t="shared" si="7"/>
        <v>-1805.5900000000038</v>
      </c>
      <c r="AD29" s="15">
        <f>IFERROR(AC29/AC444, "NA")</f>
        <v>9.4405393309184737E-2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18195.740000000002</v>
      </c>
      <c r="F31" s="8">
        <f>IFERROR(E31/E444, "NA")</f>
        <v>0.18200002440571583</v>
      </c>
      <c r="G31" s="9"/>
      <c r="H31" s="10">
        <f t="shared" ref="H31:H40" si="8">IFERROR(B31-E31, "NA")</f>
        <v>-18195.740000000002</v>
      </c>
      <c r="I31" s="8">
        <f>IFERROR(H31/H444, "NA")</f>
        <v>0.89838514493308175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35870.480000000003</v>
      </c>
      <c r="U31" s="8">
        <f>IFERROR(T31/T444, "NA")</f>
        <v>0.18199999025828534</v>
      </c>
      <c r="V31" s="9"/>
      <c r="W31" s="10">
        <f t="shared" ref="W31:W40" si="10">IFERROR(Q31-T31, "NA")</f>
        <v>-35870.480000000003</v>
      </c>
      <c r="X31" s="8">
        <f>IFERROR(W31/W444, "NA")</f>
        <v>1.3583022320238467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10816.48</v>
      </c>
      <c r="C33" s="8">
        <f>IFERROR(B33/B444, "NA")</f>
        <v>0.135676202840469</v>
      </c>
      <c r="D33" s="9"/>
      <c r="E33" s="7">
        <v>0</v>
      </c>
      <c r="F33" s="8">
        <f>IFERROR(E33/E444, "NA")</f>
        <v>0</v>
      </c>
      <c r="G33" s="9"/>
      <c r="H33" s="10">
        <f t="shared" si="8"/>
        <v>10816.48</v>
      </c>
      <c r="I33" s="8">
        <f>IFERROR(H33/H444, "NA")</f>
        <v>-0.53404615324607729</v>
      </c>
      <c r="J33" s="9"/>
      <c r="K33" s="7">
        <v>9112.69</v>
      </c>
      <c r="L33" s="8">
        <f>IFERROR(K33/K444, "NA")</f>
        <v>9.6617150238895166E-2</v>
      </c>
      <c r="M33" s="9"/>
      <c r="N33" s="10">
        <f t="shared" si="9"/>
        <v>1703.7899999999991</v>
      </c>
      <c r="O33" s="8">
        <f>IFERROR(N33/N444, "NA")</f>
        <v>-0.11673976362765556</v>
      </c>
      <c r="P33" s="9"/>
      <c r="Q33" s="7">
        <v>19851.18</v>
      </c>
      <c r="R33" s="8">
        <f>IFERROR(Q33/Q444, "NA")</f>
        <v>0.11630489499083209</v>
      </c>
      <c r="S33" s="9"/>
      <c r="T33" s="7">
        <v>0</v>
      </c>
      <c r="U33" s="8">
        <f>IFERROR(T33/T444, "NA")</f>
        <v>0</v>
      </c>
      <c r="V33" s="9"/>
      <c r="W33" s="10">
        <f t="shared" si="10"/>
        <v>19851.18</v>
      </c>
      <c r="X33" s="8">
        <f>IFERROR(W33/W444, "NA")</f>
        <v>-0.75170173642246063</v>
      </c>
      <c r="Y33" s="9"/>
      <c r="Z33" s="7">
        <v>15667.68</v>
      </c>
      <c r="AA33" s="8">
        <f>IFERROR(Z33/Z444, "NA")</f>
        <v>8.2544817883488261E-2</v>
      </c>
      <c r="AB33" s="9"/>
      <c r="AC33" s="10">
        <f t="shared" si="11"/>
        <v>4183.5</v>
      </c>
      <c r="AD33" s="8">
        <f>IFERROR(AC33/AC444, "NA")</f>
        <v>-0.21873457590536807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414.17</v>
      </c>
      <c r="C35" s="8">
        <f>IFERROR(B35/B444, "NA")</f>
        <v>5.1951293702236813E-3</v>
      </c>
      <c r="D35" s="9"/>
      <c r="E35" s="7">
        <v>0</v>
      </c>
      <c r="F35" s="8">
        <f>IFERROR(E35/E444, "NA")</f>
        <v>0</v>
      </c>
      <c r="G35" s="9"/>
      <c r="H35" s="10">
        <f t="shared" si="8"/>
        <v>414.17</v>
      </c>
      <c r="I35" s="8">
        <f>IFERROR(H35/H444, "NA")</f>
        <v>-2.0448971873467881E-2</v>
      </c>
      <c r="J35" s="9"/>
      <c r="K35" s="7">
        <v>1168.73</v>
      </c>
      <c r="L35" s="8">
        <f>IFERROR(K35/K444, "NA")</f>
        <v>1.2391441165967892E-2</v>
      </c>
      <c r="M35" s="9"/>
      <c r="N35" s="10">
        <f t="shared" si="9"/>
        <v>-754.56</v>
      </c>
      <c r="O35" s="8">
        <f>IFERROR(N35/N444, "NA")</f>
        <v>5.1700711967369112E-2</v>
      </c>
      <c r="P35" s="9"/>
      <c r="Q35" s="7">
        <v>1254.93</v>
      </c>
      <c r="R35" s="8">
        <f>IFERROR(Q35/Q444, "NA")</f>
        <v>7.3524345590964832E-3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1254.93</v>
      </c>
      <c r="X35" s="8">
        <f>IFERROR(W35/W444, "NA")</f>
        <v>-4.7520251193563227E-2</v>
      </c>
      <c r="Y35" s="9"/>
      <c r="Z35" s="7">
        <v>1978.52</v>
      </c>
      <c r="AA35" s="8">
        <f>IFERROR(Z35/Z444, "NA")</f>
        <v>1.0423787891943107E-2</v>
      </c>
      <c r="AB35" s="9"/>
      <c r="AC35" s="10">
        <f t="shared" si="11"/>
        <v>-723.58999999999992</v>
      </c>
      <c r="AD35" s="8">
        <f>IFERROR(AC35/AC444, "NA")</f>
        <v>3.7832951303780393E-2</v>
      </c>
    </row>
    <row r="36" spans="1:30" ht="16.5" customHeight="1" x14ac:dyDescent="0.45">
      <c r="A36" s="12" t="s">
        <v>36</v>
      </c>
      <c r="B36" s="7">
        <v>5699.38</v>
      </c>
      <c r="C36" s="8">
        <f>IFERROR(B36/B444, "NA")</f>
        <v>7.1490007557441254E-2</v>
      </c>
      <c r="D36" s="9"/>
      <c r="E36" s="7">
        <v>0</v>
      </c>
      <c r="F36" s="8">
        <f>IFERROR(E36/E444, "NA")</f>
        <v>0</v>
      </c>
      <c r="G36" s="9"/>
      <c r="H36" s="10">
        <f t="shared" si="8"/>
        <v>5699.38</v>
      </c>
      <c r="I36" s="8">
        <f>IFERROR(H36/H444, "NA")</f>
        <v>-0.28139764182873067</v>
      </c>
      <c r="J36" s="9"/>
      <c r="K36" s="7">
        <v>13682.3</v>
      </c>
      <c r="L36" s="8">
        <f>IFERROR(K36/K444, "NA")</f>
        <v>0.14506636730906408</v>
      </c>
      <c r="M36" s="9"/>
      <c r="N36" s="10">
        <f t="shared" si="9"/>
        <v>-7982.9199999999992</v>
      </c>
      <c r="O36" s="8">
        <f>IFERROR(N36/N444, "NA")</f>
        <v>0.54697127806741708</v>
      </c>
      <c r="P36" s="9"/>
      <c r="Q36" s="7">
        <v>12179.04</v>
      </c>
      <c r="R36" s="8">
        <f>IFERROR(Q36/Q444, "NA")</f>
        <v>7.1355051351564183E-2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12179.04</v>
      </c>
      <c r="X36" s="8">
        <f>IFERROR(W36/W444, "NA")</f>
        <v>-0.46118193054310147</v>
      </c>
      <c r="Y36" s="9"/>
      <c r="Z36" s="7">
        <v>22460.26</v>
      </c>
      <c r="AA36" s="8">
        <f>IFERROR(Z36/Z444, "NA")</f>
        <v>0.11833137205481575</v>
      </c>
      <c r="AB36" s="9"/>
      <c r="AC36" s="10">
        <f t="shared" si="11"/>
        <v>-10281.219999999998</v>
      </c>
      <c r="AD36" s="8">
        <f>IFERROR(AC36/AC444, "NA")</f>
        <v>0.53755427189907679</v>
      </c>
    </row>
    <row r="37" spans="1:30" ht="16.5" customHeight="1" x14ac:dyDescent="0.45">
      <c r="A37" s="12" t="s">
        <v>37</v>
      </c>
      <c r="B37" s="7">
        <v>663.09</v>
      </c>
      <c r="C37" s="8">
        <f>IFERROR(B37/B444, "NA")</f>
        <v>8.3174501632219157E-3</v>
      </c>
      <c r="D37" s="9"/>
      <c r="E37" s="7">
        <v>0</v>
      </c>
      <c r="F37" s="8">
        <f>IFERROR(E37/E444, "NA")</f>
        <v>0</v>
      </c>
      <c r="G37" s="9"/>
      <c r="H37" s="10">
        <f t="shared" si="8"/>
        <v>663.09</v>
      </c>
      <c r="I37" s="8">
        <f>IFERROR(H37/H444, "NA")</f>
        <v>-3.273899306945896E-2</v>
      </c>
      <c r="J37" s="9"/>
      <c r="K37" s="7">
        <v>0</v>
      </c>
      <c r="L37" s="8">
        <f>IFERROR(K37/K444, "NA")</f>
        <v>0</v>
      </c>
      <c r="M37" s="9"/>
      <c r="N37" s="10">
        <f t="shared" si="9"/>
        <v>663.09</v>
      </c>
      <c r="O37" s="8">
        <f>IFERROR(N37/N444, "NA")</f>
        <v>-4.5433398402304377E-2</v>
      </c>
      <c r="P37" s="9"/>
      <c r="Q37" s="7">
        <v>1117.69</v>
      </c>
      <c r="R37" s="8">
        <f>IFERROR(Q37/Q444, "NA")</f>
        <v>6.5483673052333978E-3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1117.69</v>
      </c>
      <c r="X37" s="8">
        <f>IFERROR(W37/W444, "NA")</f>
        <v>-4.2323404139301544E-2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1117.69</v>
      </c>
      <c r="AD37" s="8">
        <f>IFERROR(AC37/AC444, "NA")</f>
        <v>-5.8438496030517713E-2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781.2</v>
      </c>
      <c r="L39" s="8">
        <f>IFERROR(K39/K444, "NA")</f>
        <v>8.2826605279697763E-3</v>
      </c>
      <c r="M39" s="9"/>
      <c r="N39" s="10">
        <f t="shared" si="9"/>
        <v>-781.2</v>
      </c>
      <c r="O39" s="8">
        <f>IFERROR(N39/N444, "NA")</f>
        <v>5.3526023363163644E-2</v>
      </c>
      <c r="P39" s="9"/>
      <c r="Q39" s="7">
        <v>521.4</v>
      </c>
      <c r="R39" s="8">
        <f>IFERROR(Q39/Q444, "NA")</f>
        <v>3.0547993745570715E-3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521.4</v>
      </c>
      <c r="X39" s="8">
        <f>IFERROR(W39/W444, "NA")</f>
        <v>-1.9743777718537182E-2</v>
      </c>
      <c r="Y39" s="9"/>
      <c r="Z39" s="7">
        <v>1700.45</v>
      </c>
      <c r="AA39" s="8">
        <f>IFERROR(Z39/Z444, "NA")</f>
        <v>8.9587823832231444E-3</v>
      </c>
      <c r="AB39" s="9"/>
      <c r="AC39" s="10">
        <f t="shared" si="11"/>
        <v>-1179.0500000000002</v>
      </c>
      <c r="AD39" s="8">
        <f>IFERROR(AC39/AC444, "NA")</f>
        <v>6.1646707713929549E-2</v>
      </c>
    </row>
    <row r="40" spans="1:30" ht="16.5" customHeight="1" x14ac:dyDescent="0.45">
      <c r="A40" s="13" t="s">
        <v>40</v>
      </c>
      <c r="B40" s="14">
        <f>IFERROR(B31+B32+B33+B34+B35+B36+B37+B38+B39, "NA")</f>
        <v>17593.12</v>
      </c>
      <c r="C40" s="15">
        <f>IFERROR(B40/B444, "NA")</f>
        <v>0.22067878993135584</v>
      </c>
      <c r="D40" s="2"/>
      <c r="E40" s="14">
        <f>IFERROR(E31+E32+E33+E34+E35+E36+E37+E38+E39, "NA")</f>
        <v>18195.740000000002</v>
      </c>
      <c r="F40" s="15">
        <f>IFERROR(E40/E444, "NA")</f>
        <v>0.18200002440571583</v>
      </c>
      <c r="G40" s="2"/>
      <c r="H40" s="14">
        <f t="shared" si="8"/>
        <v>-602.62000000000262</v>
      </c>
      <c r="I40" s="15">
        <f>IFERROR(H40/H444, "NA")</f>
        <v>2.9753384915347E-2</v>
      </c>
      <c r="J40" s="2"/>
      <c r="K40" s="14">
        <f>IFERROR(K31+K32+K33+K34+K35+K36+K37+K38+K39, "NA")</f>
        <v>24744.920000000002</v>
      </c>
      <c r="L40" s="15">
        <f>IFERROR(K40/K444, "NA")</f>
        <v>0.26235761924189693</v>
      </c>
      <c r="M40" s="2"/>
      <c r="N40" s="14">
        <f t="shared" si="9"/>
        <v>-7151.8000000000029</v>
      </c>
      <c r="O40" s="15">
        <f>IFERROR(N40/N444, "NA")</f>
        <v>0.49002485136799012</v>
      </c>
      <c r="P40" s="2"/>
      <c r="Q40" s="14">
        <f>IFERROR(Q31+Q32+Q33+Q34+Q35+Q36+Q37+Q38+Q39, "NA")</f>
        <v>34924.240000000005</v>
      </c>
      <c r="R40" s="15">
        <f>IFERROR(Q40/Q444, "NA")</f>
        <v>0.20461554758128325</v>
      </c>
      <c r="S40" s="2"/>
      <c r="T40" s="14">
        <f>IFERROR(T31+T32+T33+T34+T35+T36+T37+T38+T39, "NA")</f>
        <v>35870.480000000003</v>
      </c>
      <c r="U40" s="15">
        <f>IFERROR(T40/T444, "NA")</f>
        <v>0.18199999025828534</v>
      </c>
      <c r="V40" s="2"/>
      <c r="W40" s="14">
        <f t="shared" si="10"/>
        <v>-946.23999999999796</v>
      </c>
      <c r="X40" s="15">
        <f>IFERROR(W40/W444, "NA")</f>
        <v>3.5831132006882593E-2</v>
      </c>
      <c r="Y40" s="2"/>
      <c r="Z40" s="14">
        <f>IFERROR(Z31+Z32+Z33+Z34+Z35+Z36+Z37+Z38+Z39, "NA")</f>
        <v>41806.909999999996</v>
      </c>
      <c r="AA40" s="15">
        <f>IFERROR(Z40/Z444, "NA")</f>
        <v>0.22025876021347024</v>
      </c>
      <c r="AB40" s="2"/>
      <c r="AC40" s="14">
        <f t="shared" si="11"/>
        <v>-6882.669999999991</v>
      </c>
      <c r="AD40" s="15">
        <f>IFERROR(AC40/AC444, "NA")</f>
        <v>0.35986085898090059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18495.669999999998</v>
      </c>
      <c r="F42" s="8">
        <f>IFERROR(E42/E444, "NA")</f>
        <v>0.18500002700632487</v>
      </c>
      <c r="G42" s="9"/>
      <c r="H42" s="10">
        <f>IFERROR(B42-E42, "NA")</f>
        <v>-18495.669999999998</v>
      </c>
      <c r="I42" s="8">
        <f>IFERROR(H42/H444, "NA")</f>
        <v>0.9131937021294243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36461.760000000002</v>
      </c>
      <c r="U42" s="8">
        <f>IFERROR(T42/T444, "NA")</f>
        <v>0.18500003247238225</v>
      </c>
      <c r="V42" s="9"/>
      <c r="W42" s="10">
        <f>IFERROR(Q42-T42, "NA")</f>
        <v>-36461.760000000002</v>
      </c>
      <c r="X42" s="8">
        <f>IFERROR(W42/W444, "NA")</f>
        <v>1.3806921455056584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2002.5</v>
      </c>
      <c r="C43" s="8">
        <f>IFERROR(B43/B444, "NA")</f>
        <v>2.5118300610553448E-2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2002.5</v>
      </c>
      <c r="I43" s="8">
        <f>IFERROR(H43/H444, "NA")</f>
        <v>-9.8870188996352776E-2</v>
      </c>
      <c r="J43" s="9"/>
      <c r="K43" s="7">
        <v>1540.28</v>
      </c>
      <c r="L43" s="8">
        <f>IFERROR(K43/K444, "NA")</f>
        <v>1.6330794109090229E-2</v>
      </c>
      <c r="M43" s="9"/>
      <c r="N43" s="10">
        <f>IFERROR(B43-K43, "NA")</f>
        <v>462.22</v>
      </c>
      <c r="O43" s="8">
        <f>IFERROR(N43/N444, "NA")</f>
        <v>-3.1670249000155526E-2</v>
      </c>
      <c r="P43" s="9"/>
      <c r="Q43" s="7">
        <v>4745.45</v>
      </c>
      <c r="R43" s="8">
        <f>IFERROR(Q43/Q444, "NA")</f>
        <v>2.7802834085139731E-2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4745.45</v>
      </c>
      <c r="X43" s="8">
        <f>IFERROR(W43/W444, "NA")</f>
        <v>-0.17969526270508682</v>
      </c>
      <c r="Y43" s="9"/>
      <c r="Z43" s="7">
        <v>4166.53</v>
      </c>
      <c r="AA43" s="8">
        <f>IFERROR(Z43/Z444, "NA")</f>
        <v>2.1951269112982286E-2</v>
      </c>
      <c r="AB43" s="9"/>
      <c r="AC43" s="10">
        <f>IFERROR(Q43-Z43, "NA")</f>
        <v>578.92000000000007</v>
      </c>
      <c r="AD43" s="8">
        <f>IFERROR(AC43/AC444, "NA")</f>
        <v>-3.0268870726218644E-2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6408.27</v>
      </c>
      <c r="C48" s="8">
        <f>IFERROR(B48/B444, "NA")</f>
        <v>8.0381948690932015E-2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6408.27</v>
      </c>
      <c r="I48" s="8">
        <f>IFERROR(H48/H444, "NA")</f>
        <v>-0.31639793560032842</v>
      </c>
      <c r="J48" s="9"/>
      <c r="K48" s="7">
        <v>12106.58</v>
      </c>
      <c r="L48" s="8">
        <f>IFERROR(K48/K444, "NA")</f>
        <v>0.12835982116578129</v>
      </c>
      <c r="M48" s="9"/>
      <c r="N48" s="10">
        <f t="shared" si="13"/>
        <v>-5698.3099999999995</v>
      </c>
      <c r="O48" s="8">
        <f>IFERROR(N48/N444, "NA")</f>
        <v>0.39043506680817841</v>
      </c>
      <c r="P48" s="9"/>
      <c r="Q48" s="7">
        <v>16099.18</v>
      </c>
      <c r="R48" s="8">
        <f>IFERROR(Q48/Q444, "NA")</f>
        <v>9.4322525882013272E-2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16099.18</v>
      </c>
      <c r="X48" s="8">
        <f>IFERROR(W48/W444, "NA")</f>
        <v>-0.6096252999054842</v>
      </c>
      <c r="Y48" s="9"/>
      <c r="Z48" s="7">
        <v>29399.67</v>
      </c>
      <c r="AA48" s="8">
        <f>IFERROR(Z48/Z444, "NA")</f>
        <v>0.15489149676178304</v>
      </c>
      <c r="AB48" s="9"/>
      <c r="AC48" s="10">
        <f t="shared" si="15"/>
        <v>-13300.489999999998</v>
      </c>
      <c r="AD48" s="8">
        <f>IFERROR(AC48/AC444, "NA")</f>
        <v>0.69541700477676316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6408.27</v>
      </c>
      <c r="C61" s="15">
        <f>IFERROR(B61/B444, "NA")</f>
        <v>8.0381948690932015E-2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6408.27</v>
      </c>
      <c r="I61" s="15">
        <f>IFERROR(H61/H444, "NA")</f>
        <v>-0.31639793560032842</v>
      </c>
      <c r="J61" s="2"/>
      <c r="K61" s="14">
        <f>IFERROR(K46+K47+K48+K49+K50+K51+K52+K53+K54+K55+K56+K57+K58+K59+K60, "NA")</f>
        <v>12106.58</v>
      </c>
      <c r="L61" s="15">
        <f>IFERROR(K61/K444, "NA")</f>
        <v>0.12835982116578129</v>
      </c>
      <c r="M61" s="2"/>
      <c r="N61" s="14">
        <f t="shared" si="13"/>
        <v>-5698.3099999999995</v>
      </c>
      <c r="O61" s="15">
        <f>IFERROR(N61/N444, "NA")</f>
        <v>0.39043506680817841</v>
      </c>
      <c r="P61" s="2"/>
      <c r="Q61" s="14">
        <f>IFERROR(Q46+Q47+Q48+Q49+Q50+Q51+Q52+Q53+Q54+Q55+Q56+Q57+Q58+Q59+Q60, "NA")</f>
        <v>16099.18</v>
      </c>
      <c r="R61" s="15">
        <f>IFERROR(Q61/Q444, "NA")</f>
        <v>9.4322525882013272E-2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16099.18</v>
      </c>
      <c r="X61" s="15">
        <f>IFERROR(W61/W444, "NA")</f>
        <v>-0.6096252999054842</v>
      </c>
      <c r="Y61" s="2"/>
      <c r="Z61" s="14">
        <f>IFERROR(Z46+Z47+Z48+Z49+Z50+Z51+Z52+Z53+Z54+Z55+Z56+Z57+Z58+Z59+Z60, "NA")</f>
        <v>29399.67</v>
      </c>
      <c r="AA61" s="15">
        <f>IFERROR(Z61/Z444, "NA")</f>
        <v>0.15489149676178304</v>
      </c>
      <c r="AB61" s="2"/>
      <c r="AC61" s="14">
        <f t="shared" si="15"/>
        <v>-13300.489999999998</v>
      </c>
      <c r="AD61" s="15">
        <f>IFERROR(AC61/AC444, "NA")</f>
        <v>0.69541700477676316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8410.77</v>
      </c>
      <c r="C62" s="15">
        <f>IFERROR(B62/B444, "NA")</f>
        <v>0.10550024930148547</v>
      </c>
      <c r="D62" s="2"/>
      <c r="E62" s="14">
        <f>IFERROR(E42+E43+E44+E46+E47+E48+E49+E50+E51+E52+E53+E54+E55+E56+E57+E58+E59+E60, "NA")</f>
        <v>18495.669999999998</v>
      </c>
      <c r="F62" s="15">
        <f>IFERROR(E62/E444, "NA")</f>
        <v>0.18500002700632487</v>
      </c>
      <c r="G62" s="2"/>
      <c r="H62" s="14">
        <f t="shared" si="12"/>
        <v>-10084.899999999998</v>
      </c>
      <c r="I62" s="15">
        <f>IFERROR(H62/H444, "NA")</f>
        <v>0.49792557753274302</v>
      </c>
      <c r="J62" s="2"/>
      <c r="K62" s="14">
        <f>IFERROR(K42+K43+K44+K46+K47+K48+K49+K50+K51+K52+K53+K54+K55+K56+K57+K58+K59+K60, "NA")</f>
        <v>13646.86</v>
      </c>
      <c r="L62" s="15">
        <f>IFERROR(K62/K444, "NA")</f>
        <v>0.14469061527487151</v>
      </c>
      <c r="M62" s="2"/>
      <c r="N62" s="14">
        <f t="shared" si="13"/>
        <v>-5236.09</v>
      </c>
      <c r="O62" s="15">
        <f>IFERROR(N62/N444, "NA")</f>
        <v>0.35876481780802294</v>
      </c>
      <c r="P62" s="2"/>
      <c r="Q62" s="14">
        <f>IFERROR(Q42+Q43+Q44+Q46+Q47+Q48+Q49+Q50+Q51+Q52+Q53+Q54+Q55+Q56+Q57+Q58+Q59+Q60, "NA")</f>
        <v>20844.63</v>
      </c>
      <c r="R62" s="15">
        <f>IFERROR(Q62/Q444, "NA")</f>
        <v>0.12212535996715301</v>
      </c>
      <c r="S62" s="2"/>
      <c r="T62" s="14">
        <f>IFERROR(T42+T43+T44+T46+T47+T48+T49+T50+T51+T52+T53+T54+T55+T56+T57+T58+T59+T60, "NA")</f>
        <v>36461.760000000002</v>
      </c>
      <c r="U62" s="15">
        <f>IFERROR(T62/T444, "NA")</f>
        <v>0.18500003247238225</v>
      </c>
      <c r="V62" s="2"/>
      <c r="W62" s="14">
        <f t="shared" si="14"/>
        <v>-15617.130000000001</v>
      </c>
      <c r="X62" s="15">
        <f>IFERROR(W62/W444, "NA")</f>
        <v>0.59137158289508751</v>
      </c>
      <c r="Y62" s="2"/>
      <c r="Z62" s="14">
        <f>IFERROR(Z42+Z43+Z44+Z46+Z47+Z48+Z49+Z50+Z51+Z52+Z53+Z54+Z55+Z56+Z57+Z58+Z59+Z60, "NA")</f>
        <v>33566.199999999997</v>
      </c>
      <c r="AA62" s="15">
        <f>IFERROR(Z62/Z444, "NA")</f>
        <v>0.17684276587476533</v>
      </c>
      <c r="AB62" s="2"/>
      <c r="AC62" s="14">
        <f t="shared" si="15"/>
        <v>-12721.569999999996</v>
      </c>
      <c r="AD62" s="15">
        <f>IFERROR(AC62/AC444, "NA")</f>
        <v>0.6651481340505444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7998.13</v>
      </c>
      <c r="F64" s="8">
        <f>IFERROR(E64/E444, "NA")</f>
        <v>8.0000036008433181E-2</v>
      </c>
      <c r="G64" s="9"/>
      <c r="H64" s="10">
        <f t="shared" ref="H64:H73" si="16">IFERROR(B64-E64, "NA")</f>
        <v>-7998.13</v>
      </c>
      <c r="I64" s="8">
        <f>IFERROR(H64/H444, "NA")</f>
        <v>0.39489469399121052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15767.25</v>
      </c>
      <c r="U64" s="8">
        <f>IFERROR(T64/T444, "NA")</f>
        <v>8.0000026383810569E-2</v>
      </c>
      <c r="V64" s="9"/>
      <c r="W64" s="10">
        <f t="shared" ref="W64:W73" si="18">IFERROR(Q64-T64, "NA")</f>
        <v>-15767.25</v>
      </c>
      <c r="X64" s="8">
        <f>IFERROR(W64/W444, "NA")</f>
        <v>0.59705615502992981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2559.96</v>
      </c>
      <c r="C65" s="8">
        <f>IFERROR(B65/B444, "NA")</f>
        <v>3.2110783935576731E-2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2559.96</v>
      </c>
      <c r="I65" s="8">
        <f>IFERROR(H65/H444, "NA")</f>
        <v>-0.12639387217133746</v>
      </c>
      <c r="J65" s="9"/>
      <c r="K65" s="7">
        <v>0</v>
      </c>
      <c r="L65" s="8">
        <f>IFERROR(K65/K444, "NA")</f>
        <v>0</v>
      </c>
      <c r="M65" s="9"/>
      <c r="N65" s="10">
        <f t="shared" si="17"/>
        <v>2559.96</v>
      </c>
      <c r="O65" s="8">
        <f>IFERROR(N65/N444, "NA")</f>
        <v>-0.17540255858776804</v>
      </c>
      <c r="P65" s="9"/>
      <c r="Q65" s="7">
        <v>7001.7</v>
      </c>
      <c r="R65" s="8">
        <f>IFERROR(Q65/Q444, "NA")</f>
        <v>4.1021842694354139E-2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7001.7</v>
      </c>
      <c r="X65" s="8">
        <f>IFERROR(W65/W444, "NA")</f>
        <v>-0.26513235222838855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7001.7</v>
      </c>
      <c r="AD65" s="8">
        <f>IFERROR(AC65/AC444, "NA")</f>
        <v>-0.36608435045216098</v>
      </c>
    </row>
    <row r="66" spans="1:30" ht="16.5" customHeight="1" x14ac:dyDescent="0.45">
      <c r="A66" s="12" t="s">
        <v>63</v>
      </c>
      <c r="B66" s="7">
        <v>3310.8</v>
      </c>
      <c r="C66" s="8">
        <f>IFERROR(B66/B444, "NA")</f>
        <v>4.1528923676115041E-2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3310.8</v>
      </c>
      <c r="I66" s="8">
        <f>IFERROR(H66/H444, "NA")</f>
        <v>-0.16346537914063661</v>
      </c>
      <c r="J66" s="9"/>
      <c r="K66" s="7">
        <v>1571.5</v>
      </c>
      <c r="L66" s="8">
        <f>IFERROR(K66/K444, "NA")</f>
        <v>1.6661803660656047E-2</v>
      </c>
      <c r="M66" s="9"/>
      <c r="N66" s="10">
        <f t="shared" si="17"/>
        <v>1739.3000000000002</v>
      </c>
      <c r="O66" s="8">
        <f>IFERROR(N66/N444, "NA")</f>
        <v>-0.11917282697843129</v>
      </c>
      <c r="P66" s="9"/>
      <c r="Q66" s="7">
        <v>7040.91</v>
      </c>
      <c r="R66" s="8">
        <f>IFERROR(Q66/Q444, "NA")</f>
        <v>4.1251567825685904E-2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7040.91</v>
      </c>
      <c r="X66" s="8">
        <f>IFERROR(W66/W444, "NA")</f>
        <v>-0.2666171115769575</v>
      </c>
      <c r="Y66" s="9"/>
      <c r="Z66" s="7">
        <v>7456.72</v>
      </c>
      <c r="AA66" s="8">
        <f>IFERROR(Z66/Z444, "NA")</f>
        <v>3.9285560747230254E-2</v>
      </c>
      <c r="AB66" s="9"/>
      <c r="AC66" s="10">
        <f t="shared" si="19"/>
        <v>-415.8100000000004</v>
      </c>
      <c r="AD66" s="8">
        <f>IFERROR(AC66/AC444, "NA")</f>
        <v>2.1740653521503808E-2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1381.65</v>
      </c>
      <c r="C68" s="8">
        <f>IFERROR(B68/B444, "NA")</f>
        <v>1.7330686660959389E-2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1381.65</v>
      </c>
      <c r="I68" s="8">
        <f>IFERROR(H68/H444, "NA")</f>
        <v>-6.8216727404150232E-2</v>
      </c>
      <c r="J68" s="9"/>
      <c r="K68" s="7">
        <v>0</v>
      </c>
      <c r="L68" s="8">
        <f>IFERROR(K68/K444, "NA")</f>
        <v>0</v>
      </c>
      <c r="M68" s="9"/>
      <c r="N68" s="10">
        <f t="shared" si="17"/>
        <v>1381.65</v>
      </c>
      <c r="O68" s="8">
        <f>IFERROR(N68/N444, "NA")</f>
        <v>-9.4667473348329548E-2</v>
      </c>
      <c r="P68" s="9"/>
      <c r="Q68" s="7">
        <v>2099.31</v>
      </c>
      <c r="R68" s="8">
        <f>IFERROR(Q68/Q444, "NA")</f>
        <v>1.2299522199849264E-2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2099.31</v>
      </c>
      <c r="X68" s="8">
        <f>IFERROR(W68/W444, "NA")</f>
        <v>-7.9494265443617748E-2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2099.31</v>
      </c>
      <c r="AD68" s="8">
        <f>IFERROR(AC68/AC444, "NA")</f>
        <v>-0.10976256305579019</v>
      </c>
    </row>
    <row r="69" spans="1:30" ht="16.5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-17.850000000000001</v>
      </c>
      <c r="R69" s="8">
        <f>IFERROR(Q69/Q444, "NA")</f>
        <v>-1.0458030079755224E-4</v>
      </c>
      <c r="S69" s="9"/>
      <c r="T69" s="7">
        <v>0</v>
      </c>
      <c r="U69" s="8">
        <f>IFERROR(T69/T444, "NA")</f>
        <v>0</v>
      </c>
      <c r="V69" s="9"/>
      <c r="W69" s="10">
        <f t="shared" si="18"/>
        <v>-17.850000000000001</v>
      </c>
      <c r="X69" s="8">
        <f>IFERROR(W69/W444, "NA")</f>
        <v>6.7592334536994384E-4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-17.850000000000001</v>
      </c>
      <c r="AD69" s="8">
        <f>IFERROR(AC69/AC444, "NA")</f>
        <v>9.3328843788952314E-4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7252.41</v>
      </c>
      <c r="C73" s="15">
        <f>IFERROR(B73/B444, "NA")</f>
        <v>9.0970394272651162E-2</v>
      </c>
      <c r="D73" s="2"/>
      <c r="E73" s="14">
        <f>IFERROR(E64+E65+E66+E67+E68+E69+E70+E71+E72, "NA")</f>
        <v>7998.13</v>
      </c>
      <c r="F73" s="15">
        <f>IFERROR(E73/E444, "NA")</f>
        <v>8.0000036008433181E-2</v>
      </c>
      <c r="G73" s="2"/>
      <c r="H73" s="14">
        <f t="shared" si="16"/>
        <v>-745.72000000000025</v>
      </c>
      <c r="I73" s="15">
        <f>IFERROR(H73/H444, "NA")</f>
        <v>3.6818715275086254E-2</v>
      </c>
      <c r="J73" s="2"/>
      <c r="K73" s="14">
        <f>IFERROR(K64+K65+K66+K67+K68+K69+K70+K71+K72, "NA")</f>
        <v>1571.5</v>
      </c>
      <c r="L73" s="15">
        <f>IFERROR(K73/K444, "NA")</f>
        <v>1.6661803660656047E-2</v>
      </c>
      <c r="M73" s="2"/>
      <c r="N73" s="14">
        <f t="shared" si="17"/>
        <v>5680.91</v>
      </c>
      <c r="O73" s="15">
        <f>IFERROR(N73/N444, "NA")</f>
        <v>-0.38924285891452887</v>
      </c>
      <c r="P73" s="2"/>
      <c r="Q73" s="14">
        <f>IFERROR(Q64+Q65+Q66+Q67+Q68+Q69+Q70+Q71+Q72, "NA")</f>
        <v>16124.07</v>
      </c>
      <c r="R73" s="15">
        <f>IFERROR(Q73/Q444, "NA")</f>
        <v>9.4468352419091767E-2</v>
      </c>
      <c r="S73" s="2"/>
      <c r="T73" s="14">
        <f>IFERROR(T64+T65+T66+T67+T68+T69+T70+T71+T72, "NA")</f>
        <v>15767.25</v>
      </c>
      <c r="U73" s="15">
        <f>IFERROR(T73/T444, "NA")</f>
        <v>8.0000026383810569E-2</v>
      </c>
      <c r="V73" s="2"/>
      <c r="W73" s="14">
        <f t="shared" si="18"/>
        <v>356.81999999999971</v>
      </c>
      <c r="X73" s="15">
        <f>IFERROR(W73/W444, "NA")</f>
        <v>-1.3511650873664042E-2</v>
      </c>
      <c r="Y73" s="2"/>
      <c r="Z73" s="14">
        <f>IFERROR(Z64+Z65+Z66+Z67+Z68+Z69+Z70+Z71+Z72, "NA")</f>
        <v>7456.72</v>
      </c>
      <c r="AA73" s="15">
        <f>IFERROR(Z73/Z444, "NA")</f>
        <v>3.9285560747230254E-2</v>
      </c>
      <c r="AB73" s="2"/>
      <c r="AC73" s="14">
        <f t="shared" si="19"/>
        <v>8667.3499999999985</v>
      </c>
      <c r="AD73" s="15">
        <f>IFERROR(AC73/AC444, "NA")</f>
        <v>-0.45317297154855779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1499.65</v>
      </c>
      <c r="F75" s="8">
        <f>IFERROR(E75/E444, "NA")</f>
        <v>1.5000013003045314E-2</v>
      </c>
      <c r="G75" s="9"/>
      <c r="H75" s="10">
        <f t="shared" ref="H75:H92" si="20">IFERROR(B75-E75, "NA")</f>
        <v>-1499.65</v>
      </c>
      <c r="I75" s="8">
        <f>IFERROR(H75/H444, "NA")</f>
        <v>7.4042785981713086E-2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2956.36</v>
      </c>
      <c r="U75" s="8">
        <f>IFERROR(T75/T444, "NA")</f>
        <v>1.500000811809556E-2</v>
      </c>
      <c r="V75" s="9"/>
      <c r="W75" s="10">
        <f t="shared" ref="W75:W92" si="22">IFERROR(Q75-T75, "NA")</f>
        <v>-2956.36</v>
      </c>
      <c r="X75" s="8">
        <f>IFERROR(W75/W444, "NA")</f>
        <v>0.11194805273489565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182.81</v>
      </c>
      <c r="C77" s="8">
        <f>IFERROR(B77/B444, "NA")</f>
        <v>2.2930719273983901E-3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182.81</v>
      </c>
      <c r="I77" s="8">
        <f>IFERROR(H77/H444, "NA")</f>
        <v>-9.025947191222598E-3</v>
      </c>
      <c r="J77" s="9"/>
      <c r="K77" s="7">
        <v>176.33</v>
      </c>
      <c r="L77" s="8">
        <f>IFERROR(K77/K444, "NA")</f>
        <v>1.8695360098526764E-3</v>
      </c>
      <c r="M77" s="9"/>
      <c r="N77" s="10">
        <f t="shared" si="21"/>
        <v>6.4799999999999898</v>
      </c>
      <c r="O77" s="8">
        <f>IFERROR(N77/N444, "NA")</f>
        <v>-4.4399466384190968E-4</v>
      </c>
      <c r="P77" s="9"/>
      <c r="Q77" s="7">
        <v>401.63</v>
      </c>
      <c r="R77" s="8">
        <f>IFERROR(Q77/Q444, "NA")</f>
        <v>2.3530860621468292E-3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401.63</v>
      </c>
      <c r="X77" s="8">
        <f>IFERROR(W77/W444, "NA")</f>
        <v>-1.5208464605094148E-2</v>
      </c>
      <c r="Y77" s="9"/>
      <c r="Z77" s="7">
        <v>318.07</v>
      </c>
      <c r="AA77" s="8">
        <f>IFERROR(Z77/Z444, "NA")</f>
        <v>1.675744604446932E-3</v>
      </c>
      <c r="AB77" s="9"/>
      <c r="AC77" s="10">
        <f t="shared" si="23"/>
        <v>83.56</v>
      </c>
      <c r="AD77" s="8">
        <f>IFERROR(AC77/AC444, "NA")</f>
        <v>-4.3689401607870338E-3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606.21</v>
      </c>
      <c r="C80" s="8">
        <f>IFERROR(B80/B444, "NA")</f>
        <v>7.6039775346434992E-3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606.21</v>
      </c>
      <c r="I80" s="8">
        <f>IFERROR(H80/H444, "NA")</f>
        <v>-2.9930635341562557E-2</v>
      </c>
      <c r="J80" s="9"/>
      <c r="K80" s="7">
        <v>1076.96</v>
      </c>
      <c r="L80" s="8">
        <f>IFERROR(K80/K444, "NA")</f>
        <v>1.1418451206096174E-2</v>
      </c>
      <c r="M80" s="9"/>
      <c r="N80" s="10">
        <f t="shared" si="21"/>
        <v>-470.75</v>
      </c>
      <c r="O80" s="8">
        <f>IFERROR(N80/N444, "NA")</f>
        <v>3.2254704938823965E-2</v>
      </c>
      <c r="P80" s="9"/>
      <c r="Q80" s="7">
        <v>1532.96</v>
      </c>
      <c r="R80" s="8">
        <f>IFERROR(Q80/Q444, "NA")</f>
        <v>8.9813679501745472E-3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1532.96</v>
      </c>
      <c r="X80" s="8">
        <f>IFERROR(W80/W444, "NA")</f>
        <v>-5.8048372634078943E-2</v>
      </c>
      <c r="Y80" s="9"/>
      <c r="Z80" s="7">
        <v>2661.73</v>
      </c>
      <c r="AA80" s="8">
        <f>IFERROR(Z80/Z444, "NA")</f>
        <v>1.4023264331733683E-2</v>
      </c>
      <c r="AB80" s="9"/>
      <c r="AC80" s="10">
        <f t="shared" si="23"/>
        <v>-1128.77</v>
      </c>
      <c r="AD80" s="8">
        <f>IFERROR(AC80/AC444, "NA")</f>
        <v>5.901781456787434E-2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789.02</v>
      </c>
      <c r="C88" s="15">
        <f>IFERROR(B88/B444, "NA")</f>
        <v>9.8970494620418889E-3</v>
      </c>
      <c r="D88" s="2"/>
      <c r="E88" s="14">
        <f>IFERROR(E75+E76+E77+E78+E79+E80+E81+E82+E83+E84+E85+E86+E87, "NA")</f>
        <v>1499.65</v>
      </c>
      <c r="F88" s="15">
        <f>IFERROR(E88/E444, "NA")</f>
        <v>1.5000013003045314E-2</v>
      </c>
      <c r="G88" s="2"/>
      <c r="H88" s="14">
        <f t="shared" si="20"/>
        <v>-710.63000000000011</v>
      </c>
      <c r="I88" s="15">
        <f>IFERROR(H88/H444, "NA")</f>
        <v>3.5086203448927933E-2</v>
      </c>
      <c r="J88" s="2"/>
      <c r="K88" s="14">
        <f>IFERROR(K75+K76+K77+K78+K79+K80+K81+K82+K83+K84+K85+K86+K87, "NA")</f>
        <v>1253.29</v>
      </c>
      <c r="L88" s="15">
        <f>IFERROR(K88/K444, "NA")</f>
        <v>1.3287987215948848E-2</v>
      </c>
      <c r="M88" s="2"/>
      <c r="N88" s="14">
        <f t="shared" si="21"/>
        <v>-464.27</v>
      </c>
      <c r="O88" s="15">
        <f>IFERROR(N88/N444, "NA")</f>
        <v>3.1810710274982057E-2</v>
      </c>
      <c r="P88" s="2"/>
      <c r="Q88" s="14">
        <f>IFERROR(Q75+Q76+Q77+Q78+Q79+Q80+Q81+Q82+Q83+Q84+Q85+Q86+Q87, "NA")</f>
        <v>1934.5900000000001</v>
      </c>
      <c r="R88" s="15">
        <f>IFERROR(Q88/Q444, "NA")</f>
        <v>1.1334454012321377E-2</v>
      </c>
      <c r="S88" s="2"/>
      <c r="T88" s="14">
        <f>IFERROR(T75+T76+T77+T78+T79+T80+T81+T82+T83+T84+T85+T86+T87, "NA")</f>
        <v>2956.36</v>
      </c>
      <c r="U88" s="15">
        <f>IFERROR(T88/T444, "NA")</f>
        <v>1.500000811809556E-2</v>
      </c>
      <c r="V88" s="2"/>
      <c r="W88" s="14">
        <f t="shared" si="22"/>
        <v>-1021.77</v>
      </c>
      <c r="X88" s="15">
        <f>IFERROR(W88/W444, "NA")</f>
        <v>3.8691215495722547E-2</v>
      </c>
      <c r="Y88" s="2"/>
      <c r="Z88" s="14">
        <f>IFERROR(Z75+Z76+Z77+Z78+Z79+Z80+Z81+Z82+Z83+Z84+Z85+Z86+Z87, "NA")</f>
        <v>2979.8</v>
      </c>
      <c r="AA88" s="15">
        <f>IFERROR(Z88/Z444, "NA")</f>
        <v>1.5699008936180616E-2</v>
      </c>
      <c r="AB88" s="2"/>
      <c r="AC88" s="14">
        <f t="shared" si="23"/>
        <v>-1045.21</v>
      </c>
      <c r="AD88" s="15">
        <f>IFERROR(AC88/AC444, "NA")</f>
        <v>5.4648874407087308E-2</v>
      </c>
    </row>
    <row r="89" spans="1:30" ht="16.5" customHeight="1" x14ac:dyDescent="0.45">
      <c r="A89" s="6" t="s">
        <v>85</v>
      </c>
      <c r="B89" s="7">
        <v>-12.25</v>
      </c>
      <c r="C89" s="8">
        <f>IFERROR(B89/B444, "NA")</f>
        <v>-1.5365751934046429E-4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-12.25</v>
      </c>
      <c r="I89" s="8">
        <f>IFERROR(H89/H444, "NA")</f>
        <v>6.0482387775546639E-4</v>
      </c>
      <c r="J89" s="9"/>
      <c r="K89" s="7">
        <v>0</v>
      </c>
      <c r="L89" s="8">
        <f>IFERROR(K89/K444, "NA")</f>
        <v>0</v>
      </c>
      <c r="M89" s="9"/>
      <c r="N89" s="10">
        <f t="shared" si="21"/>
        <v>-12.25</v>
      </c>
      <c r="O89" s="8">
        <f>IFERROR(N89/N444, "NA")</f>
        <v>8.3934176420731512E-4</v>
      </c>
      <c r="P89" s="9"/>
      <c r="Q89" s="7">
        <v>-12.25</v>
      </c>
      <c r="R89" s="8">
        <f>IFERROR(Q89/Q444, "NA")</f>
        <v>-7.1770794664986821E-5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-12.25</v>
      </c>
      <c r="X89" s="8">
        <f>IFERROR(W89/W444, "NA")</f>
        <v>4.6386896250878501E-4</v>
      </c>
      <c r="Y89" s="9"/>
      <c r="Z89" s="7">
        <v>0</v>
      </c>
      <c r="AA89" s="8">
        <f>IFERROR(Z89/Z444, "NA")</f>
        <v>0</v>
      </c>
      <c r="AB89" s="9"/>
      <c r="AC89" s="10">
        <f t="shared" si="23"/>
        <v>-12.25</v>
      </c>
      <c r="AD89" s="8">
        <f>IFERROR(AC89/AC444, "NA")</f>
        <v>6.4049206521830015E-4</v>
      </c>
    </row>
    <row r="90" spans="1:30" ht="16.5" customHeight="1" x14ac:dyDescent="0.45">
      <c r="A90" s="6" t="s">
        <v>86</v>
      </c>
      <c r="B90" s="7">
        <v>-288.36</v>
      </c>
      <c r="C90" s="8">
        <f>IFERROR(B90/B444, "NA")</f>
        <v>-3.617035287919697E-3</v>
      </c>
      <c r="D90" s="9"/>
      <c r="E90" s="7">
        <v>0</v>
      </c>
      <c r="F90" s="8">
        <f>IFERROR(E90/E444, "NA")</f>
        <v>0</v>
      </c>
      <c r="G90" s="9"/>
      <c r="H90" s="10">
        <f t="shared" si="20"/>
        <v>-288.36</v>
      </c>
      <c r="I90" s="8">
        <f>IFERROR(H90/H444, "NA")</f>
        <v>1.4237307215474801E-2</v>
      </c>
      <c r="J90" s="9"/>
      <c r="K90" s="7">
        <v>0</v>
      </c>
      <c r="L90" s="8">
        <f>IFERROR(K90/K444, "NA")</f>
        <v>0</v>
      </c>
      <c r="M90" s="9"/>
      <c r="N90" s="10">
        <f t="shared" si="21"/>
        <v>-288.36</v>
      </c>
      <c r="O90" s="8">
        <f>IFERROR(N90/N444, "NA")</f>
        <v>1.9757762540965014E-2</v>
      </c>
      <c r="P90" s="9"/>
      <c r="Q90" s="7">
        <v>-467.68</v>
      </c>
      <c r="R90" s="8">
        <f>IFERROR(Q90/Q444, "NA")</f>
        <v>-2.7400624692996765E-3</v>
      </c>
      <c r="S90" s="9"/>
      <c r="T90" s="7">
        <v>0</v>
      </c>
      <c r="U90" s="8">
        <f>IFERROR(T90/T444, "NA")</f>
        <v>0</v>
      </c>
      <c r="V90" s="9"/>
      <c r="W90" s="10">
        <f t="shared" si="22"/>
        <v>-467.68</v>
      </c>
      <c r="X90" s="8">
        <f>IFERROR(W90/W444, "NA")</f>
        <v>1.7709570317233352E-2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-467.68</v>
      </c>
      <c r="AD90" s="8">
        <f>IFERROR(AC90/AC444, "NA")</f>
        <v>2.4452679923370989E-2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-4698.8999999999996</v>
      </c>
      <c r="F94" s="8">
        <f>IFERROR(E94/E444, "NA")</f>
        <v>-4.7000007401733483E-2</v>
      </c>
      <c r="G94" s="9"/>
      <c r="H94" s="10">
        <f t="shared" ref="H94:H124" si="24">IFERROR(B94-E94, "NA")</f>
        <v>4698.8999999999996</v>
      </c>
      <c r="I94" s="8">
        <f>IFERROR(H94/H444, "NA")</f>
        <v>-0.23200056483144171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-9263.26</v>
      </c>
      <c r="U94" s="8">
        <f>IFERROR(T94/T444, "NA")</f>
        <v>-4.7000018671619792E-2</v>
      </c>
      <c r="V94" s="9"/>
      <c r="W94" s="10">
        <f t="shared" ref="W94:W124" si="26">IFERROR(Q94-T94, "NA")</f>
        <v>9263.26</v>
      </c>
      <c r="X94" s="8">
        <f>IFERROR(W94/W444, "NA")</f>
        <v>-0.35077051474686755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-1644.19</v>
      </c>
      <c r="C96" s="8">
        <f>IFERROR(B96/B444, "NA")</f>
        <v>-2.0623849528522285E-2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-1644.19</v>
      </c>
      <c r="I96" s="8">
        <f>IFERROR(H96/H444, "NA")</f>
        <v>8.1179214005449835E-2</v>
      </c>
      <c r="J96" s="9"/>
      <c r="K96" s="7">
        <v>-1655.6</v>
      </c>
      <c r="L96" s="8">
        <f>IFERROR(K96/K444, "NA")</f>
        <v>-1.7553472567981006E-2</v>
      </c>
      <c r="M96" s="9"/>
      <c r="N96" s="10">
        <f t="shared" si="25"/>
        <v>11.409999999999854</v>
      </c>
      <c r="O96" s="8">
        <f>IFERROR(N96/N444, "NA")</f>
        <v>-7.8178690037594635E-4</v>
      </c>
      <c r="P96" s="9"/>
      <c r="Q96" s="7">
        <v>-2980.55</v>
      </c>
      <c r="R96" s="8">
        <f>IFERROR(Q96/Q444, "NA")</f>
        <v>-1.7462566697038898E-2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-2980.55</v>
      </c>
      <c r="X96" s="8">
        <f>IFERROR(W96/W444, "NA")</f>
        <v>0.11286405193514769</v>
      </c>
      <c r="Y96" s="9"/>
      <c r="Z96" s="7">
        <v>-3148.75</v>
      </c>
      <c r="AA96" s="8">
        <f>IFERROR(Z96/Z444, "NA")</f>
        <v>-1.6589118191757405E-2</v>
      </c>
      <c r="AB96" s="9"/>
      <c r="AC96" s="10">
        <f t="shared" si="27"/>
        <v>168.19999999999982</v>
      </c>
      <c r="AD96" s="8">
        <f>IFERROR(AC96/AC444, "NA")</f>
        <v>-8.7943481934463653E-3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-1361.89</v>
      </c>
      <c r="C98" s="8">
        <f>IFERROR(B98/B444, "NA")</f>
        <v>-1.7082827674659996E-2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-1361.89</v>
      </c>
      <c r="I98" s="8">
        <f>IFERROR(H98/H444, "NA")</f>
        <v>6.724110945929733E-2</v>
      </c>
      <c r="J98" s="9"/>
      <c r="K98" s="7">
        <v>-1952.46</v>
      </c>
      <c r="L98" s="8">
        <f>IFERROR(K98/K444, "NA")</f>
        <v>-2.070092597854566E-2</v>
      </c>
      <c r="M98" s="9"/>
      <c r="N98" s="10">
        <f t="shared" si="25"/>
        <v>590.56999999999994</v>
      </c>
      <c r="O98" s="8">
        <f>IFERROR(N98/N444, "NA")</f>
        <v>-4.0464495158197063E-2</v>
      </c>
      <c r="P98" s="9"/>
      <c r="Q98" s="7">
        <v>-4159.66</v>
      </c>
      <c r="R98" s="8">
        <f>IFERROR(Q98/Q444, "NA")</f>
        <v>-2.4370783978461964E-2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-4159.66</v>
      </c>
      <c r="X98" s="8">
        <f>IFERROR(W98/W444, "NA")</f>
        <v>0.15751323825218713</v>
      </c>
      <c r="Y98" s="9"/>
      <c r="Z98" s="7">
        <v>-3989.23</v>
      </c>
      <c r="AA98" s="8">
        <f>IFERROR(Z98/Z444, "NA")</f>
        <v>-2.1017168071172494E-2</v>
      </c>
      <c r="AB98" s="9"/>
      <c r="AC98" s="10">
        <f t="shared" si="27"/>
        <v>-170.42999999999984</v>
      </c>
      <c r="AD98" s="8">
        <f>IFERROR(AC98/AC444, "NA")</f>
        <v>8.9109438918493714E-3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-124.85</v>
      </c>
      <c r="C100" s="8">
        <f>IFERROR(B100/B444, "NA")</f>
        <v>-1.566052350176079E-3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-124.85</v>
      </c>
      <c r="I100" s="8">
        <f>IFERROR(H100/H444, "NA")</f>
        <v>6.1642662153281614E-3</v>
      </c>
      <c r="J100" s="9"/>
      <c r="K100" s="7">
        <v>-1336.64</v>
      </c>
      <c r="L100" s="8">
        <f>IFERROR(K100/K444, "NA")</f>
        <v>-1.4171704260247725E-2</v>
      </c>
      <c r="M100" s="9"/>
      <c r="N100" s="10">
        <f t="shared" si="25"/>
        <v>1211.7900000000002</v>
      </c>
      <c r="O100" s="8">
        <f>IFERROR(N100/N444, "NA")</f>
        <v>-8.3029057669288378E-2</v>
      </c>
      <c r="P100" s="9"/>
      <c r="Q100" s="7">
        <v>-156.24</v>
      </c>
      <c r="R100" s="8">
        <f>IFERROR(Q100/Q444, "NA")</f>
        <v>-9.1538522109857489E-4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-156.24</v>
      </c>
      <c r="X100" s="8">
        <f>IFERROR(W100/W444, "NA")</f>
        <v>5.9163172818263322E-3</v>
      </c>
      <c r="Y100" s="9"/>
      <c r="Z100" s="7">
        <v>-1697.97</v>
      </c>
      <c r="AA100" s="8">
        <f>IFERROR(Z100/Z444, "NA")</f>
        <v>-8.9457165592880736E-3</v>
      </c>
      <c r="AB100" s="9"/>
      <c r="AC100" s="10">
        <f t="shared" si="27"/>
        <v>1541.73</v>
      </c>
      <c r="AD100" s="8">
        <f>IFERROR(AC100/AC444, "NA")</f>
        <v>-8.0609455649715098E-2</v>
      </c>
    </row>
    <row r="101" spans="1:30" ht="16.5" customHeight="1" x14ac:dyDescent="0.45">
      <c r="A101" s="12" t="s">
        <v>96</v>
      </c>
      <c r="B101" s="7">
        <v>-95.51</v>
      </c>
      <c r="C101" s="8">
        <f>IFERROR(B101/B444, "NA")</f>
        <v>-1.1980269120169587E-3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-95.51</v>
      </c>
      <c r="I101" s="8">
        <f>IFERROR(H101/H444, "NA")</f>
        <v>4.7156513113816006E-3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-95.51</v>
      </c>
      <c r="O101" s="8">
        <f>IFERROR(N101/N444, "NA")</f>
        <v>6.5441250530155655E-3</v>
      </c>
      <c r="P101" s="9"/>
      <c r="Q101" s="7">
        <v>-95.51</v>
      </c>
      <c r="R101" s="8">
        <f>IFERROR(Q101/Q444, "NA")</f>
        <v>-5.5957784477166463E-4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-95.51</v>
      </c>
      <c r="X101" s="8">
        <f>IFERROR(W101/W444, "NA")</f>
        <v>3.6166632334052292E-3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-95.51</v>
      </c>
      <c r="AD101" s="8">
        <f>IFERROR(AC101/AC444, "NA")</f>
        <v>4.9937467060408042E-3</v>
      </c>
    </row>
    <row r="102" spans="1:30" ht="16.5" customHeight="1" x14ac:dyDescent="0.45">
      <c r="A102" s="12" t="s">
        <v>97</v>
      </c>
      <c r="B102" s="7">
        <v>-205.44</v>
      </c>
      <c r="C102" s="8">
        <f>IFERROR(B102/B444, "NA")</f>
        <v>-2.5769306753718356E-3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-205.44</v>
      </c>
      <c r="I102" s="8">
        <f>IFERROR(H102/H444, "NA")</f>
        <v>1.0143266730292491E-2</v>
      </c>
      <c r="J102" s="9"/>
      <c r="K102" s="7">
        <v>-309.67</v>
      </c>
      <c r="L102" s="8">
        <f>IFERROR(K102/K444, "NA")</f>
        <v>-3.2832712310501802E-3</v>
      </c>
      <c r="M102" s="9"/>
      <c r="N102" s="10">
        <f t="shared" si="25"/>
        <v>104.23000000000002</v>
      </c>
      <c r="O102" s="8">
        <f>IFERROR(N102/N444, "NA")</f>
        <v>-7.1415993537411E-3</v>
      </c>
      <c r="P102" s="9"/>
      <c r="Q102" s="7">
        <v>-426.77</v>
      </c>
      <c r="R102" s="8">
        <f>IFERROR(Q102/Q444, "NA")</f>
        <v>-2.5003773093205247E-3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-426.77</v>
      </c>
      <c r="X102" s="8">
        <f>IFERROR(W102/W444, "NA")</f>
        <v>1.6160437316724421E-2</v>
      </c>
      <c r="Y102" s="9"/>
      <c r="Z102" s="7">
        <v>-533.29</v>
      </c>
      <c r="AA102" s="8">
        <f>IFERROR(Z102/Z444, "NA")</f>
        <v>-2.8096263090058929E-3</v>
      </c>
      <c r="AB102" s="9"/>
      <c r="AC102" s="10">
        <f t="shared" si="27"/>
        <v>106.51999999999998</v>
      </c>
      <c r="AD102" s="8">
        <f>IFERROR(AC102/AC444, "NA")</f>
        <v>-5.5694052887390469E-3</v>
      </c>
    </row>
    <row r="103" spans="1:30" ht="16.5" customHeight="1" x14ac:dyDescent="0.45">
      <c r="A103" s="12" t="s">
        <v>98</v>
      </c>
      <c r="B103" s="7">
        <v>-64</v>
      </c>
      <c r="C103" s="8">
        <f>IFERROR(B103/B444, "NA")</f>
        <v>-8.0278214186038492E-4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-64</v>
      </c>
      <c r="I103" s="8">
        <f>IFERROR(H103/H444, "NA")</f>
        <v>3.1598961776612123E-3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-64</v>
      </c>
      <c r="O103" s="8">
        <f>IFERROR(N103/N444, "NA")</f>
        <v>4.3851324823892378E-3</v>
      </c>
      <c r="P103" s="9"/>
      <c r="Q103" s="7">
        <v>-74</v>
      </c>
      <c r="R103" s="8">
        <f>IFERROR(Q103/Q444, "NA")</f>
        <v>-4.3355418818032858E-4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-74</v>
      </c>
      <c r="X103" s="8">
        <f>IFERROR(W103/W444, "NA")</f>
        <v>2.8021472020938847E-3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-74</v>
      </c>
      <c r="AD103" s="8">
        <f>IFERROR(AC103/AC444, "NA")</f>
        <v>3.8690949245840174E-3</v>
      </c>
    </row>
    <row r="104" spans="1:30" ht="16.5" customHeight="1" x14ac:dyDescent="0.45">
      <c r="A104" s="12" t="s">
        <v>99</v>
      </c>
      <c r="B104" s="7">
        <v>-118.17</v>
      </c>
      <c r="C104" s="8">
        <f>IFERROR(B104/B444, "NA")</f>
        <v>-1.4822619641194014E-3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-118.17</v>
      </c>
      <c r="I104" s="8">
        <f>IFERROR(H104/H444, "NA")</f>
        <v>5.834452051784773E-3</v>
      </c>
      <c r="J104" s="9"/>
      <c r="K104" s="7">
        <v>-596.74</v>
      </c>
      <c r="L104" s="8">
        <f>IFERROR(K104/K444, "NA")</f>
        <v>-6.3269263229143429E-3</v>
      </c>
      <c r="M104" s="9"/>
      <c r="N104" s="10">
        <f t="shared" si="25"/>
        <v>478.57</v>
      </c>
      <c r="O104" s="8">
        <f>IFERROR(N104/N444, "NA")</f>
        <v>-3.2790513314015904E-2</v>
      </c>
      <c r="P104" s="9"/>
      <c r="Q104" s="7">
        <v>-590.72</v>
      </c>
      <c r="R104" s="8">
        <f>IFERROR(Q104/Q444, "NA")</f>
        <v>-3.4609341897551852E-3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-590.72</v>
      </c>
      <c r="X104" s="8">
        <f>IFERROR(W104/W444, "NA")</f>
        <v>2.236870804352567E-2</v>
      </c>
      <c r="Y104" s="9"/>
      <c r="Z104" s="7">
        <v>-1168.47</v>
      </c>
      <c r="AA104" s="8">
        <f>IFERROR(Z104/Z444, "NA")</f>
        <v>-6.1560577796023102E-3</v>
      </c>
      <c r="AB104" s="9"/>
      <c r="AC104" s="10">
        <f t="shared" si="27"/>
        <v>577.75</v>
      </c>
      <c r="AD104" s="8">
        <f>IFERROR(AC104/AC444, "NA")</f>
        <v>-3.0207697198356975E-2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-5</v>
      </c>
      <c r="L106" s="8">
        <f>IFERROR(K106/K444, "NA")</f>
        <v>-5.3012420173897703E-5</v>
      </c>
      <c r="M106" s="9"/>
      <c r="N106" s="10">
        <f t="shared" si="25"/>
        <v>5</v>
      </c>
      <c r="O106" s="8">
        <f>IFERROR(N106/N444, "NA")</f>
        <v>-3.4258847518665923E-4</v>
      </c>
      <c r="P106" s="9"/>
      <c r="Q106" s="7">
        <v>-33.99</v>
      </c>
      <c r="R106" s="8">
        <f>IFERROR(Q106/Q444, "NA")</f>
        <v>-1.9914198454391038E-4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-33.99</v>
      </c>
      <c r="X106" s="8">
        <f>IFERROR(W106/W444, "NA")</f>
        <v>1.2870943702590696E-3</v>
      </c>
      <c r="Y106" s="9"/>
      <c r="Z106" s="7">
        <v>-10</v>
      </c>
      <c r="AA106" s="8">
        <f>IFERROR(Z106/Z444, "NA")</f>
        <v>-5.2684773931742449E-5</v>
      </c>
      <c r="AB106" s="9"/>
      <c r="AC106" s="10">
        <f t="shared" si="27"/>
        <v>-23.990000000000002</v>
      </c>
      <c r="AD106" s="8">
        <f>IFERROR(AC106/AC444, "NA")</f>
        <v>1.2543187464968998E-3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-3614.05</v>
      </c>
      <c r="C118" s="15">
        <f>IFERROR(B118/B444, "NA")</f>
        <v>-4.5332731246726939E-2</v>
      </c>
      <c r="D118" s="2"/>
      <c r="E118" s="14">
        <f>IFERROR(E94+E95+E96+E97+E98+E99+E100+E101+E102+E103+E104+E105+E106+E107+E108+E109+E110+E111+E112+E113+E114+E115+E116+E117, "NA")</f>
        <v>-4698.8999999999996</v>
      </c>
      <c r="F118" s="15">
        <f>IFERROR(E118/E444, "NA")</f>
        <v>-4.7000007401733483E-2</v>
      </c>
      <c r="G118" s="2"/>
      <c r="H118" s="14">
        <f t="shared" si="24"/>
        <v>1084.8499999999995</v>
      </c>
      <c r="I118" s="15">
        <f>IFERROR(H118/H444, "NA")</f>
        <v>-5.3562708880246321E-2</v>
      </c>
      <c r="J118" s="2"/>
      <c r="K118" s="14">
        <f>IFERROR(K94+K95+K96+K97+K98+K99+K100+K101+K102+K103+K104+K105+K106+K107+K108+K109+K110+K111+K112+K113+K114+K115+K116+K117, "NA")</f>
        <v>-5856.11</v>
      </c>
      <c r="L118" s="15">
        <f>IFERROR(K118/K444, "NA")</f>
        <v>-6.2089312780912807E-2</v>
      </c>
      <c r="M118" s="2"/>
      <c r="N118" s="14">
        <f t="shared" si="25"/>
        <v>2242.0599999999995</v>
      </c>
      <c r="O118" s="15">
        <f>IFERROR(N118/N444, "NA")</f>
        <v>-0.15362078333540022</v>
      </c>
      <c r="P118" s="2"/>
      <c r="Q118" s="14">
        <f>IFERROR(Q94+Q95+Q96+Q97+Q98+Q99+Q100+Q101+Q102+Q103+Q104+Q105+Q106+Q107+Q108+Q109+Q110+Q111+Q112+Q113+Q114+Q115+Q116+Q117, "NA")</f>
        <v>-8517.4399999999987</v>
      </c>
      <c r="R118" s="15">
        <f>IFERROR(Q118/Q444, "NA")</f>
        <v>-4.9902321413171045E-2</v>
      </c>
      <c r="S118" s="2"/>
      <c r="T118" s="14">
        <f>IFERROR(T94+T95+T96+T97+T98+T99+T100+T101+T102+T103+T104+T105+T106+T107+T108+T109+T110+T111+T112+T113+T114+T115+T116+T117, "NA")</f>
        <v>-9263.26</v>
      </c>
      <c r="U118" s="15">
        <f>IFERROR(T118/T444, "NA")</f>
        <v>-4.7000018671619792E-2</v>
      </c>
      <c r="V118" s="2"/>
      <c r="W118" s="14">
        <f t="shared" si="26"/>
        <v>745.82000000000153</v>
      </c>
      <c r="X118" s="15">
        <f>IFERROR(W118/W444, "NA")</f>
        <v>-2.8241857111698181E-2</v>
      </c>
      <c r="Y118" s="2"/>
      <c r="Z118" s="14">
        <f>IFERROR(Z94+Z95+Z96+Z97+Z98+Z99+Z100+Z101+Z102+Z103+Z104+Z105+Z106+Z107+Z108+Z109+Z110+Z111+Z112+Z113+Z114+Z115+Z116+Z117, "NA")</f>
        <v>-10547.709999999997</v>
      </c>
      <c r="AA118" s="15">
        <f>IFERROR(Z118/Z444, "NA")</f>
        <v>-5.5570371684757904E-2</v>
      </c>
      <c r="AB118" s="2"/>
      <c r="AC118" s="14">
        <f t="shared" si="27"/>
        <v>2030.2699999999986</v>
      </c>
      <c r="AD118" s="15">
        <f>IFERROR(AC118/AC444, "NA")</f>
        <v>-0.10615280206128631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79722.749999999985</v>
      </c>
      <c r="C122" s="15">
        <f>IFERROR(B122/B444,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99976.58</v>
      </c>
      <c r="F122" s="15">
        <f>IFERROR(E122/E444, "NA")</f>
        <v>1</v>
      </c>
      <c r="G122" s="2"/>
      <c r="H122" s="14">
        <f t="shared" si="24"/>
        <v>-20253.830000000016</v>
      </c>
      <c r="I122" s="15">
        <f>IFERROR(H122/H444, "NA")</f>
        <v>1.0000000000000007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94317.51999999999</v>
      </c>
      <c r="L122" s="15">
        <f>IFERROR(K122/K444, "NA")</f>
        <v>0.99999999999999989</v>
      </c>
      <c r="M122" s="2"/>
      <c r="N122" s="14">
        <f t="shared" si="25"/>
        <v>-14594.770000000004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170682.24000000002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197090.56</v>
      </c>
      <c r="U122" s="15">
        <f>IFERROR(T122/T444, "NA")</f>
        <v>1</v>
      </c>
      <c r="V122" s="2"/>
      <c r="W122" s="14">
        <f t="shared" si="26"/>
        <v>-26408.319999999978</v>
      </c>
      <c r="X122" s="15">
        <f>IFERROR(W122/W444, "NA")</f>
        <v>0.99999999999999889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189808.16000000003</v>
      </c>
      <c r="AA122" s="15">
        <f>IFERROR(Z122/Z444, "NA")</f>
        <v>1.0000000000000002</v>
      </c>
      <c r="AB122" s="2"/>
      <c r="AC122" s="14">
        <f t="shared" si="27"/>
        <v>-19125.920000000013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79722.749999999985</v>
      </c>
      <c r="C124" s="15">
        <f>IFERROR(B124/B444,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99976.58</v>
      </c>
      <c r="F124" s="15">
        <f>IFERROR(E124/E444, "NA")</f>
        <v>1</v>
      </c>
      <c r="G124" s="2"/>
      <c r="H124" s="14">
        <f t="shared" si="24"/>
        <v>-20253.830000000016</v>
      </c>
      <c r="I124" s="15">
        <f>IFERROR(H124/H444, "NA")</f>
        <v>1.0000000000000007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94317.51999999999</v>
      </c>
      <c r="L124" s="15">
        <f>IFERROR(K124/K444, "NA")</f>
        <v>0.99999999999999989</v>
      </c>
      <c r="M124" s="2"/>
      <c r="N124" s="14">
        <f t="shared" si="25"/>
        <v>-14594.770000000004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170682.24000000002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197090.56</v>
      </c>
      <c r="U124" s="15">
        <f>IFERROR(T124/T444, "NA")</f>
        <v>1</v>
      </c>
      <c r="V124" s="2"/>
      <c r="W124" s="14">
        <f t="shared" si="26"/>
        <v>-26408.319999999978</v>
      </c>
      <c r="X124" s="15">
        <f>IFERROR(W124/W444, "NA")</f>
        <v>0.99999999999999889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189808.16000000003</v>
      </c>
      <c r="AA124" s="15">
        <f>IFERROR(Z124/Z444, "NA")</f>
        <v>1.0000000000000002</v>
      </c>
      <c r="AB124" s="2"/>
      <c r="AC124" s="14">
        <f t="shared" si="27"/>
        <v>-19125.920000000013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21494.959999999999</v>
      </c>
      <c r="F129" s="8">
        <f>IFERROR(E129/E444, "NA")</f>
        <v>0.21499995298899</v>
      </c>
      <c r="G129" s="9"/>
      <c r="H129" s="10">
        <f t="shared" ref="H129:H141" si="28">IFERROR(-(B129-E129), "NA")</f>
        <v>21494.959999999999</v>
      </c>
      <c r="I129" s="8">
        <f>IFERROR(H129/H444, "NA")</f>
        <v>-1.0612787803590726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43831.18</v>
      </c>
      <c r="U129" s="8">
        <f>IFERROR(T129/T444, "NA")</f>
        <v>0.22239106733473182</v>
      </c>
      <c r="V129" s="9"/>
      <c r="W129" s="10">
        <f t="shared" ref="W129:W141" si="30">IFERROR(-(Q129-T129), "NA")</f>
        <v>43831.18</v>
      </c>
      <c r="X129" s="8">
        <f>IFERROR(W129/W444, "NA")</f>
        <v>-1.6597488973172088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4138.46</v>
      </c>
      <c r="C130" s="8">
        <f>IFERROR(B130/B444, "NA")</f>
        <v>5.1910652856305133E-2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-4138.46</v>
      </c>
      <c r="I130" s="8">
        <f>IFERROR(H130/H444, "NA")</f>
        <v>0.20432974899068471</v>
      </c>
      <c r="J130" s="9"/>
      <c r="K130" s="7">
        <v>6043.25</v>
      </c>
      <c r="L130" s="8">
        <f>IFERROR(K130/K444, "NA")</f>
        <v>6.4073461643181451E-2</v>
      </c>
      <c r="M130" s="9"/>
      <c r="N130" s="10">
        <f t="shared" si="29"/>
        <v>1904.79</v>
      </c>
      <c r="O130" s="8">
        <f>IFERROR(N130/N444, "NA")</f>
        <v>-0.13051182033015932</v>
      </c>
      <c r="P130" s="9"/>
      <c r="Q130" s="7">
        <v>9243.9599999999991</v>
      </c>
      <c r="R130" s="8">
        <f>IFERROR(Q130/Q444, "NA")</f>
        <v>5.4158886126640944E-2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-9243.9599999999991</v>
      </c>
      <c r="X130" s="8">
        <f>IFERROR(W130/W444, "NA")</f>
        <v>0.3500396844630782</v>
      </c>
      <c r="Y130" s="9"/>
      <c r="Z130" s="7">
        <v>11798.54</v>
      </c>
      <c r="AA130" s="8">
        <f>IFERROR(Z130/Z444, "NA")</f>
        <v>6.216034126246206E-2</v>
      </c>
      <c r="AB130" s="9"/>
      <c r="AC130" s="10">
        <f t="shared" si="31"/>
        <v>2554.5800000000017</v>
      </c>
      <c r="AD130" s="8">
        <f>IFERROR(AC130/AC444, "NA")</f>
        <v>-0.1335663853032952</v>
      </c>
    </row>
    <row r="131" spans="1:30" ht="16.5" customHeight="1" x14ac:dyDescent="0.45">
      <c r="A131" s="12" t="s">
        <v>123</v>
      </c>
      <c r="B131" s="7">
        <v>2340.39</v>
      </c>
      <c r="C131" s="8">
        <f>IFERROR(B131/B444, "NA")</f>
        <v>2.9356614015447282E-2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-2340.39</v>
      </c>
      <c r="I131" s="8">
        <f>IFERROR(H131/H444, "NA")</f>
        <v>0.1155529596130707</v>
      </c>
      <c r="J131" s="9"/>
      <c r="K131" s="7">
        <v>3306.75</v>
      </c>
      <c r="L131" s="8">
        <f>IFERROR(K131/K444, "NA")</f>
        <v>3.5059764082007241E-2</v>
      </c>
      <c r="M131" s="9"/>
      <c r="N131" s="10">
        <f t="shared" si="29"/>
        <v>966.36000000000013</v>
      </c>
      <c r="O131" s="8">
        <f>IFERROR(N131/N444, "NA")</f>
        <v>-6.6212759776276012E-2</v>
      </c>
      <c r="P131" s="9"/>
      <c r="Q131" s="7">
        <v>5200.28</v>
      </c>
      <c r="R131" s="8">
        <f>IFERROR(Q131/Q444, "NA")</f>
        <v>3.046761045554593E-2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-5200.28</v>
      </c>
      <c r="X131" s="8">
        <f>IFERROR(W131/W444, "NA")</f>
        <v>0.19691824394736199</v>
      </c>
      <c r="Y131" s="9"/>
      <c r="Z131" s="7">
        <v>6269.84</v>
      </c>
      <c r="AA131" s="8">
        <f>IFERROR(Z131/Z444, "NA")</f>
        <v>3.3032510298819609E-2</v>
      </c>
      <c r="AB131" s="9"/>
      <c r="AC131" s="10">
        <f t="shared" si="31"/>
        <v>1069.5600000000004</v>
      </c>
      <c r="AD131" s="8">
        <f>IFERROR(AC131/AC444, "NA")</f>
        <v>-5.5922015777541668E-2</v>
      </c>
    </row>
    <row r="132" spans="1:30" ht="16.5" customHeight="1" x14ac:dyDescent="0.45">
      <c r="A132" s="12" t="s">
        <v>124</v>
      </c>
      <c r="B132" s="7">
        <v>2701.06</v>
      </c>
      <c r="C132" s="8">
        <f>IFERROR(B132/B444, "NA")</f>
        <v>3.3880667688959552E-2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-2701.06</v>
      </c>
      <c r="I132" s="8">
        <f>IFERROR(H132/H444, "NA")</f>
        <v>0.13336045577552491</v>
      </c>
      <c r="J132" s="9"/>
      <c r="K132" s="7">
        <v>3462.59</v>
      </c>
      <c r="L132" s="8">
        <f>IFERROR(K132/K444, "NA")</f>
        <v>3.6712055193987292E-2</v>
      </c>
      <c r="M132" s="9"/>
      <c r="N132" s="10">
        <f t="shared" si="29"/>
        <v>761.5300000000002</v>
      </c>
      <c r="O132" s="8">
        <f>IFERROR(N132/N444, "NA")</f>
        <v>-5.2178280301779338E-2</v>
      </c>
      <c r="P132" s="9"/>
      <c r="Q132" s="7">
        <v>5533.73</v>
      </c>
      <c r="R132" s="8">
        <f>IFERROR(Q132/Q444, "NA")</f>
        <v>3.2421240780528778E-2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-5533.73</v>
      </c>
      <c r="X132" s="8">
        <f>IFERROR(W132/W444, "NA")</f>
        <v>0.20954494644112151</v>
      </c>
      <c r="Y132" s="9"/>
      <c r="Z132" s="7">
        <v>7137.25</v>
      </c>
      <c r="AA132" s="8">
        <f>IFERROR(Z132/Z444, "NA")</f>
        <v>3.760244027443288E-2</v>
      </c>
      <c r="AB132" s="9"/>
      <c r="AC132" s="10">
        <f t="shared" si="31"/>
        <v>1603.5200000000004</v>
      </c>
      <c r="AD132" s="8">
        <f>IFERROR(AC132/AC444, "NA")</f>
        <v>-8.3840149911742781E-2</v>
      </c>
    </row>
    <row r="133" spans="1:30" ht="16.5" customHeight="1" x14ac:dyDescent="0.45">
      <c r="A133" s="12" t="s">
        <v>125</v>
      </c>
      <c r="B133" s="7">
        <v>2075.79</v>
      </c>
      <c r="C133" s="8">
        <f>IFERROR(B133/B444, "NA")</f>
        <v>2.6037611597693255E-2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-2075.79</v>
      </c>
      <c r="I133" s="8">
        <f>IFERROR(H133/H444, "NA")</f>
        <v>0.10248876385355263</v>
      </c>
      <c r="J133" s="9"/>
      <c r="K133" s="7">
        <v>2487.64</v>
      </c>
      <c r="L133" s="8">
        <f>IFERROR(K133/K444, "NA")</f>
        <v>2.6375163384278973E-2</v>
      </c>
      <c r="M133" s="9"/>
      <c r="N133" s="10">
        <f t="shared" si="29"/>
        <v>411.84999999999991</v>
      </c>
      <c r="O133" s="8">
        <f>IFERROR(N133/N444, "NA")</f>
        <v>-2.8219012701125114E-2</v>
      </c>
      <c r="P133" s="9"/>
      <c r="Q133" s="7">
        <v>4344.41</v>
      </c>
      <c r="R133" s="8">
        <f>IFERROR(Q133/Q444, "NA")</f>
        <v>2.5453204738817584E-2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-4344.41</v>
      </c>
      <c r="X133" s="8">
        <f>IFERROR(W133/W444, "NA")</f>
        <v>0.16450913954390126</v>
      </c>
      <c r="Y133" s="9"/>
      <c r="Z133" s="7">
        <v>4859.6400000000003</v>
      </c>
      <c r="AA133" s="8">
        <f>IFERROR(Z133/Z444, "NA")</f>
        <v>2.5602903478965291E-2</v>
      </c>
      <c r="AB133" s="9"/>
      <c r="AC133" s="10">
        <f t="shared" si="31"/>
        <v>515.23000000000047</v>
      </c>
      <c r="AD133" s="8">
        <f>IFERROR(AC133/AC444, "NA")</f>
        <v>-2.6938834837748987E-2</v>
      </c>
    </row>
    <row r="134" spans="1:30" ht="16.5" customHeight="1" x14ac:dyDescent="0.45">
      <c r="A134" s="12" t="s">
        <v>126</v>
      </c>
      <c r="B134" s="7">
        <v>1035.45</v>
      </c>
      <c r="C134" s="8">
        <f>IFERROR(B134/B444, "NA")</f>
        <v>1.2988137012333369E-2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-1035.45</v>
      </c>
      <c r="I134" s="8">
        <f>IFERROR(H134/H444, "NA")</f>
        <v>5.11236640181141E-2</v>
      </c>
      <c r="J134" s="9"/>
      <c r="K134" s="7">
        <v>1003.59</v>
      </c>
      <c r="L134" s="8">
        <f>IFERROR(K134/K444, "NA")</f>
        <v>1.0640546952464398E-2</v>
      </c>
      <c r="M134" s="9"/>
      <c r="N134" s="10">
        <f t="shared" si="29"/>
        <v>-31.860000000000014</v>
      </c>
      <c r="O134" s="8">
        <f>IFERROR(N134/N444, "NA")</f>
        <v>2.1829737638893935E-3</v>
      </c>
      <c r="P134" s="9"/>
      <c r="Q134" s="7">
        <v>2291.23</v>
      </c>
      <c r="R134" s="8">
        <f>IFERROR(Q134/Q444, "NA")</f>
        <v>1.3423950845735328E-2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-2291.23</v>
      </c>
      <c r="X134" s="8">
        <f>IFERROR(W134/W444, "NA")</f>
        <v>8.676167207910232E-2</v>
      </c>
      <c r="Y134" s="9"/>
      <c r="Z134" s="7">
        <v>1930.05</v>
      </c>
      <c r="AA134" s="8">
        <f>IFERROR(Z134/Z444, "NA")</f>
        <v>1.0168424792695951E-2</v>
      </c>
      <c r="AB134" s="9"/>
      <c r="AC134" s="10">
        <f t="shared" si="31"/>
        <v>-361.18000000000006</v>
      </c>
      <c r="AD134" s="8">
        <f>IFERROR(AC134/AC444, "NA")</f>
        <v>1.8884320335962913E-2</v>
      </c>
    </row>
    <row r="135" spans="1:30" ht="16.5" customHeight="1" x14ac:dyDescent="0.45">
      <c r="A135" s="12" t="s">
        <v>127</v>
      </c>
      <c r="B135" s="7">
        <v>523.92999999999995</v>
      </c>
      <c r="C135" s="8">
        <f>IFERROR(B135/B444, "NA")</f>
        <v>6.5719007435142409E-3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-523.92999999999995</v>
      </c>
      <c r="I135" s="8">
        <f>IFERROR(H135/H444, "NA")</f>
        <v>2.5868193818156856E-2</v>
      </c>
      <c r="J135" s="9"/>
      <c r="K135" s="7">
        <v>756.57</v>
      </c>
      <c r="L135" s="8">
        <f>IFERROR(K135/K444, "NA")</f>
        <v>8.0215213461931577E-3</v>
      </c>
      <c r="M135" s="9"/>
      <c r="N135" s="10">
        <f t="shared" si="29"/>
        <v>232.6400000000001</v>
      </c>
      <c r="O135" s="8">
        <f>IFERROR(N135/N444, "NA")</f>
        <v>-1.5939956573484886E-2</v>
      </c>
      <c r="P135" s="9"/>
      <c r="Q135" s="7">
        <v>1236.81</v>
      </c>
      <c r="R135" s="8">
        <f>IFERROR(Q135/Q444, "NA")</f>
        <v>7.2462723713961098E-3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-1236.81</v>
      </c>
      <c r="X135" s="8">
        <f>IFERROR(W135/W444, "NA")</f>
        <v>4.6834103797591051E-2</v>
      </c>
      <c r="Y135" s="9"/>
      <c r="Z135" s="7">
        <v>1553.67</v>
      </c>
      <c r="AA135" s="8">
        <f>IFERROR(Z135/Z444, "NA")</f>
        <v>8.1854752714530295E-3</v>
      </c>
      <c r="AB135" s="9"/>
      <c r="AC135" s="10">
        <f t="shared" si="31"/>
        <v>316.86000000000013</v>
      </c>
      <c r="AD135" s="8">
        <f>IFERROR(AC135/AC444, "NA")</f>
        <v>-1.6567046186536382E-2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922.33</v>
      </c>
      <c r="L136" s="8">
        <f>IFERROR(K136/K444, "NA")</f>
        <v>9.7789890997982132E-3</v>
      </c>
      <c r="M136" s="9"/>
      <c r="N136" s="10">
        <f t="shared" si="29"/>
        <v>922.33</v>
      </c>
      <c r="O136" s="8">
        <f>IFERROR(N136/N444, "NA")</f>
        <v>-6.3195925663782279E-2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1661.41</v>
      </c>
      <c r="AA136" s="8">
        <f>IFERROR(Z136/Z444, "NA")</f>
        <v>8.7531010257936234E-3</v>
      </c>
      <c r="AB136" s="9"/>
      <c r="AC136" s="10">
        <f t="shared" si="31"/>
        <v>1661.41</v>
      </c>
      <c r="AD136" s="8">
        <f>IFERROR(AC136/AC444, "NA")</f>
        <v>-8.6866932414231518E-2</v>
      </c>
    </row>
    <row r="137" spans="1:30" ht="16.5" customHeight="1" x14ac:dyDescent="0.45">
      <c r="A137" s="12" t="s">
        <v>129</v>
      </c>
      <c r="B137" s="7">
        <v>296.01</v>
      </c>
      <c r="C137" s="8">
        <f>IFERROR(B137/B444, "NA")</f>
        <v>3.7129928408139458E-3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-296.01</v>
      </c>
      <c r="I137" s="8">
        <f>IFERROR(H137/H444, "NA")</f>
        <v>1.4615013555460866E-2</v>
      </c>
      <c r="J137" s="9"/>
      <c r="K137" s="7">
        <v>466.1</v>
      </c>
      <c r="L137" s="8">
        <f>IFERROR(K137/K444, "NA")</f>
        <v>4.9418178086107437E-3</v>
      </c>
      <c r="M137" s="9"/>
      <c r="N137" s="10">
        <f t="shared" si="29"/>
        <v>170.09000000000003</v>
      </c>
      <c r="O137" s="8">
        <f>IFERROR(N137/N444, "NA")</f>
        <v>-1.1654174748899775E-2</v>
      </c>
      <c r="P137" s="9"/>
      <c r="Q137" s="7">
        <v>875.3</v>
      </c>
      <c r="R137" s="8">
        <f>IFERROR(Q137/Q444, "NA")</f>
        <v>5.1282429853275885E-3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-875.3</v>
      </c>
      <c r="X137" s="8">
        <f>IFERROR(W137/W444, "NA")</f>
        <v>3.3144857378280775E-2</v>
      </c>
      <c r="Y137" s="9"/>
      <c r="Z137" s="7">
        <v>1000.07</v>
      </c>
      <c r="AA137" s="8">
        <f>IFERROR(Z137/Z444, "NA")</f>
        <v>5.268846186591767E-3</v>
      </c>
      <c r="AB137" s="9"/>
      <c r="AC137" s="10">
        <f t="shared" si="31"/>
        <v>124.7700000000001</v>
      </c>
      <c r="AD137" s="8">
        <f>IFERROR(AC137/AC444, "NA")</f>
        <v>-6.5236077532479491E-3</v>
      </c>
    </row>
    <row r="138" spans="1:30" ht="16.5" customHeight="1" x14ac:dyDescent="0.45">
      <c r="A138" s="12" t="s">
        <v>130</v>
      </c>
      <c r="B138" s="7">
        <v>6172.4</v>
      </c>
      <c r="C138" s="8">
        <f>IFERROR(B138/B444, "NA")</f>
        <v>7.742332019404749E-2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-6172.4</v>
      </c>
      <c r="I138" s="8">
        <f>IFERROR(H138/H444, "NA")</f>
        <v>0.30475223698431353</v>
      </c>
      <c r="J138" s="9"/>
      <c r="K138" s="7">
        <v>5288.72</v>
      </c>
      <c r="L138" s="8">
        <f>IFERROR(K138/K444, "NA")</f>
        <v>5.6073569364419248E-2</v>
      </c>
      <c r="M138" s="9"/>
      <c r="N138" s="10">
        <f t="shared" si="29"/>
        <v>-883.67999999999938</v>
      </c>
      <c r="O138" s="8">
        <f>IFERROR(N138/N444, "NA")</f>
        <v>6.0547716750589363E-2</v>
      </c>
      <c r="P138" s="9"/>
      <c r="Q138" s="7">
        <v>13460.16</v>
      </c>
      <c r="R138" s="8">
        <f>IFERROR(Q138/Q444, "NA")</f>
        <v>7.8860928940234207E-2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-13460.16</v>
      </c>
      <c r="X138" s="8">
        <f>IFERROR(W138/W444, "NA")</f>
        <v>0.5096939146450814</v>
      </c>
      <c r="Y138" s="9"/>
      <c r="Z138" s="7">
        <v>10425.68</v>
      </c>
      <c r="AA138" s="8">
        <f>IFERROR(Z138/Z444, "NA")</f>
        <v>5.4927459388468866E-2</v>
      </c>
      <c r="AB138" s="9"/>
      <c r="AC138" s="10">
        <f t="shared" si="31"/>
        <v>-3034.4799999999996</v>
      </c>
      <c r="AD138" s="8">
        <f>IFERROR(AC138/AC444, "NA")</f>
        <v>0.15865798873988793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19283.490000000002</v>
      </c>
      <c r="C141" s="15">
        <f>IFERROR(B141/B444, "NA")</f>
        <v>0.2418818969491143</v>
      </c>
      <c r="D141" s="2"/>
      <c r="E141" s="14">
        <f>IFERROR(E129+E130+E131+E132+E133+E134+E135+E136+E137+E138+E139+E140, "NA")</f>
        <v>21494.959999999999</v>
      </c>
      <c r="F141" s="15">
        <f>IFERROR(E141/E444, "NA")</f>
        <v>0.21499995298899</v>
      </c>
      <c r="G141" s="2"/>
      <c r="H141" s="14">
        <f t="shared" si="28"/>
        <v>2211.4699999999975</v>
      </c>
      <c r="I141" s="15">
        <f>IFERROR(H141/H444, "NA")</f>
        <v>-0.10918774375019427</v>
      </c>
      <c r="J141" s="2"/>
      <c r="K141" s="14">
        <f>IFERROR(K129+K130+K131+K132+K133+K134+K135+K136+K137+K138+K139+K140, "NA")</f>
        <v>23737.54</v>
      </c>
      <c r="L141" s="15">
        <f>IFERROR(K141/K444, "NA")</f>
        <v>0.25167688887494072</v>
      </c>
      <c r="M141" s="2"/>
      <c r="N141" s="14">
        <f t="shared" si="29"/>
        <v>4454.0499999999993</v>
      </c>
      <c r="O141" s="15">
        <f>IFERROR(N141/N444, "NA")</f>
        <v>-0.30518123958102789</v>
      </c>
      <c r="P141" s="2"/>
      <c r="Q141" s="14">
        <f>IFERROR(Q129+Q130+Q131+Q132+Q133+Q134+Q135+Q136+Q137+Q138+Q139+Q140, "NA")</f>
        <v>42185.88</v>
      </c>
      <c r="R141" s="15">
        <f>IFERROR(Q141/Q444, "NA")</f>
        <v>0.24716033724422645</v>
      </c>
      <c r="S141" s="2"/>
      <c r="T141" s="14">
        <f>IFERROR(T129+T130+T131+T132+T133+T134+T135+T136+T137+T138+T139+T140, "NA")</f>
        <v>43831.18</v>
      </c>
      <c r="U141" s="15">
        <f>IFERROR(T141/T444, "NA")</f>
        <v>0.22239106733473182</v>
      </c>
      <c r="V141" s="2"/>
      <c r="W141" s="14">
        <f t="shared" si="30"/>
        <v>1645.3000000000029</v>
      </c>
      <c r="X141" s="15">
        <f>IFERROR(W141/W444, "NA")</f>
        <v>-6.2302335021690226E-2</v>
      </c>
      <c r="Y141" s="2"/>
      <c r="Z141" s="14">
        <f>IFERROR(Z129+Z130+Z131+Z132+Z133+Z134+Z135+Z136+Z137+Z138+Z139+Z140, "NA")</f>
        <v>46636.15</v>
      </c>
      <c r="AA141" s="15">
        <f>IFERROR(Z141/Z444, "NA")</f>
        <v>0.24570150197968307</v>
      </c>
      <c r="AB141" s="2"/>
      <c r="AC141" s="14">
        <f t="shared" si="31"/>
        <v>4450.2700000000041</v>
      </c>
      <c r="AD141" s="15">
        <f>IFERROR(AC141/AC444, "NA")</f>
        <v>-0.23268266310849367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1099.74</v>
      </c>
      <c r="F143" s="8">
        <f>IFERROR(E143/E444, "NA")</f>
        <v>1.0999976194424735E-2</v>
      </c>
      <c r="G143" s="9"/>
      <c r="H143" s="10">
        <f t="shared" ref="H143:H149" si="32">IFERROR(-(B143-E143), "NA")</f>
        <v>1099.74</v>
      </c>
      <c r="I143" s="8">
        <f>IFERROR(H143/H444, "NA")</f>
        <v>-5.4297878475330338E-2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2167.9899999999998</v>
      </c>
      <c r="U143" s="8">
        <f>IFERROR(T143/T444, "NA")</f>
        <v>1.0999968745332094E-2</v>
      </c>
      <c r="V143" s="9"/>
      <c r="W143" s="10">
        <f t="shared" ref="W143:W149" si="34">IFERROR(-(Q143-T143), "NA")</f>
        <v>2167.9899999999998</v>
      </c>
      <c r="X143" s="8">
        <f>IFERROR(W143/W444, "NA")</f>
        <v>-8.2094960981993523E-2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1001.87</v>
      </c>
      <c r="C144" s="8">
        <f>IFERROR(B144/B444, "NA")</f>
        <v>1.2566927257275998E-2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-1001.87</v>
      </c>
      <c r="I144" s="8">
        <f>IFERROR(H144/H444, "NA")</f>
        <v>4.9465705992397482E-2</v>
      </c>
      <c r="J144" s="9"/>
      <c r="K144" s="7">
        <v>1390.23</v>
      </c>
      <c r="L144" s="8">
        <f>IFERROR(K144/K444, "NA")</f>
        <v>1.473989137967156E-2</v>
      </c>
      <c r="M144" s="9"/>
      <c r="N144" s="10">
        <f t="shared" si="33"/>
        <v>388.36</v>
      </c>
      <c r="O144" s="8">
        <f>IFERROR(N144/N444, "NA")</f>
        <v>-2.6609532044698198E-2</v>
      </c>
      <c r="P144" s="9"/>
      <c r="Q144" s="7">
        <v>2136.23</v>
      </c>
      <c r="R144" s="8">
        <f>IFERROR(Q144/Q444, "NA")</f>
        <v>1.2515830586708963E-2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-2136.23</v>
      </c>
      <c r="X144" s="8">
        <f>IFERROR(W144/W444, "NA")</f>
        <v>8.0892309696338108E-2</v>
      </c>
      <c r="Y144" s="9"/>
      <c r="Z144" s="7">
        <v>2375.09</v>
      </c>
      <c r="AA144" s="8">
        <f>IFERROR(Z144/Z444, "NA")</f>
        <v>1.2513107971754218E-2</v>
      </c>
      <c r="AB144" s="9"/>
      <c r="AC144" s="10">
        <f t="shared" si="35"/>
        <v>238.86000000000013</v>
      </c>
      <c r="AD144" s="8">
        <f>IFERROR(AC144/AC444, "NA")</f>
        <v>-1.2488810995758633E-2</v>
      </c>
    </row>
    <row r="145" spans="1:30" ht="16.5" customHeight="1" x14ac:dyDescent="0.45">
      <c r="A145" s="12" t="s">
        <v>136</v>
      </c>
      <c r="B145" s="7">
        <v>27.65</v>
      </c>
      <c r="C145" s="8">
        <f>IFERROR(B145/B444, "NA")</f>
        <v>3.468269722256194E-4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-27.65</v>
      </c>
      <c r="I145" s="8">
        <f>IFERROR(H145/H444, "NA")</f>
        <v>1.3651738955051955E-3</v>
      </c>
      <c r="J145" s="9"/>
      <c r="K145" s="7">
        <v>39.25</v>
      </c>
      <c r="L145" s="8">
        <f>IFERROR(K145/K444, "NA")</f>
        <v>4.1614749836509692E-4</v>
      </c>
      <c r="M145" s="9"/>
      <c r="N145" s="10">
        <f t="shared" si="33"/>
        <v>11.600000000000001</v>
      </c>
      <c r="O145" s="8">
        <f>IFERROR(N145/N444, "NA")</f>
        <v>-7.9480526243304957E-4</v>
      </c>
      <c r="P145" s="9"/>
      <c r="Q145" s="7">
        <v>63.76</v>
      </c>
      <c r="R145" s="8">
        <f>IFERROR(Q145/Q444, "NA")</f>
        <v>3.735596626807804E-4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-63.76</v>
      </c>
      <c r="X145" s="8">
        <f>IFERROR(W145/W444, "NA")</f>
        <v>2.4143906162906229E-3</v>
      </c>
      <c r="Y145" s="9"/>
      <c r="Z145" s="7">
        <v>60.81</v>
      </c>
      <c r="AA145" s="8">
        <f>IFERROR(Z145/Z444, "NA")</f>
        <v>3.2037611027892584E-4</v>
      </c>
      <c r="AB145" s="9"/>
      <c r="AC145" s="10">
        <f t="shared" si="35"/>
        <v>-2.9499999999999957</v>
      </c>
      <c r="AD145" s="8">
        <f>IFERROR(AC145/AC444, "NA")</f>
        <v>1.5424094631787615E-4</v>
      </c>
    </row>
    <row r="146" spans="1:30" ht="16.5" customHeight="1" x14ac:dyDescent="0.45">
      <c r="A146" s="12" t="s">
        <v>137</v>
      </c>
      <c r="B146" s="7">
        <v>0</v>
      </c>
      <c r="C146" s="8">
        <f>IFERROR(B146/B444, "NA")</f>
        <v>0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0</v>
      </c>
      <c r="I146" s="8">
        <f>IFERROR(H146/H444, "NA")</f>
        <v>0</v>
      </c>
      <c r="J146" s="9"/>
      <c r="K146" s="7">
        <v>87.29</v>
      </c>
      <c r="L146" s="8">
        <f>IFERROR(K146/K444, "NA")</f>
        <v>9.2549083139590606E-4</v>
      </c>
      <c r="M146" s="9"/>
      <c r="N146" s="10">
        <f t="shared" si="33"/>
        <v>87.29</v>
      </c>
      <c r="O146" s="8">
        <f>IFERROR(N146/N444, "NA")</f>
        <v>-5.980909599808697E-3</v>
      </c>
      <c r="P146" s="9"/>
      <c r="Q146" s="7">
        <v>0</v>
      </c>
      <c r="R146" s="8">
        <f>IFERROR(Q146/Q444, "NA")</f>
        <v>0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0</v>
      </c>
      <c r="X146" s="8">
        <f>IFERROR(W146/W444, "NA")</f>
        <v>0</v>
      </c>
      <c r="Y146" s="9"/>
      <c r="Z146" s="7">
        <v>145.28</v>
      </c>
      <c r="AA146" s="8">
        <f>IFERROR(Z146/Z444, "NA")</f>
        <v>7.6540439568035428E-4</v>
      </c>
      <c r="AB146" s="9"/>
      <c r="AC146" s="10">
        <f t="shared" si="35"/>
        <v>145.28</v>
      </c>
      <c r="AD146" s="8">
        <f>IFERROR(AC146/AC444, "NA")</f>
        <v>-7.5959744681562977E-3</v>
      </c>
    </row>
    <row r="147" spans="1:30" ht="16.5" customHeight="1" x14ac:dyDescent="0.45">
      <c r="A147" s="12" t="s">
        <v>138</v>
      </c>
      <c r="B147" s="7">
        <v>11.85</v>
      </c>
      <c r="C147" s="8">
        <f>IFERROR(B147/B444, "NA")</f>
        <v>1.486401309538369E-4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-11.85</v>
      </c>
      <c r="I147" s="8">
        <f>IFERROR(H147/H444, "NA")</f>
        <v>5.8507452664508387E-4</v>
      </c>
      <c r="J147" s="9"/>
      <c r="K147" s="7">
        <v>5.94</v>
      </c>
      <c r="L147" s="8">
        <f>IFERROR(K147/K444, "NA")</f>
        <v>6.2978755166590467E-5</v>
      </c>
      <c r="M147" s="9"/>
      <c r="N147" s="10">
        <f t="shared" si="33"/>
        <v>-5.9099999999999993</v>
      </c>
      <c r="O147" s="8">
        <f>IFERROR(N147/N444, "NA")</f>
        <v>4.0493957767063116E-4</v>
      </c>
      <c r="P147" s="9"/>
      <c r="Q147" s="7">
        <v>23.44</v>
      </c>
      <c r="R147" s="8">
        <f>IFERROR(Q147/Q444, "NA")</f>
        <v>1.3733121852630949E-4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-23.44</v>
      </c>
      <c r="X147" s="8">
        <f>IFERROR(W147/W444, "NA")</f>
        <v>8.8759905969027929E-4</v>
      </c>
      <c r="Y147" s="9"/>
      <c r="Z147" s="7">
        <v>20.48</v>
      </c>
      <c r="AA147" s="8">
        <f>IFERROR(Z147/Z444, "NA")</f>
        <v>1.0789841701220854E-4</v>
      </c>
      <c r="AB147" s="9"/>
      <c r="AC147" s="10">
        <f t="shared" si="35"/>
        <v>-2.9600000000000009</v>
      </c>
      <c r="AD147" s="8">
        <f>IFERROR(AC147/AC444, "NA")</f>
        <v>1.5476379698336074E-4</v>
      </c>
    </row>
    <row r="148" spans="1:30" ht="16.5" customHeight="1" x14ac:dyDescent="0.45">
      <c r="A148" s="13" t="s">
        <v>139</v>
      </c>
      <c r="B148" s="14">
        <f>IFERROR(B143+B144+B145+B146+B147, "NA")</f>
        <v>1041.3699999999999</v>
      </c>
      <c r="C148" s="15">
        <f>IFERROR(B148/B444, "NA")</f>
        <v>1.3062394360455452E-2</v>
      </c>
      <c r="D148" s="2"/>
      <c r="E148" s="14">
        <f>IFERROR(E143+E144+E145+E146+E147, "NA")</f>
        <v>1099.74</v>
      </c>
      <c r="F148" s="15">
        <f>IFERROR(E148/E444, "NA")</f>
        <v>1.0999976194424735E-2</v>
      </c>
      <c r="G148" s="2"/>
      <c r="H148" s="14">
        <f t="shared" si="32"/>
        <v>58.370000000000118</v>
      </c>
      <c r="I148" s="15">
        <f>IFERROR(H148/H444, "NA")</f>
        <v>-2.8819240607825835E-3</v>
      </c>
      <c r="J148" s="2"/>
      <c r="K148" s="14">
        <f>IFERROR(K143+K144+K145+K146+K147, "NA")</f>
        <v>1522.71</v>
      </c>
      <c r="L148" s="15">
        <f>IFERROR(K148/K444, "NA")</f>
        <v>1.6144508464599153E-2</v>
      </c>
      <c r="M148" s="2"/>
      <c r="N148" s="14">
        <f t="shared" si="33"/>
        <v>481.34000000000015</v>
      </c>
      <c r="O148" s="15">
        <f>IFERROR(N148/N444, "NA")</f>
        <v>-3.2980307329269321E-2</v>
      </c>
      <c r="P148" s="2"/>
      <c r="Q148" s="14">
        <f>IFERROR(Q143+Q144+Q145+Q146+Q147, "NA")</f>
        <v>2223.4300000000003</v>
      </c>
      <c r="R148" s="15">
        <f>IFERROR(Q148/Q444, "NA")</f>
        <v>1.3026721467916055E-2</v>
      </c>
      <c r="S148" s="2"/>
      <c r="T148" s="14">
        <f>IFERROR(T143+T144+T145+T146+T147, "NA")</f>
        <v>2167.9899999999998</v>
      </c>
      <c r="U148" s="15">
        <f>IFERROR(T148/T444, "NA")</f>
        <v>1.0999968745332094E-2</v>
      </c>
      <c r="V148" s="2"/>
      <c r="W148" s="14">
        <f t="shared" si="34"/>
        <v>-55.440000000000509</v>
      </c>
      <c r="X148" s="15">
        <f>IFERROR(W148/W444, "NA")</f>
        <v>2.0993383903254921E-3</v>
      </c>
      <c r="Y148" s="2"/>
      <c r="Z148" s="14">
        <f>IFERROR(Z143+Z144+Z145+Z146+Z147, "NA")</f>
        <v>2601.6600000000003</v>
      </c>
      <c r="AA148" s="15">
        <f>IFERROR(Z148/Z444, "NA")</f>
        <v>1.3706786894725707E-2</v>
      </c>
      <c r="AB148" s="2"/>
      <c r="AC148" s="14">
        <f t="shared" si="35"/>
        <v>378.23</v>
      </c>
      <c r="AD148" s="15">
        <f>IFERROR(AC148/AC444, "NA")</f>
        <v>-1.977578072061369E-2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20324.86</v>
      </c>
      <c r="C149" s="15">
        <f>IFERROR(B149/B444, "NA")</f>
        <v>0.25494429130956975</v>
      </c>
      <c r="D149" s="2"/>
      <c r="E149" s="14">
        <f>IFERROR(E127+E129+E130+E131+E132+E133+E134+E135+E136+E137+E138+E139+E140+E143+E144+E145+E146+E147, "NA")</f>
        <v>22594.7</v>
      </c>
      <c r="F149" s="15">
        <f>IFERROR(E149/E444, "NA")</f>
        <v>0.22599992918341477</v>
      </c>
      <c r="G149" s="2"/>
      <c r="H149" s="14">
        <f t="shared" si="32"/>
        <v>2269.84</v>
      </c>
      <c r="I149" s="15">
        <f>IFERROR(H149/H444, "NA")</f>
        <v>-0.11206966781097698</v>
      </c>
      <c r="J149" s="2"/>
      <c r="K149" s="14">
        <f>IFERROR(K127+K129+K130+K131+K132+K133+K134+K135+K136+K137+K138+K139+K140+K143+K144+K145+K146+K147, "NA")</f>
        <v>25260.25</v>
      </c>
      <c r="L149" s="15">
        <f>IFERROR(K149/K444, "NA")</f>
        <v>0.26782139733953986</v>
      </c>
      <c r="M149" s="2"/>
      <c r="N149" s="14">
        <f t="shared" si="33"/>
        <v>4935.3899999999994</v>
      </c>
      <c r="O149" s="15">
        <f>IFERROR(N149/N444, "NA")</f>
        <v>-0.33816154691029721</v>
      </c>
      <c r="P149" s="2"/>
      <c r="Q149" s="14">
        <f>IFERROR(Q127+Q129+Q130+Q131+Q132+Q133+Q134+Q135+Q136+Q137+Q138+Q139+Q140+Q143+Q144+Q145+Q146+Q147, "NA")</f>
        <v>44409.310000000005</v>
      </c>
      <c r="R149" s="15">
        <f>IFERROR(Q149/Q444, "NA")</f>
        <v>0.26018705871214254</v>
      </c>
      <c r="S149" s="2"/>
      <c r="T149" s="14">
        <f>IFERROR(T127+T129+T130+T131+T132+T133+T134+T135+T136+T137+T138+T139+T140+T143+T144+T145+T146+T147, "NA")</f>
        <v>45999.17</v>
      </c>
      <c r="U149" s="15">
        <f>IFERROR(T149/T444, "NA")</f>
        <v>0.2333910360800639</v>
      </c>
      <c r="V149" s="2"/>
      <c r="W149" s="14">
        <f t="shared" si="34"/>
        <v>1589.8599999999933</v>
      </c>
      <c r="X149" s="15">
        <f>IFERROR(W149/W444, "NA")</f>
        <v>-6.0202996631364393E-2</v>
      </c>
      <c r="Y149" s="2"/>
      <c r="Z149" s="14">
        <f>IFERROR(Z127+Z129+Z130+Z131+Z132+Z133+Z134+Z135+Z136+Z137+Z138+Z139+Z140+Z143+Z144+Z145+Z146+Z147, "NA")</f>
        <v>49237.810000000005</v>
      </c>
      <c r="AA149" s="15">
        <f>IFERROR(Z149/Z444, "NA")</f>
        <v>0.25940828887440881</v>
      </c>
      <c r="AB149" s="2"/>
      <c r="AC149" s="14">
        <f t="shared" si="35"/>
        <v>4828.5</v>
      </c>
      <c r="AD149" s="15">
        <f>IFERROR(AC149/AC444, "NA")</f>
        <v>-0.25245844382910715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4099.04</v>
      </c>
      <c r="F153" s="8">
        <f>IFERROR(E153/E444, "NA")</f>
        <v>4.1000002200515362E-2</v>
      </c>
      <c r="G153" s="9"/>
      <c r="H153" s="10">
        <f t="shared" ref="H153:H158" si="36">IFERROR(-(B153-E153), "NA")</f>
        <v>4099.04</v>
      </c>
      <c r="I153" s="8">
        <f>IFERROR(H153/H444, "NA")</f>
        <v>-0.2023834504387565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8080.71</v>
      </c>
      <c r="U153" s="8">
        <f>IFERROR(T153/T444, "NA")</f>
        <v>4.0999984981523213E-2</v>
      </c>
      <c r="V153" s="9"/>
      <c r="W153" s="10">
        <f t="shared" ref="W153:W158" si="38">IFERROR(-(Q153-T153), "NA")</f>
        <v>8080.71</v>
      </c>
      <c r="X153" s="8">
        <f>IFERROR(W153/W444, "NA")</f>
        <v>-0.30599106645178481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2797.15</v>
      </c>
      <c r="C154" s="8">
        <f>IFERROR(B154/B444, "NA")</f>
        <v>3.508596981413712E-2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-2797.15</v>
      </c>
      <c r="I154" s="8">
        <f>IFERROR(H154/H444, "NA")</f>
        <v>0.13810474364601658</v>
      </c>
      <c r="J154" s="9"/>
      <c r="K154" s="7">
        <v>3766.5</v>
      </c>
      <c r="L154" s="8">
        <f>IFERROR(K154/K444, "NA")</f>
        <v>3.9934256116997136E-2</v>
      </c>
      <c r="M154" s="9"/>
      <c r="N154" s="10">
        <f t="shared" si="37"/>
        <v>969.34999999999991</v>
      </c>
      <c r="O154" s="8">
        <f>IFERROR(N154/N444, "NA")</f>
        <v>-6.6417627684437625E-2</v>
      </c>
      <c r="P154" s="9"/>
      <c r="Q154" s="7">
        <v>5978.03</v>
      </c>
      <c r="R154" s="8">
        <f>IFERROR(Q154/Q444, "NA")</f>
        <v>3.5024323561724996E-2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-5978.03</v>
      </c>
      <c r="X154" s="8">
        <f>IFERROR(W154/W444, "NA")</f>
        <v>0.22636918970990955</v>
      </c>
      <c r="Y154" s="9"/>
      <c r="Z154" s="7">
        <v>6435.77</v>
      </c>
      <c r="AA154" s="8">
        <f>IFERROR(Z154/Z444, "NA")</f>
        <v>3.3906708752669011E-2</v>
      </c>
      <c r="AB154" s="9"/>
      <c r="AC154" s="10">
        <f t="shared" si="39"/>
        <v>457.74000000000069</v>
      </c>
      <c r="AD154" s="8">
        <f>IFERROR(AC154/AC444, "NA")</f>
        <v>-2.3932966361879606E-2</v>
      </c>
    </row>
    <row r="155" spans="1:30" ht="16.5" customHeight="1" x14ac:dyDescent="0.45">
      <c r="A155" s="12" t="s">
        <v>144</v>
      </c>
      <c r="B155" s="7">
        <v>818.63</v>
      </c>
      <c r="C155" s="8">
        <f>IFERROR(B155/B444, "NA")</f>
        <v>1.0268461637361982E-2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-818.63</v>
      </c>
      <c r="I155" s="8">
        <f>IFERROR(H155/H444, "NA")</f>
        <v>4.0418528248731225E-2</v>
      </c>
      <c r="J155" s="9"/>
      <c r="K155" s="7">
        <v>797.72</v>
      </c>
      <c r="L155" s="8">
        <f>IFERROR(K155/K444, "NA")</f>
        <v>8.4578135642243354E-3</v>
      </c>
      <c r="M155" s="9"/>
      <c r="N155" s="10">
        <f t="shared" si="37"/>
        <v>-20.909999999999968</v>
      </c>
      <c r="O155" s="8">
        <f>IFERROR(N155/N444, "NA")</f>
        <v>1.4327050032306068E-3</v>
      </c>
      <c r="P155" s="9"/>
      <c r="Q155" s="7">
        <v>1542.9</v>
      </c>
      <c r="R155" s="8">
        <f>IFERROR(Q155/Q444, "NA")</f>
        <v>9.039604823559852E-3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-1542.9</v>
      </c>
      <c r="X155" s="8">
        <f>IFERROR(W155/W444, "NA")</f>
        <v>5.8424769163657499E-2</v>
      </c>
      <c r="Y155" s="9"/>
      <c r="Z155" s="7">
        <v>1678.43</v>
      </c>
      <c r="AA155" s="8">
        <f>IFERROR(Z155/Z444, "NA")</f>
        <v>8.8427705110254474E-3</v>
      </c>
      <c r="AB155" s="9"/>
      <c r="AC155" s="10">
        <f t="shared" si="39"/>
        <v>135.52999999999997</v>
      </c>
      <c r="AD155" s="8">
        <f>IFERROR(AC155/AC444, "NA")</f>
        <v>-7.0861950693090784E-3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3615.78</v>
      </c>
      <c r="C158" s="15">
        <f>IFERROR(B158/B444, "NA")</f>
        <v>4.5354431451499103E-2</v>
      </c>
      <c r="D158" s="2"/>
      <c r="E158" s="14">
        <f>IFERROR(E153+E154+E155+E156+E157, "NA")</f>
        <v>4099.04</v>
      </c>
      <c r="F158" s="15">
        <f>IFERROR(E158/E444, "NA")</f>
        <v>4.1000002200515362E-2</v>
      </c>
      <c r="G158" s="2"/>
      <c r="H158" s="14">
        <f t="shared" si="36"/>
        <v>483.25999999999976</v>
      </c>
      <c r="I158" s="15">
        <f>IFERROR(H158/H444, "NA")</f>
        <v>-2.3860178544008698E-2</v>
      </c>
      <c r="J158" s="2"/>
      <c r="K158" s="14">
        <f>IFERROR(K153+K154+K155+K156+K157, "NA")</f>
        <v>4564.22</v>
      </c>
      <c r="L158" s="15">
        <f>IFERROR(K158/K444, "NA")</f>
        <v>4.8392069681221478E-2</v>
      </c>
      <c r="M158" s="2"/>
      <c r="N158" s="14">
        <f t="shared" si="37"/>
        <v>948.44</v>
      </c>
      <c r="O158" s="15">
        <f>IFERROR(N158/N444, "NA")</f>
        <v>-6.4984922681207022E-2</v>
      </c>
      <c r="P158" s="2"/>
      <c r="Q158" s="14">
        <f>IFERROR(Q153+Q154+Q155+Q156+Q157, "NA")</f>
        <v>7520.93</v>
      </c>
      <c r="R158" s="15">
        <f>IFERROR(Q158/Q444, "NA")</f>
        <v>4.4063928385284848E-2</v>
      </c>
      <c r="S158" s="2"/>
      <c r="T158" s="14">
        <f>IFERROR(T153+T154+T155+T156+T157, "NA")</f>
        <v>8080.71</v>
      </c>
      <c r="U158" s="15">
        <f>IFERROR(T158/T444, "NA")</f>
        <v>4.0999984981523213E-2</v>
      </c>
      <c r="V158" s="2"/>
      <c r="W158" s="14">
        <f t="shared" si="38"/>
        <v>559.77999999999975</v>
      </c>
      <c r="X158" s="15">
        <f>IFERROR(W158/W444, "NA")</f>
        <v>-2.1197107578217758E-2</v>
      </c>
      <c r="Y158" s="2"/>
      <c r="Z158" s="14">
        <f>IFERROR(Z153+Z154+Z155+Z156+Z157, "NA")</f>
        <v>8114.2000000000007</v>
      </c>
      <c r="AA158" s="15">
        <f>IFERROR(Z158/Z444, "NA")</f>
        <v>4.2749479263694462E-2</v>
      </c>
      <c r="AB158" s="2"/>
      <c r="AC158" s="14">
        <f t="shared" si="39"/>
        <v>593.27000000000044</v>
      </c>
      <c r="AD158" s="15">
        <f>IFERROR(AC158/AC444, "NA")</f>
        <v>-3.1019161431188672E-2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206.99</v>
      </c>
      <c r="C161" s="8">
        <f>IFERROR(B161/B444, "NA")</f>
        <v>2.5963730553700166E-3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-206.99</v>
      </c>
      <c r="I161" s="8">
        <f>IFERROR(H161/H444, "NA")</f>
        <v>1.0219795465845226E-2</v>
      </c>
      <c r="J161" s="9"/>
      <c r="K161" s="7">
        <v>536.28</v>
      </c>
      <c r="L161" s="8">
        <f>IFERROR(K161/K444, "NA")</f>
        <v>5.6859001381715712E-3</v>
      </c>
      <c r="M161" s="9"/>
      <c r="N161" s="10">
        <f t="shared" si="41"/>
        <v>329.28999999999996</v>
      </c>
      <c r="O161" s="8">
        <f>IFERROR(N161/N444, "NA")</f>
        <v>-2.2562191798843001E-2</v>
      </c>
      <c r="P161" s="9"/>
      <c r="Q161" s="7">
        <v>339.48</v>
      </c>
      <c r="R161" s="8">
        <f>IFERROR(Q161/Q444, "NA")</f>
        <v>1.9889591324791615E-3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-339.48</v>
      </c>
      <c r="X161" s="8">
        <f>IFERROR(W161/W444, "NA")</f>
        <v>1.2855039623876109E-2</v>
      </c>
      <c r="Y161" s="9"/>
      <c r="Z161" s="7">
        <v>718.21</v>
      </c>
      <c r="AA161" s="8">
        <f>IFERROR(Z161/Z444, "NA")</f>
        <v>3.7838731485516745E-3</v>
      </c>
      <c r="AB161" s="9"/>
      <c r="AC161" s="10">
        <f t="shared" si="43"/>
        <v>378.73</v>
      </c>
      <c r="AD161" s="8">
        <f>IFERROR(AC161/AC444, "NA")</f>
        <v>-1.9801923253887906E-2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3.5</v>
      </c>
      <c r="R162" s="8">
        <f>IFERROR(Q162/Q444, "NA")</f>
        <v>2.0505941332853379E-5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-3.5</v>
      </c>
      <c r="X162" s="8">
        <f>IFERROR(W162/W444, "NA")</f>
        <v>1.3253398928822428E-4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-3.5</v>
      </c>
      <c r="AD162" s="8">
        <f>IFERROR(AC162/AC444, "NA")</f>
        <v>1.8299773291951434E-4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206.99</v>
      </c>
      <c r="C166" s="15">
        <f>IFERROR(B166/B444, "NA")</f>
        <v>2.5963730553700166E-3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-206.99</v>
      </c>
      <c r="I166" s="15">
        <f>IFERROR(H166/H444, "NA")</f>
        <v>1.0219795465845226E-2</v>
      </c>
      <c r="J166" s="2"/>
      <c r="K166" s="14">
        <f>IFERROR(K160+K161+K162+K163+K164+K165, "NA")</f>
        <v>536.28</v>
      </c>
      <c r="L166" s="15">
        <f>IFERROR(K166/K444, "NA")</f>
        <v>5.6859001381715712E-3</v>
      </c>
      <c r="M166" s="2"/>
      <c r="N166" s="14">
        <f t="shared" si="41"/>
        <v>329.28999999999996</v>
      </c>
      <c r="O166" s="15">
        <f>IFERROR(N166/N444, "NA")</f>
        <v>-2.2562191798843001E-2</v>
      </c>
      <c r="P166" s="2"/>
      <c r="Q166" s="14">
        <f>IFERROR(Q160+Q161+Q162+Q163+Q164+Q165, "NA")</f>
        <v>342.98</v>
      </c>
      <c r="R166" s="15">
        <f>IFERROR(Q166/Q444, "NA")</f>
        <v>2.0094650738120149E-3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-342.98</v>
      </c>
      <c r="X166" s="15">
        <f>IFERROR(W166/W444, "NA")</f>
        <v>1.2987573613164334E-2</v>
      </c>
      <c r="Y166" s="2"/>
      <c r="Z166" s="14">
        <f>IFERROR(Z160+Z161+Z162+Z163+Z164+Z165, "NA")</f>
        <v>718.21</v>
      </c>
      <c r="AA166" s="15">
        <f>IFERROR(Z166/Z444, "NA")</f>
        <v>3.7838731485516745E-3</v>
      </c>
      <c r="AB166" s="2"/>
      <c r="AC166" s="14">
        <f t="shared" si="43"/>
        <v>375.23</v>
      </c>
      <c r="AD166" s="15">
        <f>IFERROR(AC166/AC444, "NA")</f>
        <v>-1.9618925520968392E-2</v>
      </c>
    </row>
    <row r="167" spans="1:30" ht="16.5" customHeight="1" x14ac:dyDescent="0.45">
      <c r="A167" s="6" t="s">
        <v>155</v>
      </c>
      <c r="B167" s="7">
        <v>125.92</v>
      </c>
      <c r="C167" s="8">
        <f>IFERROR(B167/B444, "NA")</f>
        <v>1.5794738641103073E-3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-125.92</v>
      </c>
      <c r="I167" s="8">
        <f>IFERROR(H167/H444, "NA")</f>
        <v>6.2170957295484353E-3</v>
      </c>
      <c r="J167" s="9"/>
      <c r="K167" s="7">
        <v>111.66</v>
      </c>
      <c r="L167" s="8">
        <f>IFERROR(K167/K444, "NA")</f>
        <v>1.1838733673234835E-3</v>
      </c>
      <c r="M167" s="9"/>
      <c r="N167" s="10">
        <f t="shared" si="41"/>
        <v>-14.260000000000005</v>
      </c>
      <c r="O167" s="8">
        <f>IFERROR(N167/N444, "NA")</f>
        <v>9.7706233123235242E-4</v>
      </c>
      <c r="P167" s="9"/>
      <c r="Q167" s="7">
        <v>252.3</v>
      </c>
      <c r="R167" s="8">
        <f>IFERROR(Q167/Q444, "NA")</f>
        <v>1.4781854280796879E-3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-252.3</v>
      </c>
      <c r="X167" s="8">
        <f>IFERROR(W167/W444, "NA")</f>
        <v>9.5538072849768538E-3</v>
      </c>
      <c r="Y167" s="9"/>
      <c r="Z167" s="7">
        <v>214.12</v>
      </c>
      <c r="AA167" s="8">
        <f>IFERROR(Z167/Z444, "NA")</f>
        <v>1.1280863794264693E-3</v>
      </c>
      <c r="AB167" s="9"/>
      <c r="AC167" s="10">
        <f t="shared" si="43"/>
        <v>-38.180000000000007</v>
      </c>
      <c r="AD167" s="8">
        <f>IFERROR(AC167/AC444, "NA")</f>
        <v>1.9962438408191595E-3</v>
      </c>
    </row>
    <row r="168" spans="1:30" ht="16.5" customHeight="1" x14ac:dyDescent="0.45">
      <c r="A168" s="6" t="s">
        <v>156</v>
      </c>
      <c r="B168" s="7">
        <v>24.31</v>
      </c>
      <c r="C168" s="8">
        <f>IFERROR(B168/B444, "NA")</f>
        <v>3.0493177919728058E-4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-24.31</v>
      </c>
      <c r="I168" s="8">
        <f>IFERROR(H168/H444, "NA")</f>
        <v>1.2002668137335011E-3</v>
      </c>
      <c r="J168" s="9"/>
      <c r="K168" s="7">
        <v>41.8</v>
      </c>
      <c r="L168" s="8">
        <f>IFERROR(K168/K444, "NA")</f>
        <v>4.4318383265378472E-4</v>
      </c>
      <c r="M168" s="9"/>
      <c r="N168" s="10">
        <f t="shared" si="41"/>
        <v>17.489999999999998</v>
      </c>
      <c r="O168" s="8">
        <f>IFERROR(N168/N444, "NA")</f>
        <v>-1.1983744862029339E-3</v>
      </c>
      <c r="P168" s="9"/>
      <c r="Q168" s="7">
        <v>51.62</v>
      </c>
      <c r="R168" s="8">
        <f>IFERROR(Q168/Q444, "NA")</f>
        <v>3.0243334045768321E-4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-51.62</v>
      </c>
      <c r="X168" s="8">
        <f>IFERROR(W168/W444, "NA")</f>
        <v>1.9546870077308963E-3</v>
      </c>
      <c r="Y168" s="9"/>
      <c r="Z168" s="7">
        <v>87.6</v>
      </c>
      <c r="AA168" s="8">
        <f>IFERROR(Z168/Z444, "NA")</f>
        <v>4.615186196420638E-4</v>
      </c>
      <c r="AB168" s="9"/>
      <c r="AC168" s="10">
        <f t="shared" si="43"/>
        <v>35.979999999999997</v>
      </c>
      <c r="AD168" s="8">
        <f>IFERROR(AC168/AC444, "NA")</f>
        <v>-1.8812166944126073E-3</v>
      </c>
    </row>
    <row r="169" spans="1:30" ht="16.5" customHeight="1" x14ac:dyDescent="0.45">
      <c r="A169" s="6" t="s">
        <v>157</v>
      </c>
      <c r="B169" s="7">
        <v>-833.7</v>
      </c>
      <c r="C169" s="8">
        <f>IFERROR(B169/B444, "NA")</f>
        <v>-1.0457491744828171E-2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833.7</v>
      </c>
      <c r="I169" s="8">
        <f>IFERROR(H169/H444, "NA")</f>
        <v>-4.1162585051814887E-2</v>
      </c>
      <c r="J169" s="9"/>
      <c r="K169" s="7">
        <v>-2681.32</v>
      </c>
      <c r="L169" s="8">
        <f>IFERROR(K169/K444, "NA")</f>
        <v>-2.8428652492135078E-2</v>
      </c>
      <c r="M169" s="9"/>
      <c r="N169" s="10">
        <f t="shared" si="41"/>
        <v>-1847.6200000000001</v>
      </c>
      <c r="O169" s="8">
        <f>IFERROR(N169/N444, "NA")</f>
        <v>0.12659466370487507</v>
      </c>
      <c r="P169" s="9"/>
      <c r="Q169" s="7">
        <v>-2053.6799999999998</v>
      </c>
      <c r="R169" s="8">
        <f>IFERROR(Q169/Q444, "NA")</f>
        <v>-1.2032183313272663E-2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2053.6799999999998</v>
      </c>
      <c r="X169" s="8">
        <f>IFERROR(W169/W444, "NA")</f>
        <v>-7.7766400891840115E-2</v>
      </c>
      <c r="Y169" s="9"/>
      <c r="Z169" s="7">
        <v>-6595.74</v>
      </c>
      <c r="AA169" s="8">
        <f>IFERROR(Z169/Z444, "NA")</f>
        <v>-3.4749507081255092E-2</v>
      </c>
      <c r="AB169" s="9"/>
      <c r="AC169" s="10">
        <f t="shared" si="43"/>
        <v>-4542.0599999999995</v>
      </c>
      <c r="AD169" s="8">
        <f>IFERROR(AC169/AC444, "NA")</f>
        <v>0.23748190936697405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3139.3</v>
      </c>
      <c r="C170" s="15">
        <f>IFERROR(B170/B444, "NA")</f>
        <v>3.9377718405348539E-2</v>
      </c>
      <c r="D170" s="2"/>
      <c r="E170" s="14">
        <f>IFERROR(E151+E153+E154+E155+E156+E157+E160+E161+E162+E163+E164+E165+E167+E168+E169, "NA")</f>
        <v>4099.04</v>
      </c>
      <c r="F170" s="15">
        <f>IFERROR(E170/E444, "NA")</f>
        <v>4.1000002200515362E-2</v>
      </c>
      <c r="G170" s="2"/>
      <c r="H170" s="14">
        <f t="shared" si="40"/>
        <v>959.73999999999978</v>
      </c>
      <c r="I170" s="15">
        <f>IFERROR(H170/H444, "NA")</f>
        <v>-4.7385605586696425E-2</v>
      </c>
      <c r="J170" s="2"/>
      <c r="K170" s="14">
        <f>IFERROR(K151+K153+K154+K155+K156+K157+K160+K161+K162+K163+K164+K165+K167+K168+K169, "NA")</f>
        <v>2572.64</v>
      </c>
      <c r="L170" s="15">
        <f>IFERROR(K170/K444, "NA")</f>
        <v>2.7276374527235234E-2</v>
      </c>
      <c r="M170" s="2"/>
      <c r="N170" s="14">
        <f t="shared" si="41"/>
        <v>-566.66000000000031</v>
      </c>
      <c r="O170" s="15">
        <f>IFERROR(N170/N444, "NA")</f>
        <v>3.8826237069854483E-2</v>
      </c>
      <c r="P170" s="2"/>
      <c r="Q170" s="14">
        <f>IFERROR(Q151+Q153+Q154+Q155+Q156+Q157+Q160+Q161+Q162+Q163+Q164+Q165+Q167+Q168+Q169, "NA")</f>
        <v>6114.15</v>
      </c>
      <c r="R170" s="15">
        <f>IFERROR(Q170/Q444, "NA")</f>
        <v>3.5821828914361566E-2</v>
      </c>
      <c r="S170" s="2"/>
      <c r="T170" s="14">
        <f>IFERROR(T151+T153+T154+T155+T156+T157+T160+T161+T162+T163+T164+T165+T167+T168+T169, "NA")</f>
        <v>8080.71</v>
      </c>
      <c r="U170" s="15">
        <f>IFERROR(T170/T444, "NA")</f>
        <v>4.0999984981523213E-2</v>
      </c>
      <c r="V170" s="2"/>
      <c r="W170" s="14">
        <f t="shared" si="42"/>
        <v>1966.5600000000004</v>
      </c>
      <c r="X170" s="15">
        <f>IFERROR(W170/W444, "NA")</f>
        <v>-7.4467440564185833E-2</v>
      </c>
      <c r="Y170" s="2"/>
      <c r="Z170" s="14">
        <f>IFERROR(Z151+Z153+Z154+Z155+Z156+Z157+Z160+Z161+Z162+Z163+Z164+Z165+Z167+Z168+Z169, "NA")</f>
        <v>2538.3900000000012</v>
      </c>
      <c r="AA170" s="15">
        <f>IFERROR(Z170/Z444, "NA")</f>
        <v>1.3373450330059577E-2</v>
      </c>
      <c r="AB170" s="2"/>
      <c r="AC170" s="14">
        <f t="shared" si="43"/>
        <v>-3575.7599999999984</v>
      </c>
      <c r="AD170" s="15">
        <f>IFERROR(AC170/AC444, "NA")</f>
        <v>0.18695884956122352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23464.160000000003</v>
      </c>
      <c r="C171" s="15">
        <f>IFERROR(B171/B444, "NA")</f>
        <v>0.29432200971491829</v>
      </c>
      <c r="D171" s="2"/>
      <c r="E171" s="14">
        <f>IFERROR(E127+E129+E130+E131+E132+E133+E134+E135+E136+E137+E138+E139+E140+E143+E144+E145+E146+E147+E151+E153+E154+E155+E156+E157+E160+E161+E162+E163+E164+E165+E167+E168+E169, "NA")</f>
        <v>26693.74</v>
      </c>
      <c r="F171" s="15">
        <f>IFERROR(E171/E444, "NA")</f>
        <v>0.26699993138393013</v>
      </c>
      <c r="G171" s="2"/>
      <c r="H171" s="14">
        <f t="shared" si="40"/>
        <v>3229.5799999999981</v>
      </c>
      <c r="I171" s="15">
        <f>IFERROR(H171/H444, "NA")</f>
        <v>-0.15945527339767332</v>
      </c>
      <c r="J171" s="2"/>
      <c r="K171" s="14">
        <f>IFERROR(K127+K129+K130+K131+K132+K133+K134+K135+K136+K137+K138+K139+K140+K143+K144+K145+K146+K147+K151+K153+K154+K155+K156+K157+K160+K161+K162+K163+K164+K165+K167+K168+K169, "NA")</f>
        <v>27832.89</v>
      </c>
      <c r="L171" s="15">
        <f>IFERROR(K171/K444, "NA")</f>
        <v>0.2950977718667751</v>
      </c>
      <c r="M171" s="2"/>
      <c r="N171" s="14">
        <f t="shared" si="41"/>
        <v>4368.7299999999959</v>
      </c>
      <c r="O171" s="15">
        <f>IFERROR(N171/N444, "NA")</f>
        <v>-0.29933530984044249</v>
      </c>
      <c r="P171" s="2"/>
      <c r="Q171" s="14">
        <f>IFERROR(Q127+Q129+Q130+Q131+Q132+Q133+Q134+Q135+Q136+Q137+Q138+Q139+Q140+Q143+Q144+Q145+Q146+Q147+Q151+Q153+Q154+Q155+Q156+Q157+Q160+Q161+Q162+Q163+Q164+Q165+Q167+Q168+Q169, "NA")</f>
        <v>50523.460000000014</v>
      </c>
      <c r="R171" s="15">
        <f>IFERROR(Q171/Q444, "NA")</f>
        <v>0.29600888762650418</v>
      </c>
      <c r="S171" s="2"/>
      <c r="T171" s="14">
        <f>IFERROR(T127+T129+T130+T131+T132+T133+T134+T135+T136+T137+T138+T139+T140+T143+T144+T145+T146+T147+T151+T153+T154+T155+T156+T157+T160+T161+T162+T163+T164+T165+T167+T168+T169, "NA")</f>
        <v>54079.88</v>
      </c>
      <c r="U171" s="15">
        <f>IFERROR(T171/T444, "NA")</f>
        <v>0.27439102106158714</v>
      </c>
      <c r="V171" s="2"/>
      <c r="W171" s="14">
        <f t="shared" si="42"/>
        <v>3556.4199999999837</v>
      </c>
      <c r="X171" s="15">
        <f>IFERROR(W171/W444, "NA")</f>
        <v>-0.13467043719554983</v>
      </c>
      <c r="Y171" s="2"/>
      <c r="Z171" s="14">
        <f>IFERROR(Z127+Z129+Z130+Z131+Z132+Z133+Z134+Z135+Z136+Z137+Z138+Z139+Z140+Z143+Z144+Z145+Z146+Z147+Z151+Z153+Z154+Z155+Z156+Z157+Z160+Z161+Z162+Z163+Z164+Z165+Z167+Z168+Z169, "NA")</f>
        <v>51776.200000000004</v>
      </c>
      <c r="AA171" s="15">
        <f>IFERROR(Z171/Z444, "NA")</f>
        <v>0.27278173920446835</v>
      </c>
      <c r="AB171" s="2"/>
      <c r="AC171" s="14">
        <f t="shared" si="43"/>
        <v>1252.7399999999907</v>
      </c>
      <c r="AD171" s="15">
        <f>IFERROR(AC171/AC444, "NA")</f>
        <v>-6.5499594267883057E-2</v>
      </c>
    </row>
    <row r="172" spans="1:30" ht="16.5" customHeight="1" x14ac:dyDescent="0.45">
      <c r="A172" s="22" t="s">
        <v>160</v>
      </c>
      <c r="B172" s="23">
        <f>IFERROR(B124-B171, "NA")</f>
        <v>56258.589999999982</v>
      </c>
      <c r="C172" s="24">
        <f>IFERROR(B172/B444, "NA")</f>
        <v>0.70567799028508149</v>
      </c>
      <c r="D172" s="25"/>
      <c r="E172" s="23">
        <f>IFERROR(E124-E171, "NA")</f>
        <v>73282.84</v>
      </c>
      <c r="F172" s="24">
        <f>IFERROR(E172/E444, "NA")</f>
        <v>0.73300006861606981</v>
      </c>
      <c r="G172" s="25"/>
      <c r="H172" s="23">
        <f>IFERROR(B172-E172, "NA")</f>
        <v>-17024.250000000015</v>
      </c>
      <c r="I172" s="24">
        <f>IFERROR(H172/H444, "NA")</f>
        <v>0.84054472660232726</v>
      </c>
      <c r="J172" s="25"/>
      <c r="K172" s="23">
        <f>IFERROR(K124-K171, "NA")</f>
        <v>66484.62999999999</v>
      </c>
      <c r="L172" s="24">
        <f>IFERROR(K172/K444, "NA")</f>
        <v>0.70490222813322478</v>
      </c>
      <c r="M172" s="25"/>
      <c r="N172" s="23">
        <f>IFERROR(B172-K172, "NA")</f>
        <v>-10226.040000000008</v>
      </c>
      <c r="O172" s="24">
        <f>IFERROR(N172/N444, "NA")</f>
        <v>0.70066469015955757</v>
      </c>
      <c r="P172" s="25"/>
      <c r="Q172" s="23">
        <f>IFERROR(Q124-Q171, "NA")</f>
        <v>120158.78</v>
      </c>
      <c r="R172" s="24">
        <f>IFERROR(Q172/Q444, "NA")</f>
        <v>0.70399111237349599</v>
      </c>
      <c r="S172" s="25"/>
      <c r="T172" s="23">
        <f>IFERROR(T124-T171, "NA")</f>
        <v>143010.68</v>
      </c>
      <c r="U172" s="24">
        <f>IFERROR(T172/T444, "NA")</f>
        <v>0.72560897893841281</v>
      </c>
      <c r="V172" s="25"/>
      <c r="W172" s="23">
        <f>IFERROR(Q172-T172, "NA")</f>
        <v>-22851.899999999994</v>
      </c>
      <c r="X172" s="24">
        <f>IFERROR(W172/W444, "NA")</f>
        <v>0.86532956280444906</v>
      </c>
      <c r="Y172" s="25"/>
      <c r="Z172" s="23">
        <f>IFERROR(Z124-Z171, "NA")</f>
        <v>138031.96000000002</v>
      </c>
      <c r="AA172" s="24">
        <f>IFERROR(Z172/Z444, "NA")</f>
        <v>0.72721826079553176</v>
      </c>
      <c r="AB172" s="25"/>
      <c r="AC172" s="23">
        <f>IFERROR(Q172-Z172, "NA")</f>
        <v>-17873.180000000022</v>
      </c>
      <c r="AD172" s="24">
        <f>IFERROR(AC172/AC444, "NA")</f>
        <v>0.9345004057321169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5192.32</v>
      </c>
      <c r="C178" s="8">
        <f>IFERROR(B178/B444, "NA")</f>
        <v>6.5129715169133018E-2</v>
      </c>
      <c r="D178" s="9"/>
      <c r="E178" s="7">
        <v>5192.32</v>
      </c>
      <c r="F178" s="8">
        <f>IFERROR(E178/E444, "NA")</f>
        <v>5.1935363262075977E-2</v>
      </c>
      <c r="G178" s="9"/>
      <c r="H178" s="10">
        <f t="shared" si="44"/>
        <v>0</v>
      </c>
      <c r="I178" s="8">
        <f>IFERROR(H178/H444, "NA")</f>
        <v>0</v>
      </c>
      <c r="J178" s="9"/>
      <c r="K178" s="7">
        <v>5192.32</v>
      </c>
      <c r="L178" s="8">
        <f>IFERROR(K178/K444, "NA")</f>
        <v>5.5051489903466498E-2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10384.64</v>
      </c>
      <c r="R178" s="8">
        <f>IFERROR(Q178/Q444, "NA")</f>
        <v>6.0841948172229286E-2</v>
      </c>
      <c r="S178" s="9"/>
      <c r="T178" s="7">
        <v>10384.64</v>
      </c>
      <c r="U178" s="8">
        <f>IFERROR(T178/T444, "NA")</f>
        <v>5.2689687420848563E-2</v>
      </c>
      <c r="V178" s="9"/>
      <c r="W178" s="10">
        <f t="shared" si="46"/>
        <v>0</v>
      </c>
      <c r="X178" s="8">
        <f>IFERROR(W178/W444, "NA")</f>
        <v>0</v>
      </c>
      <c r="Y178" s="9"/>
      <c r="Z178" s="7">
        <v>10384.64</v>
      </c>
      <c r="AA178" s="8">
        <f>IFERROR(Z178/Z444, "NA")</f>
        <v>5.4711241076252991E-2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18550.57</v>
      </c>
      <c r="C180" s="8">
        <f>IFERROR(B180/B444, "NA")</f>
        <v>0.23268853620829688</v>
      </c>
      <c r="D180" s="9"/>
      <c r="E180" s="7">
        <v>20095.29</v>
      </c>
      <c r="F180" s="8">
        <f>IFERROR(E180/E444, "NA")</f>
        <v>0.20099997419395624</v>
      </c>
      <c r="G180" s="9"/>
      <c r="H180" s="10">
        <f t="shared" si="44"/>
        <v>1544.7200000000012</v>
      </c>
      <c r="I180" s="8">
        <f>IFERROR(H180/H444, "NA")</f>
        <v>-7.6268044118075501E-2</v>
      </c>
      <c r="J180" s="9"/>
      <c r="K180" s="7">
        <v>20557.11</v>
      </c>
      <c r="L180" s="8">
        <f>IFERROR(K180/K444, "NA")</f>
        <v>0.21795643057620684</v>
      </c>
      <c r="M180" s="9"/>
      <c r="N180" s="10">
        <f t="shared" si="45"/>
        <v>2006.5400000000009</v>
      </c>
      <c r="O180" s="8">
        <f>IFERROR(N180/N444, "NA")</f>
        <v>-0.13748349580020791</v>
      </c>
      <c r="P180" s="9"/>
      <c r="Q180" s="7">
        <v>38735.22</v>
      </c>
      <c r="R180" s="8">
        <f>IFERROR(Q180/Q444, "NA")</f>
        <v>0.22694347109576254</v>
      </c>
      <c r="S180" s="9"/>
      <c r="T180" s="7">
        <v>40003.660000000003</v>
      </c>
      <c r="U180" s="8">
        <f>IFERROR(T180/T444, "NA")</f>
        <v>0.2029709591367542</v>
      </c>
      <c r="V180" s="9"/>
      <c r="W180" s="10">
        <f t="shared" si="46"/>
        <v>1268.4400000000023</v>
      </c>
      <c r="X180" s="8">
        <f>IFERROR(W180/W444, "NA")</f>
        <v>-4.803183239221586E-2</v>
      </c>
      <c r="Y180" s="9"/>
      <c r="Z180" s="7">
        <v>40531.58</v>
      </c>
      <c r="AA180" s="8">
        <f>IFERROR(Z180/Z444, "NA")</f>
        <v>0.21353971293963336</v>
      </c>
      <c r="AB180" s="9"/>
      <c r="AC180" s="10">
        <f t="shared" si="47"/>
        <v>1796.3600000000006</v>
      </c>
      <c r="AD180" s="8">
        <f>IFERROR(AC180/AC444, "NA")</f>
        <v>-9.3922802144942544E-2</v>
      </c>
    </row>
    <row r="181" spans="1:30" ht="16.5" customHeight="1" x14ac:dyDescent="0.45">
      <c r="A181" s="12" t="s">
        <v>166</v>
      </c>
      <c r="B181" s="7">
        <v>147.78</v>
      </c>
      <c r="C181" s="8">
        <f>IFERROR(B181/B444, "NA")</f>
        <v>1.8536741394394949E-3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-147.78</v>
      </c>
      <c r="I181" s="8">
        <f>IFERROR(H181/H444, "NA")</f>
        <v>7.2963977677308438E-3</v>
      </c>
      <c r="J181" s="9"/>
      <c r="K181" s="7">
        <v>64.67</v>
      </c>
      <c r="L181" s="8">
        <f>IFERROR(K181/K444, "NA")</f>
        <v>6.8566264252919291E-4</v>
      </c>
      <c r="M181" s="9"/>
      <c r="N181" s="10">
        <f t="shared" si="45"/>
        <v>-83.11</v>
      </c>
      <c r="O181" s="8">
        <f>IFERROR(N181/N444, "NA")</f>
        <v>5.6945056345526499E-3</v>
      </c>
      <c r="P181" s="9"/>
      <c r="Q181" s="7">
        <v>147.78</v>
      </c>
      <c r="R181" s="8">
        <f>IFERROR(Q181/Q444, "NA")</f>
        <v>8.6581943147687776E-4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-147.78</v>
      </c>
      <c r="X181" s="8">
        <f>IFERROR(W181/W444, "NA")</f>
        <v>5.5959636962896525E-3</v>
      </c>
      <c r="Y181" s="9"/>
      <c r="Z181" s="7">
        <v>80.53</v>
      </c>
      <c r="AA181" s="8">
        <f>IFERROR(Z181/Z444, "NA")</f>
        <v>4.2427048447232194E-4</v>
      </c>
      <c r="AB181" s="9"/>
      <c r="AC181" s="10">
        <f t="shared" si="47"/>
        <v>-67.25</v>
      </c>
      <c r="AD181" s="8">
        <f>IFERROR(AC181/AC444, "NA")</f>
        <v>3.5161707253820967E-3</v>
      </c>
    </row>
    <row r="182" spans="1:30" ht="16.5" customHeight="1" x14ac:dyDescent="0.45">
      <c r="A182" s="13" t="s">
        <v>167</v>
      </c>
      <c r="B182" s="14">
        <f>IFERROR(B177+B178+B179+B180+B181, "NA")</f>
        <v>23890.67</v>
      </c>
      <c r="C182" s="15">
        <f>IFERROR(B182/B444, "NA")</f>
        <v>0.29967192551686939</v>
      </c>
      <c r="D182" s="2"/>
      <c r="E182" s="14">
        <f>IFERROR(E177+E178+E179+E180+E181, "NA")</f>
        <v>25287.61</v>
      </c>
      <c r="F182" s="15">
        <f>IFERROR(E182/E444, "NA")</f>
        <v>0.25293533745603219</v>
      </c>
      <c r="G182" s="2"/>
      <c r="H182" s="14">
        <f t="shared" si="44"/>
        <v>1396.9400000000023</v>
      </c>
      <c r="I182" s="15">
        <f>IFERROR(H182/H444, "NA")</f>
        <v>-6.8971646350344709E-2</v>
      </c>
      <c r="J182" s="2"/>
      <c r="K182" s="14">
        <f>IFERROR(K177+K178+K179+K180+K181, "NA")</f>
        <v>25814.1</v>
      </c>
      <c r="L182" s="15">
        <f>IFERROR(K182/K444, "NA")</f>
        <v>0.27369358312220249</v>
      </c>
      <c r="M182" s="2"/>
      <c r="N182" s="14">
        <f t="shared" si="45"/>
        <v>1923.4300000000003</v>
      </c>
      <c r="O182" s="15">
        <f>IFERROR(N182/N444, "NA")</f>
        <v>-0.13178899016565521</v>
      </c>
      <c r="P182" s="2"/>
      <c r="Q182" s="14">
        <f>IFERROR(Q177+Q178+Q179+Q180+Q181, "NA")</f>
        <v>49267.64</v>
      </c>
      <c r="R182" s="15">
        <f>IFERROR(Q182/Q444, "NA")</f>
        <v>0.28865123869946868</v>
      </c>
      <c r="S182" s="2"/>
      <c r="T182" s="14">
        <f>IFERROR(T177+T178+T179+T180+T181, "NA")</f>
        <v>50388.3</v>
      </c>
      <c r="U182" s="15">
        <f>IFERROR(T182/T444, "NA")</f>
        <v>0.25566064655760279</v>
      </c>
      <c r="V182" s="2"/>
      <c r="W182" s="14">
        <f t="shared" si="46"/>
        <v>1120.6600000000035</v>
      </c>
      <c r="X182" s="15">
        <f>IFERROR(W182/W444, "NA")</f>
        <v>-4.2435868695926256E-2</v>
      </c>
      <c r="Y182" s="2"/>
      <c r="Z182" s="14">
        <f>IFERROR(Z177+Z178+Z179+Z180+Z181, "NA")</f>
        <v>50996.75</v>
      </c>
      <c r="AA182" s="15">
        <f>IFERROR(Z182/Z444, "NA")</f>
        <v>0.26867522450035869</v>
      </c>
      <c r="AB182" s="2"/>
      <c r="AC182" s="14">
        <f t="shared" si="47"/>
        <v>1729.1100000000006</v>
      </c>
      <c r="AD182" s="15">
        <f>IFERROR(AC182/AC444, "NA")</f>
        <v>-9.0406631419560443E-2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325</v>
      </c>
      <c r="C184" s="8">
        <f>IFERROR(B184/B444, "NA")</f>
        <v>4.0766280641347675E-3</v>
      </c>
      <c r="D184" s="9"/>
      <c r="E184" s="7">
        <v>325</v>
      </c>
      <c r="F184" s="8">
        <f>IFERROR(E184/E444, "NA")</f>
        <v>3.2507613283030887E-3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500</v>
      </c>
      <c r="L184" s="8">
        <f>IFERROR(K184/K444, "NA")</f>
        <v>5.3012420173897696E-3</v>
      </c>
      <c r="M184" s="9"/>
      <c r="N184" s="10">
        <f t="shared" si="45"/>
        <v>175</v>
      </c>
      <c r="O184" s="8">
        <f>IFERROR(N184/N444, "NA")</f>
        <v>-1.1990596631533073E-2</v>
      </c>
      <c r="P184" s="9"/>
      <c r="Q184" s="7">
        <v>650</v>
      </c>
      <c r="R184" s="8">
        <f>IFERROR(Q184/Q444, "NA")</f>
        <v>3.8082462475299132E-3</v>
      </c>
      <c r="S184" s="9"/>
      <c r="T184" s="7">
        <v>650</v>
      </c>
      <c r="U184" s="8">
        <f>IFERROR(T184/T444, "NA")</f>
        <v>3.2979763211388713E-3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1000</v>
      </c>
      <c r="AA184" s="8">
        <f>IFERROR(Z184/Z444, "NA")</f>
        <v>5.2684773931742446E-3</v>
      </c>
      <c r="AB184" s="9"/>
      <c r="AC184" s="10">
        <f t="shared" si="47"/>
        <v>350</v>
      </c>
      <c r="AD184" s="8">
        <f>IFERROR(AC184/AC444, "NA")</f>
        <v>-1.8299773291951434E-2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2281.71</v>
      </c>
      <c r="C186" s="8">
        <f>IFERROR(B186/B444, "NA")</f>
        <v>2.8620563139129043E-2</v>
      </c>
      <c r="D186" s="9"/>
      <c r="E186" s="7">
        <v>2654.72</v>
      </c>
      <c r="F186" s="8">
        <f>IFERROR(E186/E444, "NA")</f>
        <v>2.6553418810685459E-2</v>
      </c>
      <c r="G186" s="9"/>
      <c r="H186" s="10">
        <f t="shared" ref="H186:H197" si="48">IFERROR(-(B186-E186), "NA")</f>
        <v>373.00999999999976</v>
      </c>
      <c r="I186" s="8">
        <f>IFERROR(H186/H444, "NA")</f>
        <v>-1.8416763644209501E-2</v>
      </c>
      <c r="J186" s="9"/>
      <c r="K186" s="7">
        <v>2504.4499999999998</v>
      </c>
      <c r="L186" s="8">
        <f>IFERROR(K186/K444, "NA")</f>
        <v>2.6553391140903618E-2</v>
      </c>
      <c r="M186" s="9"/>
      <c r="N186" s="10">
        <f t="shared" ref="N186:N197" si="49">IFERROR(-(B186-K186), "NA")</f>
        <v>222.73999999999978</v>
      </c>
      <c r="O186" s="8">
        <f>IFERROR(N186/N444, "NA")</f>
        <v>-1.526163139261528E-2</v>
      </c>
      <c r="P186" s="9"/>
      <c r="Q186" s="7">
        <v>4746.75</v>
      </c>
      <c r="R186" s="8">
        <f>IFERROR(Q186/Q444, "NA")</f>
        <v>2.7810450577634791E-2</v>
      </c>
      <c r="S186" s="9"/>
      <c r="T186" s="7">
        <v>5243.19</v>
      </c>
      <c r="U186" s="8">
        <f>IFERROR(T186/T444, "NA")</f>
        <v>2.6602948411126336E-2</v>
      </c>
      <c r="V186" s="9"/>
      <c r="W186" s="10">
        <f t="shared" ref="W186:W197" si="50">IFERROR(-(Q186-T186), "NA")</f>
        <v>496.4399999999996</v>
      </c>
      <c r="X186" s="8">
        <f>IFERROR(W186/W444, "NA")</f>
        <v>-1.8798621040641717E-2</v>
      </c>
      <c r="Y186" s="9"/>
      <c r="Z186" s="7">
        <v>5049.6499999999996</v>
      </c>
      <c r="AA186" s="8">
        <f>IFERROR(Z186/Z444, "NA")</f>
        <v>2.6603966868442325E-2</v>
      </c>
      <c r="AB186" s="9"/>
      <c r="AC186" s="10">
        <f t="shared" ref="AC186:AC197" si="51">IFERROR(-(Q186-Z186), "NA")</f>
        <v>302.89999999999964</v>
      </c>
      <c r="AD186" s="8">
        <f>IFERROR(AC186/AC444, "NA")</f>
        <v>-1.5837146657520236E-2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2281.71</v>
      </c>
      <c r="C193" s="15">
        <f>IFERROR(B193/B444, "NA")</f>
        <v>2.8620563139129043E-2</v>
      </c>
      <c r="D193" s="2"/>
      <c r="E193" s="14">
        <f>IFERROR(E186+E187+E188+E189+E190+E191+E192, "NA")</f>
        <v>2654.72</v>
      </c>
      <c r="F193" s="15">
        <f>IFERROR(E193/E444, "NA")</f>
        <v>2.6553418810685459E-2</v>
      </c>
      <c r="G193" s="2"/>
      <c r="H193" s="14">
        <f t="shared" si="48"/>
        <v>373.00999999999976</v>
      </c>
      <c r="I193" s="15">
        <f>IFERROR(H193/H444, "NA")</f>
        <v>-1.8416763644209501E-2</v>
      </c>
      <c r="J193" s="2"/>
      <c r="K193" s="14">
        <f>IFERROR(K186+K187+K188+K189+K190+K191+K192, "NA")</f>
        <v>2504.4499999999998</v>
      </c>
      <c r="L193" s="15">
        <f>IFERROR(K193/K444, "NA")</f>
        <v>2.6553391140903618E-2</v>
      </c>
      <c r="M193" s="2"/>
      <c r="N193" s="14">
        <f t="shared" si="49"/>
        <v>222.73999999999978</v>
      </c>
      <c r="O193" s="15">
        <f>IFERROR(N193/N444, "NA")</f>
        <v>-1.526163139261528E-2</v>
      </c>
      <c r="P193" s="2"/>
      <c r="Q193" s="14">
        <f>IFERROR(Q186+Q187+Q188+Q189+Q190+Q191+Q192, "NA")</f>
        <v>4746.75</v>
      </c>
      <c r="R193" s="15">
        <f>IFERROR(Q193/Q444, "NA")</f>
        <v>2.7810450577634791E-2</v>
      </c>
      <c r="S193" s="2"/>
      <c r="T193" s="14">
        <f>IFERROR(T186+T187+T188+T189+T190+T191+T192, "NA")</f>
        <v>5243.19</v>
      </c>
      <c r="U193" s="15">
        <f>IFERROR(T193/T444, "NA")</f>
        <v>2.6602948411126336E-2</v>
      </c>
      <c r="V193" s="2"/>
      <c r="W193" s="14">
        <f t="shared" si="50"/>
        <v>496.4399999999996</v>
      </c>
      <c r="X193" s="15">
        <f>IFERROR(W193/W444, "NA")</f>
        <v>-1.8798621040641717E-2</v>
      </c>
      <c r="Y193" s="2"/>
      <c r="Z193" s="14">
        <f>IFERROR(Z186+Z187+Z188+Z189+Z190+Z191+Z192, "NA")</f>
        <v>5049.6499999999996</v>
      </c>
      <c r="AA193" s="15">
        <f>IFERROR(Z193/Z444, "NA")</f>
        <v>2.6603966868442325E-2</v>
      </c>
      <c r="AB193" s="2"/>
      <c r="AC193" s="14">
        <f t="shared" si="51"/>
        <v>302.89999999999964</v>
      </c>
      <c r="AD193" s="15">
        <f>IFERROR(AC193/AC444, "NA")</f>
        <v>-1.5837146657520236E-2</v>
      </c>
    </row>
    <row r="194" spans="1:30" ht="16.5" customHeight="1" x14ac:dyDescent="0.45">
      <c r="A194" s="6" t="s">
        <v>178</v>
      </c>
      <c r="B194" s="7">
        <v>365.6</v>
      </c>
      <c r="C194" s="8">
        <f>IFERROR(B194/B444, "NA")</f>
        <v>4.5858929853774492E-3</v>
      </c>
      <c r="D194" s="9"/>
      <c r="E194" s="7">
        <v>204.9</v>
      </c>
      <c r="F194" s="8">
        <f>IFERROR(E194/E444, "NA")</f>
        <v>2.0494799882132394E-3</v>
      </c>
      <c r="G194" s="9"/>
      <c r="H194" s="10">
        <f t="shared" si="48"/>
        <v>-160.70000000000002</v>
      </c>
      <c r="I194" s="8">
        <f>IFERROR(H194/H444, "NA")</f>
        <v>7.9343018085962017E-3</v>
      </c>
      <c r="J194" s="9"/>
      <c r="K194" s="7">
        <v>357.88</v>
      </c>
      <c r="L194" s="8">
        <f>IFERROR(K194/K444, "NA")</f>
        <v>3.7944169863669019E-3</v>
      </c>
      <c r="M194" s="9"/>
      <c r="N194" s="10">
        <f t="shared" si="49"/>
        <v>-7.7200000000000273</v>
      </c>
      <c r="O194" s="8">
        <f>IFERROR(N194/N444, "NA")</f>
        <v>5.2895660568820372E-4</v>
      </c>
      <c r="P194" s="9"/>
      <c r="Q194" s="7">
        <v>641.20000000000005</v>
      </c>
      <c r="R194" s="8">
        <f>IFERROR(Q194/Q444, "NA")</f>
        <v>3.7566884521787391E-3</v>
      </c>
      <c r="S194" s="9"/>
      <c r="T194" s="7">
        <v>408.31</v>
      </c>
      <c r="U194" s="8">
        <f>IFERROR(T194/T444, "NA")</f>
        <v>2.0716872487449426E-3</v>
      </c>
      <c r="V194" s="9"/>
      <c r="W194" s="10">
        <f t="shared" si="50"/>
        <v>-232.89000000000004</v>
      </c>
      <c r="X194" s="8">
        <f>IFERROR(W194/W444, "NA")</f>
        <v>8.8188116472384462E-3</v>
      </c>
      <c r="Y194" s="9"/>
      <c r="Z194" s="7">
        <v>633.48</v>
      </c>
      <c r="AA194" s="8">
        <f>IFERROR(Z194/Z444, "NA")</f>
        <v>3.3374750590280207E-3</v>
      </c>
      <c r="AB194" s="9"/>
      <c r="AC194" s="10">
        <f t="shared" si="51"/>
        <v>-7.7200000000000273</v>
      </c>
      <c r="AD194" s="8">
        <f>IFERROR(AC194/AC444, "NA")</f>
        <v>4.0364071375390161E-4</v>
      </c>
    </row>
    <row r="195" spans="1:30" ht="16.5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874</v>
      </c>
      <c r="F195" s="8">
        <f>IFERROR(E195/E444, "NA")</f>
        <v>8.7420473874981527E-3</v>
      </c>
      <c r="G195" s="9"/>
      <c r="H195" s="10">
        <f t="shared" si="48"/>
        <v>874</v>
      </c>
      <c r="I195" s="8">
        <f>IFERROR(H195/H444, "NA")</f>
        <v>-4.3152332176185935E-2</v>
      </c>
      <c r="J195" s="9"/>
      <c r="K195" s="7">
        <v>865.16</v>
      </c>
      <c r="L195" s="8">
        <f>IFERROR(K195/K444, "NA")</f>
        <v>9.172845087529866E-3</v>
      </c>
      <c r="M195" s="9"/>
      <c r="N195" s="10">
        <f t="shared" si="49"/>
        <v>865.16</v>
      </c>
      <c r="O195" s="8">
        <f>IFERROR(N195/N444, "NA")</f>
        <v>-5.9278769038498019E-2</v>
      </c>
      <c r="P195" s="9"/>
      <c r="Q195" s="7">
        <v>0</v>
      </c>
      <c r="R195" s="8">
        <f>IFERROR(Q195/Q444, "NA")</f>
        <v>0</v>
      </c>
      <c r="S195" s="9"/>
      <c r="T195" s="7">
        <v>1748.03</v>
      </c>
      <c r="U195" s="8">
        <f>IFERROR(T195/T444, "NA")</f>
        <v>8.8691716132928942E-3</v>
      </c>
      <c r="V195" s="9"/>
      <c r="W195" s="10">
        <f t="shared" si="50"/>
        <v>1748.03</v>
      </c>
      <c r="X195" s="8">
        <f>IFERROR(W195/W444, "NA")</f>
        <v>-6.6192396941569906E-2</v>
      </c>
      <c r="Y195" s="9"/>
      <c r="Z195" s="7">
        <v>1760.16</v>
      </c>
      <c r="AA195" s="8">
        <f>IFERROR(Z195/Z444, "NA")</f>
        <v>9.2733631683695802E-3</v>
      </c>
      <c r="AB195" s="9"/>
      <c r="AC195" s="10">
        <f t="shared" si="51"/>
        <v>1760.16</v>
      </c>
      <c r="AD195" s="8">
        <f>IFERROR(AC195/AC444, "NA")</f>
        <v>-9.2030082735889251E-2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26862.979999999996</v>
      </c>
      <c r="C196" s="15">
        <f>IFERROR(B196/B444, "NA")</f>
        <v>0.33695500970551062</v>
      </c>
      <c r="D196" s="2"/>
      <c r="E196" s="14">
        <f>IFERROR(E175+E177+E178+E179+E180+E181+E183+E184+E186+E187+E188+E189+E190+E191+E192+E194+E195, "NA")</f>
        <v>29346.230000000003</v>
      </c>
      <c r="F196" s="15">
        <f>IFERROR(E196/E444, "NA")</f>
        <v>0.29353104497073218</v>
      </c>
      <c r="G196" s="2"/>
      <c r="H196" s="14">
        <f t="shared" si="48"/>
        <v>2483.2500000000073</v>
      </c>
      <c r="I196" s="15">
        <f>IFERROR(H196/H444, "NA")</f>
        <v>-0.1226064403621442</v>
      </c>
      <c r="J196" s="2"/>
      <c r="K196" s="14">
        <f>IFERROR(K175+K177+K178+K179+K180+K181+K183+K184+K186+K187+K188+K189+K190+K191+K192+K194+K195, "NA")</f>
        <v>30041.59</v>
      </c>
      <c r="L196" s="15">
        <f>IFERROR(K196/K444, "NA")</f>
        <v>0.3185154783543927</v>
      </c>
      <c r="M196" s="2"/>
      <c r="N196" s="14">
        <f t="shared" si="49"/>
        <v>3178.6100000000042</v>
      </c>
      <c r="O196" s="15">
        <f>IFERROR(N196/N444, "NA")</f>
        <v>-0.21779103062261368</v>
      </c>
      <c r="P196" s="2"/>
      <c r="Q196" s="14">
        <f>IFERROR(Q175+Q177+Q178+Q179+Q180+Q181+Q183+Q184+Q186+Q187+Q188+Q189+Q190+Q191+Q192+Q194+Q195, "NA")</f>
        <v>55305.59</v>
      </c>
      <c r="R196" s="15">
        <f>IFERROR(Q196/Q444, "NA")</f>
        <v>0.32402662397681209</v>
      </c>
      <c r="S196" s="2"/>
      <c r="T196" s="14">
        <f>IFERROR(T175+T177+T178+T179+T180+T181+T183+T184+T186+T187+T188+T189+T190+T191+T192+T194+T195, "NA")</f>
        <v>58437.83</v>
      </c>
      <c r="U196" s="15">
        <f>IFERROR(T196/T444, "NA")</f>
        <v>0.2965024301519058</v>
      </c>
      <c r="V196" s="2"/>
      <c r="W196" s="14">
        <f t="shared" si="50"/>
        <v>3132.2400000000052</v>
      </c>
      <c r="X196" s="15">
        <f>IFERROR(W196/W444, "NA")</f>
        <v>-0.11860807503089953</v>
      </c>
      <c r="Y196" s="2"/>
      <c r="Z196" s="14">
        <f>IFERROR(Z175+Z177+Z178+Z179+Z180+Z181+Z183+Z184+Z186+Z187+Z188+Z189+Z190+Z191+Z192+Z194+Z195, "NA")</f>
        <v>59440.040000000008</v>
      </c>
      <c r="AA196" s="15">
        <f>IFERROR(Z196/Z444, "NA")</f>
        <v>0.31315850698937286</v>
      </c>
      <c r="AB196" s="2"/>
      <c r="AC196" s="14">
        <f t="shared" si="51"/>
        <v>4134.4500000000116</v>
      </c>
      <c r="AD196" s="15">
        <f>IFERROR(AC196/AC444, "NA")</f>
        <v>-0.21616999339116805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26862.979999999996</v>
      </c>
      <c r="C197" s="15">
        <f>IFERROR(B197/B444, "NA")</f>
        <v>0.33695500970551062</v>
      </c>
      <c r="D197" s="2"/>
      <c r="E197" s="14">
        <f>IFERROR(E175+E177+E178+E179+E180+E181+E183+E184+E186+E187+E188+E189+E190+E191+E192+E194+E195, "NA")</f>
        <v>29346.230000000003</v>
      </c>
      <c r="F197" s="15">
        <f>IFERROR(E197/E444, "NA")</f>
        <v>0.29353104497073218</v>
      </c>
      <c r="G197" s="2"/>
      <c r="H197" s="14">
        <f t="shared" si="48"/>
        <v>2483.2500000000073</v>
      </c>
      <c r="I197" s="15">
        <f>IFERROR(H197/H444, "NA")</f>
        <v>-0.1226064403621442</v>
      </c>
      <c r="J197" s="2"/>
      <c r="K197" s="14">
        <f>IFERROR(K175+K177+K178+K179+K180+K181+K183+K184+K186+K187+K188+K189+K190+K191+K192+K194+K195, "NA")</f>
        <v>30041.59</v>
      </c>
      <c r="L197" s="15">
        <f>IFERROR(K197/K444, "NA")</f>
        <v>0.3185154783543927</v>
      </c>
      <c r="M197" s="2"/>
      <c r="N197" s="14">
        <f t="shared" si="49"/>
        <v>3178.6100000000042</v>
      </c>
      <c r="O197" s="15">
        <f>IFERROR(N197/N444, "NA")</f>
        <v>-0.21779103062261368</v>
      </c>
      <c r="P197" s="2"/>
      <c r="Q197" s="14">
        <f>IFERROR(Q175+Q177+Q178+Q179+Q180+Q181+Q183+Q184+Q186+Q187+Q188+Q189+Q190+Q191+Q192+Q194+Q195, "NA")</f>
        <v>55305.59</v>
      </c>
      <c r="R197" s="15">
        <f>IFERROR(Q197/Q444, "NA")</f>
        <v>0.32402662397681209</v>
      </c>
      <c r="S197" s="2"/>
      <c r="T197" s="14">
        <f>IFERROR(T175+T177+T178+T179+T180+T181+T183+T184+T186+T187+T188+T189+T190+T191+T192+T194+T195, "NA")</f>
        <v>58437.83</v>
      </c>
      <c r="U197" s="15">
        <f>IFERROR(T197/T444, "NA")</f>
        <v>0.2965024301519058</v>
      </c>
      <c r="V197" s="2"/>
      <c r="W197" s="14">
        <f t="shared" si="50"/>
        <v>3132.2400000000052</v>
      </c>
      <c r="X197" s="15">
        <f>IFERROR(W197/W444, "NA")</f>
        <v>-0.11860807503089953</v>
      </c>
      <c r="Y197" s="2"/>
      <c r="Z197" s="14">
        <f>IFERROR(Z175+Z177+Z178+Z179+Z180+Z181+Z183+Z184+Z186+Z187+Z188+Z189+Z190+Z191+Z192+Z194+Z195, "NA")</f>
        <v>59440.040000000008</v>
      </c>
      <c r="AA197" s="15">
        <f>IFERROR(Z197/Z444, "NA")</f>
        <v>0.31315850698937286</v>
      </c>
      <c r="AB197" s="2"/>
      <c r="AC197" s="14">
        <f t="shared" si="51"/>
        <v>4134.4500000000116</v>
      </c>
      <c r="AD197" s="15">
        <f>IFERROR(AC197/AC444, "NA")</f>
        <v>-0.21616999339116805</v>
      </c>
    </row>
    <row r="198" spans="1:30" ht="16.5" customHeight="1" x14ac:dyDescent="0.45">
      <c r="A198" s="22" t="s">
        <v>181</v>
      </c>
      <c r="B198" s="23">
        <f>IFERROR(B172-B197, "NA")</f>
        <v>29395.609999999986</v>
      </c>
      <c r="C198" s="24">
        <f>IFERROR(B198/B444, "NA")</f>
        <v>0.36872298057957092</v>
      </c>
      <c r="D198" s="25"/>
      <c r="E198" s="23">
        <f>IFERROR(E172-E197, "NA")</f>
        <v>43936.609999999993</v>
      </c>
      <c r="F198" s="24">
        <f>IFERROR(E198/E444, "NA")</f>
        <v>0.43946902364533769</v>
      </c>
      <c r="G198" s="25"/>
      <c r="H198" s="23">
        <f>IFERROR(B198-E198, "NA")</f>
        <v>-14541.000000000007</v>
      </c>
      <c r="I198" s="24">
        <f>IFERROR(H198/H444, "NA")</f>
        <v>0.71793828624018297</v>
      </c>
      <c r="J198" s="25"/>
      <c r="K198" s="23">
        <f>IFERROR(K172-K197, "NA")</f>
        <v>36443.039999999994</v>
      </c>
      <c r="L198" s="24">
        <f>IFERROR(K198/K444, "NA")</f>
        <v>0.38638674977883208</v>
      </c>
      <c r="M198" s="25"/>
      <c r="N198" s="23">
        <f>IFERROR(B198-K198, "NA")</f>
        <v>-7047.4300000000076</v>
      </c>
      <c r="O198" s="24">
        <f>IFERROR(N198/N444, "NA")</f>
        <v>0.48287365953694411</v>
      </c>
      <c r="P198" s="25"/>
      <c r="Q198" s="23">
        <f>IFERROR(Q172-Q197, "NA")</f>
        <v>64853.19</v>
      </c>
      <c r="R198" s="24">
        <f>IFERROR(Q198/Q444, "NA")</f>
        <v>0.37996448839668384</v>
      </c>
      <c r="S198" s="25"/>
      <c r="T198" s="23">
        <f>IFERROR(T172-T197, "NA")</f>
        <v>84572.849999999991</v>
      </c>
      <c r="U198" s="24">
        <f>IFERROR(T198/T444, "NA")</f>
        <v>0.42910654878650706</v>
      </c>
      <c r="V198" s="25"/>
      <c r="W198" s="23">
        <f>IFERROR(Q198-T198, "NA")</f>
        <v>-19719.659999999989</v>
      </c>
      <c r="X198" s="24">
        <f>IFERROR(W198/W444, "NA")</f>
        <v>0.74672148777354952</v>
      </c>
      <c r="Y198" s="25"/>
      <c r="Z198" s="23">
        <f>IFERROR(Z172-Z197, "NA")</f>
        <v>78591.920000000013</v>
      </c>
      <c r="AA198" s="24">
        <f>IFERROR(Z198/Z444, "NA")</f>
        <v>0.41405975380615889</v>
      </c>
      <c r="AB198" s="25"/>
      <c r="AC198" s="23">
        <f>IFERROR(Q198-Z198, "NA")</f>
        <v>-13738.73000000001</v>
      </c>
      <c r="AD198" s="24">
        <f>IFERROR(AC198/AC444, "NA")</f>
        <v>0.71833041234094885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939.14</v>
      </c>
      <c r="C202" s="8">
        <f>IFERROR(B202/B444, "NA")</f>
        <v>1.1780075323543153E-2</v>
      </c>
      <c r="D202" s="9"/>
      <c r="E202" s="7">
        <v>1099.74</v>
      </c>
      <c r="F202" s="8">
        <f>IFERROR(E202/E444, "NA")</f>
        <v>1.0999976194424735E-2</v>
      </c>
      <c r="G202" s="9"/>
      <c r="H202" s="10">
        <f t="shared" si="52"/>
        <v>160.60000000000002</v>
      </c>
      <c r="I202" s="8">
        <f>IFERROR(H202/H444, "NA")</f>
        <v>-7.9293644708186058E-3</v>
      </c>
      <c r="J202" s="9"/>
      <c r="K202" s="7">
        <v>840.4</v>
      </c>
      <c r="L202" s="8">
        <f>IFERROR(K202/K444, "NA")</f>
        <v>8.9103275828287254E-3</v>
      </c>
      <c r="M202" s="9"/>
      <c r="N202" s="10">
        <f t="shared" si="53"/>
        <v>-98.740000000000009</v>
      </c>
      <c r="O202" s="8">
        <f>IFERROR(N202/N444, "NA")</f>
        <v>6.7654372079861474E-3</v>
      </c>
      <c r="P202" s="9"/>
      <c r="Q202" s="7">
        <v>1809.95</v>
      </c>
      <c r="R202" s="8">
        <f>IFERROR(Q202/Q444, "NA")</f>
        <v>1.0604208147256563E-2</v>
      </c>
      <c r="S202" s="9"/>
      <c r="T202" s="7">
        <v>2167.9899999999998</v>
      </c>
      <c r="U202" s="8">
        <f>IFERROR(T202/T444, "NA")</f>
        <v>1.0999968745332094E-2</v>
      </c>
      <c r="V202" s="9"/>
      <c r="W202" s="10">
        <f t="shared" si="54"/>
        <v>358.03999999999974</v>
      </c>
      <c r="X202" s="8">
        <f>IFERROR(W202/W444, "NA")</f>
        <v>-1.3557848435644511E-2</v>
      </c>
      <c r="Y202" s="9"/>
      <c r="Z202" s="7">
        <v>1658.99</v>
      </c>
      <c r="AA202" s="8">
        <f>IFERROR(Z202/Z444, "NA")</f>
        <v>8.74035131050214E-3</v>
      </c>
      <c r="AB202" s="9"/>
      <c r="AC202" s="10">
        <f t="shared" si="55"/>
        <v>-150.96000000000004</v>
      </c>
      <c r="AD202" s="8">
        <f>IFERROR(AC202/AC444, "NA")</f>
        <v>7.8929536461513974E-3</v>
      </c>
    </row>
    <row r="203" spans="1:30" ht="16.5" customHeight="1" x14ac:dyDescent="0.45">
      <c r="A203" s="6" t="s">
        <v>185</v>
      </c>
      <c r="B203" s="7">
        <v>526.66</v>
      </c>
      <c r="C203" s="8">
        <f>IFERROR(B203/B444, "NA")</f>
        <v>6.606144419252973E-3</v>
      </c>
      <c r="D203" s="9"/>
      <c r="E203" s="7">
        <v>699.84</v>
      </c>
      <c r="F203" s="8">
        <f>IFERROR(E203/E444, "NA")</f>
        <v>7.0000394092296419E-3</v>
      </c>
      <c r="G203" s="9"/>
      <c r="H203" s="10">
        <f t="shared" si="52"/>
        <v>173.18000000000006</v>
      </c>
      <c r="I203" s="8">
        <f>IFERROR(H203/H444, "NA")</f>
        <v>-8.5504815632401407E-3</v>
      </c>
      <c r="J203" s="9"/>
      <c r="K203" s="7">
        <v>640.21</v>
      </c>
      <c r="L203" s="8">
        <f>IFERROR(K203/K444, "NA")</f>
        <v>6.7878163039062096E-3</v>
      </c>
      <c r="M203" s="9"/>
      <c r="N203" s="10">
        <f t="shared" si="53"/>
        <v>113.55000000000007</v>
      </c>
      <c r="O203" s="8">
        <f>IFERROR(N203/N444, "NA")</f>
        <v>-7.780184271489036E-3</v>
      </c>
      <c r="P203" s="9"/>
      <c r="Q203" s="7">
        <v>1152.6199999999999</v>
      </c>
      <c r="R203" s="8">
        <f>IFERROR(Q203/Q444, "NA")</f>
        <v>6.7530165997352742E-3</v>
      </c>
      <c r="S203" s="9"/>
      <c r="T203" s="7">
        <v>1379.64</v>
      </c>
      <c r="U203" s="8">
        <f>IFERROR(T203/T444, "NA")</f>
        <v>7.0000308487631275E-3</v>
      </c>
      <c r="V203" s="9"/>
      <c r="W203" s="10">
        <f t="shared" si="54"/>
        <v>227.02000000000021</v>
      </c>
      <c r="X203" s="8">
        <f>IFERROR(W203/W444, "NA")</f>
        <v>-8.5965332137750584E-3</v>
      </c>
      <c r="Y203" s="9"/>
      <c r="Z203" s="7">
        <v>1164.96</v>
      </c>
      <c r="AA203" s="8">
        <f>IFERROR(Z203/Z444, "NA")</f>
        <v>6.1375654239522685E-3</v>
      </c>
      <c r="AB203" s="9"/>
      <c r="AC203" s="10">
        <f t="shared" si="55"/>
        <v>12.340000000000146</v>
      </c>
      <c r="AD203" s="8">
        <f>IFERROR(AC203/AC444, "NA")</f>
        <v>-6.4519772120766674E-4</v>
      </c>
    </row>
    <row r="204" spans="1:30" ht="16.5" customHeight="1" x14ac:dyDescent="0.45">
      <c r="A204" s="6" t="s">
        <v>186</v>
      </c>
      <c r="B204" s="7">
        <v>17.399999999999999</v>
      </c>
      <c r="C204" s="8">
        <f>IFERROR(B204/B444, "NA")</f>
        <v>2.1825639481829213E-4</v>
      </c>
      <c r="D204" s="9"/>
      <c r="E204" s="7">
        <v>199.95</v>
      </c>
      <c r="F204" s="8">
        <f>IFERROR(E204/E444, "NA")</f>
        <v>1.999968392597546E-3</v>
      </c>
      <c r="G204" s="9"/>
      <c r="H204" s="10">
        <f t="shared" si="52"/>
        <v>182.54999999999998</v>
      </c>
      <c r="I204" s="8">
        <f>IFERROR(H204/H444, "NA")</f>
        <v>-9.0131101130008478E-3</v>
      </c>
      <c r="J204" s="9"/>
      <c r="K204" s="7">
        <v>199.15</v>
      </c>
      <c r="L204" s="8">
        <f>IFERROR(K204/K444, "NA")</f>
        <v>2.1114846955263456E-3</v>
      </c>
      <c r="M204" s="9"/>
      <c r="N204" s="10">
        <f t="shared" si="53"/>
        <v>181.75</v>
      </c>
      <c r="O204" s="8">
        <f>IFERROR(N204/N444, "NA")</f>
        <v>-1.2453091073035064E-2</v>
      </c>
      <c r="P204" s="9"/>
      <c r="Q204" s="7">
        <v>40.29</v>
      </c>
      <c r="R204" s="8">
        <f>IFERROR(Q204/Q444, "NA")</f>
        <v>2.3605267894304645E-4</v>
      </c>
      <c r="S204" s="9"/>
      <c r="T204" s="7">
        <v>394.18</v>
      </c>
      <c r="U204" s="8">
        <f>IFERROR(T204/T444, "NA")</f>
        <v>1.9999943173331083E-3</v>
      </c>
      <c r="V204" s="9"/>
      <c r="W204" s="10">
        <f t="shared" si="54"/>
        <v>353.89</v>
      </c>
      <c r="X204" s="8">
        <f>IFERROR(W204/W444, "NA")</f>
        <v>-1.3400700991202769E-2</v>
      </c>
      <c r="Y204" s="9"/>
      <c r="Z204" s="7">
        <v>221.85</v>
      </c>
      <c r="AA204" s="8">
        <f>IFERROR(Z204/Z444, "NA")</f>
        <v>1.1688117096757063E-3</v>
      </c>
      <c r="AB204" s="9"/>
      <c r="AC204" s="10">
        <f t="shared" si="55"/>
        <v>181.56</v>
      </c>
      <c r="AD204" s="8">
        <f>IFERROR(AC204/AC444, "NA")</f>
        <v>-9.4928766825334351E-3</v>
      </c>
    </row>
    <row r="205" spans="1:30" ht="16.5" customHeight="1" x14ac:dyDescent="0.45">
      <c r="A205" s="6" t="s">
        <v>187</v>
      </c>
      <c r="B205" s="7">
        <v>365.58</v>
      </c>
      <c r="C205" s="8">
        <f>IFERROR(B205/B444, "NA")</f>
        <v>4.5856421159581173E-3</v>
      </c>
      <c r="D205" s="9"/>
      <c r="E205" s="7">
        <v>299.93</v>
      </c>
      <c r="F205" s="8">
        <f>IFERROR(E205/E444, "NA")</f>
        <v>3.0000026006090628E-3</v>
      </c>
      <c r="G205" s="9"/>
      <c r="H205" s="10">
        <f t="shared" si="52"/>
        <v>-65.649999999999977</v>
      </c>
      <c r="I205" s="8">
        <f>IFERROR(H205/H444, "NA")</f>
        <v>3.2413622509915394E-3</v>
      </c>
      <c r="J205" s="9"/>
      <c r="K205" s="7">
        <v>364.24</v>
      </c>
      <c r="L205" s="8">
        <f>IFERROR(K205/K444, "NA")</f>
        <v>3.8618487848280998E-3</v>
      </c>
      <c r="M205" s="9"/>
      <c r="N205" s="10">
        <f t="shared" si="53"/>
        <v>-1.339999999999975</v>
      </c>
      <c r="O205" s="8">
        <f>IFERROR(N205/N444, "NA")</f>
        <v>9.1813711350022964E-5</v>
      </c>
      <c r="P205" s="9"/>
      <c r="Q205" s="7">
        <v>820.88</v>
      </c>
      <c r="R205" s="8">
        <f>IFERROR(Q205/Q444, "NA")</f>
        <v>4.8094048918036229E-3</v>
      </c>
      <c r="S205" s="9"/>
      <c r="T205" s="7">
        <v>591.27</v>
      </c>
      <c r="U205" s="8">
        <f>IFERROR(T205/T444, "NA")</f>
        <v>2.999991475999662E-3</v>
      </c>
      <c r="V205" s="9"/>
      <c r="W205" s="10">
        <f t="shared" si="54"/>
        <v>-229.61</v>
      </c>
      <c r="X205" s="8">
        <f>IFERROR(W205/W444, "NA")</f>
        <v>8.6946083658483372E-3</v>
      </c>
      <c r="Y205" s="9"/>
      <c r="Z205" s="7">
        <v>728.48</v>
      </c>
      <c r="AA205" s="8">
        <f>IFERROR(Z205/Z444, "NA")</f>
        <v>3.837980411379574E-3</v>
      </c>
      <c r="AB205" s="9"/>
      <c r="AC205" s="10">
        <f t="shared" si="55"/>
        <v>-92.399999999999977</v>
      </c>
      <c r="AD205" s="8">
        <f>IFERROR(AC205/AC444, "NA")</f>
        <v>4.8311401490751769E-3</v>
      </c>
    </row>
    <row r="206" spans="1:30" ht="16.5" customHeight="1" x14ac:dyDescent="0.45">
      <c r="A206" s="6" t="s">
        <v>188</v>
      </c>
      <c r="B206" s="7">
        <v>8.3800000000000008</v>
      </c>
      <c r="C206" s="8">
        <f>IFERROR(B206/B444, "NA")</f>
        <v>1.0511428669984416E-4</v>
      </c>
      <c r="D206" s="9"/>
      <c r="E206" s="7">
        <v>99.98</v>
      </c>
      <c r="F206" s="8">
        <f>IFERROR(E206/E444, "NA")</f>
        <v>1.0000342080115163E-3</v>
      </c>
      <c r="G206" s="9"/>
      <c r="H206" s="10">
        <f t="shared" si="52"/>
        <v>91.600000000000009</v>
      </c>
      <c r="I206" s="8">
        <f>IFERROR(H206/H444, "NA")</f>
        <v>-4.5226014042776107E-3</v>
      </c>
      <c r="J206" s="9"/>
      <c r="K206" s="7">
        <v>135.76</v>
      </c>
      <c r="L206" s="8">
        <f>IFERROR(K206/K444, "NA")</f>
        <v>1.4393932325616702E-3</v>
      </c>
      <c r="M206" s="9"/>
      <c r="N206" s="10">
        <f t="shared" si="53"/>
        <v>127.38</v>
      </c>
      <c r="O206" s="8">
        <f>IFERROR(N206/N444, "NA")</f>
        <v>-8.7277839938553307E-3</v>
      </c>
      <c r="P206" s="9"/>
      <c r="Q206" s="7">
        <v>8.3800000000000008</v>
      </c>
      <c r="R206" s="8">
        <f>IFERROR(Q206/Q444, "NA")</f>
        <v>4.9097082391231805E-5</v>
      </c>
      <c r="S206" s="9"/>
      <c r="T206" s="7">
        <v>197.09</v>
      </c>
      <c r="U206" s="8">
        <f>IFERROR(T206/T444, "NA")</f>
        <v>9.9999715866655415E-4</v>
      </c>
      <c r="V206" s="9"/>
      <c r="W206" s="10">
        <f t="shared" si="54"/>
        <v>188.71</v>
      </c>
      <c r="X206" s="8">
        <f>IFERROR(W206/W444, "NA")</f>
        <v>-7.1458540338802303E-3</v>
      </c>
      <c r="Y206" s="9"/>
      <c r="Z206" s="7">
        <v>135.76</v>
      </c>
      <c r="AA206" s="8">
        <f>IFERROR(Z206/Z444, "NA")</f>
        <v>7.152484908973354E-4</v>
      </c>
      <c r="AB206" s="9"/>
      <c r="AC206" s="10">
        <f t="shared" si="55"/>
        <v>127.38</v>
      </c>
      <c r="AD206" s="8">
        <f>IFERROR(AC206/AC444, "NA")</f>
        <v>-6.6600717769393532E-3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100</v>
      </c>
      <c r="F207" s="8">
        <f>IFERROR(E207/E444, "NA")</f>
        <v>1.0002342548624888E-3</v>
      </c>
      <c r="G207" s="9"/>
      <c r="H207" s="10">
        <f t="shared" si="52"/>
        <v>100</v>
      </c>
      <c r="I207" s="8">
        <f>IFERROR(H207/H444, "NA")</f>
        <v>-4.9373377775956441E-3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0</v>
      </c>
      <c r="R207" s="8">
        <f>IFERROR(Q207/Q444, "NA")</f>
        <v>0</v>
      </c>
      <c r="S207" s="9"/>
      <c r="T207" s="7">
        <v>200</v>
      </c>
      <c r="U207" s="8">
        <f>IFERROR(T207/T444, "NA")</f>
        <v>1.0147619449658067E-3</v>
      </c>
      <c r="V207" s="9"/>
      <c r="W207" s="10">
        <f t="shared" si="54"/>
        <v>200</v>
      </c>
      <c r="X207" s="8">
        <f>IFERROR(W207/W444, "NA")</f>
        <v>-7.5733708164699588E-3</v>
      </c>
      <c r="Y207" s="9"/>
      <c r="Z207" s="7">
        <v>99.6</v>
      </c>
      <c r="AA207" s="8">
        <f>IFERROR(Z207/Z444, "NA")</f>
        <v>5.2474034836015474E-4</v>
      </c>
      <c r="AB207" s="9"/>
      <c r="AC207" s="10">
        <f t="shared" si="55"/>
        <v>99.6</v>
      </c>
      <c r="AD207" s="8">
        <f>IFERROR(AC207/AC444, "NA")</f>
        <v>-5.2075926282238935E-3</v>
      </c>
    </row>
    <row r="208" spans="1:30" ht="16.5" customHeight="1" x14ac:dyDescent="0.45">
      <c r="A208" s="6" t="s">
        <v>190</v>
      </c>
      <c r="B208" s="7">
        <v>114.46</v>
      </c>
      <c r="C208" s="8">
        <f>IFERROR(B208/B444, "NA")</f>
        <v>1.435725686833432E-3</v>
      </c>
      <c r="D208" s="9"/>
      <c r="E208" s="7">
        <v>100</v>
      </c>
      <c r="F208" s="8">
        <f>IFERROR(E208/E444, "NA")</f>
        <v>1.0002342548624888E-3</v>
      </c>
      <c r="G208" s="9"/>
      <c r="H208" s="10">
        <f t="shared" si="52"/>
        <v>-14.459999999999994</v>
      </c>
      <c r="I208" s="8">
        <f>IFERROR(H208/H444, "NA")</f>
        <v>7.1393904264032988E-4</v>
      </c>
      <c r="J208" s="9"/>
      <c r="K208" s="7">
        <v>306.23</v>
      </c>
      <c r="L208" s="8">
        <f>IFERROR(K208/K444, "NA")</f>
        <v>3.2467986859705386E-3</v>
      </c>
      <c r="M208" s="9"/>
      <c r="N208" s="10">
        <f t="shared" si="53"/>
        <v>191.77000000000004</v>
      </c>
      <c r="O208" s="8">
        <f>IFERROR(N208/N444, "NA")</f>
        <v>-1.313963837730913E-2</v>
      </c>
      <c r="P208" s="9"/>
      <c r="Q208" s="7">
        <v>241.58</v>
      </c>
      <c r="R208" s="8">
        <f>IFERROR(Q208/Q444, "NA")</f>
        <v>1.4153786591973483E-3</v>
      </c>
      <c r="S208" s="9"/>
      <c r="T208" s="7">
        <v>200</v>
      </c>
      <c r="U208" s="8">
        <f>IFERROR(T208/T444, "NA")</f>
        <v>1.0147619449658067E-3</v>
      </c>
      <c r="V208" s="9"/>
      <c r="W208" s="10">
        <f t="shared" si="54"/>
        <v>-41.580000000000013</v>
      </c>
      <c r="X208" s="8">
        <f>IFERROR(W208/W444, "NA")</f>
        <v>1.5745037927441051E-3</v>
      </c>
      <c r="Y208" s="9"/>
      <c r="Z208" s="7">
        <v>409.65</v>
      </c>
      <c r="AA208" s="8">
        <f>IFERROR(Z208/Z444, "NA")</f>
        <v>2.1582317641138291E-3</v>
      </c>
      <c r="AB208" s="9"/>
      <c r="AC208" s="10">
        <f t="shared" si="55"/>
        <v>168.06999999999996</v>
      </c>
      <c r="AD208" s="8">
        <f>IFERROR(AC208/AC444, "NA")</f>
        <v>-8.7875511347950772E-3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1971.6200000000001</v>
      </c>
      <c r="C209" s="15">
        <f>IFERROR(B209/B444, "NA")</f>
        <v>2.4730958227105814E-2</v>
      </c>
      <c r="D209" s="2"/>
      <c r="E209" s="14">
        <f>IFERROR(E201+E202+E203+E204+E205+E206+E207+E208, "NA")</f>
        <v>2599.44</v>
      </c>
      <c r="F209" s="15">
        <f>IFERROR(E209/E444, "NA")</f>
        <v>2.6000489314597478E-2</v>
      </c>
      <c r="G209" s="2"/>
      <c r="H209" s="14">
        <f t="shared" si="52"/>
        <v>627.81999999999994</v>
      </c>
      <c r="I209" s="15">
        <f>IFERROR(H209/H444, "NA")</f>
        <v>-3.099759403530097E-2</v>
      </c>
      <c r="J209" s="2"/>
      <c r="K209" s="14">
        <f>IFERROR(K201+K202+K203+K204+K205+K206+K207+K208, "NA")</f>
        <v>2485.9900000000002</v>
      </c>
      <c r="L209" s="15">
        <f>IFERROR(K209/K444, "NA")</f>
        <v>2.6357669285621593E-2</v>
      </c>
      <c r="M209" s="2"/>
      <c r="N209" s="14">
        <f t="shared" si="53"/>
        <v>514.37000000000012</v>
      </c>
      <c r="O209" s="15">
        <f>IFERROR(N209/N444, "NA")</f>
        <v>-3.5243446796352391E-2</v>
      </c>
      <c r="P209" s="2"/>
      <c r="Q209" s="14">
        <f>IFERROR(Q201+Q202+Q203+Q204+Q205+Q206+Q207+Q208, "NA")</f>
        <v>4073.7</v>
      </c>
      <c r="R209" s="15">
        <f>IFERROR(Q209/Q444, "NA")</f>
        <v>2.3867158059327088E-2</v>
      </c>
      <c r="S209" s="2"/>
      <c r="T209" s="14">
        <f>IFERROR(T201+T202+T203+T204+T205+T206+T207+T208, "NA")</f>
        <v>5130.17</v>
      </c>
      <c r="U209" s="15">
        <f>IFERROR(T209/T444, "NA")</f>
        <v>2.602950643602616E-2</v>
      </c>
      <c r="V209" s="2"/>
      <c r="W209" s="14">
        <f t="shared" si="54"/>
        <v>1056.4700000000003</v>
      </c>
      <c r="X209" s="15">
        <f>IFERROR(W209/W444, "NA")</f>
        <v>-4.0005195332380096E-2</v>
      </c>
      <c r="Y209" s="2"/>
      <c r="Z209" s="14">
        <f>IFERROR(Z201+Z202+Z203+Z204+Z205+Z206+Z207+Z208, "NA")</f>
        <v>4419.29</v>
      </c>
      <c r="AA209" s="15">
        <f>IFERROR(Z209/Z444, "NA")</f>
        <v>2.3282929458881007E-2</v>
      </c>
      <c r="AB209" s="2"/>
      <c r="AC209" s="14">
        <f t="shared" si="55"/>
        <v>345.59000000000015</v>
      </c>
      <c r="AD209" s="15">
        <f>IFERROR(AC209/AC444, "NA")</f>
        <v>-1.8069196148472855E-2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2899.32</v>
      </c>
      <c r="F213" s="8">
        <f>IFERROR(E213/E444, "NA")</f>
        <v>2.8999991798079112E-2</v>
      </c>
      <c r="G213" s="9"/>
      <c r="H213" s="10">
        <f t="shared" ref="H213:H227" si="56">IFERROR(-(B213-E213), "NA")</f>
        <v>2899.32</v>
      </c>
      <c r="I213" s="8">
        <f>IFERROR(H213/H444, "NA")</f>
        <v>-0.14314922165338603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5715.63</v>
      </c>
      <c r="U213" s="8">
        <f>IFERROR(T213/T444, "NA")</f>
        <v>2.9000019077524565E-2</v>
      </c>
      <c r="V213" s="9"/>
      <c r="W213" s="10">
        <f t="shared" ref="W213:W227" si="58">IFERROR(-(Q213-T213), "NA")</f>
        <v>5715.63</v>
      </c>
      <c r="X213" s="8">
        <f>IFERROR(W213/W444, "NA")</f>
        <v>-0.21643292719870097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1723.72</v>
      </c>
      <c r="C214" s="8">
        <f>IFERROR(B214/B444, "NA")</f>
        <v>2.162143177449348E-2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-1723.72</v>
      </c>
      <c r="I214" s="8">
        <f>IFERROR(H214/H444, "NA")</f>
        <v>8.5105878739971649E-2</v>
      </c>
      <c r="J214" s="9"/>
      <c r="K214" s="7">
        <v>2928.16</v>
      </c>
      <c r="L214" s="8">
        <f>IFERROR(K214/K444, "NA")</f>
        <v>3.1045769651280055E-2</v>
      </c>
      <c r="M214" s="9"/>
      <c r="N214" s="10">
        <f t="shared" si="57"/>
        <v>1204.4399999999998</v>
      </c>
      <c r="O214" s="8">
        <f>IFERROR(N214/N444, "NA")</f>
        <v>-8.2525452610763952E-2</v>
      </c>
      <c r="P214" s="9"/>
      <c r="Q214" s="7">
        <v>3186.13</v>
      </c>
      <c r="R214" s="8">
        <f>IFERROR(Q214/Q444, "NA")</f>
        <v>1.8667027102526896E-2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-3186.13</v>
      </c>
      <c r="X214" s="8">
        <f>IFERROR(W214/W444, "NA")</f>
        <v>0.12064871979739715</v>
      </c>
      <c r="Y214" s="9"/>
      <c r="Z214" s="7">
        <v>4786.7700000000004</v>
      </c>
      <c r="AA214" s="8">
        <f>IFERROR(Z214/Z444, "NA")</f>
        <v>2.5218989531324683E-2</v>
      </c>
      <c r="AB214" s="9"/>
      <c r="AC214" s="10">
        <f t="shared" si="59"/>
        <v>1600.6400000000003</v>
      </c>
      <c r="AD214" s="8">
        <f>IFERROR(AC214/AC444, "NA")</f>
        <v>-8.3689568920083279E-2</v>
      </c>
    </row>
    <row r="215" spans="1:30" ht="16.5" customHeight="1" x14ac:dyDescent="0.45">
      <c r="A215" s="12" t="s">
        <v>195</v>
      </c>
      <c r="B215" s="7">
        <v>121.26</v>
      </c>
      <c r="C215" s="8">
        <f>IFERROR(B215/B444, "NA")</f>
        <v>1.521021289406098E-3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-121.26</v>
      </c>
      <c r="I215" s="8">
        <f>IFERROR(H215/H444, "NA")</f>
        <v>5.9870157891124785E-3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-121.26</v>
      </c>
      <c r="O215" s="8">
        <f>IFERROR(N215/N444, "NA")</f>
        <v>8.3084557002268602E-3</v>
      </c>
      <c r="P215" s="9"/>
      <c r="Q215" s="7">
        <v>306.64</v>
      </c>
      <c r="R215" s="8">
        <f>IFERROR(Q215/Q444, "NA")</f>
        <v>1.7965548143731884E-3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-306.64</v>
      </c>
      <c r="X215" s="8">
        <f>IFERROR(W215/W444, "NA")</f>
        <v>1.1611492135811741E-2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-306.64</v>
      </c>
      <c r="AD215" s="8">
        <f>IFERROR(AC215/AC444, "NA")</f>
        <v>1.6032692806411394E-2</v>
      </c>
    </row>
    <row r="216" spans="1:30" ht="16.5" customHeight="1" x14ac:dyDescent="0.45">
      <c r="A216" s="12" t="s">
        <v>196</v>
      </c>
      <c r="B216" s="7">
        <v>10</v>
      </c>
      <c r="C216" s="8">
        <f>IFERROR(B216/B444, "NA")</f>
        <v>1.2543470966568514E-4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-10</v>
      </c>
      <c r="I216" s="8">
        <f>IFERROR(H216/H444, "NA")</f>
        <v>4.9373377775956443E-4</v>
      </c>
      <c r="J216" s="9"/>
      <c r="K216" s="7">
        <v>2.1</v>
      </c>
      <c r="L216" s="8">
        <f>IFERROR(K216/K444, "NA")</f>
        <v>2.2265216473037034E-5</v>
      </c>
      <c r="M216" s="9"/>
      <c r="N216" s="10">
        <f t="shared" si="57"/>
        <v>-7.9</v>
      </c>
      <c r="O216" s="8">
        <f>IFERROR(N216/N444, "NA")</f>
        <v>5.4128979079492165E-4</v>
      </c>
      <c r="P216" s="9"/>
      <c r="Q216" s="7">
        <v>10</v>
      </c>
      <c r="R216" s="8">
        <f>IFERROR(Q216/Q444, "NA")</f>
        <v>5.8588403808152507E-5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-10</v>
      </c>
      <c r="X216" s="8">
        <f>IFERROR(W216/W444, "NA")</f>
        <v>3.7866854082349794E-4</v>
      </c>
      <c r="Y216" s="9"/>
      <c r="Z216" s="7">
        <v>2.1</v>
      </c>
      <c r="AA216" s="8">
        <f>IFERROR(Z216/Z444, "NA")</f>
        <v>1.1063802525665914E-5</v>
      </c>
      <c r="AB216" s="9"/>
      <c r="AC216" s="10">
        <f t="shared" si="59"/>
        <v>-7.9</v>
      </c>
      <c r="AD216" s="8">
        <f>IFERROR(AC216/AC444, "NA")</f>
        <v>4.1305202573261809E-4</v>
      </c>
    </row>
    <row r="217" spans="1:30" ht="16.5" customHeight="1" x14ac:dyDescent="0.45">
      <c r="A217" s="12" t="s">
        <v>197</v>
      </c>
      <c r="B217" s="7">
        <v>686.66</v>
      </c>
      <c r="C217" s="8">
        <f>IFERROR(B217/B444, "NA")</f>
        <v>8.6130997739039348E-3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-686.66</v>
      </c>
      <c r="I217" s="8">
        <f>IFERROR(H217/H444, "NA")</f>
        <v>3.3902723583638252E-2</v>
      </c>
      <c r="J217" s="9"/>
      <c r="K217" s="7">
        <v>2959.01</v>
      </c>
      <c r="L217" s="8">
        <f>IFERROR(K217/K444, "NA")</f>
        <v>3.1372856283753012E-2</v>
      </c>
      <c r="M217" s="9"/>
      <c r="N217" s="10">
        <f t="shared" si="57"/>
        <v>2272.3500000000004</v>
      </c>
      <c r="O217" s="8">
        <f>IFERROR(N217/N444, "NA")</f>
        <v>-0.15569618431808105</v>
      </c>
      <c r="P217" s="9"/>
      <c r="Q217" s="7">
        <v>1004.34</v>
      </c>
      <c r="R217" s="8">
        <f>IFERROR(Q217/Q444, "NA")</f>
        <v>5.8842677480679889E-3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-1004.34</v>
      </c>
      <c r="X217" s="8">
        <f>IFERROR(W217/W444, "NA")</f>
        <v>3.8031196229067192E-2</v>
      </c>
      <c r="Y217" s="9"/>
      <c r="Z217" s="7">
        <v>4694.9799999999996</v>
      </c>
      <c r="AA217" s="8">
        <f>IFERROR(Z217/Z444, "NA")</f>
        <v>2.4735395991405215E-2</v>
      </c>
      <c r="AB217" s="9"/>
      <c r="AC217" s="10">
        <f t="shared" si="59"/>
        <v>3690.6399999999994</v>
      </c>
      <c r="AD217" s="8">
        <f>IFERROR(AC217/AC444, "NA")</f>
        <v>-0.19296535800630751</v>
      </c>
    </row>
    <row r="218" spans="1:30" ht="16.5" customHeight="1" x14ac:dyDescent="0.45">
      <c r="A218" s="13" t="s">
        <v>198</v>
      </c>
      <c r="B218" s="14">
        <f>IFERROR(B213+B214+B215+B216+B217, "NA")</f>
        <v>2541.64</v>
      </c>
      <c r="C218" s="15">
        <f>IFERROR(B218/B444, "NA")</f>
        <v>3.1880987547469194E-2</v>
      </c>
      <c r="D218" s="2"/>
      <c r="E218" s="14">
        <f>IFERROR(E213+E214+E215+E216+E217, "NA")</f>
        <v>2899.32</v>
      </c>
      <c r="F218" s="15">
        <f>IFERROR(E218/E444, "NA")</f>
        <v>2.8999991798079112E-2</v>
      </c>
      <c r="G218" s="2"/>
      <c r="H218" s="14">
        <f t="shared" si="56"/>
        <v>357.68000000000029</v>
      </c>
      <c r="I218" s="15">
        <f>IFERROR(H218/H444, "NA")</f>
        <v>-1.7659869762904117E-2</v>
      </c>
      <c r="J218" s="2"/>
      <c r="K218" s="14">
        <f>IFERROR(K213+K214+K215+K216+K217, "NA")</f>
        <v>5889.27</v>
      </c>
      <c r="L218" s="15">
        <f>IFERROR(K218/K444, "NA")</f>
        <v>6.2440891151506105E-2</v>
      </c>
      <c r="M218" s="2"/>
      <c r="N218" s="14">
        <f t="shared" si="57"/>
        <v>3347.6300000000006</v>
      </c>
      <c r="O218" s="15">
        <f>IFERROR(N218/N444, "NA")</f>
        <v>-0.22937189143782324</v>
      </c>
      <c r="P218" s="2"/>
      <c r="Q218" s="14">
        <f>IFERROR(Q213+Q214+Q215+Q216+Q217, "NA")</f>
        <v>4507.1099999999997</v>
      </c>
      <c r="R218" s="15">
        <f>IFERROR(Q218/Q444, "NA")</f>
        <v>2.6406438068776225E-2</v>
      </c>
      <c r="S218" s="2"/>
      <c r="T218" s="14">
        <f>IFERROR(T213+T214+T215+T216+T217, "NA")</f>
        <v>5715.63</v>
      </c>
      <c r="U218" s="15">
        <f>IFERROR(T218/T444, "NA")</f>
        <v>2.9000019077524565E-2</v>
      </c>
      <c r="V218" s="2"/>
      <c r="W218" s="14">
        <f t="shared" si="58"/>
        <v>1208.5200000000004</v>
      </c>
      <c r="X218" s="15">
        <f>IFERROR(W218/W444, "NA")</f>
        <v>-4.5762850495601394E-2</v>
      </c>
      <c r="Y218" s="2"/>
      <c r="Z218" s="14">
        <f>IFERROR(Z213+Z214+Z215+Z216+Z217, "NA")</f>
        <v>9483.85</v>
      </c>
      <c r="AA218" s="15">
        <f>IFERROR(Z218/Z444, "NA")</f>
        <v>4.9965449325255568E-2</v>
      </c>
      <c r="AB218" s="2"/>
      <c r="AC218" s="14">
        <f t="shared" si="59"/>
        <v>4976.7400000000007</v>
      </c>
      <c r="AD218" s="15">
        <f>IFERROR(AC218/AC444, "NA")</f>
        <v>-0.26020918209424682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37.61</v>
      </c>
      <c r="C222" s="8">
        <f>IFERROR(B222/B444, "NA")</f>
        <v>4.7175994305264182E-4</v>
      </c>
      <c r="D222" s="9"/>
      <c r="E222" s="7">
        <v>100</v>
      </c>
      <c r="F222" s="8">
        <f>IFERROR(E222/E444, "NA")</f>
        <v>1.0002342548624888E-3</v>
      </c>
      <c r="G222" s="9"/>
      <c r="H222" s="10">
        <f t="shared" si="56"/>
        <v>62.39</v>
      </c>
      <c r="I222" s="8">
        <f>IFERROR(H222/H444, "NA")</f>
        <v>-3.0804050394419224E-3</v>
      </c>
      <c r="J222" s="9"/>
      <c r="K222" s="7">
        <v>45.53</v>
      </c>
      <c r="L222" s="8">
        <f>IFERROR(K222/K444, "NA")</f>
        <v>4.8273109810351248E-4</v>
      </c>
      <c r="M222" s="9"/>
      <c r="N222" s="10">
        <f t="shared" si="57"/>
        <v>7.9200000000000017</v>
      </c>
      <c r="O222" s="8">
        <f>IFERROR(N222/N444, "NA")</f>
        <v>-5.4266014469566836E-4</v>
      </c>
      <c r="P222" s="9"/>
      <c r="Q222" s="7">
        <v>37.61</v>
      </c>
      <c r="R222" s="8">
        <f>IFERROR(Q222/Q444, "NA")</f>
        <v>2.2035098672246159E-4</v>
      </c>
      <c r="S222" s="9"/>
      <c r="T222" s="7">
        <v>200</v>
      </c>
      <c r="U222" s="8">
        <f>IFERROR(T222/T444, "NA")</f>
        <v>1.0147619449658067E-3</v>
      </c>
      <c r="V222" s="9"/>
      <c r="W222" s="10">
        <f t="shared" si="58"/>
        <v>162.38999999999999</v>
      </c>
      <c r="X222" s="8">
        <f>IFERROR(W222/W444, "NA")</f>
        <v>-6.149198434432783E-3</v>
      </c>
      <c r="Y222" s="9"/>
      <c r="Z222" s="7">
        <v>292.38</v>
      </c>
      <c r="AA222" s="8">
        <f>IFERROR(Z222/Z444, "NA")</f>
        <v>1.5403974202162858E-3</v>
      </c>
      <c r="AB222" s="9"/>
      <c r="AC222" s="10">
        <f t="shared" si="59"/>
        <v>254.76999999999998</v>
      </c>
      <c r="AD222" s="8">
        <f>IFERROR(AC222/AC444, "NA")</f>
        <v>-1.332066640454419E-2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2579.25</v>
      </c>
      <c r="C227" s="15">
        <f>IFERROR(B227/B444, "NA")</f>
        <v>3.235274749052184E-2</v>
      </c>
      <c r="D227" s="2"/>
      <c r="E227" s="14">
        <f>IFERROR(E211+E213+E214+E215+E216+E217+E219+E220+E221+E222+E223+E224+E225+E226, "NA")</f>
        <v>2999.32</v>
      </c>
      <c r="F227" s="15">
        <f>IFERROR(E227/E444, "NA")</f>
        <v>3.00002260529416E-2</v>
      </c>
      <c r="G227" s="2"/>
      <c r="H227" s="14">
        <f t="shared" si="56"/>
        <v>420.07000000000016</v>
      </c>
      <c r="I227" s="15">
        <f>IFERROR(H227/H444, "NA")</f>
        <v>-2.0740274802346033E-2</v>
      </c>
      <c r="J227" s="2"/>
      <c r="K227" s="14">
        <f>IFERROR(K211+K213+K214+K215+K216+K217+K219+K220+K221+K222+K223+K224+K225+K226, "NA")</f>
        <v>5934.8</v>
      </c>
      <c r="L227" s="15">
        <f>IFERROR(K227/K444, "NA")</f>
        <v>6.2923622249609609E-2</v>
      </c>
      <c r="M227" s="2"/>
      <c r="N227" s="14">
        <f t="shared" si="57"/>
        <v>3355.55</v>
      </c>
      <c r="O227" s="15">
        <f>IFERROR(N227/N444, "NA")</f>
        <v>-0.22991455158251889</v>
      </c>
      <c r="P227" s="2"/>
      <c r="Q227" s="14">
        <f>IFERROR(Q211+Q213+Q214+Q215+Q216+Q217+Q219+Q220+Q221+Q222+Q223+Q224+Q225+Q226, "NA")</f>
        <v>4544.7199999999993</v>
      </c>
      <c r="R227" s="15">
        <f>IFERROR(Q227/Q444, "NA")</f>
        <v>2.6626789055498683E-2</v>
      </c>
      <c r="S227" s="2"/>
      <c r="T227" s="14">
        <f>IFERROR(T211+T213+T214+T215+T216+T217+T219+T220+T221+T222+T223+T224+T225+T226, "NA")</f>
        <v>5915.63</v>
      </c>
      <c r="U227" s="15">
        <f>IFERROR(T227/T444, "NA")</f>
        <v>3.0014781022490371E-2</v>
      </c>
      <c r="V227" s="2"/>
      <c r="W227" s="14">
        <f t="shared" si="58"/>
        <v>1370.9100000000008</v>
      </c>
      <c r="X227" s="15">
        <f>IFERROR(W227/W444, "NA")</f>
        <v>-5.1912048930034184E-2</v>
      </c>
      <c r="Y227" s="2"/>
      <c r="Z227" s="14">
        <f>IFERROR(Z211+Z213+Z214+Z215+Z216+Z217+Z219+Z220+Z221+Z222+Z223+Z224+Z225+Z226, "NA")</f>
        <v>9776.23</v>
      </c>
      <c r="AA227" s="15">
        <f>IFERROR(Z227/Z444, "NA")</f>
        <v>5.1505846745471845E-2</v>
      </c>
      <c r="AB227" s="2"/>
      <c r="AC227" s="14">
        <f t="shared" si="59"/>
        <v>5231.51</v>
      </c>
      <c r="AD227" s="15">
        <f>IFERROR(AC227/AC444, "NA")</f>
        <v>-0.27352984849879097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1299.7</v>
      </c>
      <c r="F229" s="8">
        <f>IFERROR(E229/E444, "NA")</f>
        <v>1.3000044610447768E-2</v>
      </c>
      <c r="G229" s="9"/>
      <c r="H229" s="10">
        <f t="shared" ref="H229:H236" si="60">IFERROR(-(B229-E229), "NA")</f>
        <v>1299.7</v>
      </c>
      <c r="I229" s="8">
        <f>IFERROR(H229/H444, "NA")</f>
        <v>-6.4170579095410588E-2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2562.1799999999998</v>
      </c>
      <c r="U229" s="8">
        <f>IFERROR(T229/T444, "NA")</f>
        <v>1.3000013800762451E-2</v>
      </c>
      <c r="V229" s="9"/>
      <c r="W229" s="10">
        <f t="shared" ref="W229:W236" si="62">IFERROR(-(Q229-T229), "NA")</f>
        <v>2562.1799999999998</v>
      </c>
      <c r="X229" s="8">
        <f>IFERROR(W229/W444, "NA")</f>
        <v>-9.7021696192714987E-2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119</v>
      </c>
      <c r="L231" s="8">
        <f>IFERROR(K231/K444, "NA")</f>
        <v>1.2616956001387652E-3</v>
      </c>
      <c r="M231" s="9"/>
      <c r="N231" s="10">
        <f t="shared" si="61"/>
        <v>119</v>
      </c>
      <c r="O231" s="8">
        <f>IFERROR(N231/N444, "NA")</f>
        <v>-8.1536057094424904E-3</v>
      </c>
      <c r="P231" s="9"/>
      <c r="Q231" s="7">
        <v>231</v>
      </c>
      <c r="R231" s="8">
        <f>IFERROR(Q231/Q444, "NA")</f>
        <v>1.3533921279683229E-3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-231</v>
      </c>
      <c r="X231" s="8">
        <f>IFERROR(W231/W444, "NA")</f>
        <v>8.7472432930228022E-3</v>
      </c>
      <c r="Y231" s="9"/>
      <c r="Z231" s="7">
        <v>336.05</v>
      </c>
      <c r="AA231" s="8">
        <f>IFERROR(Z231/Z444, "NA")</f>
        <v>1.770471827976205E-3</v>
      </c>
      <c r="AB231" s="9"/>
      <c r="AC231" s="10">
        <f t="shared" si="63"/>
        <v>105.05000000000001</v>
      </c>
      <c r="AD231" s="8">
        <f>IFERROR(AC231/AC444, "NA")</f>
        <v>-5.4925462409128522E-3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875.19</v>
      </c>
      <c r="C234" s="8">
        <f>IFERROR(B234/B444, "NA")</f>
        <v>1.0977920355231098E-2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-875.19</v>
      </c>
      <c r="I234" s="8">
        <f>IFERROR(H234/H444, "NA")</f>
        <v>4.321108649573932E-2</v>
      </c>
      <c r="J234" s="9"/>
      <c r="K234" s="7">
        <v>1243.68</v>
      </c>
      <c r="L234" s="8">
        <f>IFERROR(K234/K444, "NA")</f>
        <v>1.3186097344374618E-2</v>
      </c>
      <c r="M234" s="9"/>
      <c r="N234" s="10">
        <f t="shared" si="61"/>
        <v>368.49</v>
      </c>
      <c r="O234" s="8">
        <f>IFERROR(N234/N444, "NA")</f>
        <v>-2.5248085444306415E-2</v>
      </c>
      <c r="P234" s="9"/>
      <c r="Q234" s="7">
        <v>2048.02</v>
      </c>
      <c r="R234" s="8">
        <f>IFERROR(Q234/Q444, "NA")</f>
        <v>1.199902227671725E-2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-2048.02</v>
      </c>
      <c r="X234" s="8">
        <f>IFERROR(W234/W444, "NA")</f>
        <v>7.7552074497734033E-2</v>
      </c>
      <c r="Y234" s="9"/>
      <c r="Z234" s="7">
        <v>2902.14</v>
      </c>
      <c r="AA234" s="8">
        <f>IFERROR(Z234/Z444, "NA")</f>
        <v>1.5289858981826703E-2</v>
      </c>
      <c r="AB234" s="9"/>
      <c r="AC234" s="10">
        <f t="shared" si="63"/>
        <v>854.11999999999989</v>
      </c>
      <c r="AD234" s="8">
        <f>IFERROR(AC234/AC444, "NA")</f>
        <v>-4.4657721040347306E-2</v>
      </c>
    </row>
    <row r="235" spans="1:30" ht="16.5" customHeight="1" x14ac:dyDescent="0.45">
      <c r="A235" s="6" t="s">
        <v>214</v>
      </c>
      <c r="B235" s="7">
        <v>19.37</v>
      </c>
      <c r="C235" s="8">
        <f>IFERROR(B235/B444, "NA")</f>
        <v>2.4296703262243212E-4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-19.37</v>
      </c>
      <c r="I235" s="8">
        <f>IFERROR(H235/H444, "NA")</f>
        <v>9.5636232752027641E-4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-19.37</v>
      </c>
      <c r="O235" s="8">
        <f>IFERROR(N235/N444, "NA")</f>
        <v>1.3271877528731179E-3</v>
      </c>
      <c r="P235" s="9"/>
      <c r="Q235" s="7">
        <v>34.270000000000003</v>
      </c>
      <c r="R235" s="8">
        <f>IFERROR(Q235/Q444, "NA")</f>
        <v>2.0078245985053866E-4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-34.270000000000003</v>
      </c>
      <c r="X235" s="8">
        <f>IFERROR(W235/W444, "NA")</f>
        <v>1.2976970894021276E-3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-34.270000000000003</v>
      </c>
      <c r="AD235" s="8">
        <f>IFERROR(AC235/AC444, "NA")</f>
        <v>1.7918092306147878E-3</v>
      </c>
    </row>
    <row r="236" spans="1:30" ht="16.5" customHeight="1" x14ac:dyDescent="0.45">
      <c r="A236" s="19" t="s">
        <v>215</v>
      </c>
      <c r="B236" s="14">
        <f>IFERROR(B229+B230+B231+B232+B233+B234+B235, "NA")</f>
        <v>894.56000000000006</v>
      </c>
      <c r="C236" s="15">
        <f>IFERROR(B236/B444, "NA")</f>
        <v>1.1220887387853531E-2</v>
      </c>
      <c r="D236" s="2"/>
      <c r="E236" s="14">
        <f>IFERROR(E229+E230+E231+E232+E233+E234+E235, "NA")</f>
        <v>1299.7</v>
      </c>
      <c r="F236" s="15">
        <f>IFERROR(E236/E444, "NA")</f>
        <v>1.3000044610447768E-2</v>
      </c>
      <c r="G236" s="2"/>
      <c r="H236" s="14">
        <f t="shared" si="60"/>
        <v>405.14</v>
      </c>
      <c r="I236" s="15">
        <f>IFERROR(H236/H444, "NA")</f>
        <v>-2.0003130272150994E-2</v>
      </c>
      <c r="J236" s="2"/>
      <c r="K236" s="14">
        <f>IFERROR(K229+K230+K231+K232+K233+K234+K235, "NA")</f>
        <v>1362.68</v>
      </c>
      <c r="L236" s="15">
        <f>IFERROR(K236/K444, "NA")</f>
        <v>1.4447792944513383E-2</v>
      </c>
      <c r="M236" s="2"/>
      <c r="N236" s="14">
        <f t="shared" si="61"/>
        <v>468.12</v>
      </c>
      <c r="O236" s="15">
        <f>IFERROR(N236/N444, "NA")</f>
        <v>-3.2074503400875781E-2</v>
      </c>
      <c r="P236" s="2"/>
      <c r="Q236" s="14">
        <f>IFERROR(Q229+Q230+Q231+Q232+Q233+Q234+Q235, "NA")</f>
        <v>2313.29</v>
      </c>
      <c r="R236" s="15">
        <f>IFERROR(Q236/Q444, "NA")</f>
        <v>1.3553196864536111E-2</v>
      </c>
      <c r="S236" s="2"/>
      <c r="T236" s="14">
        <f>IFERROR(T229+T230+T231+T232+T233+T234+T235, "NA")</f>
        <v>2562.1799999999998</v>
      </c>
      <c r="U236" s="15">
        <f>IFERROR(T236/T444, "NA")</f>
        <v>1.3000013800762451E-2</v>
      </c>
      <c r="V236" s="2"/>
      <c r="W236" s="14">
        <f t="shared" si="62"/>
        <v>248.88999999999987</v>
      </c>
      <c r="X236" s="15">
        <f>IFERROR(W236/W444, "NA")</f>
        <v>-9.4246813125560356E-3</v>
      </c>
      <c r="Y236" s="2"/>
      <c r="Z236" s="14">
        <f>IFERROR(Z229+Z230+Z231+Z232+Z233+Z234+Z235, "NA")</f>
        <v>3238.19</v>
      </c>
      <c r="AA236" s="15">
        <f>IFERROR(Z236/Z444, "NA")</f>
        <v>1.7060330809802907E-2</v>
      </c>
      <c r="AB236" s="2"/>
      <c r="AC236" s="14">
        <f t="shared" si="63"/>
        <v>924.90000000000009</v>
      </c>
      <c r="AD236" s="15">
        <f>IFERROR(AC236/AC444, "NA")</f>
        <v>-4.8358458050645377E-2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6098.57</v>
      </c>
      <c r="F240" s="8">
        <f>IFERROR(E240/E444, "NA")</f>
        <v>6.0999986196767282E-2</v>
      </c>
      <c r="G240" s="9"/>
      <c r="H240" s="10">
        <f t="shared" ref="H240:H263" si="64">IFERROR(-(B240-E240), "NA")</f>
        <v>6098.57</v>
      </c>
      <c r="I240" s="8">
        <f>IFERROR(H240/H444, "NA")</f>
        <v>-0.30110700050311467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12022.52</v>
      </c>
      <c r="U240" s="8">
        <f>IFERROR(T240/T444, "NA")</f>
        <v>6.0999978892951549E-2</v>
      </c>
      <c r="V240" s="9"/>
      <c r="W240" s="10">
        <f t="shared" ref="W240:W263" si="66">IFERROR(-(Q240-T240), "NA")</f>
        <v>12022.52</v>
      </c>
      <c r="X240" s="8">
        <f>IFERROR(W240/W444, "NA")</f>
        <v>-0.45525501054213208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1543.96</v>
      </c>
      <c r="C242" s="8">
        <f>IFERROR(B242/B444, "NA")</f>
        <v>1.9366617433543124E-2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-1543.96</v>
      </c>
      <c r="I242" s="8">
        <f>IFERROR(H242/H444, "NA")</f>
        <v>7.6230520350965711E-2</v>
      </c>
      <c r="J242" s="9"/>
      <c r="K242" s="7">
        <v>1163.1199999999999</v>
      </c>
      <c r="L242" s="8">
        <f>IFERROR(K242/K444, "NA")</f>
        <v>1.2331961230532778E-2</v>
      </c>
      <c r="M242" s="9"/>
      <c r="N242" s="10">
        <f t="shared" si="65"/>
        <v>-380.84000000000015</v>
      </c>
      <c r="O242" s="8">
        <f>IFERROR(N242/N444, "NA")</f>
        <v>2.6094278978017471E-2</v>
      </c>
      <c r="P242" s="9"/>
      <c r="Q242" s="7">
        <v>2859.88</v>
      </c>
      <c r="R242" s="8">
        <f>IFERROR(Q242/Q444, "NA")</f>
        <v>1.675558042828592E-2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-2859.88</v>
      </c>
      <c r="X242" s="8">
        <f>IFERROR(W242/W444, "NA")</f>
        <v>0.10829465865303053</v>
      </c>
      <c r="Y242" s="9"/>
      <c r="Z242" s="7">
        <v>2079.8200000000002</v>
      </c>
      <c r="AA242" s="8">
        <f>IFERROR(Z242/Z444, "NA")</f>
        <v>1.0957484651871659E-2</v>
      </c>
      <c r="AB242" s="9"/>
      <c r="AC242" s="10">
        <f t="shared" si="67"/>
        <v>-780.06</v>
      </c>
      <c r="AD242" s="8">
        <f>IFERROR(AC242/AC444, "NA")</f>
        <v>4.0785489011770384E-2</v>
      </c>
    </row>
    <row r="243" spans="1:30" ht="16.5" customHeight="1" x14ac:dyDescent="0.45">
      <c r="A243" s="12" t="s">
        <v>220</v>
      </c>
      <c r="B243" s="7">
        <v>1453.14</v>
      </c>
      <c r="C243" s="8">
        <f>IFERROR(B243/B444, "NA")</f>
        <v>1.8227419400359372E-2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-1453.14</v>
      </c>
      <c r="I243" s="8">
        <f>IFERROR(H243/H444, "NA")</f>
        <v>7.1746430181353349E-2</v>
      </c>
      <c r="J243" s="9"/>
      <c r="K243" s="7">
        <v>2732.73</v>
      </c>
      <c r="L243" s="8">
        <f>IFERROR(K243/K444, "NA")</f>
        <v>2.8973726196363094E-2</v>
      </c>
      <c r="M243" s="9"/>
      <c r="N243" s="10">
        <f t="shared" si="65"/>
        <v>1279.5899999999999</v>
      </c>
      <c r="O243" s="8">
        <f>IFERROR(N243/N444, "NA")</f>
        <v>-8.7674557392819458E-2</v>
      </c>
      <c r="P243" s="9"/>
      <c r="Q243" s="7">
        <v>3386.66</v>
      </c>
      <c r="R243" s="8">
        <f>IFERROR(Q243/Q444, "NA")</f>
        <v>1.9841900364091777E-2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-3386.66</v>
      </c>
      <c r="X243" s="8">
        <f>IFERROR(W243/W444, "NA")</f>
        <v>0.12824216004653075</v>
      </c>
      <c r="Y243" s="9"/>
      <c r="Z243" s="7">
        <v>6003.45</v>
      </c>
      <c r="AA243" s="8">
        <f>IFERROR(Z243/Z444, "NA")</f>
        <v>3.1629040606051921E-2</v>
      </c>
      <c r="AB243" s="9"/>
      <c r="AC243" s="10">
        <f t="shared" si="67"/>
        <v>2616.79</v>
      </c>
      <c r="AD243" s="8">
        <f>IFERROR(AC243/AC444, "NA")</f>
        <v>-0.13681903929327313</v>
      </c>
    </row>
    <row r="244" spans="1:30" ht="16.5" customHeight="1" x14ac:dyDescent="0.45">
      <c r="A244" s="12" t="s">
        <v>221</v>
      </c>
      <c r="B244" s="7">
        <v>531.79999999999995</v>
      </c>
      <c r="C244" s="8">
        <f>IFERROR(B244/B444, "NA")</f>
        <v>6.6706178600211352E-3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-531.79999999999995</v>
      </c>
      <c r="I244" s="8">
        <f>IFERROR(H244/H444, "NA")</f>
        <v>2.6256762301253636E-2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-531.79999999999995</v>
      </c>
      <c r="O244" s="8">
        <f>IFERROR(N244/N444, "NA")</f>
        <v>3.643771022085307E-2</v>
      </c>
      <c r="P244" s="9"/>
      <c r="Q244" s="7">
        <v>1339.8</v>
      </c>
      <c r="R244" s="8">
        <f>IFERROR(Q244/Q444, "NA")</f>
        <v>7.8496743422162736E-3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-1339.8</v>
      </c>
      <c r="X244" s="8">
        <f>IFERROR(W244/W444, "NA")</f>
        <v>5.0734011099532253E-2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-1339.8</v>
      </c>
      <c r="AD244" s="8">
        <f>IFERROR(AC244/AC444, "NA")</f>
        <v>7.0051532161590088E-2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89.66</v>
      </c>
      <c r="C246" s="8">
        <f>IFERROR(B246/B444, "NA")</f>
        <v>1.124647606862533E-3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-89.66</v>
      </c>
      <c r="I246" s="8">
        <f>IFERROR(H246/H444, "NA")</f>
        <v>4.4268170513922546E-3</v>
      </c>
      <c r="J246" s="9"/>
      <c r="K246" s="7">
        <v>351.2</v>
      </c>
      <c r="L246" s="8">
        <f>IFERROR(K246/K444, "NA")</f>
        <v>3.7235923930145744E-3</v>
      </c>
      <c r="M246" s="9"/>
      <c r="N246" s="10">
        <f t="shared" si="65"/>
        <v>261.53999999999996</v>
      </c>
      <c r="O246" s="8">
        <f>IFERROR(N246/N444, "NA")</f>
        <v>-1.7920117960063767E-2</v>
      </c>
      <c r="P246" s="9"/>
      <c r="Q246" s="7">
        <v>230</v>
      </c>
      <c r="R246" s="8">
        <f>IFERROR(Q246/Q444, "NA")</f>
        <v>1.3475332875875078E-3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-230</v>
      </c>
      <c r="X246" s="8">
        <f>IFERROR(W246/W444, "NA")</f>
        <v>8.709376438940453E-3</v>
      </c>
      <c r="Y246" s="9"/>
      <c r="Z246" s="7">
        <v>589.4</v>
      </c>
      <c r="AA246" s="8">
        <f>IFERROR(Z246/Z444, "NA")</f>
        <v>3.1052405755368998E-3</v>
      </c>
      <c r="AB246" s="9"/>
      <c r="AC246" s="10">
        <f t="shared" si="67"/>
        <v>359.4</v>
      </c>
      <c r="AD246" s="8">
        <f>IFERROR(AC246/AC444, "NA")</f>
        <v>-1.87912529175067E-2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241.65</v>
      </c>
      <c r="C248" s="8">
        <f>IFERROR(B248/B444, "NA")</f>
        <v>3.0311297590712816E-3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-241.65</v>
      </c>
      <c r="I248" s="8">
        <f>IFERROR(H248/H444, "NA")</f>
        <v>1.1931076739559876E-2</v>
      </c>
      <c r="J248" s="9"/>
      <c r="K248" s="7">
        <v>241.65</v>
      </c>
      <c r="L248" s="8">
        <f>IFERROR(K248/K444, "NA")</f>
        <v>2.5620902670044758E-3</v>
      </c>
      <c r="M248" s="9"/>
      <c r="N248" s="10">
        <f t="shared" si="65"/>
        <v>0</v>
      </c>
      <c r="O248" s="8">
        <f>IFERROR(N248/N444, "NA")</f>
        <v>0</v>
      </c>
      <c r="P248" s="9"/>
      <c r="Q248" s="7">
        <v>483.3</v>
      </c>
      <c r="R248" s="8">
        <f>IFERROR(Q248/Q444, "NA")</f>
        <v>2.8315775560480106E-3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-483.3</v>
      </c>
      <c r="X248" s="8">
        <f>IFERROR(W248/W444, "NA")</f>
        <v>1.8301050577999658E-2</v>
      </c>
      <c r="Y248" s="9"/>
      <c r="Z248" s="7">
        <v>492.25</v>
      </c>
      <c r="AA248" s="8">
        <f>IFERROR(Z248/Z444, "NA")</f>
        <v>2.5934079967900219E-3</v>
      </c>
      <c r="AB248" s="9"/>
      <c r="AC248" s="10">
        <f t="shared" si="67"/>
        <v>8.9499999999999886</v>
      </c>
      <c r="AD248" s="8">
        <f>IFERROR(AC248/AC444, "NA")</f>
        <v>-4.6795134560847178E-4</v>
      </c>
    </row>
    <row r="249" spans="1:30" ht="16.5" customHeight="1" x14ac:dyDescent="0.45">
      <c r="A249" s="12" t="s">
        <v>226</v>
      </c>
      <c r="B249" s="7">
        <v>994.44</v>
      </c>
      <c r="C249" s="8">
        <f>IFERROR(B249/B444, "NA")</f>
        <v>1.2473729267994393E-2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-994.44</v>
      </c>
      <c r="I249" s="8">
        <f>IFERROR(H249/H444, "NA")</f>
        <v>4.9098861795522128E-2</v>
      </c>
      <c r="J249" s="9"/>
      <c r="K249" s="7">
        <v>1815.13</v>
      </c>
      <c r="L249" s="8">
        <f>IFERROR(K249/K444, "NA")</f>
        <v>1.9244886846049386E-2</v>
      </c>
      <c r="M249" s="9"/>
      <c r="N249" s="10">
        <f t="shared" si="65"/>
        <v>820.69</v>
      </c>
      <c r="O249" s="8">
        <f>IFERROR(N249/N444, "NA")</f>
        <v>-5.623178714018788E-2</v>
      </c>
      <c r="P249" s="9"/>
      <c r="Q249" s="7">
        <v>2208.6999999999998</v>
      </c>
      <c r="R249" s="8">
        <f>IFERROR(Q249/Q444, "NA")</f>
        <v>1.2940420749106644E-2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-2208.6999999999998</v>
      </c>
      <c r="X249" s="8">
        <f>IFERROR(W249/W444, "NA")</f>
        <v>8.3636520611685986E-2</v>
      </c>
      <c r="Y249" s="9"/>
      <c r="Z249" s="7">
        <v>2957.8</v>
      </c>
      <c r="AA249" s="8">
        <f>IFERROR(Z249/Z444, "NA")</f>
        <v>1.5583102433530782E-2</v>
      </c>
      <c r="AB249" s="9"/>
      <c r="AC249" s="10">
        <f t="shared" si="67"/>
        <v>749.10000000000036</v>
      </c>
      <c r="AD249" s="8">
        <f>IFERROR(AC249/AC444, "NA")</f>
        <v>-3.916674335143093E-2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662.16</v>
      </c>
      <c r="C254" s="8">
        <f>IFERROR(B254/B444, "NA")</f>
        <v>8.3057847352230076E-3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-662.16</v>
      </c>
      <c r="I254" s="8">
        <f>IFERROR(H254/H444, "NA")</f>
        <v>3.2693075828127319E-2</v>
      </c>
      <c r="J254" s="9"/>
      <c r="K254" s="7">
        <v>314.22000000000003</v>
      </c>
      <c r="L254" s="8">
        <f>IFERROR(K254/K444, "NA")</f>
        <v>3.3315125334084273E-3</v>
      </c>
      <c r="M254" s="9"/>
      <c r="N254" s="10">
        <f t="shared" si="65"/>
        <v>-347.93999999999994</v>
      </c>
      <c r="O254" s="8">
        <f>IFERROR(N254/N444, "NA")</f>
        <v>2.3840046811289237E-2</v>
      </c>
      <c r="P254" s="9"/>
      <c r="Q254" s="7">
        <v>1403.77</v>
      </c>
      <c r="R254" s="8">
        <f>IFERROR(Q254/Q444, "NA")</f>
        <v>8.2244643613770246E-3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-1403.77</v>
      </c>
      <c r="X254" s="8">
        <f>IFERROR(W254/W444, "NA")</f>
        <v>5.3156353755180172E-2</v>
      </c>
      <c r="Y254" s="9"/>
      <c r="Z254" s="7">
        <v>1490.2</v>
      </c>
      <c r="AA254" s="8">
        <f>IFERROR(Z254/Z444, "NA")</f>
        <v>7.8510850113082606E-3</v>
      </c>
      <c r="AB254" s="9"/>
      <c r="AC254" s="10">
        <f t="shared" si="67"/>
        <v>86.430000000000064</v>
      </c>
      <c r="AD254" s="8">
        <f>IFERROR(AC254/AC444, "NA")</f>
        <v>-4.5189983017810392E-3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276.33</v>
      </c>
      <c r="C258" s="8">
        <f>IFERROR(B258/B444, "NA")</f>
        <v>3.4661373321918771E-3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-276.33</v>
      </c>
      <c r="I258" s="8">
        <f>IFERROR(H258/H444, "NA")</f>
        <v>1.3643345480830044E-2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-276.33</v>
      </c>
      <c r="O258" s="8">
        <f>IFERROR(N258/N444, "NA")</f>
        <v>1.8933494669665908E-2</v>
      </c>
      <c r="P258" s="9"/>
      <c r="Q258" s="7">
        <v>276.33</v>
      </c>
      <c r="R258" s="8">
        <f>IFERROR(Q258/Q444, "NA")</f>
        <v>1.6189733624306782E-3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-276.33</v>
      </c>
      <c r="X258" s="8">
        <f>IFERROR(W258/W444, "NA")</f>
        <v>1.0463747788575718E-2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-276.33</v>
      </c>
      <c r="AD258" s="8">
        <f>IFERROR(AC258/AC444, "NA")</f>
        <v>1.4447932439328398E-2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5793.14</v>
      </c>
      <c r="C262" s="15">
        <f>IFERROR(B262/B444, "NA")</f>
        <v>7.2666083395266728E-2</v>
      </c>
      <c r="D262" s="2"/>
      <c r="E262" s="14">
        <f>IFERROR(E240+E241+E242+E243+E244+E245+E246+E247+E248+E249+E250+E251+E252+E253+E254+E255+E256+E257+E258+E259+E260+E261, "NA")</f>
        <v>6098.57</v>
      </c>
      <c r="F262" s="15">
        <f>IFERROR(E262/E444, "NA")</f>
        <v>6.0999986196767282E-2</v>
      </c>
      <c r="G262" s="2"/>
      <c r="H262" s="14">
        <f t="shared" si="64"/>
        <v>305.42999999999938</v>
      </c>
      <c r="I262" s="15">
        <f>IFERROR(H262/H444, "NA")</f>
        <v>-1.5080110774110346E-2</v>
      </c>
      <c r="J262" s="2"/>
      <c r="K262" s="14">
        <f>IFERROR(K240+K241+K242+K243+K244+K245+K246+K247+K248+K249+K250+K251+K252+K253+K254+K255+K256+K257+K258+K259+K260+K261, "NA")</f>
        <v>6618.05</v>
      </c>
      <c r="L262" s="15">
        <f>IFERROR(K262/K444, "NA")</f>
        <v>7.0167769466372737E-2</v>
      </c>
      <c r="M262" s="2"/>
      <c r="N262" s="14">
        <f t="shared" si="65"/>
        <v>824.90999999999985</v>
      </c>
      <c r="O262" s="15">
        <f>IFERROR(N262/N444, "NA")</f>
        <v>-5.6520931813245405E-2</v>
      </c>
      <c r="P262" s="2"/>
      <c r="Q262" s="14">
        <f>IFERROR(Q240+Q241+Q242+Q243+Q244+Q245+Q246+Q247+Q248+Q249+Q250+Q251+Q252+Q253+Q254+Q255+Q256+Q257+Q258+Q259+Q260+Q261, "NA")</f>
        <v>12188.44</v>
      </c>
      <c r="R262" s="15">
        <f>IFERROR(Q262/Q444, "NA")</f>
        <v>7.1410124451143836E-2</v>
      </c>
      <c r="S262" s="2"/>
      <c r="T262" s="14">
        <f>IFERROR(T240+T241+T242+T243+T244+T245+T246+T247+T248+T249+T250+T251+T252+T253+T254+T255+T256+T257+T258+T259+T260+T261, "NA")</f>
        <v>12022.52</v>
      </c>
      <c r="U262" s="15">
        <f>IFERROR(T262/T444, "NA")</f>
        <v>6.0999978892951549E-2</v>
      </c>
      <c r="V262" s="2"/>
      <c r="W262" s="14">
        <f t="shared" si="66"/>
        <v>-165.92000000000007</v>
      </c>
      <c r="X262" s="15">
        <f>IFERROR(W262/W444, "NA")</f>
        <v>6.2828684293434805E-3</v>
      </c>
      <c r="Y262" s="2"/>
      <c r="Z262" s="14">
        <f>IFERROR(Z240+Z241+Z242+Z243+Z244+Z245+Z246+Z247+Z248+Z249+Z250+Z251+Z252+Z253+Z254+Z255+Z256+Z257+Z258+Z259+Z260+Z261, "NA")</f>
        <v>13612.920000000002</v>
      </c>
      <c r="AA262" s="15">
        <f>IFERROR(Z262/Z444, "NA")</f>
        <v>7.1719361275089558E-2</v>
      </c>
      <c r="AB262" s="2"/>
      <c r="AC262" s="14">
        <f t="shared" si="67"/>
        <v>1424.4800000000014</v>
      </c>
      <c r="AD262" s="15">
        <f>IFERROR(AC262/AC444, "NA")</f>
        <v>-7.4479031596911438E-2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5793.14</v>
      </c>
      <c r="C263" s="15">
        <f>IFERROR(B263/B444, "NA")</f>
        <v>7.2666083395266728E-2</v>
      </c>
      <c r="D263" s="2"/>
      <c r="E263" s="14">
        <f>IFERROR(E238+E240+E241+E242+E243+E244+E245+E246+E247+E248+E249+E250+E251+E252+E253+E254+E255+E256+E257+E258+E259+E260+E261, "NA")</f>
        <v>6098.57</v>
      </c>
      <c r="F263" s="15">
        <f>IFERROR(E263/E444, "NA")</f>
        <v>6.0999986196767282E-2</v>
      </c>
      <c r="G263" s="2"/>
      <c r="H263" s="14">
        <f t="shared" si="64"/>
        <v>305.42999999999938</v>
      </c>
      <c r="I263" s="15">
        <f>IFERROR(H263/H444, "NA")</f>
        <v>-1.5080110774110346E-2</v>
      </c>
      <c r="J263" s="2"/>
      <c r="K263" s="14">
        <f>IFERROR(K238+K240+K241+K242+K243+K244+K245+K246+K247+K248+K249+K250+K251+K252+K253+K254+K255+K256+K257+K258+K259+K260+K261, "NA")</f>
        <v>6618.05</v>
      </c>
      <c r="L263" s="15">
        <f>IFERROR(K263/K444, "NA")</f>
        <v>7.0167769466372737E-2</v>
      </c>
      <c r="M263" s="2"/>
      <c r="N263" s="14">
        <f t="shared" si="65"/>
        <v>824.90999999999985</v>
      </c>
      <c r="O263" s="15">
        <f>IFERROR(N263/N444, "NA")</f>
        <v>-5.6520931813245405E-2</v>
      </c>
      <c r="P263" s="2"/>
      <c r="Q263" s="14">
        <f>IFERROR(Q238+Q240+Q241+Q242+Q243+Q244+Q245+Q246+Q247+Q248+Q249+Q250+Q251+Q252+Q253+Q254+Q255+Q256+Q257+Q258+Q259+Q260+Q261, "NA")</f>
        <v>12188.44</v>
      </c>
      <c r="R263" s="15">
        <f>IFERROR(Q263/Q444, "NA")</f>
        <v>7.1410124451143836E-2</v>
      </c>
      <c r="S263" s="2"/>
      <c r="T263" s="14">
        <f>IFERROR(T238+T240+T241+T242+T243+T244+T245+T246+T247+T248+T249+T250+T251+T252+T253+T254+T255+T256+T257+T258+T259+T260+T261, "NA")</f>
        <v>12022.52</v>
      </c>
      <c r="U263" s="15">
        <f>IFERROR(T263/T444, "NA")</f>
        <v>6.0999978892951549E-2</v>
      </c>
      <c r="V263" s="2"/>
      <c r="W263" s="14">
        <f t="shared" si="66"/>
        <v>-165.92000000000007</v>
      </c>
      <c r="X263" s="15">
        <f>IFERROR(W263/W444, "NA")</f>
        <v>6.2828684293434805E-3</v>
      </c>
      <c r="Y263" s="2"/>
      <c r="Z263" s="14">
        <f>IFERROR(Z238+Z240+Z241+Z242+Z243+Z244+Z245+Z246+Z247+Z248+Z249+Z250+Z251+Z252+Z253+Z254+Z255+Z256+Z257+Z258+Z259+Z260+Z261, "NA")</f>
        <v>13612.920000000002</v>
      </c>
      <c r="AA263" s="15">
        <f>IFERROR(Z263/Z444, "NA")</f>
        <v>7.1719361275089558E-2</v>
      </c>
      <c r="AB263" s="2"/>
      <c r="AC263" s="14">
        <f t="shared" si="67"/>
        <v>1424.4800000000014</v>
      </c>
      <c r="AD263" s="15">
        <f>IFERROR(AC263/AC444, "NA")</f>
        <v>-7.4479031596911438E-2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2091.67</v>
      </c>
      <c r="C265" s="8">
        <f>IFERROR(B265/B444, "NA")</f>
        <v>2.6236801916642363E-2</v>
      </c>
      <c r="D265" s="9"/>
      <c r="E265" s="7">
        <v>2699.37</v>
      </c>
      <c r="F265" s="8">
        <f>IFERROR(E265/E444, "NA")</f>
        <v>2.7000023405481563E-2</v>
      </c>
      <c r="G265" s="9"/>
      <c r="H265" s="10">
        <f>IFERROR(-(B265-E265), "NA")</f>
        <v>607.69999999999982</v>
      </c>
      <c r="I265" s="8">
        <f>IFERROR(H265/H444, "NA")</f>
        <v>-3.0004201674448724E-2</v>
      </c>
      <c r="J265" s="9"/>
      <c r="K265" s="7">
        <v>2437.9499999999998</v>
      </c>
      <c r="L265" s="8">
        <f>IFERROR(K265/K444, "NA")</f>
        <v>2.5848325952590779E-2</v>
      </c>
      <c r="M265" s="9"/>
      <c r="N265" s="10">
        <f>IFERROR(-(B265-K265), "NA")</f>
        <v>346.27999999999975</v>
      </c>
      <c r="O265" s="8">
        <f>IFERROR(N265/N444, "NA")</f>
        <v>-2.3726307437527256E-2</v>
      </c>
      <c r="P265" s="9"/>
      <c r="Q265" s="7">
        <v>4563.78</v>
      </c>
      <c r="R265" s="8">
        <f>IFERROR(Q265/Q444, "NA")</f>
        <v>2.6738458553157023E-2</v>
      </c>
      <c r="S265" s="9"/>
      <c r="T265" s="7">
        <v>5321.45</v>
      </c>
      <c r="U265" s="8">
        <f>IFERROR(T265/T444, "NA")</f>
        <v>2.7000024760191456E-2</v>
      </c>
      <c r="V265" s="9"/>
      <c r="W265" s="10">
        <f>IFERROR(-(Q265-T265), "NA")</f>
        <v>757.67000000000007</v>
      </c>
      <c r="X265" s="8">
        <f>IFERROR(W265/W444, "NA")</f>
        <v>-2.8690579332573973E-2</v>
      </c>
      <c r="Y265" s="9"/>
      <c r="Z265" s="7">
        <v>4975.05</v>
      </c>
      <c r="AA265" s="8">
        <f>IFERROR(Z265/Z444, "NA")</f>
        <v>2.6210938454911528E-2</v>
      </c>
      <c r="AB265" s="9"/>
      <c r="AC265" s="10">
        <f>IFERROR(-(Q265-Z265), "NA")</f>
        <v>411.27000000000044</v>
      </c>
      <c r="AD265" s="8">
        <f>IFERROR(AC265/AC444, "NA")</f>
        <v>-2.1503279319373927E-2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2091.67</v>
      </c>
      <c r="C267" s="15">
        <f>IFERROR(B267/B444, "NA")</f>
        <v>2.6236801916642363E-2</v>
      </c>
      <c r="D267" s="2"/>
      <c r="E267" s="14">
        <f>IFERROR(E265+E266, "NA")</f>
        <v>2699.37</v>
      </c>
      <c r="F267" s="15">
        <f>IFERROR(E267/E444, "NA")</f>
        <v>2.7000023405481563E-2</v>
      </c>
      <c r="G267" s="2"/>
      <c r="H267" s="14">
        <f>IFERROR(-(B267-E267), "NA")</f>
        <v>607.69999999999982</v>
      </c>
      <c r="I267" s="15">
        <f>IFERROR(H267/H444, "NA")</f>
        <v>-3.0004201674448724E-2</v>
      </c>
      <c r="J267" s="2"/>
      <c r="K267" s="14">
        <f>IFERROR(K265+K266, "NA")</f>
        <v>2437.9499999999998</v>
      </c>
      <c r="L267" s="15">
        <f>IFERROR(K267/K444, "NA")</f>
        <v>2.5848325952590779E-2</v>
      </c>
      <c r="M267" s="2"/>
      <c r="N267" s="14">
        <f>IFERROR(-(B267-K267), "NA")</f>
        <v>346.27999999999975</v>
      </c>
      <c r="O267" s="15">
        <f>IFERROR(N267/N444, "NA")</f>
        <v>-2.3726307437527256E-2</v>
      </c>
      <c r="P267" s="2"/>
      <c r="Q267" s="14">
        <f>IFERROR(Q265+Q266, "NA")</f>
        <v>4563.78</v>
      </c>
      <c r="R267" s="15">
        <f>IFERROR(Q267/Q444, "NA")</f>
        <v>2.6738458553157023E-2</v>
      </c>
      <c r="S267" s="2"/>
      <c r="T267" s="14">
        <f>IFERROR(T265+T266, "NA")</f>
        <v>5321.45</v>
      </c>
      <c r="U267" s="15">
        <f>IFERROR(T267/T444, "NA")</f>
        <v>2.7000024760191456E-2</v>
      </c>
      <c r="V267" s="2"/>
      <c r="W267" s="14">
        <f>IFERROR(-(Q267-T267), "NA")</f>
        <v>757.67000000000007</v>
      </c>
      <c r="X267" s="15">
        <f>IFERROR(W267/W444, "NA")</f>
        <v>-2.8690579332573973E-2</v>
      </c>
      <c r="Y267" s="2"/>
      <c r="Z267" s="14">
        <f>IFERROR(Z265+Z266, "NA")</f>
        <v>4975.05</v>
      </c>
      <c r="AA267" s="15">
        <f>IFERROR(Z267/Z444, "NA")</f>
        <v>2.6210938454911528E-2</v>
      </c>
      <c r="AB267" s="2"/>
      <c r="AC267" s="14">
        <f>IFERROR(-(Q267-Z267), "NA")</f>
        <v>411.27000000000044</v>
      </c>
      <c r="AD267" s="15">
        <f>IFERROR(AC267/AC444, "NA")</f>
        <v>-2.1503279319373927E-2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166.67</v>
      </c>
      <c r="C270" s="8">
        <f>IFERROR(B270/B444, "NA")</f>
        <v>2.090620305997974E-3</v>
      </c>
      <c r="D270" s="9"/>
      <c r="E270" s="7">
        <v>111.38</v>
      </c>
      <c r="F270" s="8">
        <f>IFERROR(E270/E444, "NA")</f>
        <v>1.11406091306584E-3</v>
      </c>
      <c r="G270" s="9"/>
      <c r="H270" s="10">
        <f>IFERROR(-(B270-E270), "NA")</f>
        <v>-55.289999999999992</v>
      </c>
      <c r="I270" s="8">
        <f>IFERROR(H270/H444, "NA")</f>
        <v>2.7298540572326313E-3</v>
      </c>
      <c r="J270" s="9"/>
      <c r="K270" s="7">
        <v>223.42</v>
      </c>
      <c r="L270" s="8">
        <f>IFERROR(K270/K444, "NA")</f>
        <v>2.3688069830504446E-3</v>
      </c>
      <c r="M270" s="9"/>
      <c r="N270" s="10">
        <f>IFERROR(-(B270-K270), "NA")</f>
        <v>56.75</v>
      </c>
      <c r="O270" s="8">
        <f>IFERROR(N270/N444, "NA")</f>
        <v>-3.8883791933685824E-3</v>
      </c>
      <c r="P270" s="9"/>
      <c r="Q270" s="7">
        <v>256.39</v>
      </c>
      <c r="R270" s="8">
        <f>IFERROR(Q270/Q444, "NA")</f>
        <v>1.502148085237222E-3</v>
      </c>
      <c r="S270" s="9"/>
      <c r="T270" s="7">
        <v>222.76</v>
      </c>
      <c r="U270" s="8">
        <f>IFERROR(T270/T444, "NA")</f>
        <v>1.1302418543029152E-3</v>
      </c>
      <c r="V270" s="9"/>
      <c r="W270" s="10">
        <f>IFERROR(-(Q270-T270), "NA")</f>
        <v>-33.629999999999995</v>
      </c>
      <c r="X270" s="8">
        <f>IFERROR(W270/W444, "NA")</f>
        <v>1.2734623027894235E-3</v>
      </c>
      <c r="Y270" s="9"/>
      <c r="Z270" s="7">
        <v>438.39</v>
      </c>
      <c r="AA270" s="8">
        <f>IFERROR(Z270/Z444, "NA")</f>
        <v>2.3096478043936573E-3</v>
      </c>
      <c r="AB270" s="9"/>
      <c r="AC270" s="10">
        <f>IFERROR(-(Q270-Z270), "NA")</f>
        <v>182</v>
      </c>
      <c r="AD270" s="8">
        <f>IFERROR(AC270/AC444, "NA")</f>
        <v>-9.5158821118147448E-3</v>
      </c>
    </row>
    <row r="271" spans="1:30" ht="16.5" customHeight="1" x14ac:dyDescent="0.45">
      <c r="A271" s="6" t="s">
        <v>246</v>
      </c>
      <c r="B271" s="7">
        <v>1106.92</v>
      </c>
      <c r="C271" s="8">
        <f>IFERROR(B271/B444, "NA")</f>
        <v>1.388461888231402E-2</v>
      </c>
      <c r="D271" s="9"/>
      <c r="E271" s="7">
        <v>1183.75</v>
      </c>
      <c r="F271" s="8">
        <f>IFERROR(E271/E444, "NA")</f>
        <v>1.184027299193471E-2</v>
      </c>
      <c r="G271" s="9"/>
      <c r="H271" s="10">
        <f>IFERROR(-(B271-E271), "NA")</f>
        <v>76.829999999999927</v>
      </c>
      <c r="I271" s="8">
        <f>IFERROR(H271/H444, "NA")</f>
        <v>-3.7933566145267302E-3</v>
      </c>
      <c r="J271" s="9"/>
      <c r="K271" s="7">
        <v>1039.08</v>
      </c>
      <c r="L271" s="8">
        <f>IFERROR(K271/K444, "NA")</f>
        <v>1.1016829110858724E-2</v>
      </c>
      <c r="M271" s="9"/>
      <c r="N271" s="10">
        <f>IFERROR(-(B271-K271), "NA")</f>
        <v>-67.840000000000146</v>
      </c>
      <c r="O271" s="8">
        <f>IFERROR(N271/N444, "NA")</f>
        <v>4.6482404313326021E-3</v>
      </c>
      <c r="P271" s="9"/>
      <c r="Q271" s="7">
        <v>2290.64</v>
      </c>
      <c r="R271" s="8">
        <f>IFERROR(Q271/Q444, "NA")</f>
        <v>1.3420494129910646E-2</v>
      </c>
      <c r="S271" s="9"/>
      <c r="T271" s="7">
        <v>2367.5</v>
      </c>
      <c r="U271" s="8">
        <f>IFERROR(T271/T444, "NA")</f>
        <v>1.2012244523532736E-2</v>
      </c>
      <c r="V271" s="9"/>
      <c r="W271" s="10">
        <f>IFERROR(-(Q271-T271), "NA")</f>
        <v>76.860000000000127</v>
      </c>
      <c r="X271" s="8">
        <f>IFERROR(W271/W444, "NA")</f>
        <v>-2.91044640476941E-3</v>
      </c>
      <c r="Y271" s="9"/>
      <c r="Z271" s="7">
        <v>1845.62</v>
      </c>
      <c r="AA271" s="8">
        <f>IFERROR(Z271/Z444, "NA")</f>
        <v>9.7236072463902489E-3</v>
      </c>
      <c r="AB271" s="9"/>
      <c r="AC271" s="10">
        <f>IFERROR(-(Q271-Z271), "NA")</f>
        <v>-445.02</v>
      </c>
      <c r="AD271" s="8">
        <f>IFERROR(AC271/AC444, "NA")</f>
        <v>2.3267900315383505E-2</v>
      </c>
    </row>
    <row r="272" spans="1:30" ht="16.5" customHeight="1" x14ac:dyDescent="0.45">
      <c r="A272" s="6" t="s">
        <v>247</v>
      </c>
      <c r="B272" s="7">
        <v>199.27</v>
      </c>
      <c r="C272" s="8">
        <f>IFERROR(B272/B444, "NA")</f>
        <v>2.4995374595081078E-3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-199.27</v>
      </c>
      <c r="I272" s="8">
        <f>IFERROR(H272/H444, "NA")</f>
        <v>9.8386329894148417E-3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-199.27</v>
      </c>
      <c r="O272" s="8">
        <f>IFERROR(N272/N444, "NA")</f>
        <v>1.3653521090089119E-2</v>
      </c>
      <c r="P272" s="9"/>
      <c r="Q272" s="7">
        <v>398.54</v>
      </c>
      <c r="R272" s="8">
        <f>IFERROR(Q272/Q444, "NA")</f>
        <v>2.3349822453701103E-3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-398.54</v>
      </c>
      <c r="X272" s="8">
        <f>IFERROR(W272/W444, "NA")</f>
        <v>1.5091456025979689E-2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-398.54</v>
      </c>
      <c r="AD272" s="8">
        <f>IFERROR(AC272/AC444, "NA")</f>
        <v>2.0837690422212358E-2</v>
      </c>
    </row>
    <row r="273" spans="1:30" ht="16.5" customHeight="1" x14ac:dyDescent="0.45">
      <c r="A273" s="19" t="s">
        <v>248</v>
      </c>
      <c r="B273" s="14">
        <f>IFERROR(B269+B270+B271+B272, "NA")</f>
        <v>1472.8600000000001</v>
      </c>
      <c r="C273" s="15">
        <f>IFERROR(B273/B444, "NA")</f>
        <v>1.8474776647820101E-2</v>
      </c>
      <c r="D273" s="2"/>
      <c r="E273" s="14">
        <f>IFERROR(E269+E270+E271+E272, "NA")</f>
        <v>1295.1300000000001</v>
      </c>
      <c r="F273" s="15">
        <f>IFERROR(E273/E444, "NA")</f>
        <v>1.2954333905000552E-2</v>
      </c>
      <c r="G273" s="2"/>
      <c r="H273" s="14">
        <f>IFERROR(-(B273-E273), "NA")</f>
        <v>-177.73000000000002</v>
      </c>
      <c r="I273" s="15">
        <f>IFERROR(H273/H444, "NA")</f>
        <v>8.7751304321207393E-3</v>
      </c>
      <c r="J273" s="2"/>
      <c r="K273" s="14">
        <f>IFERROR(K269+K270+K271+K272, "NA")</f>
        <v>1262.5</v>
      </c>
      <c r="L273" s="15">
        <f>IFERROR(K273/K444, "NA")</f>
        <v>1.338563609390917E-2</v>
      </c>
      <c r="M273" s="2"/>
      <c r="N273" s="14">
        <f>IFERROR(-(B273-K273), "NA")</f>
        <v>-210.36000000000013</v>
      </c>
      <c r="O273" s="15">
        <f>IFERROR(N273/N444, "NA")</f>
        <v>1.4413382328053136E-2</v>
      </c>
      <c r="P273" s="2"/>
      <c r="Q273" s="14">
        <f>IFERROR(Q269+Q270+Q271+Q272, "NA")</f>
        <v>2945.5699999999997</v>
      </c>
      <c r="R273" s="15">
        <f>IFERROR(Q273/Q444, "NA")</f>
        <v>1.7257624460517977E-2</v>
      </c>
      <c r="S273" s="2"/>
      <c r="T273" s="14">
        <f>IFERROR(T269+T270+T271+T272, "NA")</f>
        <v>2590.2600000000002</v>
      </c>
      <c r="U273" s="15">
        <f>IFERROR(T273/T444, "NA")</f>
        <v>1.3142486377835652E-2</v>
      </c>
      <c r="V273" s="2"/>
      <c r="W273" s="14">
        <f>IFERROR(-(Q273-T273), "NA")</f>
        <v>-355.30999999999949</v>
      </c>
      <c r="X273" s="15">
        <f>IFERROR(W273/W444, "NA")</f>
        <v>1.3454471923999687E-2</v>
      </c>
      <c r="Y273" s="2"/>
      <c r="Z273" s="14">
        <f>IFERROR(Z269+Z270+Z271+Z272, "NA")</f>
        <v>2284.0099999999998</v>
      </c>
      <c r="AA273" s="15">
        <f>IFERROR(Z273/Z444, "NA")</f>
        <v>1.2033255050783906E-2</v>
      </c>
      <c r="AB273" s="2"/>
      <c r="AC273" s="14">
        <f>IFERROR(-(Q273-Z273), "NA")</f>
        <v>-661.56</v>
      </c>
      <c r="AD273" s="15">
        <f>IFERROR(AC273/AC444, "NA")</f>
        <v>3.4589708625781111E-2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hidden="1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0</v>
      </c>
      <c r="F287" s="8">
        <f>IFERROR(E287/E444, "NA")</f>
        <v>0</v>
      </c>
      <c r="G287" s="9"/>
      <c r="H287" s="10">
        <f t="shared" si="72"/>
        <v>0</v>
      </c>
      <c r="I287" s="8">
        <f>IFERROR(H287/H444, "NA")</f>
        <v>0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0</v>
      </c>
      <c r="U287" s="8">
        <f>IFERROR(T287/T444, "NA")</f>
        <v>0</v>
      </c>
      <c r="V287" s="9"/>
      <c r="W287" s="10">
        <f t="shared" si="74"/>
        <v>0</v>
      </c>
      <c r="X287" s="8">
        <f>IFERROR(W287/W444, "NA")</f>
        <v>0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158.35</v>
      </c>
      <c r="C288" s="8">
        <f>IFERROR(B288/B444, "NA")</f>
        <v>1.9862586275561241E-3</v>
      </c>
      <c r="D288" s="9"/>
      <c r="E288" s="7">
        <v>158</v>
      </c>
      <c r="F288" s="8">
        <f>IFERROR(E288/E444, "NA")</f>
        <v>1.5803701226827322E-3</v>
      </c>
      <c r="G288" s="9"/>
      <c r="H288" s="10">
        <f t="shared" si="72"/>
        <v>-0.34999999999999432</v>
      </c>
      <c r="I288" s="8">
        <f>IFERROR(H288/H444, "NA")</f>
        <v>1.7280682221584476E-5</v>
      </c>
      <c r="J288" s="9"/>
      <c r="K288" s="7">
        <v>158.35</v>
      </c>
      <c r="L288" s="8">
        <f>IFERROR(K288/K444, "NA")</f>
        <v>1.6789033469073401E-3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316.7</v>
      </c>
      <c r="R288" s="8">
        <f>IFERROR(Q288/Q444, "NA")</f>
        <v>1.85549474860419E-3</v>
      </c>
      <c r="S288" s="9"/>
      <c r="T288" s="7">
        <v>316</v>
      </c>
      <c r="U288" s="8">
        <f>IFERROR(T288/T444, "NA")</f>
        <v>1.6033238730459745E-3</v>
      </c>
      <c r="V288" s="9"/>
      <c r="W288" s="10">
        <f t="shared" si="74"/>
        <v>-0.69999999999998863</v>
      </c>
      <c r="X288" s="8">
        <f>IFERROR(W288/W444, "NA")</f>
        <v>2.6506797857644427E-5</v>
      </c>
      <c r="Y288" s="9"/>
      <c r="Z288" s="7">
        <v>316.68</v>
      </c>
      <c r="AA288" s="8">
        <f>IFERROR(Z288/Z444, "NA")</f>
        <v>1.6684214208704199E-3</v>
      </c>
      <c r="AB288" s="9"/>
      <c r="AC288" s="10">
        <f t="shared" si="75"/>
        <v>-1.999999999998181E-2</v>
      </c>
      <c r="AD288" s="8">
        <f>IFERROR(AC288/AC444, "NA")</f>
        <v>1.0457013309677023E-6</v>
      </c>
    </row>
    <row r="289" spans="1:30" ht="16.5" customHeight="1" x14ac:dyDescent="0.45">
      <c r="A289" s="6" t="s">
        <v>262</v>
      </c>
      <c r="B289" s="7">
        <v>247.3</v>
      </c>
      <c r="C289" s="8">
        <f>IFERROR(B289/B444, "NA")</f>
        <v>3.1020003700323938E-3</v>
      </c>
      <c r="D289" s="9"/>
      <c r="E289" s="7">
        <v>233</v>
      </c>
      <c r="F289" s="8">
        <f>IFERROR(E289/E444, "NA")</f>
        <v>2.330545813829599E-3</v>
      </c>
      <c r="G289" s="9"/>
      <c r="H289" s="10">
        <f t="shared" si="72"/>
        <v>-14.300000000000011</v>
      </c>
      <c r="I289" s="8">
        <f>IFERROR(H289/H444, "NA")</f>
        <v>7.0603930219617769E-4</v>
      </c>
      <c r="J289" s="9"/>
      <c r="K289" s="7">
        <v>208.48</v>
      </c>
      <c r="L289" s="8">
        <f>IFERROR(K289/K444, "NA")</f>
        <v>2.2104058715708384E-3</v>
      </c>
      <c r="M289" s="9"/>
      <c r="N289" s="10">
        <f t="shared" si="73"/>
        <v>-38.820000000000022</v>
      </c>
      <c r="O289" s="8">
        <f>IFERROR(N289/N444, "NA")</f>
        <v>2.6598569213492239E-3</v>
      </c>
      <c r="P289" s="9"/>
      <c r="Q289" s="7">
        <v>494.6</v>
      </c>
      <c r="R289" s="8">
        <f>IFERROR(Q289/Q444, "NA")</f>
        <v>2.8977824523512231E-3</v>
      </c>
      <c r="S289" s="9"/>
      <c r="T289" s="7">
        <v>466</v>
      </c>
      <c r="U289" s="8">
        <f>IFERROR(T289/T444, "NA")</f>
        <v>2.3643953317703296E-3</v>
      </c>
      <c r="V289" s="9"/>
      <c r="W289" s="10">
        <f t="shared" si="74"/>
        <v>-28.600000000000023</v>
      </c>
      <c r="X289" s="8">
        <f>IFERROR(W289/W444, "NA")</f>
        <v>1.0829920267552049E-3</v>
      </c>
      <c r="Y289" s="9"/>
      <c r="Z289" s="7">
        <v>414.21</v>
      </c>
      <c r="AA289" s="8">
        <f>IFERROR(Z289/Z444, "NA")</f>
        <v>2.1822560210267039E-3</v>
      </c>
      <c r="AB289" s="9"/>
      <c r="AC289" s="10">
        <f t="shared" si="75"/>
        <v>-80.390000000000043</v>
      </c>
      <c r="AD289" s="8">
        <f>IFERROR(AC289/AC444, "NA")</f>
        <v>4.2031964998285043E-3</v>
      </c>
    </row>
    <row r="290" spans="1:30" ht="16.5" customHeight="1" x14ac:dyDescent="0.45">
      <c r="A290" s="6" t="s">
        <v>263</v>
      </c>
      <c r="B290" s="7">
        <v>549.79999999999995</v>
      </c>
      <c r="C290" s="8">
        <f>IFERROR(B290/B444, "NA")</f>
        <v>6.8964003374193681E-3</v>
      </c>
      <c r="D290" s="9"/>
      <c r="E290" s="7">
        <v>299.93</v>
      </c>
      <c r="F290" s="8">
        <f>IFERROR(E290/E444, "NA")</f>
        <v>3.0000026006090628E-3</v>
      </c>
      <c r="G290" s="9"/>
      <c r="H290" s="10">
        <f t="shared" si="72"/>
        <v>-249.86999999999995</v>
      </c>
      <c r="I290" s="8">
        <f>IFERROR(H290/H444, "NA")</f>
        <v>1.2336925904878233E-2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-549.79999999999995</v>
      </c>
      <c r="O290" s="8">
        <f>IFERROR(N290/N444, "NA")</f>
        <v>3.7671028731525044E-2</v>
      </c>
      <c r="P290" s="9"/>
      <c r="Q290" s="7">
        <v>1296.75</v>
      </c>
      <c r="R290" s="8">
        <f>IFERROR(Q290/Q444, "NA")</f>
        <v>7.5974512638221766E-3</v>
      </c>
      <c r="S290" s="9"/>
      <c r="T290" s="7">
        <v>591.27</v>
      </c>
      <c r="U290" s="8">
        <f>IFERROR(T290/T444, "NA")</f>
        <v>2.999991475999662E-3</v>
      </c>
      <c r="V290" s="9"/>
      <c r="W290" s="10">
        <f t="shared" si="74"/>
        <v>-705.48</v>
      </c>
      <c r="X290" s="8">
        <f>IFERROR(W290/W444, "NA")</f>
        <v>2.6714308218016136E-2</v>
      </c>
      <c r="Y290" s="9"/>
      <c r="Z290" s="7">
        <v>0</v>
      </c>
      <c r="AA290" s="8">
        <f>IFERROR(Z290/Z444, "NA")</f>
        <v>0</v>
      </c>
      <c r="AB290" s="9"/>
      <c r="AC290" s="10">
        <f t="shared" si="75"/>
        <v>-1296.75</v>
      </c>
      <c r="AD290" s="8">
        <f>IFERROR(AC290/AC444, "NA")</f>
        <v>6.7800660046680061E-2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399.91</v>
      </c>
      <c r="F291" s="8">
        <f>IFERROR(E291/E444, "NA")</f>
        <v>4.0000368086205787E-3</v>
      </c>
      <c r="G291" s="9"/>
      <c r="H291" s="10">
        <f t="shared" si="72"/>
        <v>399.91</v>
      </c>
      <c r="I291" s="8">
        <f>IFERROR(H291/H444, "NA")</f>
        <v>-1.9744907506382744E-2</v>
      </c>
      <c r="J291" s="9"/>
      <c r="K291" s="7">
        <v>115.89</v>
      </c>
      <c r="L291" s="8">
        <f>IFERROR(K291/K444, "NA")</f>
        <v>1.228721874790601E-3</v>
      </c>
      <c r="M291" s="9"/>
      <c r="N291" s="10">
        <f t="shared" si="73"/>
        <v>115.89</v>
      </c>
      <c r="O291" s="8">
        <f>IFERROR(N291/N444, "NA")</f>
        <v>-7.9405156778763874E-3</v>
      </c>
      <c r="P291" s="9"/>
      <c r="Q291" s="7">
        <v>1271.33</v>
      </c>
      <c r="R291" s="8">
        <f>IFERROR(Q291/Q444, "NA")</f>
        <v>7.4485195413418522E-3</v>
      </c>
      <c r="S291" s="9"/>
      <c r="T291" s="7">
        <v>788.37</v>
      </c>
      <c r="U291" s="8">
        <f>IFERROR(T291/T444, "NA")</f>
        <v>4.0000393727634646E-3</v>
      </c>
      <c r="V291" s="9"/>
      <c r="W291" s="10">
        <f t="shared" si="74"/>
        <v>-482.95999999999992</v>
      </c>
      <c r="X291" s="8">
        <f>IFERROR(W291/W444, "NA")</f>
        <v>1.8288175847611655E-2</v>
      </c>
      <c r="Y291" s="9"/>
      <c r="Z291" s="7">
        <v>115.89</v>
      </c>
      <c r="AA291" s="8">
        <f>IFERROR(Z291/Z444, "NA")</f>
        <v>6.1056384509496325E-4</v>
      </c>
      <c r="AB291" s="9"/>
      <c r="AC291" s="10">
        <f t="shared" si="75"/>
        <v>-1155.4399999999998</v>
      </c>
      <c r="AD291" s="8">
        <f>IFERROR(AC291/AC444, "NA")</f>
        <v>6.0412257292721032E-2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99.98</v>
      </c>
      <c r="F292" s="8">
        <f>IFERROR(E292/E444, "NA")</f>
        <v>1.0000342080115163E-3</v>
      </c>
      <c r="G292" s="9"/>
      <c r="H292" s="10">
        <f t="shared" si="72"/>
        <v>99.98</v>
      </c>
      <c r="I292" s="8">
        <f>IFERROR(H292/H444, "NA")</f>
        <v>-4.9363503100401255E-3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197.09</v>
      </c>
      <c r="U292" s="8">
        <f>IFERROR(T292/T444, "NA")</f>
        <v>9.9999715866655415E-4</v>
      </c>
      <c r="V292" s="9"/>
      <c r="W292" s="10">
        <f t="shared" si="74"/>
        <v>197.09</v>
      </c>
      <c r="X292" s="8">
        <f>IFERROR(W292/W444, "NA")</f>
        <v>-7.4631782710903212E-3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99.98</v>
      </c>
      <c r="F293" s="8">
        <f>IFERROR(E293/E444, "NA")</f>
        <v>1.0000342080115163E-3</v>
      </c>
      <c r="G293" s="9"/>
      <c r="H293" s="10">
        <f t="shared" si="72"/>
        <v>99.98</v>
      </c>
      <c r="I293" s="8">
        <f>IFERROR(H293/H444, "NA")</f>
        <v>-4.9363503100401255E-3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197.09</v>
      </c>
      <c r="U293" s="8">
        <f>IFERROR(T293/T444, "NA")</f>
        <v>9.9999715866655415E-4</v>
      </c>
      <c r="V293" s="9"/>
      <c r="W293" s="10">
        <f t="shared" si="74"/>
        <v>197.09</v>
      </c>
      <c r="X293" s="8">
        <f>IFERROR(W293/W444, "NA")</f>
        <v>-7.4631782710903212E-3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300</v>
      </c>
      <c r="C294" s="8">
        <f>IFERROR(B294/B444, "NA")</f>
        <v>3.763041289970554E-3</v>
      </c>
      <c r="D294" s="9"/>
      <c r="E294" s="7">
        <v>412</v>
      </c>
      <c r="F294" s="8">
        <f>IFERROR(E294/E444, "NA")</f>
        <v>4.1209651300334535E-3</v>
      </c>
      <c r="G294" s="9"/>
      <c r="H294" s="10">
        <f t="shared" si="72"/>
        <v>112</v>
      </c>
      <c r="I294" s="8">
        <f>IFERROR(H294/H444, "NA")</f>
        <v>-5.5298183109071218E-3</v>
      </c>
      <c r="J294" s="9"/>
      <c r="K294" s="7">
        <v>325</v>
      </c>
      <c r="L294" s="8">
        <f>IFERROR(K294/K444, "NA")</f>
        <v>3.4458073113033507E-3</v>
      </c>
      <c r="M294" s="9"/>
      <c r="N294" s="10">
        <f t="shared" si="73"/>
        <v>25</v>
      </c>
      <c r="O294" s="8">
        <f>IFERROR(N294/N444, "NA")</f>
        <v>-1.7129423759332963E-3</v>
      </c>
      <c r="P294" s="9"/>
      <c r="Q294" s="7">
        <v>599.99</v>
      </c>
      <c r="R294" s="8">
        <f>IFERROR(Q294/Q444, "NA")</f>
        <v>3.5152456400853425E-3</v>
      </c>
      <c r="S294" s="9"/>
      <c r="T294" s="7">
        <v>824</v>
      </c>
      <c r="U294" s="8">
        <f>IFERROR(T294/T444, "NA")</f>
        <v>4.1808192132591236E-3</v>
      </c>
      <c r="V294" s="9"/>
      <c r="W294" s="10">
        <f t="shared" si="74"/>
        <v>224.01</v>
      </c>
      <c r="X294" s="8">
        <f>IFERROR(W294/W444, "NA")</f>
        <v>-8.4825539829871763E-3</v>
      </c>
      <c r="Y294" s="9"/>
      <c r="Z294" s="7">
        <v>649.99</v>
      </c>
      <c r="AA294" s="8">
        <f>IFERROR(Z294/Z444, "NA")</f>
        <v>3.4244576207893276E-3</v>
      </c>
      <c r="AB294" s="9"/>
      <c r="AC294" s="10">
        <f t="shared" si="75"/>
        <v>50</v>
      </c>
      <c r="AD294" s="8">
        <f>IFERROR(AC294/AC444, "NA")</f>
        <v>-2.6142533274216332E-3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1255.4499999999998</v>
      </c>
      <c r="C295" s="15">
        <f>IFERROR(B295/B444, "NA")</f>
        <v>1.5747700624978437E-2</v>
      </c>
      <c r="D295" s="2"/>
      <c r="E295" s="14">
        <f>IFERROR(E286+E287+E288+E289+E290+E291+E292+E293+E294, "NA")</f>
        <v>1702.8000000000002</v>
      </c>
      <c r="F295" s="15">
        <f>IFERROR(E295/E444, "NA")</f>
        <v>1.7031988891798459E-2</v>
      </c>
      <c r="G295" s="2"/>
      <c r="H295" s="14">
        <f t="shared" si="72"/>
        <v>447.35000000000036</v>
      </c>
      <c r="I295" s="15">
        <f>IFERROR(H295/H444, "NA")</f>
        <v>-2.2087180548074133E-2</v>
      </c>
      <c r="J295" s="2"/>
      <c r="K295" s="14">
        <f>IFERROR(K286+K287+K288+K289+K290+K291+K292+K293+K294, "NA")</f>
        <v>807.72</v>
      </c>
      <c r="L295" s="15">
        <f>IFERROR(K295/K444, "NA")</f>
        <v>8.56383840457213E-3</v>
      </c>
      <c r="M295" s="2"/>
      <c r="N295" s="14">
        <f t="shared" si="73"/>
        <v>-447.72999999999979</v>
      </c>
      <c r="O295" s="15">
        <f>IFERROR(N295/N444, "NA")</f>
        <v>3.0677427599064572E-2</v>
      </c>
      <c r="P295" s="2"/>
      <c r="Q295" s="14">
        <f>IFERROR(Q286+Q287+Q288+Q289+Q290+Q291+Q292+Q293+Q294, "NA")</f>
        <v>3979.37</v>
      </c>
      <c r="R295" s="15">
        <f>IFERROR(Q295/Q444, "NA")</f>
        <v>2.3314493646204783E-2</v>
      </c>
      <c r="S295" s="2"/>
      <c r="T295" s="14">
        <f>IFERROR(T286+T287+T288+T289+T290+T291+T292+T293+T294, "NA")</f>
        <v>3379.82</v>
      </c>
      <c r="U295" s="15">
        <f>IFERROR(T295/T444, "NA")</f>
        <v>1.7148563584171665E-2</v>
      </c>
      <c r="V295" s="2"/>
      <c r="W295" s="14">
        <f t="shared" si="74"/>
        <v>-599.54999999999973</v>
      </c>
      <c r="X295" s="15">
        <f>IFERROR(W295/W444, "NA")</f>
        <v>2.270307236507281E-2</v>
      </c>
      <c r="Y295" s="2"/>
      <c r="Z295" s="14">
        <f>IFERROR(Z286+Z287+Z288+Z289+Z290+Z291+Z292+Z293+Z294, "NA")</f>
        <v>1496.77</v>
      </c>
      <c r="AA295" s="15">
        <f>IFERROR(Z295/Z444, "NA")</f>
        <v>7.8856989077814143E-3</v>
      </c>
      <c r="AB295" s="2"/>
      <c r="AC295" s="14">
        <f t="shared" si="75"/>
        <v>-2482.6</v>
      </c>
      <c r="AD295" s="15">
        <f>IFERROR(AC295/AC444, "NA")</f>
        <v>0.12980290621313895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476.53</v>
      </c>
      <c r="C299" s="8">
        <f>IFERROR(B299/B444, "NA")</f>
        <v>5.9773402196988939E-3</v>
      </c>
      <c r="D299" s="9"/>
      <c r="E299" s="7">
        <v>469</v>
      </c>
      <c r="F299" s="8">
        <f>IFERROR(E299/E444, "NA")</f>
        <v>4.6910986553050727E-3</v>
      </c>
      <c r="G299" s="9"/>
      <c r="H299" s="10">
        <f t="shared" si="76"/>
        <v>-7.5299999999999727</v>
      </c>
      <c r="I299" s="8">
        <f>IFERROR(H299/H444, "NA")</f>
        <v>3.7178153465295067E-4</v>
      </c>
      <c r="J299" s="9"/>
      <c r="K299" s="7">
        <v>469.2</v>
      </c>
      <c r="L299" s="8">
        <f>IFERROR(K299/K444, "NA")</f>
        <v>4.9746855091185602E-3</v>
      </c>
      <c r="M299" s="9"/>
      <c r="N299" s="10">
        <f t="shared" si="77"/>
        <v>-7.3299999999999841</v>
      </c>
      <c r="O299" s="8">
        <f>IFERROR(N299/N444, "NA")</f>
        <v>5.0223470462364139E-4</v>
      </c>
      <c r="P299" s="9"/>
      <c r="Q299" s="7">
        <v>953.06</v>
      </c>
      <c r="R299" s="8">
        <f>IFERROR(Q299/Q444, "NA")</f>
        <v>5.5838264133397826E-3</v>
      </c>
      <c r="S299" s="9"/>
      <c r="T299" s="7">
        <v>938</v>
      </c>
      <c r="U299" s="8">
        <f>IFERROR(T299/T444, "NA")</f>
        <v>4.7592335218896329E-3</v>
      </c>
      <c r="V299" s="9"/>
      <c r="W299" s="10">
        <f t="shared" si="78"/>
        <v>-15.059999999999945</v>
      </c>
      <c r="X299" s="8">
        <f>IFERROR(W299/W444, "NA")</f>
        <v>5.702748224801858E-4</v>
      </c>
      <c r="Y299" s="9"/>
      <c r="Z299" s="7">
        <v>938.4</v>
      </c>
      <c r="AA299" s="8">
        <f>IFERROR(Z299/Z444, "NA")</f>
        <v>4.9439391857547116E-3</v>
      </c>
      <c r="AB299" s="9"/>
      <c r="AC299" s="10">
        <f t="shared" si="79"/>
        <v>-14.659999999999968</v>
      </c>
      <c r="AD299" s="8">
        <f>IFERROR(AC299/AC444, "NA")</f>
        <v>7.6649907560002127E-4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186.68</v>
      </c>
      <c r="C304" s="8">
        <f>IFERROR(B304/B444, "NA")</f>
        <v>2.3416151600390103E-3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-186.68</v>
      </c>
      <c r="I304" s="8">
        <f>IFERROR(H304/H444, "NA")</f>
        <v>9.2170221632155488E-3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-186.68</v>
      </c>
      <c r="O304" s="8">
        <f>IFERROR(N304/N444, "NA")</f>
        <v>1.2790883309569109E-2</v>
      </c>
      <c r="P304" s="9"/>
      <c r="Q304" s="7">
        <v>186.68</v>
      </c>
      <c r="R304" s="8">
        <f>IFERROR(Q304/Q444, "NA")</f>
        <v>1.0937283222905911E-3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-186.68</v>
      </c>
      <c r="X304" s="8">
        <f>IFERROR(W304/W444, "NA")</f>
        <v>7.0689843200930601E-3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-186.68</v>
      </c>
      <c r="AD304" s="8">
        <f>IFERROR(AC304/AC444, "NA")</f>
        <v>9.7605762232614111E-3</v>
      </c>
    </row>
    <row r="305" spans="1:30" ht="16.5" customHeight="1" x14ac:dyDescent="0.45">
      <c r="A305" s="6" t="s">
        <v>277</v>
      </c>
      <c r="B305" s="7">
        <v>36.9</v>
      </c>
      <c r="C305" s="8">
        <f>IFERROR(B305/B444, "NA")</f>
        <v>4.6285407866637816E-4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-36.9</v>
      </c>
      <c r="I305" s="8">
        <f>IFERROR(H305/H444, "NA")</f>
        <v>1.8218776399327927E-3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-36.9</v>
      </c>
      <c r="O305" s="8">
        <f>IFERROR(N305/N444, "NA")</f>
        <v>2.5283029468775452E-3</v>
      </c>
      <c r="P305" s="9"/>
      <c r="Q305" s="7">
        <v>60.97</v>
      </c>
      <c r="R305" s="8">
        <f>IFERROR(Q305/Q444, "NA")</f>
        <v>3.5721349801830584E-4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-60.97</v>
      </c>
      <c r="X305" s="8">
        <f>IFERROR(W305/W444, "NA")</f>
        <v>2.3087420934008668E-3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-60.97</v>
      </c>
      <c r="AD305" s="8">
        <f>IFERROR(AC305/AC444, "NA")</f>
        <v>3.1878205074579399E-3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55</v>
      </c>
      <c r="F310" s="8">
        <f>IFERROR(E310/E444, "NA")</f>
        <v>5.5012884017436887E-4</v>
      </c>
      <c r="G310" s="9"/>
      <c r="H310" s="10">
        <f t="shared" si="76"/>
        <v>55</v>
      </c>
      <c r="I310" s="8">
        <f>IFERROR(H310/H444, "NA")</f>
        <v>-2.7155357776776044E-3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0</v>
      </c>
      <c r="O310" s="8">
        <f>IFERROR(N310/N444, "NA")</f>
        <v>0</v>
      </c>
      <c r="P310" s="9"/>
      <c r="Q310" s="7">
        <v>100</v>
      </c>
      <c r="R310" s="8">
        <f>IFERROR(Q310/Q444, "NA")</f>
        <v>5.8588403808152508E-4</v>
      </c>
      <c r="S310" s="9"/>
      <c r="T310" s="7">
        <v>110</v>
      </c>
      <c r="U310" s="8">
        <f>IFERROR(T310/T444, "NA")</f>
        <v>5.5811906973119363E-4</v>
      </c>
      <c r="V310" s="9"/>
      <c r="W310" s="10">
        <f t="shared" si="78"/>
        <v>10</v>
      </c>
      <c r="X310" s="8">
        <f>IFERROR(W310/W444, "NA")</f>
        <v>-3.7866854082349794E-4</v>
      </c>
      <c r="Y310" s="9"/>
      <c r="Z310" s="7">
        <v>0</v>
      </c>
      <c r="AA310" s="8">
        <f>IFERROR(Z310/Z444, "NA")</f>
        <v>0</v>
      </c>
      <c r="AB310" s="9"/>
      <c r="AC310" s="10">
        <f t="shared" si="79"/>
        <v>-100</v>
      </c>
      <c r="AD310" s="8">
        <f>IFERROR(AC310/AC444, "NA")</f>
        <v>5.2285066548432664E-3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26.7</v>
      </c>
      <c r="L311" s="8">
        <f>IFERROR(K311/K444, "NA")</f>
        <v>2.8308632372861373E-4</v>
      </c>
      <c r="M311" s="9"/>
      <c r="N311" s="10">
        <f t="shared" si="77"/>
        <v>26.7</v>
      </c>
      <c r="O311" s="8">
        <f>IFERROR(N311/N444, "NA")</f>
        <v>-1.8294224574967603E-3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26.7</v>
      </c>
      <c r="AA311" s="8">
        <f>IFERROR(Z311/Z444, "NA")</f>
        <v>1.4066834639775232E-4</v>
      </c>
      <c r="AB311" s="9"/>
      <c r="AC311" s="10">
        <f t="shared" si="79"/>
        <v>26.7</v>
      </c>
      <c r="AD311" s="8">
        <f>IFERROR(AC311/AC444, "NA")</f>
        <v>-1.3960112768431521E-3</v>
      </c>
    </row>
    <row r="312" spans="1:30" ht="16.5" customHeight="1" x14ac:dyDescent="0.45">
      <c r="A312" s="6" t="s">
        <v>284</v>
      </c>
      <c r="B312" s="7">
        <v>167.25</v>
      </c>
      <c r="C312" s="8">
        <f>IFERROR(B312/B444, "NA")</f>
        <v>2.097895519158584E-3</v>
      </c>
      <c r="D312" s="9"/>
      <c r="E312" s="7">
        <v>35</v>
      </c>
      <c r="F312" s="8">
        <f>IFERROR(E312/E444, "NA")</f>
        <v>3.5008198920187105E-4</v>
      </c>
      <c r="G312" s="9"/>
      <c r="H312" s="10">
        <f t="shared" si="76"/>
        <v>-132.25</v>
      </c>
      <c r="I312" s="8">
        <f>IFERROR(H312/H444, "NA")</f>
        <v>6.52962921087024E-3</v>
      </c>
      <c r="J312" s="9"/>
      <c r="K312" s="7">
        <v>314.57</v>
      </c>
      <c r="L312" s="8">
        <f>IFERROR(K312/K444, "NA")</f>
        <v>3.3352234028205998E-3</v>
      </c>
      <c r="M312" s="9"/>
      <c r="N312" s="10">
        <f t="shared" si="77"/>
        <v>147.32</v>
      </c>
      <c r="O312" s="8">
        <f>IFERROR(N312/N444, "NA")</f>
        <v>-1.0094026832899727E-2</v>
      </c>
      <c r="P312" s="9"/>
      <c r="Q312" s="7">
        <v>360.14</v>
      </c>
      <c r="R312" s="8">
        <f>IFERROR(Q312/Q444, "NA")</f>
        <v>2.1100027747468042E-3</v>
      </c>
      <c r="S312" s="9"/>
      <c r="T312" s="7">
        <v>70</v>
      </c>
      <c r="U312" s="8">
        <f>IFERROR(T312/T444, "NA")</f>
        <v>3.5516668073803232E-4</v>
      </c>
      <c r="V312" s="9"/>
      <c r="W312" s="10">
        <f t="shared" si="78"/>
        <v>-290.14</v>
      </c>
      <c r="X312" s="8">
        <f>IFERROR(W312/W444, "NA")</f>
        <v>1.098668904345297E-2</v>
      </c>
      <c r="Y312" s="9"/>
      <c r="Z312" s="7">
        <v>491.22</v>
      </c>
      <c r="AA312" s="8">
        <f>IFERROR(Z312/Z444, "NA")</f>
        <v>2.5879814650750527E-3</v>
      </c>
      <c r="AB312" s="9"/>
      <c r="AC312" s="10">
        <f t="shared" si="79"/>
        <v>131.08000000000004</v>
      </c>
      <c r="AD312" s="8">
        <f>IFERROR(AC312/AC444, "NA")</f>
        <v>-6.8535265231685566E-3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10</v>
      </c>
      <c r="F313" s="8">
        <f>IFERROR(E313/E444, "NA")</f>
        <v>1.0002342548624888E-4</v>
      </c>
      <c r="G313" s="9"/>
      <c r="H313" s="10">
        <f t="shared" si="76"/>
        <v>10</v>
      </c>
      <c r="I313" s="8">
        <f>IFERROR(H313/H444, "NA")</f>
        <v>-4.9373377775956443E-4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10</v>
      </c>
      <c r="R313" s="8">
        <f>IFERROR(Q313/Q444, "NA")</f>
        <v>5.8588403808152507E-5</v>
      </c>
      <c r="S313" s="9"/>
      <c r="T313" s="7">
        <v>20</v>
      </c>
      <c r="U313" s="8">
        <f>IFERROR(T313/T444, "NA")</f>
        <v>1.0147619449658065E-4</v>
      </c>
      <c r="V313" s="9"/>
      <c r="W313" s="10">
        <f t="shared" si="78"/>
        <v>10</v>
      </c>
      <c r="X313" s="8">
        <f>IFERROR(W313/W444, "NA")</f>
        <v>-3.7866854082349794E-4</v>
      </c>
      <c r="Y313" s="9"/>
      <c r="Z313" s="7">
        <v>14</v>
      </c>
      <c r="AA313" s="8">
        <f>IFERROR(Z313/Z444, "NA")</f>
        <v>7.3758683504439429E-5</v>
      </c>
      <c r="AB313" s="9"/>
      <c r="AC313" s="10">
        <f t="shared" si="79"/>
        <v>4</v>
      </c>
      <c r="AD313" s="8">
        <f>IFERROR(AC313/AC444, "NA")</f>
        <v>-2.0914026619373068E-4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533.33000000000004</v>
      </c>
      <c r="C315" s="8">
        <f>IFERROR(B315/B444, "NA")</f>
        <v>6.6898093705999861E-3</v>
      </c>
      <c r="D315" s="9"/>
      <c r="E315" s="7">
        <v>399.91</v>
      </c>
      <c r="F315" s="8">
        <f>IFERROR(E315/E444, "NA")</f>
        <v>4.0000368086205787E-3</v>
      </c>
      <c r="G315" s="9"/>
      <c r="H315" s="10">
        <f t="shared" si="76"/>
        <v>-133.42000000000002</v>
      </c>
      <c r="I315" s="8">
        <f>IFERROR(H315/H444, "NA")</f>
        <v>6.5873960628681097E-3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-533.33000000000004</v>
      </c>
      <c r="O315" s="8">
        <f>IFERROR(N315/N444, "NA")</f>
        <v>3.6542542294260197E-2</v>
      </c>
      <c r="P315" s="9"/>
      <c r="Q315" s="7">
        <v>1066.6600000000001</v>
      </c>
      <c r="R315" s="8">
        <f>IFERROR(Q315/Q444, "NA")</f>
        <v>6.249390680600396E-3</v>
      </c>
      <c r="S315" s="9"/>
      <c r="T315" s="7">
        <v>788.37</v>
      </c>
      <c r="U315" s="8">
        <f>IFERROR(T315/T444, "NA")</f>
        <v>4.0000393727634646E-3</v>
      </c>
      <c r="V315" s="9"/>
      <c r="W315" s="10">
        <f t="shared" si="78"/>
        <v>-278.29000000000008</v>
      </c>
      <c r="X315" s="8">
        <f>IFERROR(W315/W444, "NA")</f>
        <v>1.0537966822577127E-2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-1066.6600000000001</v>
      </c>
      <c r="AD315" s="8">
        <f>IFERROR(AC315/AC444, "NA")</f>
        <v>5.5770389084551196E-2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hidden="1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0</v>
      </c>
      <c r="F318" s="8">
        <f>IFERROR(E318/E444, "NA")</f>
        <v>0</v>
      </c>
      <c r="G318" s="9"/>
      <c r="H318" s="10">
        <f t="shared" si="76"/>
        <v>0</v>
      </c>
      <c r="I318" s="8">
        <f>IFERROR(H318/H444, "NA")</f>
        <v>0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0</v>
      </c>
      <c r="U318" s="8">
        <f>IFERROR(T318/T444, "NA")</f>
        <v>0</v>
      </c>
      <c r="V318" s="9"/>
      <c r="W318" s="10">
        <f t="shared" si="78"/>
        <v>0</v>
      </c>
      <c r="X318" s="8">
        <f>IFERROR(W318/W444, "NA")</f>
        <v>0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317.27</v>
      </c>
      <c r="C319" s="8">
        <f>IFERROR(B319/B444, "NA")</f>
        <v>3.9796670335631923E-3</v>
      </c>
      <c r="D319" s="9"/>
      <c r="E319" s="7">
        <v>308</v>
      </c>
      <c r="F319" s="8">
        <f>IFERROR(E319/E444, "NA")</f>
        <v>3.0807215049764654E-3</v>
      </c>
      <c r="G319" s="9"/>
      <c r="H319" s="10">
        <f t="shared" si="76"/>
        <v>-9.2699999999999818</v>
      </c>
      <c r="I319" s="8">
        <f>IFERROR(H319/H444, "NA")</f>
        <v>4.5769121198311534E-4</v>
      </c>
      <c r="J319" s="9"/>
      <c r="K319" s="7">
        <v>245.88</v>
      </c>
      <c r="L319" s="8">
        <f>IFERROR(K319/K444, "NA")</f>
        <v>2.6069387744715932E-3</v>
      </c>
      <c r="M319" s="9"/>
      <c r="N319" s="10">
        <f t="shared" si="77"/>
        <v>-71.389999999999986</v>
      </c>
      <c r="O319" s="8">
        <f>IFERROR(N319/N444, "NA")</f>
        <v>4.89147824871512E-3</v>
      </c>
      <c r="P319" s="9"/>
      <c r="Q319" s="7">
        <v>634.6</v>
      </c>
      <c r="R319" s="8">
        <f>IFERROR(Q319/Q444, "NA")</f>
        <v>3.7180201056653582E-3</v>
      </c>
      <c r="S319" s="9"/>
      <c r="T319" s="7">
        <v>616</v>
      </c>
      <c r="U319" s="8">
        <f>IFERROR(T319/T444, "NA")</f>
        <v>3.1254667904946844E-3</v>
      </c>
      <c r="V319" s="9"/>
      <c r="W319" s="10">
        <f t="shared" si="78"/>
        <v>-18.600000000000023</v>
      </c>
      <c r="X319" s="8">
        <f>IFERROR(W319/W444, "NA")</f>
        <v>7.0432348593170706E-4</v>
      </c>
      <c r="Y319" s="9"/>
      <c r="Z319" s="7">
        <v>491.7</v>
      </c>
      <c r="AA319" s="8">
        <f>IFERROR(Z319/Z444, "NA")</f>
        <v>2.5905103342237761E-3</v>
      </c>
      <c r="AB319" s="9"/>
      <c r="AC319" s="10">
        <f t="shared" si="79"/>
        <v>-142.90000000000003</v>
      </c>
      <c r="AD319" s="8">
        <f>IFERROR(AC319/AC444, "NA")</f>
        <v>7.4715360097710303E-3</v>
      </c>
    </row>
    <row r="320" spans="1:30" ht="16.5" customHeight="1" x14ac:dyDescent="0.45">
      <c r="A320" s="6" t="s">
        <v>292</v>
      </c>
      <c r="B320" s="7">
        <v>1205.93</v>
      </c>
      <c r="C320" s="8">
        <f>IFERROR(B320/B444, "NA")</f>
        <v>1.5126547942713968E-2</v>
      </c>
      <c r="D320" s="9"/>
      <c r="E320" s="7">
        <v>1186</v>
      </c>
      <c r="F320" s="8">
        <f>IFERROR(E320/E444, "NA")</f>
        <v>1.1862778262669117E-2</v>
      </c>
      <c r="G320" s="9"/>
      <c r="H320" s="10">
        <f t="shared" si="76"/>
        <v>-19.930000000000064</v>
      </c>
      <c r="I320" s="8">
        <f>IFERROR(H320/H444, "NA")</f>
        <v>9.8401141907481513E-4</v>
      </c>
      <c r="J320" s="9"/>
      <c r="K320" s="7">
        <v>1081.07</v>
      </c>
      <c r="L320" s="8">
        <f>IFERROR(K320/K444, "NA")</f>
        <v>1.1462027415479116E-2</v>
      </c>
      <c r="M320" s="9"/>
      <c r="N320" s="10">
        <f t="shared" si="77"/>
        <v>-124.86000000000013</v>
      </c>
      <c r="O320" s="8">
        <f>IFERROR(N320/N444, "NA")</f>
        <v>8.5551194023612623E-3</v>
      </c>
      <c r="P320" s="9"/>
      <c r="Q320" s="7">
        <v>2391.5700000000002</v>
      </c>
      <c r="R320" s="8">
        <f>IFERROR(Q320/Q444, "NA")</f>
        <v>1.401182688954633E-2</v>
      </c>
      <c r="S320" s="9"/>
      <c r="T320" s="7">
        <v>2372</v>
      </c>
      <c r="U320" s="8">
        <f>IFERROR(T320/T444, "NA")</f>
        <v>1.2035076667294467E-2</v>
      </c>
      <c r="V320" s="9"/>
      <c r="W320" s="10">
        <f t="shared" si="78"/>
        <v>-19.570000000000164</v>
      </c>
      <c r="X320" s="8">
        <f>IFERROR(W320/W444, "NA")</f>
        <v>7.4105433439159167E-4</v>
      </c>
      <c r="Y320" s="9"/>
      <c r="Z320" s="7">
        <v>2162.14</v>
      </c>
      <c r="AA320" s="8">
        <f>IFERROR(Z320/Z444, "NA")</f>
        <v>1.1391185710877761E-2</v>
      </c>
      <c r="AB320" s="9"/>
      <c r="AC320" s="10">
        <f t="shared" si="79"/>
        <v>-229.43000000000029</v>
      </c>
      <c r="AD320" s="8">
        <f>IFERROR(AC320/AC444, "NA")</f>
        <v>1.1995762818206922E-2</v>
      </c>
    </row>
    <row r="321" spans="1:30" ht="16.5" customHeight="1" x14ac:dyDescent="0.45">
      <c r="A321" s="6" t="s">
        <v>293</v>
      </c>
      <c r="B321" s="7">
        <v>833.7</v>
      </c>
      <c r="C321" s="8">
        <f>IFERROR(B321/B444, "NA")</f>
        <v>1.0457491744828171E-2</v>
      </c>
      <c r="D321" s="9"/>
      <c r="E321" s="7">
        <v>1499.65</v>
      </c>
      <c r="F321" s="8">
        <f>IFERROR(E321/E444, "NA")</f>
        <v>1.5000013003045314E-2</v>
      </c>
      <c r="G321" s="9"/>
      <c r="H321" s="10">
        <f t="shared" si="76"/>
        <v>665.95</v>
      </c>
      <c r="I321" s="8">
        <f>IFERROR(H321/H444, "NA")</f>
        <v>-3.2880200929898198E-2</v>
      </c>
      <c r="J321" s="9"/>
      <c r="K321" s="7">
        <v>2681.32</v>
      </c>
      <c r="L321" s="8">
        <f>IFERROR(K321/K444, "NA")</f>
        <v>2.8428652492135078E-2</v>
      </c>
      <c r="M321" s="9"/>
      <c r="N321" s="10">
        <f t="shared" si="77"/>
        <v>1847.6200000000001</v>
      </c>
      <c r="O321" s="8">
        <f>IFERROR(N321/N444, "NA")</f>
        <v>-0.12659466370487507</v>
      </c>
      <c r="P321" s="9"/>
      <c r="Q321" s="7">
        <v>2053.6799999999998</v>
      </c>
      <c r="R321" s="8">
        <f>IFERROR(Q321/Q444, "NA")</f>
        <v>1.2032183313272663E-2</v>
      </c>
      <c r="S321" s="9"/>
      <c r="T321" s="7">
        <v>2859.25</v>
      </c>
      <c r="U321" s="8">
        <f>IFERROR(T321/T444, "NA")</f>
        <v>1.4507290455717413E-2</v>
      </c>
      <c r="V321" s="9"/>
      <c r="W321" s="10">
        <f t="shared" si="78"/>
        <v>805.57000000000016</v>
      </c>
      <c r="X321" s="8">
        <f>IFERROR(W321/W444, "NA")</f>
        <v>-3.0504401643118531E-2</v>
      </c>
      <c r="Y321" s="9"/>
      <c r="Z321" s="7">
        <v>6595.74</v>
      </c>
      <c r="AA321" s="8">
        <f>IFERROR(Z321/Z444, "NA")</f>
        <v>3.4749507081255092E-2</v>
      </c>
      <c r="AB321" s="9"/>
      <c r="AC321" s="10">
        <f t="shared" si="79"/>
        <v>4542.0599999999995</v>
      </c>
      <c r="AD321" s="8">
        <f>IFERROR(AC321/AC444, "NA")</f>
        <v>-0.23748190936697405</v>
      </c>
    </row>
    <row r="322" spans="1:30" ht="16.5" customHeight="1" x14ac:dyDescent="0.45">
      <c r="A322" s="6" t="s">
        <v>294</v>
      </c>
      <c r="B322" s="7">
        <v>468.01</v>
      </c>
      <c r="C322" s="8">
        <f>IFERROR(B322/B444, "NA")</f>
        <v>5.8704698470637305E-3</v>
      </c>
      <c r="D322" s="9"/>
      <c r="E322" s="7">
        <v>252</v>
      </c>
      <c r="F322" s="8">
        <f>IFERROR(E322/E444, "NA")</f>
        <v>2.5205903222534718E-3</v>
      </c>
      <c r="G322" s="9"/>
      <c r="H322" s="10">
        <f t="shared" si="76"/>
        <v>-216.01</v>
      </c>
      <c r="I322" s="8">
        <f>IFERROR(H322/H444, "NA")</f>
        <v>1.0665143333384352E-2</v>
      </c>
      <c r="J322" s="9"/>
      <c r="K322" s="7">
        <v>269.2</v>
      </c>
      <c r="L322" s="8">
        <f>IFERROR(K322/K444, "NA")</f>
        <v>2.8541887021626519E-3</v>
      </c>
      <c r="M322" s="9"/>
      <c r="N322" s="10">
        <f t="shared" si="77"/>
        <v>-198.81</v>
      </c>
      <c r="O322" s="8">
        <f>IFERROR(N322/N444, "NA")</f>
        <v>1.3622002950371945E-2</v>
      </c>
      <c r="P322" s="9"/>
      <c r="Q322" s="7">
        <v>836.02</v>
      </c>
      <c r="R322" s="8">
        <f>IFERROR(Q322/Q444, "NA")</f>
        <v>4.8981077351691656E-3</v>
      </c>
      <c r="S322" s="9"/>
      <c r="T322" s="7">
        <v>504</v>
      </c>
      <c r="U322" s="8">
        <f>IFERROR(T322/T444, "NA")</f>
        <v>2.5572001013138327E-3</v>
      </c>
      <c r="V322" s="9"/>
      <c r="W322" s="10">
        <f t="shared" si="78"/>
        <v>-332.02</v>
      </c>
      <c r="X322" s="8">
        <f>IFERROR(W322/W444, "NA")</f>
        <v>1.2572552892421778E-2</v>
      </c>
      <c r="Y322" s="9"/>
      <c r="Z322" s="7">
        <v>538.4</v>
      </c>
      <c r="AA322" s="8">
        <f>IFERROR(Z322/Z444, "NA")</f>
        <v>2.8365482284850134E-3</v>
      </c>
      <c r="AB322" s="9"/>
      <c r="AC322" s="10">
        <f t="shared" si="79"/>
        <v>-297.62</v>
      </c>
      <c r="AD322" s="8">
        <f>IFERROR(AC322/AC444, "NA")</f>
        <v>1.556108150614453E-2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4225.6000000000004</v>
      </c>
      <c r="C324" s="15">
        <f>IFERROR(B324/B444, "NA")</f>
        <v>5.3003690916331919E-2</v>
      </c>
      <c r="D324" s="2"/>
      <c r="E324" s="14">
        <f>IFERROR(E297+E298+E299+E300+E301+E302+E303+E304+E305+E306+E307+E308+E309+E310+E311+E312+E313+E314+E315+E316+E317+E318+E319+E320+E321+E322+E323, "NA")</f>
        <v>4214.5599999999995</v>
      </c>
      <c r="F324" s="15">
        <f>IFERROR(E324/E444, "NA")</f>
        <v>4.21554728117325E-2</v>
      </c>
      <c r="G324" s="2"/>
      <c r="H324" s="14">
        <f t="shared" si="76"/>
        <v>-11.040000000000873</v>
      </c>
      <c r="I324" s="15">
        <f>IFERROR(H324/H444, "NA")</f>
        <v>5.4508209064660221E-4</v>
      </c>
      <c r="J324" s="2"/>
      <c r="K324" s="14">
        <f>IFERROR(K297+K298+K299+K300+K301+K302+K303+K304+K305+K306+K307+K308+K309+K310+K311+K312+K313+K314+K315+K316+K317+K318+K319+K320+K321+K322+K323, "NA")</f>
        <v>5087.9399999999996</v>
      </c>
      <c r="L324" s="15">
        <f>IFERROR(K324/K444, "NA")</f>
        <v>5.3944802619916209E-2</v>
      </c>
      <c r="M324" s="2"/>
      <c r="N324" s="14">
        <f t="shared" si="77"/>
        <v>862.33999999999924</v>
      </c>
      <c r="O324" s="15">
        <f>IFERROR(N324/N444, "NA")</f>
        <v>-5.9085549138492691E-2</v>
      </c>
      <c r="P324" s="2"/>
      <c r="Q324" s="14">
        <f>IFERROR(Q297+Q298+Q299+Q300+Q301+Q302+Q303+Q304+Q305+Q306+Q307+Q308+Q309+Q310+Q311+Q312+Q313+Q314+Q315+Q316+Q317+Q318+Q319+Q320+Q321+Q322+Q323, "NA")</f>
        <v>8653.380000000001</v>
      </c>
      <c r="R324" s="15">
        <f>IFERROR(Q324/Q444, "NA")</f>
        <v>5.0698772174539081E-2</v>
      </c>
      <c r="S324" s="2"/>
      <c r="T324" s="14">
        <f>IFERROR(T297+T298+T299+T300+T301+T302+T303+T304+T305+T306+T307+T308+T309+T310+T311+T312+T313+T314+T315+T316+T317+T318+T319+T320+T321+T322+T323, "NA")</f>
        <v>8277.619999999999</v>
      </c>
      <c r="U324" s="15">
        <f>IFERROR(T324/T444, "NA")</f>
        <v>4.1999068854439298E-2</v>
      </c>
      <c r="V324" s="2"/>
      <c r="W324" s="14">
        <f t="shared" si="78"/>
        <v>-375.76000000000204</v>
      </c>
      <c r="X324" s="15">
        <f>IFERROR(W324/W444, "NA")</f>
        <v>1.4228849089983836E-2</v>
      </c>
      <c r="Y324" s="2"/>
      <c r="Z324" s="14">
        <f>IFERROR(Z297+Z298+Z299+Z300+Z301+Z302+Z303+Z304+Z305+Z306+Z307+Z308+Z309+Z310+Z311+Z312+Z313+Z314+Z315+Z316+Z317+Z318+Z319+Z320+Z321+Z322+Z323, "NA")</f>
        <v>11258.3</v>
      </c>
      <c r="AA324" s="15">
        <f>IFERROR(Z324/Z444, "NA")</f>
        <v>5.9314099035573595E-2</v>
      </c>
      <c r="AB324" s="2"/>
      <c r="AC324" s="14">
        <f t="shared" si="79"/>
        <v>2604.9199999999983</v>
      </c>
      <c r="AD324" s="15">
        <f>IFERROR(AC324/AC444, "NA")</f>
        <v>-0.13619841555334314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20284.150000000001</v>
      </c>
      <c r="C325" s="15">
        <f>IFERROR(B325/B444, "NA")</f>
        <v>0.25443364660652074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22908.89</v>
      </c>
      <c r="F325" s="15">
        <f>IFERROR(E325/E444, "NA")</f>
        <v>0.22914256518876719</v>
      </c>
      <c r="G325" s="2"/>
      <c r="H325" s="14">
        <f t="shared" si="76"/>
        <v>2624.739999999998</v>
      </c>
      <c r="I325" s="15">
        <f>IFERROR(H325/H444, "NA")</f>
        <v>-0.12959227958366382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25997.63</v>
      </c>
      <c r="L325" s="15">
        <f>IFERROR(K325/K444, "NA")</f>
        <v>0.27563945701710563</v>
      </c>
      <c r="M325" s="2"/>
      <c r="N325" s="14">
        <f t="shared" si="77"/>
        <v>5713.48</v>
      </c>
      <c r="O325" s="15">
        <f>IFERROR(N325/N444, "NA")</f>
        <v>-0.39147448024189474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43262.249999999993</v>
      </c>
      <c r="R325" s="15">
        <f>IFERROR(Q325/Q444, "NA")</f>
        <v>0.25346661726492453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45199.649999999994</v>
      </c>
      <c r="U325" s="15">
        <f>IFERROR(T325/T444, "NA")</f>
        <v>0.22933442372886856</v>
      </c>
      <c r="V325" s="2"/>
      <c r="W325" s="14">
        <f t="shared" si="78"/>
        <v>1937.4000000000015</v>
      </c>
      <c r="X325" s="15">
        <f>IFERROR(W325/W444, "NA")</f>
        <v>-7.3363243099144548E-2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51060.759999999995</v>
      </c>
      <c r="AA325" s="15">
        <f>IFERROR(Z325/Z444, "NA")</f>
        <v>0.26901245973829574</v>
      </c>
      <c r="AB325" s="2"/>
      <c r="AC325" s="14">
        <f t="shared" si="79"/>
        <v>7798.510000000002</v>
      </c>
      <c r="AD325" s="15">
        <f>IFERROR(AC325/AC444, "NA")</f>
        <v>-0.40774561432861778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20059.04</v>
      </c>
      <c r="C329" s="8">
        <f>IFERROR(B329/B444, "NA")</f>
        <v>0.25160998585723648</v>
      </c>
      <c r="D329" s="9"/>
      <c r="E329" s="7">
        <v>20059.04</v>
      </c>
      <c r="F329" s="8">
        <f>IFERROR(E329/E444, "NA")</f>
        <v>0.20063738927656857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19569.79</v>
      </c>
      <c r="L329" s="8">
        <f>IFERROR(K329/K444, "NA")</f>
        <v>0.20748838603898831</v>
      </c>
      <c r="M329" s="9"/>
      <c r="N329" s="10">
        <f t="shared" si="81"/>
        <v>-489.25</v>
      </c>
      <c r="O329" s="8">
        <f>IFERROR(N329/N444, "NA")</f>
        <v>3.3522282297014608E-2</v>
      </c>
      <c r="P329" s="9"/>
      <c r="Q329" s="7">
        <v>40118.080000000002</v>
      </c>
      <c r="R329" s="8">
        <f>IFERROR(Q329/Q444, "NA")</f>
        <v>0.23504542710477672</v>
      </c>
      <c r="S329" s="9"/>
      <c r="T329" s="7">
        <v>40118.080000000002</v>
      </c>
      <c r="U329" s="8">
        <f>IFERROR(T329/T444, "NA")</f>
        <v>0.20355150444546913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39139.58</v>
      </c>
      <c r="AA329" s="8">
        <f>IFERROR(Z329/Z444, "NA")</f>
        <v>0.20620599240833482</v>
      </c>
      <c r="AB329" s="9"/>
      <c r="AC329" s="10">
        <f t="shared" si="83"/>
        <v>-978.5</v>
      </c>
      <c r="AD329" s="8">
        <f>IFERROR(AC329/AC444, "NA")</f>
        <v>5.1160937617641365E-2</v>
      </c>
    </row>
    <row r="330" spans="1:30" ht="16.5" customHeight="1" x14ac:dyDescent="0.45">
      <c r="A330" s="6" t="s">
        <v>301</v>
      </c>
      <c r="B330" s="7">
        <v>658.51</v>
      </c>
      <c r="C330" s="8">
        <f>IFERROR(B330/B444, "NA")</f>
        <v>8.2600010661950315E-3</v>
      </c>
      <c r="D330" s="9"/>
      <c r="E330" s="7">
        <v>658.51</v>
      </c>
      <c r="F330" s="8">
        <f>IFERROR(E330/E444, "NA")</f>
        <v>6.5866425916949745E-3</v>
      </c>
      <c r="G330" s="9"/>
      <c r="H330" s="10">
        <f t="shared" si="80"/>
        <v>0</v>
      </c>
      <c r="I330" s="8">
        <f>IFERROR(H330/H444, "NA")</f>
        <v>0</v>
      </c>
      <c r="J330" s="9"/>
      <c r="K330" s="7">
        <v>658.51</v>
      </c>
      <c r="L330" s="8">
        <f>IFERROR(K330/K444, "NA")</f>
        <v>6.9818417617426749E-3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1317.02</v>
      </c>
      <c r="R330" s="8">
        <f>IFERROR(Q330/Q444, "NA")</f>
        <v>7.7162099583413021E-3</v>
      </c>
      <c r="S330" s="9"/>
      <c r="T330" s="7">
        <v>1317.02</v>
      </c>
      <c r="U330" s="8">
        <f>IFERROR(T330/T444, "NA")</f>
        <v>6.6823088837943325E-3</v>
      </c>
      <c r="V330" s="9"/>
      <c r="W330" s="10">
        <f t="shared" si="82"/>
        <v>0</v>
      </c>
      <c r="X330" s="8">
        <f>IFERROR(W330/W444, "NA")</f>
        <v>0</v>
      </c>
      <c r="Y330" s="9"/>
      <c r="Z330" s="7">
        <v>1317.02</v>
      </c>
      <c r="AA330" s="8">
        <f>IFERROR(Z330/Z444, "NA")</f>
        <v>6.938690096358344E-3</v>
      </c>
      <c r="AB330" s="9"/>
      <c r="AC330" s="10">
        <f t="shared" si="83"/>
        <v>0</v>
      </c>
      <c r="AD330" s="8">
        <f>IFERROR(AC330/AC444, "NA")</f>
        <v>0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855.93</v>
      </c>
      <c r="C333" s="8">
        <f>IFERROR(B333/B444, "NA")</f>
        <v>1.0736333104414988E-2</v>
      </c>
      <c r="D333" s="9"/>
      <c r="E333" s="7">
        <v>856</v>
      </c>
      <c r="F333" s="8">
        <f>IFERROR(E333/E444, "NA")</f>
        <v>8.5620052216229033E-3</v>
      </c>
      <c r="G333" s="9"/>
      <c r="H333" s="10">
        <f t="shared" si="80"/>
        <v>7.0000000000050022E-2</v>
      </c>
      <c r="I333" s="8">
        <f>IFERROR(H333/H444, "NA")</f>
        <v>-3.4561364443194207E-6</v>
      </c>
      <c r="J333" s="9"/>
      <c r="K333" s="7">
        <v>855.93</v>
      </c>
      <c r="L333" s="8">
        <f>IFERROR(K333/K444, "NA")</f>
        <v>9.0749841598888516E-3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1711.86</v>
      </c>
      <c r="R333" s="8">
        <f>IFERROR(Q333/Q444, "NA")</f>
        <v>1.0029514494302396E-2</v>
      </c>
      <c r="S333" s="9"/>
      <c r="T333" s="7">
        <v>1712</v>
      </c>
      <c r="U333" s="8">
        <f>IFERROR(T333/T444, "NA")</f>
        <v>8.686362248907304E-3</v>
      </c>
      <c r="V333" s="9"/>
      <c r="W333" s="10">
        <f t="shared" si="82"/>
        <v>0.14000000000010004</v>
      </c>
      <c r="X333" s="8">
        <f>IFERROR(W333/W444, "NA")</f>
        <v>-5.3013595715327598E-6</v>
      </c>
      <c r="Y333" s="9"/>
      <c r="Z333" s="7">
        <v>1616.57</v>
      </c>
      <c r="AA333" s="8">
        <f>IFERROR(Z333/Z444, "NA")</f>
        <v>8.5168624994836888E-3</v>
      </c>
      <c r="AB333" s="9"/>
      <c r="AC333" s="10">
        <f t="shared" si="83"/>
        <v>-95.289999999999964</v>
      </c>
      <c r="AD333" s="8">
        <f>IFERROR(AC333/AC444, "NA")</f>
        <v>4.9822439914001468E-3</v>
      </c>
    </row>
    <row r="334" spans="1:30" ht="16.5" customHeight="1" x14ac:dyDescent="0.45">
      <c r="A334" s="6" t="s">
        <v>305</v>
      </c>
      <c r="B334" s="7">
        <v>-1544.55</v>
      </c>
      <c r="C334" s="8">
        <f>IFERROR(B334/B444, "NA")</f>
        <v>-1.9374018081413397E-2</v>
      </c>
      <c r="D334" s="9"/>
      <c r="E334" s="7">
        <v>-1544.55</v>
      </c>
      <c r="F334" s="8">
        <f>IFERROR(E334/E444, "NA")</f>
        <v>-1.544911818347857E-2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-1506.87</v>
      </c>
      <c r="L334" s="8">
        <f>IFERROR(K334/K444, "NA")</f>
        <v>-1.5976565117488243E-2</v>
      </c>
      <c r="M334" s="9"/>
      <c r="N334" s="10">
        <f t="shared" si="81"/>
        <v>37.680000000000064</v>
      </c>
      <c r="O334" s="8">
        <f>IFERROR(N334/N444, "NA")</f>
        <v>-2.5817467490066685E-3</v>
      </c>
      <c r="P334" s="9"/>
      <c r="Q334" s="7">
        <v>-3089.1</v>
      </c>
      <c r="R334" s="8">
        <f>IFERROR(Q334/Q444, "NA")</f>
        <v>-1.809854382037639E-2</v>
      </c>
      <c r="S334" s="9"/>
      <c r="T334" s="7">
        <v>-3089.1</v>
      </c>
      <c r="U334" s="8">
        <f>IFERROR(T334/T444, "NA")</f>
        <v>-1.5673505620969367E-2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-3013.74</v>
      </c>
      <c r="AA334" s="8">
        <f>IFERROR(Z334/Z444, "NA")</f>
        <v>-1.5877821058904947E-2</v>
      </c>
      <c r="AB334" s="9"/>
      <c r="AC334" s="10">
        <f t="shared" si="83"/>
        <v>75.360000000000127</v>
      </c>
      <c r="AD334" s="8">
        <f>IFERROR(AC334/AC444, "NA")</f>
        <v>-3.9402026150898925E-3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1778.03</v>
      </c>
      <c r="C338" s="8">
        <f>IFERROR(B338/B444, "NA")</f>
        <v>2.2302667682687814E-2</v>
      </c>
      <c r="D338" s="9"/>
      <c r="E338" s="7">
        <v>2099.5100000000002</v>
      </c>
      <c r="F338" s="8">
        <f>IFERROR(E338/E444, "NA")</f>
        <v>2.1000018204263442E-2</v>
      </c>
      <c r="G338" s="9"/>
      <c r="H338" s="10">
        <f t="shared" si="84"/>
        <v>321.48000000000025</v>
      </c>
      <c r="I338" s="8">
        <f>IFERROR(H338/H444, "NA")</f>
        <v>-1.5872553487414488E-2</v>
      </c>
      <c r="J338" s="9"/>
      <c r="K338" s="7">
        <v>1725.98</v>
      </c>
      <c r="L338" s="8">
        <f>IFERROR(K338/K444, "NA")</f>
        <v>1.8299675394348791E-2</v>
      </c>
      <c r="M338" s="9"/>
      <c r="N338" s="10">
        <f t="shared" si="85"/>
        <v>-52.049999999999955</v>
      </c>
      <c r="O338" s="8">
        <f>IFERROR(N338/N444, "NA")</f>
        <v>3.5663460266931197E-3</v>
      </c>
      <c r="P338" s="9"/>
      <c r="Q338" s="7">
        <v>3711.14</v>
      </c>
      <c r="R338" s="8">
        <f>IFERROR(Q338/Q444, "NA")</f>
        <v>2.174297689085871E-2</v>
      </c>
      <c r="S338" s="9"/>
      <c r="T338" s="7">
        <v>4138.8999999999996</v>
      </c>
      <c r="U338" s="8">
        <f>IFERROR(T338/T444, "NA")</f>
        <v>2.0999991070094884E-2</v>
      </c>
      <c r="V338" s="9"/>
      <c r="W338" s="10">
        <f t="shared" si="86"/>
        <v>427.75999999999976</v>
      </c>
      <c r="X338" s="8">
        <f>IFERROR(W338/W444, "NA")</f>
        <v>-1.6197925502265939E-2</v>
      </c>
      <c r="Y338" s="9"/>
      <c r="Z338" s="7">
        <v>3527.35</v>
      </c>
      <c r="AA338" s="8">
        <f>IFERROR(Z338/Z444, "NA")</f>
        <v>1.8583763732813171E-2</v>
      </c>
      <c r="AB338" s="9"/>
      <c r="AC338" s="10">
        <f t="shared" si="87"/>
        <v>-183.78999999999996</v>
      </c>
      <c r="AD338" s="8">
        <f>IFERROR(AC338/AC444, "NA")</f>
        <v>9.6094723809364378E-3</v>
      </c>
    </row>
    <row r="339" spans="1:30" ht="16.5" customHeight="1" x14ac:dyDescent="0.45">
      <c r="A339" s="12" t="s">
        <v>309</v>
      </c>
      <c r="B339" s="7">
        <v>1172.9100000000001</v>
      </c>
      <c r="C339" s="8">
        <f>IFERROR(B339/B444, "NA")</f>
        <v>1.4712362531397877E-2</v>
      </c>
      <c r="D339" s="9"/>
      <c r="E339" s="7">
        <v>699.84</v>
      </c>
      <c r="F339" s="8">
        <f>IFERROR(E339/E444, "NA")</f>
        <v>7.0000394092296419E-3</v>
      </c>
      <c r="G339" s="9"/>
      <c r="H339" s="10">
        <f t="shared" si="84"/>
        <v>-473.07000000000005</v>
      </c>
      <c r="I339" s="8">
        <f>IFERROR(H339/H444, "NA")</f>
        <v>2.3357063824471717E-2</v>
      </c>
      <c r="J339" s="9"/>
      <c r="K339" s="7">
        <v>1453.41</v>
      </c>
      <c r="L339" s="8">
        <f>IFERROR(K339/K444, "NA")</f>
        <v>1.5409756320988932E-2</v>
      </c>
      <c r="M339" s="9"/>
      <c r="N339" s="10">
        <f t="shared" si="85"/>
        <v>280.5</v>
      </c>
      <c r="O339" s="8">
        <f>IFERROR(N339/N444, "NA")</f>
        <v>-1.9219213457971583E-2</v>
      </c>
      <c r="P339" s="9"/>
      <c r="Q339" s="7">
        <v>2237.2399999999998</v>
      </c>
      <c r="R339" s="8">
        <f>IFERROR(Q339/Q444, "NA")</f>
        <v>1.3107632053575111E-2</v>
      </c>
      <c r="S339" s="9"/>
      <c r="T339" s="7">
        <v>1379.64</v>
      </c>
      <c r="U339" s="8">
        <f>IFERROR(T339/T444, "NA")</f>
        <v>7.0000308487631275E-3</v>
      </c>
      <c r="V339" s="9"/>
      <c r="W339" s="10">
        <f t="shared" si="86"/>
        <v>-857.59999999999968</v>
      </c>
      <c r="X339" s="8">
        <f>IFERROR(W339/W444, "NA")</f>
        <v>3.2474614061023171E-2</v>
      </c>
      <c r="Y339" s="9"/>
      <c r="Z339" s="7">
        <v>2520.9</v>
      </c>
      <c r="AA339" s="8">
        <f>IFERROR(Z339/Z444, "NA")</f>
        <v>1.3281304660452955E-2</v>
      </c>
      <c r="AB339" s="9"/>
      <c r="AC339" s="10">
        <f t="shared" si="87"/>
        <v>283.66000000000031</v>
      </c>
      <c r="AD339" s="8">
        <f>IFERROR(AC339/AC444, "NA")</f>
        <v>-1.4831181977128427E-2</v>
      </c>
    </row>
    <row r="340" spans="1:30" ht="16.5" customHeight="1" x14ac:dyDescent="0.45">
      <c r="A340" s="12" t="s">
        <v>310</v>
      </c>
      <c r="B340" s="7">
        <v>924.25</v>
      </c>
      <c r="C340" s="8">
        <f>IFERROR(B340/B444, "NA")</f>
        <v>1.1593303040850949E-2</v>
      </c>
      <c r="D340" s="9"/>
      <c r="E340" s="7">
        <v>699.84</v>
      </c>
      <c r="F340" s="8">
        <f>IFERROR(E340/E444, "NA")</f>
        <v>7.0000394092296419E-3</v>
      </c>
      <c r="G340" s="9"/>
      <c r="H340" s="10">
        <f t="shared" si="84"/>
        <v>-224.40999999999997</v>
      </c>
      <c r="I340" s="8">
        <f>IFERROR(H340/H444, "NA")</f>
        <v>1.1079879706702385E-2</v>
      </c>
      <c r="J340" s="9"/>
      <c r="K340" s="7">
        <v>820.63</v>
      </c>
      <c r="L340" s="8">
        <f>IFERROR(K340/K444, "NA")</f>
        <v>8.7007164734611338E-3</v>
      </c>
      <c r="M340" s="9"/>
      <c r="N340" s="10">
        <f t="shared" si="85"/>
        <v>-103.62</v>
      </c>
      <c r="O340" s="8">
        <f>IFERROR(N340/N444, "NA")</f>
        <v>7.0998035597683263E-3</v>
      </c>
      <c r="P340" s="9"/>
      <c r="Q340" s="7">
        <v>1744.19</v>
      </c>
      <c r="R340" s="8">
        <f>IFERROR(Q340/Q444, "NA")</f>
        <v>1.0218930803814153E-2</v>
      </c>
      <c r="S340" s="9"/>
      <c r="T340" s="7">
        <v>1379.64</v>
      </c>
      <c r="U340" s="8">
        <f>IFERROR(T340/T444, "NA")</f>
        <v>7.0000308487631275E-3</v>
      </c>
      <c r="V340" s="9"/>
      <c r="W340" s="10">
        <f t="shared" si="86"/>
        <v>-364.54999999999995</v>
      </c>
      <c r="X340" s="8">
        <f>IFERROR(W340/W444, "NA")</f>
        <v>1.3804361655720616E-2</v>
      </c>
      <c r="Y340" s="9"/>
      <c r="Z340" s="7">
        <v>1801.2</v>
      </c>
      <c r="AA340" s="8">
        <f>IFERROR(Z340/Z444, "NA")</f>
        <v>9.4895814805854503E-3</v>
      </c>
      <c r="AB340" s="9"/>
      <c r="AC340" s="10">
        <f t="shared" si="87"/>
        <v>57.009999999999991</v>
      </c>
      <c r="AD340" s="8">
        <f>IFERROR(AC340/AC444, "NA")</f>
        <v>-2.980771643926146E-3</v>
      </c>
    </row>
    <row r="341" spans="1:30" ht="16.5" customHeight="1" x14ac:dyDescent="0.45">
      <c r="A341" s="12" t="s">
        <v>311</v>
      </c>
      <c r="B341" s="7">
        <v>1031.99</v>
      </c>
      <c r="C341" s="8">
        <f>IFERROR(B341/B444, "NA")</f>
        <v>1.2944736602789041E-2</v>
      </c>
      <c r="D341" s="9"/>
      <c r="E341" s="7">
        <v>899.79</v>
      </c>
      <c r="F341" s="8">
        <f>IFERROR(E341/E444, "NA")</f>
        <v>9.0000078018271871E-3</v>
      </c>
      <c r="G341" s="9"/>
      <c r="H341" s="10">
        <f t="shared" si="84"/>
        <v>-132.20000000000005</v>
      </c>
      <c r="I341" s="8">
        <f>IFERROR(H341/H444, "NA")</f>
        <v>6.5271605419814438E-3</v>
      </c>
      <c r="J341" s="9"/>
      <c r="K341" s="7">
        <v>1012.86</v>
      </c>
      <c r="L341" s="8">
        <f>IFERROR(K341/K444, "NA")</f>
        <v>1.0738831979466805E-2</v>
      </c>
      <c r="M341" s="9"/>
      <c r="N341" s="10">
        <f t="shared" si="85"/>
        <v>-19.129999999999995</v>
      </c>
      <c r="O341" s="8">
        <f>IFERROR(N341/N444, "NA")</f>
        <v>1.3107435060641579E-3</v>
      </c>
      <c r="P341" s="9"/>
      <c r="Q341" s="7">
        <v>2063.98</v>
      </c>
      <c r="R341" s="8">
        <f>IFERROR(Q341/Q444, "NA")</f>
        <v>1.2092529369195061E-2</v>
      </c>
      <c r="S341" s="9"/>
      <c r="T341" s="7">
        <v>1773.82</v>
      </c>
      <c r="U341" s="8">
        <f>IFERROR(T341/T444, "NA")</f>
        <v>9.0000251660962358E-3</v>
      </c>
      <c r="V341" s="9"/>
      <c r="W341" s="10">
        <f t="shared" si="86"/>
        <v>-290.16000000000008</v>
      </c>
      <c r="X341" s="8">
        <f>IFERROR(W341/W444, "NA")</f>
        <v>1.0987446380534619E-2</v>
      </c>
      <c r="Y341" s="9"/>
      <c r="Z341" s="7">
        <v>2064.56</v>
      </c>
      <c r="AA341" s="8">
        <f>IFERROR(Z341/Z444, "NA")</f>
        <v>1.0877087686851819E-2</v>
      </c>
      <c r="AB341" s="9"/>
      <c r="AC341" s="10">
        <f t="shared" si="87"/>
        <v>0.57999999999992724</v>
      </c>
      <c r="AD341" s="8">
        <f>IFERROR(AC341/AC444, "NA")</f>
        <v>-3.0325338598087142E-5</v>
      </c>
    </row>
    <row r="342" spans="1:30" ht="16.5" customHeight="1" x14ac:dyDescent="0.45">
      <c r="A342" s="13" t="s">
        <v>312</v>
      </c>
      <c r="B342" s="14">
        <f>IFERROR(B337+B338+B339+B340+B341, "NA")</f>
        <v>4907.18</v>
      </c>
      <c r="C342" s="15">
        <f>IFERROR(B342/B444, "NA")</f>
        <v>6.1553069857725684E-2</v>
      </c>
      <c r="D342" s="2"/>
      <c r="E342" s="14">
        <f>IFERROR(E337+E338+E339+E340+E341, "NA")</f>
        <v>4398.9800000000005</v>
      </c>
      <c r="F342" s="15">
        <f>IFERROR(E342/E444, "NA")</f>
        <v>4.4000104824549913E-2</v>
      </c>
      <c r="G342" s="2"/>
      <c r="H342" s="14">
        <f t="shared" si="84"/>
        <v>-508.19999999999982</v>
      </c>
      <c r="I342" s="15">
        <f>IFERROR(H342/H444, "NA")</f>
        <v>2.5091550585741057E-2</v>
      </c>
      <c r="J342" s="2"/>
      <c r="K342" s="14">
        <f>IFERROR(K337+K338+K339+K340+K341, "NA")</f>
        <v>5012.88</v>
      </c>
      <c r="L342" s="15">
        <f>IFERROR(K342/K444, "NA")</f>
        <v>5.3148980168265664E-2</v>
      </c>
      <c r="M342" s="2"/>
      <c r="N342" s="14">
        <f t="shared" si="85"/>
        <v>105.69999999999982</v>
      </c>
      <c r="O342" s="15">
        <f>IFERROR(N342/N444, "NA")</f>
        <v>-7.2423203654459634E-3</v>
      </c>
      <c r="P342" s="2"/>
      <c r="Q342" s="14">
        <f>IFERROR(Q337+Q338+Q339+Q340+Q341, "NA")</f>
        <v>9756.5499999999993</v>
      </c>
      <c r="R342" s="15">
        <f>IFERROR(Q342/Q444, "NA")</f>
        <v>5.716206911744303E-2</v>
      </c>
      <c r="S342" s="2"/>
      <c r="T342" s="14">
        <f>IFERROR(T337+T338+T339+T340+T341, "NA")</f>
        <v>8672</v>
      </c>
      <c r="U342" s="15">
        <f>IFERROR(T342/T444, "NA")</f>
        <v>4.4000077933717373E-2</v>
      </c>
      <c r="V342" s="2"/>
      <c r="W342" s="14">
        <f t="shared" si="86"/>
        <v>-1084.5499999999993</v>
      </c>
      <c r="X342" s="15">
        <f>IFERROR(W342/W444, "NA")</f>
        <v>4.1068496595012445E-2</v>
      </c>
      <c r="Y342" s="2"/>
      <c r="Z342" s="14">
        <f>IFERROR(Z337+Z338+Z339+Z340+Z341, "NA")</f>
        <v>9914.01</v>
      </c>
      <c r="AA342" s="15">
        <f>IFERROR(Z342/Z444, "NA")</f>
        <v>5.2231737560703394E-2</v>
      </c>
      <c r="AB342" s="2"/>
      <c r="AC342" s="14">
        <f t="shared" si="87"/>
        <v>157.46000000000095</v>
      </c>
      <c r="AD342" s="15">
        <f>IFERROR(AC342/AC444, "NA")</f>
        <v>-8.2328065787162577E-3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24936.11</v>
      </c>
      <c r="C343" s="15">
        <f>IFERROR(B343/B444, "NA")</f>
        <v>0.31278537180415877</v>
      </c>
      <c r="D343" s="2"/>
      <c r="E343" s="14">
        <f>IFERROR(E328+E329+E330+E331+E332+E333+E334+E335+E337+E338+E339+E340+E341, "NA")</f>
        <v>24427.980000000003</v>
      </c>
      <c r="F343" s="15">
        <f>IFERROR(E343/E444, "NA")</f>
        <v>0.24433702373095781</v>
      </c>
      <c r="G343" s="2"/>
      <c r="H343" s="14">
        <f t="shared" si="84"/>
        <v>-508.12999999999738</v>
      </c>
      <c r="I343" s="15">
        <f>IFERROR(H343/H444, "NA")</f>
        <v>2.5088094449296619E-2</v>
      </c>
      <c r="J343" s="2"/>
      <c r="K343" s="14">
        <f>IFERROR(K328+K329+K330+K331+K332+K333+K334+K335+K337+K338+K339+K340+K341, "NA")</f>
        <v>24590.240000000002</v>
      </c>
      <c r="L343" s="15">
        <f>IFERROR(K343/K444, "NA")</f>
        <v>0.26071762701139728</v>
      </c>
      <c r="M343" s="2"/>
      <c r="N343" s="14">
        <f t="shared" si="85"/>
        <v>-345.86999999999898</v>
      </c>
      <c r="O343" s="15">
        <f>IFERROR(N343/N444, "NA")</f>
        <v>2.3698215182561898E-2</v>
      </c>
      <c r="P343" s="2"/>
      <c r="Q343" s="14">
        <f>IFERROR(Q328+Q329+Q330+Q331+Q332+Q333+Q334+Q335+Q337+Q338+Q339+Q340+Q341, "NA")</f>
        <v>49814.41</v>
      </c>
      <c r="R343" s="15">
        <f>IFERROR(Q343/Q444, "NA")</f>
        <v>0.29185467685448707</v>
      </c>
      <c r="S343" s="2"/>
      <c r="T343" s="14">
        <f>IFERROR(T328+T329+T330+T331+T332+T333+T334+T335+T337+T338+T339+T340+T341, "NA")</f>
        <v>48730</v>
      </c>
      <c r="U343" s="15">
        <f>IFERROR(T343/T444, "NA")</f>
        <v>0.24724674789091877</v>
      </c>
      <c r="V343" s="2"/>
      <c r="W343" s="14">
        <f t="shared" si="86"/>
        <v>-1084.4100000000035</v>
      </c>
      <c r="X343" s="15">
        <f>IFERROR(W343/W444, "NA")</f>
        <v>4.1063195235441073E-2</v>
      </c>
      <c r="Y343" s="2"/>
      <c r="Z343" s="14">
        <f>IFERROR(Z328+Z329+Z330+Z331+Z332+Z333+Z334+Z335+Z337+Z338+Z339+Z340+Z341, "NA")</f>
        <v>48973.439999999995</v>
      </c>
      <c r="AA343" s="15">
        <f>IFERROR(Z343/Z444, "NA")</f>
        <v>0.25801546150597526</v>
      </c>
      <c r="AB343" s="2"/>
      <c r="AC343" s="14">
        <f t="shared" si="87"/>
        <v>-840.97000000000844</v>
      </c>
      <c r="AD343" s="15">
        <f>IFERROR(AC343/AC444, "NA")</f>
        <v>4.3970172415235861E-2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24936.11</v>
      </c>
      <c r="C344" s="15">
        <f>IFERROR(B344/B444, "NA")</f>
        <v>0.31278537180415877</v>
      </c>
      <c r="D344" s="2"/>
      <c r="E344" s="14">
        <f>IFERROR(E328+E329+E330+E331+E332+E333+E334+E335+E337+E338+E339+E340+E341, "NA")</f>
        <v>24427.980000000003</v>
      </c>
      <c r="F344" s="15">
        <f>IFERROR(E344/E444, "NA")</f>
        <v>0.24433702373095781</v>
      </c>
      <c r="G344" s="2"/>
      <c r="H344" s="14">
        <f t="shared" si="84"/>
        <v>-508.12999999999738</v>
      </c>
      <c r="I344" s="15">
        <f>IFERROR(H344/H444, "NA")</f>
        <v>2.5088094449296619E-2</v>
      </c>
      <c r="J344" s="2"/>
      <c r="K344" s="14">
        <f>IFERROR(K328+K329+K330+K331+K332+K333+K334+K335+K337+K338+K339+K340+K341, "NA")</f>
        <v>24590.240000000002</v>
      </c>
      <c r="L344" s="15">
        <f>IFERROR(K344/K444, "NA")</f>
        <v>0.26071762701139728</v>
      </c>
      <c r="M344" s="2"/>
      <c r="N344" s="14">
        <f t="shared" si="85"/>
        <v>-345.86999999999898</v>
      </c>
      <c r="O344" s="15">
        <f>IFERROR(N344/N444, "NA")</f>
        <v>2.3698215182561898E-2</v>
      </c>
      <c r="P344" s="2"/>
      <c r="Q344" s="14">
        <f>IFERROR(Q328+Q329+Q330+Q331+Q332+Q333+Q334+Q335+Q337+Q338+Q339+Q340+Q341, "NA")</f>
        <v>49814.41</v>
      </c>
      <c r="R344" s="15">
        <f>IFERROR(Q344/Q444, "NA")</f>
        <v>0.29185467685448707</v>
      </c>
      <c r="S344" s="2"/>
      <c r="T344" s="14">
        <f>IFERROR(T328+T329+T330+T331+T332+T333+T334+T335+T337+T338+T339+T340+T341, "NA")</f>
        <v>48730</v>
      </c>
      <c r="U344" s="15">
        <f>IFERROR(T344/T444, "NA")</f>
        <v>0.24724674789091877</v>
      </c>
      <c r="V344" s="2"/>
      <c r="W344" s="14">
        <f t="shared" si="86"/>
        <v>-1084.4100000000035</v>
      </c>
      <c r="X344" s="15">
        <f>IFERROR(W344/W444, "NA")</f>
        <v>4.1063195235441073E-2</v>
      </c>
      <c r="Y344" s="2"/>
      <c r="Z344" s="14">
        <f>IFERROR(Z328+Z329+Z330+Z331+Z332+Z333+Z334+Z335+Z337+Z338+Z339+Z340+Z341, "NA")</f>
        <v>48973.439999999995</v>
      </c>
      <c r="AA344" s="15">
        <f>IFERROR(Z344/Z444, "NA")</f>
        <v>0.25801546150597526</v>
      </c>
      <c r="AB344" s="2"/>
      <c r="AC344" s="14">
        <f t="shared" si="87"/>
        <v>-840.97000000000844</v>
      </c>
      <c r="AD344" s="15">
        <f>IFERROR(AC344/AC444, "NA")</f>
        <v>4.3970172415235861E-2</v>
      </c>
    </row>
    <row r="345" spans="1:30" ht="16.5" customHeight="1" x14ac:dyDescent="0.45">
      <c r="A345" s="22" t="s">
        <v>315</v>
      </c>
      <c r="B345" s="23">
        <f>IFERROR(B198-B325-B344, "NA")</f>
        <v>-15824.650000000016</v>
      </c>
      <c r="C345" s="24">
        <f>IFERROR(B345/B444, "NA")</f>
        <v>-0.19849603783110864</v>
      </c>
      <c r="D345" s="25"/>
      <c r="E345" s="23">
        <f>IFERROR(E198-E325-E344, "NA")</f>
        <v>-3400.2600000000093</v>
      </c>
      <c r="F345" s="24">
        <f>IFERROR(E345/E444, "NA")</f>
        <v>-3.4010565274387353E-2</v>
      </c>
      <c r="G345" s="25"/>
      <c r="H345" s="23">
        <f>IFERROR(B345-E345, "NA")</f>
        <v>-12424.390000000007</v>
      </c>
      <c r="I345" s="24">
        <f>IFERROR(H345/H444, "NA")</f>
        <v>0.61343410110581587</v>
      </c>
      <c r="J345" s="25"/>
      <c r="K345" s="23">
        <f>IFERROR(K198-K325-K344, "NA")</f>
        <v>-14144.830000000009</v>
      </c>
      <c r="L345" s="24">
        <f>IFERROR(K345/K444, "NA")</f>
        <v>-0.14997033424967077</v>
      </c>
      <c r="M345" s="25"/>
      <c r="N345" s="23">
        <f>IFERROR(B345-K345, "NA")</f>
        <v>-1679.820000000007</v>
      </c>
      <c r="O345" s="24">
        <f>IFERROR(N345/N444, "NA")</f>
        <v>0.11509739447761126</v>
      </c>
      <c r="P345" s="25"/>
      <c r="Q345" s="23">
        <f>IFERROR(Q198-Q325-Q344, "NA")</f>
        <v>-28223.469999999994</v>
      </c>
      <c r="R345" s="24">
        <f>IFERROR(Q345/Q444, "NA")</f>
        <v>-0.16535680572272776</v>
      </c>
      <c r="S345" s="25"/>
      <c r="T345" s="23">
        <f>IFERROR(T198-T325-T344, "NA")</f>
        <v>-9356.8000000000029</v>
      </c>
      <c r="U345" s="24">
        <f>IFERROR(T345/T444, "NA")</f>
        <v>-4.7474622833280314E-2</v>
      </c>
      <c r="V345" s="25"/>
      <c r="W345" s="23">
        <f>IFERROR(Q345-T345, "NA")</f>
        <v>-18866.669999999991</v>
      </c>
      <c r="X345" s="24">
        <f>IFERROR(W345/W444, "NA")</f>
        <v>0.71442143990984608</v>
      </c>
      <c r="Y345" s="25"/>
      <c r="Z345" s="23">
        <f>IFERROR(Z198-Z325-Z344, "NA")</f>
        <v>-21442.279999999977</v>
      </c>
      <c r="AA345" s="24">
        <f>IFERROR(Z345/Z444, "NA")</f>
        <v>-0.11296816743811212</v>
      </c>
      <c r="AB345" s="25"/>
      <c r="AC345" s="23">
        <f>IFERROR(Q345-Z345, "NA")</f>
        <v>-6781.1900000000169</v>
      </c>
      <c r="AD345" s="24">
        <f>IFERROR(AC345/AC444, "NA")</f>
        <v>0.35455497042756701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-15824.650000000016</v>
      </c>
      <c r="C404" s="24">
        <f>IFERROR(B404/B444, "NA")</f>
        <v>-0.19849603783110864</v>
      </c>
      <c r="D404" s="25"/>
      <c r="E404" s="23">
        <f>IFERROR(E345-E403, "NA")</f>
        <v>-3400.2600000000093</v>
      </c>
      <c r="F404" s="24">
        <f>IFERROR(E404/E444, "NA")</f>
        <v>-3.4010565274387353E-2</v>
      </c>
      <c r="G404" s="25"/>
      <c r="H404" s="23">
        <f>IFERROR(B404-E404, "NA")</f>
        <v>-12424.390000000007</v>
      </c>
      <c r="I404" s="24">
        <f>IFERROR(H404/H444, "NA")</f>
        <v>0.61343410110581587</v>
      </c>
      <c r="J404" s="25"/>
      <c r="K404" s="23">
        <f>IFERROR(K345-K403, "NA")</f>
        <v>-14144.830000000009</v>
      </c>
      <c r="L404" s="24">
        <f>IFERROR(K404/K444, "NA")</f>
        <v>-0.14997033424967077</v>
      </c>
      <c r="M404" s="25"/>
      <c r="N404" s="23">
        <f>IFERROR(B404-K404, "NA")</f>
        <v>-1679.820000000007</v>
      </c>
      <c r="O404" s="24">
        <f>IFERROR(N404/N444, "NA")</f>
        <v>0.11509739447761126</v>
      </c>
      <c r="P404" s="25"/>
      <c r="Q404" s="23">
        <f>IFERROR(Q345-Q403, "NA")</f>
        <v>-28223.469999999994</v>
      </c>
      <c r="R404" s="24">
        <f>IFERROR(Q404/Q444, "NA")</f>
        <v>-0.16535680572272776</v>
      </c>
      <c r="S404" s="25"/>
      <c r="T404" s="23">
        <f>IFERROR(T345-T403, "NA")</f>
        <v>-9356.8000000000029</v>
      </c>
      <c r="U404" s="24">
        <f>IFERROR(T404/T444, "NA")</f>
        <v>-4.7474622833280314E-2</v>
      </c>
      <c r="V404" s="25"/>
      <c r="W404" s="23">
        <f>IFERROR(Q404-T404, "NA")</f>
        <v>-18866.669999999991</v>
      </c>
      <c r="X404" s="24">
        <f>IFERROR(W404/W444, "NA")</f>
        <v>0.71442143990984608</v>
      </c>
      <c r="Y404" s="25"/>
      <c r="Z404" s="23">
        <f>IFERROR(Z345-Z403, "NA")</f>
        <v>-21442.279999999977</v>
      </c>
      <c r="AA404" s="24">
        <f>IFERROR(Z404/Z444, "NA")</f>
        <v>-0.11296816743811212</v>
      </c>
      <c r="AB404" s="25"/>
      <c r="AC404" s="23">
        <f>IFERROR(Q404-Z404, "NA")</f>
        <v>-6781.1900000000169</v>
      </c>
      <c r="AD404" s="24">
        <f>IFERROR(AC404/AC444, "NA")</f>
        <v>0.35455497042756701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10267.719999999999</v>
      </c>
      <c r="F407" s="8">
        <f>IFERROR(E407/E444, "NA")</f>
        <v>0.10270125263336673</v>
      </c>
      <c r="G407" s="9"/>
      <c r="H407" s="10">
        <f t="shared" ref="H407:H429" si="100">IFERROR(-(B407-E407), "NA")</f>
        <v>10267.719999999999</v>
      </c>
      <c r="I407" s="8">
        <f>IFERROR(H407/H444, "NA")</f>
        <v>-0.50695201845774351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20240.759999999998</v>
      </c>
      <c r="U407" s="8">
        <f>IFERROR(T407/T444, "NA")</f>
        <v>0.1026977649259305</v>
      </c>
      <c r="V407" s="9"/>
      <c r="W407" s="10">
        <f t="shared" ref="W407:W429" si="102">IFERROR(-(Q407-T407), "NA")</f>
        <v>20240.759999999998</v>
      </c>
      <c r="X407" s="8">
        <f>IFERROR(W407/W444, "NA")</f>
        <v>-0.76645390543586234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10648.87</v>
      </c>
      <c r="C410" s="8">
        <f>IFERROR(B410/B444, "NA")</f>
        <v>0.13357379167176245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-10648.87</v>
      </c>
      <c r="I410" s="8">
        <f>IFERROR(H410/H444, "NA")</f>
        <v>0.5257706813970493</v>
      </c>
      <c r="J410" s="9"/>
      <c r="K410" s="7">
        <v>9780.9</v>
      </c>
      <c r="L410" s="8">
        <f>IFERROR(K410/K444, "NA")</f>
        <v>0.1037018360957752</v>
      </c>
      <c r="M410" s="9"/>
      <c r="N410" s="10">
        <f t="shared" si="101"/>
        <v>-867.97000000000116</v>
      </c>
      <c r="O410" s="8">
        <f>IFERROR(N410/N444, "NA")</f>
        <v>5.9471303761553004E-2</v>
      </c>
      <c r="P410" s="9"/>
      <c r="Q410" s="7">
        <v>21297.75</v>
      </c>
      <c r="R410" s="8">
        <f>IFERROR(Q410/Q444, "NA")</f>
        <v>0.12478011772050801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-21297.75</v>
      </c>
      <c r="X410" s="8">
        <f>IFERROR(W410/W444, "NA")</f>
        <v>0.80647879153236535</v>
      </c>
      <c r="Y410" s="9"/>
      <c r="Z410" s="7">
        <v>19561.8</v>
      </c>
      <c r="AA410" s="8">
        <f>IFERROR(Z410/Z444, "NA")</f>
        <v>0.10306090106979594</v>
      </c>
      <c r="AB410" s="9"/>
      <c r="AC410" s="10">
        <f t="shared" si="103"/>
        <v>-1735.9500000000007</v>
      </c>
      <c r="AD410" s="8">
        <f>IFERROR(AC410/AC444, "NA")</f>
        <v>9.0764261274751734E-2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-48.9</v>
      </c>
      <c r="C416" s="8">
        <f>IFERROR(B416/B444, "NA")</f>
        <v>-6.1337573026520029E-4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48.9</v>
      </c>
      <c r="I416" s="8">
        <f>IFERROR(H416/H444, "NA")</f>
        <v>-2.4143581732442702E-3</v>
      </c>
      <c r="J416" s="9"/>
      <c r="K416" s="7">
        <v>-51.05</v>
      </c>
      <c r="L416" s="8">
        <f>IFERROR(K416/K444, "NA")</f>
        <v>-5.4125680997549547E-4</v>
      </c>
      <c r="M416" s="9"/>
      <c r="N416" s="10">
        <f t="shared" si="101"/>
        <v>-2.1499999999999986</v>
      </c>
      <c r="O416" s="8">
        <f>IFERROR(N416/N444, "NA")</f>
        <v>1.4731304433026338E-4</v>
      </c>
      <c r="P416" s="9"/>
      <c r="Q416" s="7">
        <v>-97.34</v>
      </c>
      <c r="R416" s="8">
        <f>IFERROR(Q416/Q444, "NA")</f>
        <v>-5.7029952266855657E-4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97.34</v>
      </c>
      <c r="X416" s="8">
        <f>IFERROR(W416/W444, "NA")</f>
        <v>-3.6859595763759291E-3</v>
      </c>
      <c r="Y416" s="9"/>
      <c r="Z416" s="7">
        <v>-102.8</v>
      </c>
      <c r="AA416" s="8">
        <f>IFERROR(Z416/Z444, "NA")</f>
        <v>-5.4159947601831236E-4</v>
      </c>
      <c r="AB416" s="9"/>
      <c r="AC416" s="10">
        <f t="shared" si="103"/>
        <v>-5.4599999999999937</v>
      </c>
      <c r="AD416" s="8">
        <f>IFERROR(AC416/AC444, "NA")</f>
        <v>2.8547646335444206E-4</v>
      </c>
    </row>
    <row r="417" spans="1:30" ht="16.5" customHeight="1" x14ac:dyDescent="0.45">
      <c r="A417" s="6" t="s">
        <v>382</v>
      </c>
      <c r="B417" s="7">
        <v>-22.21</v>
      </c>
      <c r="C417" s="8">
        <f>IFERROR(B417/B444, "NA")</f>
        <v>-2.7859049016748673E-4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22.21</v>
      </c>
      <c r="I417" s="8">
        <f>IFERROR(H417/H444, "NA")</f>
        <v>-1.0965827204039928E-3</v>
      </c>
      <c r="J417" s="9"/>
      <c r="K417" s="7">
        <v>-43.32</v>
      </c>
      <c r="L417" s="8">
        <f>IFERROR(K417/K444, "NA")</f>
        <v>-4.5929960838664969E-4</v>
      </c>
      <c r="M417" s="9"/>
      <c r="N417" s="10">
        <f t="shared" si="101"/>
        <v>-21.11</v>
      </c>
      <c r="O417" s="8">
        <f>IFERROR(N417/N444, "NA")</f>
        <v>1.4464085422380753E-3</v>
      </c>
      <c r="P417" s="9"/>
      <c r="Q417" s="7">
        <v>-28.46</v>
      </c>
      <c r="R417" s="8">
        <f>IFERROR(Q417/Q444, "NA")</f>
        <v>-1.6674259723800205E-4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28.46</v>
      </c>
      <c r="X417" s="8">
        <f>IFERROR(W417/W444, "NA")</f>
        <v>-1.0776906671836751E-3</v>
      </c>
      <c r="Y417" s="9"/>
      <c r="Z417" s="7">
        <v>33.86</v>
      </c>
      <c r="AA417" s="8">
        <f>IFERROR(Z417/Z444, "NA")</f>
        <v>1.7839064453287993E-4</v>
      </c>
      <c r="AB417" s="9"/>
      <c r="AC417" s="10">
        <f t="shared" si="103"/>
        <v>62.32</v>
      </c>
      <c r="AD417" s="8">
        <f>IFERROR(AC417/AC444, "NA")</f>
        <v>-3.258405347298324E-3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10577.760000000002</v>
      </c>
      <c r="C428" s="15">
        <f>IFERROR(B428/B444, "NA")</f>
        <v>0.13268182545132978</v>
      </c>
      <c r="D428" s="2"/>
      <c r="E428" s="14">
        <f>IFERROR(E407+E408+E409+E410+E411+E412+E413+E414+E415+E416+E417+E418+E419+E420+E421+E422+E423+E424+E425+E426+E427, "NA")</f>
        <v>10267.719999999999</v>
      </c>
      <c r="F428" s="15">
        <f>IFERROR(E428/E444, "NA")</f>
        <v>0.10270125263336673</v>
      </c>
      <c r="G428" s="2"/>
      <c r="H428" s="14">
        <f t="shared" si="100"/>
        <v>-310.04000000000269</v>
      </c>
      <c r="I428" s="15">
        <f>IFERROR(H428/H444, "NA")</f>
        <v>1.530772204565767E-2</v>
      </c>
      <c r="J428" s="2"/>
      <c r="K428" s="14">
        <f>IFERROR(K407+K408+K409+K410+K411+K412+K413+K414+K415+K416+K417+K418+K419+K420+K421+K422+K423+K424+K425+K426+K427, "NA")</f>
        <v>9686.5300000000007</v>
      </c>
      <c r="L428" s="15">
        <f>IFERROR(K428/K444, "NA")</f>
        <v>0.10270127967741306</v>
      </c>
      <c r="M428" s="2"/>
      <c r="N428" s="14">
        <f t="shared" si="101"/>
        <v>-891.23000000000138</v>
      </c>
      <c r="O428" s="15">
        <f>IFERROR(N428/N444, "NA")</f>
        <v>6.106502534812136E-2</v>
      </c>
      <c r="P428" s="2"/>
      <c r="Q428" s="14">
        <f>IFERROR(Q407+Q408+Q409+Q410+Q411+Q412+Q413+Q414+Q415+Q416+Q417+Q418+Q419+Q420+Q421+Q422+Q423+Q424+Q425+Q426+Q427, "NA")</f>
        <v>21171.95</v>
      </c>
      <c r="R428" s="15">
        <f>IFERROR(Q428/Q444, "NA")</f>
        <v>0.12404307560060146</v>
      </c>
      <c r="S428" s="2"/>
      <c r="T428" s="14">
        <f>IFERROR(T407+T408+T409+T410+T411+T412+T413+T414+T415+T416+T417+T418+T419+T420+T421+T422+T423+T424+T425+T426+T427, "NA")</f>
        <v>20240.759999999998</v>
      </c>
      <c r="U428" s="15">
        <f>IFERROR(T428/T444, "NA")</f>
        <v>0.1026977649259305</v>
      </c>
      <c r="V428" s="2"/>
      <c r="W428" s="14">
        <f t="shared" si="102"/>
        <v>-931.19000000000233</v>
      </c>
      <c r="X428" s="15">
        <f>IFERROR(W428/W444, "NA")</f>
        <v>3.5261235852943391E-2</v>
      </c>
      <c r="Y428" s="2"/>
      <c r="Z428" s="14">
        <f>IFERROR(Z407+Z408+Z409+Z410+Z411+Z412+Z413+Z414+Z415+Z416+Z417+Z418+Z419+Z420+Z421+Z422+Z423+Z424+Z425+Z426+Z427, "NA")</f>
        <v>19492.86</v>
      </c>
      <c r="AA428" s="15">
        <f>IFERROR(Z428/Z444, "NA")</f>
        <v>0.10269769223831052</v>
      </c>
      <c r="AB428" s="2"/>
      <c r="AC428" s="14">
        <f t="shared" si="103"/>
        <v>-1679.0900000000001</v>
      </c>
      <c r="AD428" s="15">
        <f>IFERROR(AC428/AC444, "NA")</f>
        <v>8.7791332390807816E-2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10577.760000000002</v>
      </c>
      <c r="C429" s="15">
        <f>IFERROR(B429/B444, "NA")</f>
        <v>0.13268182545132978</v>
      </c>
      <c r="D429" s="2"/>
      <c r="E429" s="14">
        <f>IFERROR(E407+E408+E409+E410+E411+E412+E413+E414+E415+E416+E417+E418+E419+E420+E421+E422+E423+E424+E425+E426+E427, "NA")</f>
        <v>10267.719999999999</v>
      </c>
      <c r="F429" s="15">
        <f>IFERROR(E429/E444, "NA")</f>
        <v>0.10270125263336673</v>
      </c>
      <c r="G429" s="2"/>
      <c r="H429" s="14">
        <f t="shared" si="100"/>
        <v>-310.04000000000269</v>
      </c>
      <c r="I429" s="15">
        <f>IFERROR(H429/H444, "NA")</f>
        <v>1.530772204565767E-2</v>
      </c>
      <c r="J429" s="2"/>
      <c r="K429" s="14">
        <f>IFERROR(K407+K408+K409+K410+K411+K412+K413+K414+K415+K416+K417+K418+K419+K420+K421+K422+K423+K424+K425+K426+K427, "NA")</f>
        <v>9686.5300000000007</v>
      </c>
      <c r="L429" s="15">
        <f>IFERROR(K429/K444, "NA")</f>
        <v>0.10270127967741306</v>
      </c>
      <c r="M429" s="2"/>
      <c r="N429" s="14">
        <f t="shared" si="101"/>
        <v>-891.23000000000138</v>
      </c>
      <c r="O429" s="15">
        <f>IFERROR(N429/N444, "NA")</f>
        <v>6.106502534812136E-2</v>
      </c>
      <c r="P429" s="2"/>
      <c r="Q429" s="14">
        <f>IFERROR(Q407+Q408+Q409+Q410+Q411+Q412+Q413+Q414+Q415+Q416+Q417+Q418+Q419+Q420+Q421+Q422+Q423+Q424+Q425+Q426+Q427, "NA")</f>
        <v>21171.95</v>
      </c>
      <c r="R429" s="15">
        <f>IFERROR(Q429/Q444, "NA")</f>
        <v>0.12404307560060146</v>
      </c>
      <c r="S429" s="2"/>
      <c r="T429" s="14">
        <f>IFERROR(T407+T408+T409+T410+T411+T412+T413+T414+T415+T416+T417+T418+T419+T420+T421+T422+T423+T424+T425+T426+T427, "NA")</f>
        <v>20240.759999999998</v>
      </c>
      <c r="U429" s="15">
        <f>IFERROR(T429/T444, "NA")</f>
        <v>0.1026977649259305</v>
      </c>
      <c r="V429" s="2"/>
      <c r="W429" s="14">
        <f t="shared" si="102"/>
        <v>-931.19000000000233</v>
      </c>
      <c r="X429" s="15">
        <f>IFERROR(W429/W444, "NA")</f>
        <v>3.5261235852943391E-2</v>
      </c>
      <c r="Y429" s="2"/>
      <c r="Z429" s="14">
        <f>IFERROR(Z407+Z408+Z409+Z410+Z411+Z412+Z413+Z414+Z415+Z416+Z417+Z418+Z419+Z420+Z421+Z422+Z423+Z424+Z425+Z426+Z427, "NA")</f>
        <v>19492.86</v>
      </c>
      <c r="AA429" s="15">
        <f>IFERROR(Z429/Z444, "NA")</f>
        <v>0.10269769223831052</v>
      </c>
      <c r="AB429" s="2"/>
      <c r="AC429" s="14">
        <f t="shared" si="103"/>
        <v>-1679.0900000000001</v>
      </c>
      <c r="AD429" s="15">
        <f>IFERROR(AC429/AC444, "NA")</f>
        <v>8.7791332390807816E-2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-26402.410000000018</v>
      </c>
      <c r="C443" s="24">
        <f>IFERROR(B443/B444, "NA")</f>
        <v>-0.33117786328243842</v>
      </c>
      <c r="D443" s="25"/>
      <c r="E443" s="23">
        <f>IFERROR(E404-E429-E442, "NA")</f>
        <v>-13667.980000000009</v>
      </c>
      <c r="F443" s="24">
        <f>IFERROR(E443/E444, "NA")</f>
        <v>-0.13671181790775408</v>
      </c>
      <c r="G443" s="25"/>
      <c r="H443" s="23">
        <f>IFERROR(B443-E443, "NA")</f>
        <v>-12734.430000000009</v>
      </c>
      <c r="I443" s="24">
        <f>IFERROR(H443/H444, "NA")</f>
        <v>0.62874182315147353</v>
      </c>
      <c r="J443" s="25"/>
      <c r="K443" s="23">
        <f>IFERROR(K404-K429-K442, "NA")</f>
        <v>-23831.360000000008</v>
      </c>
      <c r="L443" s="24">
        <f>IFERROR(K443/K444, "NA")</f>
        <v>-0.25267161392708382</v>
      </c>
      <c r="M443" s="25"/>
      <c r="N443" s="23">
        <f>IFERROR(B443-K443, "NA")</f>
        <v>-2571.0500000000102</v>
      </c>
      <c r="O443" s="24">
        <f>IFERROR(N443/N444, "NA")</f>
        <v>0.17616241982573275</v>
      </c>
      <c r="P443" s="25"/>
      <c r="Q443" s="23">
        <f>IFERROR(Q404-Q429-Q442, "NA")</f>
        <v>-49395.42</v>
      </c>
      <c r="R443" s="24">
        <f>IFERROR(Q443/Q444, "NA")</f>
        <v>-0.28939988132332928</v>
      </c>
      <c r="S443" s="25"/>
      <c r="T443" s="23">
        <f>IFERROR(T404-T429-T442, "NA")</f>
        <v>-29597.56</v>
      </c>
      <c r="U443" s="24">
        <f>IFERROR(T443/T444, "NA")</f>
        <v>-0.1501723877592108</v>
      </c>
      <c r="V443" s="25"/>
      <c r="W443" s="23">
        <f>IFERROR(Q443-T443, "NA")</f>
        <v>-19797.859999999997</v>
      </c>
      <c r="X443" s="24">
        <f>IFERROR(W443/W444, "NA")</f>
        <v>0.74968267576278957</v>
      </c>
      <c r="Y443" s="25"/>
      <c r="Z443" s="23">
        <f>IFERROR(Z404-Z429-Z442, "NA")</f>
        <v>-40935.139999999978</v>
      </c>
      <c r="AA443" s="24">
        <f>IFERROR(Z443/Z444, "NA")</f>
        <v>-0.21566585967642263</v>
      </c>
      <c r="AB443" s="25"/>
      <c r="AC443" s="23">
        <f>IFERROR(Q443-Z443, "NA")</f>
        <v>-8460.2800000000207</v>
      </c>
      <c r="AD443" s="24">
        <f>IFERROR(AC443/AC444, "NA")</f>
        <v>0.442346302818375</v>
      </c>
    </row>
    <row r="444" spans="1:30" ht="15.75" hidden="1" x14ac:dyDescent="0.45">
      <c r="A444" s="26" t="s">
        <v>117</v>
      </c>
      <c r="B444" s="7">
        <v>79722.75</v>
      </c>
      <c r="C444" s="27"/>
      <c r="D444" s="9"/>
      <c r="E444" s="7">
        <v>99976.58</v>
      </c>
      <c r="F444" s="27"/>
      <c r="G444" s="9"/>
      <c r="H444" s="10">
        <f>IFERROR(B444-E444, "NA")</f>
        <v>-20253.830000000002</v>
      </c>
      <c r="I444" s="27"/>
      <c r="J444" s="9"/>
      <c r="K444" s="7">
        <v>94317.52</v>
      </c>
      <c r="L444" s="27"/>
      <c r="M444" s="9"/>
      <c r="N444" s="10">
        <f>IFERROR(B444-K444, "NA")</f>
        <v>-14594.770000000004</v>
      </c>
      <c r="O444" s="27"/>
      <c r="P444" s="9"/>
      <c r="Q444" s="7">
        <v>170682.23999999999</v>
      </c>
      <c r="R444" s="27"/>
      <c r="S444" s="9"/>
      <c r="T444" s="7">
        <v>197090.56</v>
      </c>
      <c r="U444" s="27"/>
      <c r="V444" s="9"/>
      <c r="W444" s="10">
        <f>IFERROR(Q444-T444, "NA")</f>
        <v>-26408.320000000007</v>
      </c>
      <c r="X444" s="27"/>
      <c r="Y444" s="9"/>
      <c r="Z444" s="7">
        <v>189808.16</v>
      </c>
      <c r="AA444" s="27"/>
      <c r="AB444" s="9"/>
      <c r="AC444" s="10">
        <f>IFERROR(Q444-Z444, "NA")</f>
        <v>-19125.920000000013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2026-04-07T02:06:13Z</dcterms:created>
  <dcterms:modified xsi:type="dcterms:W3CDTF">2026-04-07T02:06:54Z</dcterms:modified>
</cp:coreProperties>
</file>